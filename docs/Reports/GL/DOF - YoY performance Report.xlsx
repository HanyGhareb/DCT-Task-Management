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nyg\Desktop\DCT Reports\"/>
    </mc:Choice>
  </mc:AlternateContent>
  <xr:revisionPtr revIDLastSave="0" documentId="13_ncr:1_{E1076D34-1BC4-42E2-8A80-7A3AD7038DCC}" xr6:coauthVersionLast="47" xr6:coauthVersionMax="47" xr10:uidLastSave="{00000000-0000-0000-0000-000000000000}"/>
  <bookViews>
    <workbookView xWindow="-110" yWindow="-110" windowWidth="38620" windowHeight="21220" activeTab="1" xr2:uid="{BA02C0C6-89D3-4BE0-8D96-E17822196FC3}"/>
  </bookViews>
  <sheets>
    <sheet name="DOF - YoY performance Report" sheetId="1" r:id="rId1"/>
    <sheet name="DOF - Budget Utilization repor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2" l="1"/>
  <c r="H1" i="2"/>
  <c r="I1" i="2"/>
  <c r="J1" i="2"/>
  <c r="K1" i="2"/>
  <c r="L3" i="2"/>
  <c r="L1" i="2" s="1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N226" i="1"/>
  <c r="N225" i="1"/>
  <c r="N224" i="1"/>
  <c r="I224" i="1"/>
  <c r="B224" i="1"/>
  <c r="C224" i="1" s="1"/>
  <c r="N223" i="1"/>
  <c r="I223" i="1"/>
  <c r="B223" i="1"/>
  <c r="C223" i="1" s="1"/>
  <c r="N222" i="1"/>
  <c r="I222" i="1"/>
  <c r="C222" i="1"/>
  <c r="B222" i="1"/>
  <c r="N221" i="1"/>
  <c r="I221" i="1"/>
  <c r="C221" i="1"/>
  <c r="B221" i="1"/>
  <c r="N220" i="1"/>
  <c r="I220" i="1"/>
  <c r="C220" i="1"/>
  <c r="B220" i="1"/>
  <c r="N219" i="1"/>
  <c r="I219" i="1"/>
  <c r="C219" i="1"/>
  <c r="B219" i="1"/>
  <c r="N218" i="1"/>
  <c r="I218" i="1"/>
  <c r="C218" i="1"/>
  <c r="B218" i="1"/>
  <c r="N217" i="1"/>
  <c r="I217" i="1"/>
  <c r="C217" i="1"/>
  <c r="B217" i="1"/>
  <c r="N216" i="1"/>
  <c r="I216" i="1"/>
  <c r="C216" i="1"/>
  <c r="B216" i="1"/>
  <c r="N215" i="1"/>
  <c r="I215" i="1"/>
  <c r="C215" i="1"/>
  <c r="B215" i="1"/>
  <c r="N214" i="1"/>
  <c r="I214" i="1"/>
  <c r="C214" i="1"/>
  <c r="B214" i="1"/>
  <c r="N213" i="1"/>
  <c r="I213" i="1"/>
  <c r="C213" i="1"/>
  <c r="B213" i="1"/>
  <c r="N212" i="1"/>
  <c r="I212" i="1"/>
  <c r="C212" i="1"/>
  <c r="B212" i="1"/>
  <c r="N211" i="1"/>
  <c r="I211" i="1"/>
  <c r="C211" i="1"/>
  <c r="B211" i="1"/>
  <c r="N210" i="1"/>
  <c r="I210" i="1"/>
  <c r="C210" i="1"/>
  <c r="B210" i="1"/>
  <c r="N209" i="1"/>
  <c r="I209" i="1"/>
  <c r="C209" i="1"/>
  <c r="B209" i="1"/>
  <c r="N208" i="1"/>
  <c r="I208" i="1"/>
  <c r="C208" i="1"/>
  <c r="B208" i="1"/>
  <c r="N207" i="1"/>
  <c r="I207" i="1"/>
  <c r="C207" i="1"/>
  <c r="B207" i="1"/>
  <c r="N206" i="1"/>
  <c r="I206" i="1"/>
  <c r="C206" i="1"/>
  <c r="B206" i="1"/>
  <c r="N205" i="1"/>
  <c r="I205" i="1"/>
  <c r="C205" i="1"/>
  <c r="B205" i="1"/>
  <c r="N204" i="1"/>
  <c r="I204" i="1"/>
  <c r="C204" i="1"/>
  <c r="B204" i="1"/>
  <c r="N203" i="1"/>
  <c r="I203" i="1"/>
  <c r="C203" i="1"/>
  <c r="B203" i="1"/>
  <c r="N202" i="1"/>
  <c r="I202" i="1"/>
  <c r="C202" i="1"/>
  <c r="B202" i="1"/>
  <c r="N201" i="1"/>
  <c r="I201" i="1"/>
  <c r="C201" i="1"/>
  <c r="B201" i="1"/>
  <c r="N200" i="1"/>
  <c r="N199" i="1"/>
  <c r="I199" i="1"/>
  <c r="B199" i="1"/>
  <c r="C199" i="1" s="1"/>
  <c r="N198" i="1"/>
  <c r="I198" i="1"/>
  <c r="B198" i="1"/>
  <c r="C198" i="1" s="1"/>
  <c r="N197" i="1"/>
  <c r="I197" i="1"/>
  <c r="B197" i="1"/>
  <c r="C197" i="1" s="1"/>
  <c r="N196" i="1"/>
  <c r="I196" i="1"/>
  <c r="B196" i="1"/>
  <c r="C196" i="1" s="1"/>
  <c r="N195" i="1"/>
  <c r="I195" i="1"/>
  <c r="B195" i="1"/>
  <c r="C195" i="1" s="1"/>
  <c r="N194" i="1"/>
  <c r="I194" i="1"/>
  <c r="B194" i="1"/>
  <c r="C194" i="1" s="1"/>
  <c r="N193" i="1"/>
  <c r="I193" i="1"/>
  <c r="B193" i="1"/>
  <c r="C193" i="1" s="1"/>
  <c r="N192" i="1"/>
  <c r="I192" i="1"/>
  <c r="B192" i="1"/>
  <c r="C192" i="1" s="1"/>
  <c r="N191" i="1"/>
  <c r="I191" i="1"/>
  <c r="B191" i="1"/>
  <c r="C191" i="1" s="1"/>
  <c r="N190" i="1"/>
  <c r="I190" i="1"/>
  <c r="B190" i="1"/>
  <c r="C190" i="1" s="1"/>
  <c r="N189" i="1"/>
  <c r="I189" i="1"/>
  <c r="B189" i="1"/>
  <c r="C189" i="1" s="1"/>
  <c r="N188" i="1"/>
  <c r="I188" i="1"/>
  <c r="B188" i="1"/>
  <c r="C188" i="1" s="1"/>
  <c r="N187" i="1"/>
  <c r="I187" i="1"/>
  <c r="B187" i="1"/>
  <c r="C187" i="1" s="1"/>
  <c r="N186" i="1"/>
  <c r="I186" i="1"/>
  <c r="B186" i="1"/>
  <c r="C186" i="1" s="1"/>
  <c r="N185" i="1"/>
  <c r="I185" i="1"/>
  <c r="B185" i="1"/>
  <c r="C185" i="1" s="1"/>
  <c r="N184" i="1"/>
  <c r="I184" i="1"/>
  <c r="C184" i="1"/>
  <c r="B184" i="1"/>
  <c r="N183" i="1"/>
  <c r="I183" i="1"/>
  <c r="B183" i="1"/>
  <c r="C183" i="1" s="1"/>
  <c r="N182" i="1"/>
  <c r="I182" i="1"/>
  <c r="C182" i="1"/>
  <c r="B182" i="1"/>
  <c r="N181" i="1"/>
  <c r="I181" i="1"/>
  <c r="B181" i="1"/>
  <c r="C181" i="1" s="1"/>
  <c r="N180" i="1"/>
  <c r="I180" i="1"/>
  <c r="C180" i="1"/>
  <c r="B180" i="1"/>
  <c r="N179" i="1"/>
  <c r="I179" i="1"/>
  <c r="B179" i="1"/>
  <c r="C179" i="1" s="1"/>
  <c r="N178" i="1"/>
  <c r="I178" i="1"/>
  <c r="C178" i="1"/>
  <c r="B178" i="1"/>
  <c r="N177" i="1"/>
  <c r="I177" i="1"/>
  <c r="B177" i="1"/>
  <c r="C177" i="1" s="1"/>
  <c r="N176" i="1"/>
  <c r="I176" i="1"/>
  <c r="C176" i="1"/>
  <c r="B176" i="1"/>
  <c r="N175" i="1"/>
  <c r="I175" i="1"/>
  <c r="B175" i="1"/>
  <c r="C175" i="1" s="1"/>
  <c r="N174" i="1"/>
  <c r="I174" i="1"/>
  <c r="C174" i="1"/>
  <c r="B174" i="1"/>
  <c r="N173" i="1"/>
  <c r="I173" i="1"/>
  <c r="B173" i="1"/>
  <c r="C173" i="1" s="1"/>
  <c r="N172" i="1"/>
  <c r="I172" i="1"/>
  <c r="C172" i="1"/>
  <c r="B172" i="1"/>
  <c r="N171" i="1"/>
  <c r="I171" i="1"/>
  <c r="B171" i="1"/>
  <c r="C171" i="1" s="1"/>
  <c r="N170" i="1"/>
  <c r="I170" i="1"/>
  <c r="C170" i="1"/>
  <c r="B170" i="1"/>
  <c r="N169" i="1"/>
  <c r="I169" i="1"/>
  <c r="B169" i="1"/>
  <c r="C169" i="1" s="1"/>
  <c r="N168" i="1"/>
  <c r="I168" i="1"/>
  <c r="C168" i="1"/>
  <c r="B168" i="1"/>
  <c r="N167" i="1"/>
  <c r="I167" i="1"/>
  <c r="B167" i="1"/>
  <c r="C167" i="1" s="1"/>
  <c r="N166" i="1"/>
  <c r="I166" i="1"/>
  <c r="C166" i="1"/>
  <c r="B166" i="1"/>
  <c r="N165" i="1"/>
  <c r="I165" i="1"/>
  <c r="B165" i="1"/>
  <c r="C165" i="1" s="1"/>
  <c r="N164" i="1"/>
  <c r="I164" i="1"/>
  <c r="C164" i="1"/>
  <c r="B164" i="1"/>
  <c r="N163" i="1"/>
  <c r="I163" i="1"/>
  <c r="B163" i="1"/>
  <c r="C163" i="1" s="1"/>
  <c r="N162" i="1"/>
  <c r="I162" i="1"/>
  <c r="C162" i="1"/>
  <c r="B162" i="1"/>
  <c r="N161" i="1"/>
  <c r="I161" i="1"/>
  <c r="B161" i="1"/>
  <c r="C161" i="1" s="1"/>
  <c r="N160" i="1"/>
  <c r="I160" i="1"/>
  <c r="C160" i="1"/>
  <c r="B160" i="1"/>
  <c r="N159" i="1"/>
  <c r="I159" i="1"/>
  <c r="B159" i="1"/>
  <c r="C159" i="1" s="1"/>
  <c r="N158" i="1"/>
  <c r="I158" i="1"/>
  <c r="C158" i="1"/>
  <c r="B158" i="1"/>
  <c r="N157" i="1"/>
  <c r="I157" i="1"/>
  <c r="B157" i="1"/>
  <c r="C157" i="1" s="1"/>
  <c r="N156" i="1"/>
  <c r="I156" i="1"/>
  <c r="C156" i="1"/>
  <c r="B156" i="1"/>
  <c r="N155" i="1"/>
  <c r="I155" i="1"/>
  <c r="B155" i="1"/>
  <c r="C155" i="1" s="1"/>
  <c r="N154" i="1"/>
  <c r="I154" i="1"/>
  <c r="C154" i="1"/>
  <c r="B154" i="1"/>
  <c r="N153" i="1"/>
  <c r="I153" i="1"/>
  <c r="B153" i="1"/>
  <c r="C153" i="1" s="1"/>
  <c r="N152" i="1"/>
  <c r="I152" i="1"/>
  <c r="C152" i="1"/>
  <c r="B152" i="1"/>
  <c r="N151" i="1"/>
  <c r="I151" i="1"/>
  <c r="B151" i="1"/>
  <c r="C151" i="1" s="1"/>
  <c r="N150" i="1"/>
  <c r="I150" i="1"/>
  <c r="C150" i="1"/>
  <c r="B150" i="1"/>
  <c r="N149" i="1"/>
  <c r="I149" i="1"/>
  <c r="B149" i="1"/>
  <c r="C149" i="1" s="1"/>
  <c r="N148" i="1"/>
  <c r="I148" i="1"/>
  <c r="C148" i="1"/>
  <c r="B148" i="1"/>
  <c r="N147" i="1"/>
  <c r="I147" i="1"/>
  <c r="B147" i="1"/>
  <c r="C147" i="1" s="1"/>
  <c r="N146" i="1"/>
  <c r="I146" i="1"/>
  <c r="C146" i="1"/>
  <c r="B146" i="1"/>
  <c r="N145" i="1"/>
  <c r="I145" i="1"/>
  <c r="B145" i="1"/>
  <c r="C145" i="1" s="1"/>
  <c r="N144" i="1"/>
  <c r="I144" i="1"/>
  <c r="C144" i="1"/>
  <c r="B144" i="1"/>
  <c r="N143" i="1"/>
  <c r="I143" i="1"/>
  <c r="B143" i="1"/>
  <c r="C143" i="1" s="1"/>
  <c r="N142" i="1"/>
  <c r="I142" i="1"/>
  <c r="C142" i="1"/>
  <c r="B142" i="1"/>
  <c r="N141" i="1"/>
  <c r="I141" i="1"/>
  <c r="B141" i="1"/>
  <c r="C141" i="1" s="1"/>
  <c r="N140" i="1"/>
  <c r="I140" i="1"/>
  <c r="C140" i="1"/>
  <c r="B140" i="1"/>
  <c r="N139" i="1"/>
  <c r="I139" i="1"/>
  <c r="B139" i="1"/>
  <c r="C139" i="1" s="1"/>
  <c r="N138" i="1"/>
  <c r="I138" i="1"/>
  <c r="C138" i="1"/>
  <c r="B138" i="1"/>
  <c r="N137" i="1"/>
  <c r="I137" i="1"/>
  <c r="B137" i="1"/>
  <c r="C137" i="1" s="1"/>
  <c r="N136" i="1"/>
  <c r="I136" i="1"/>
  <c r="C136" i="1"/>
  <c r="B136" i="1"/>
  <c r="N135" i="1"/>
  <c r="I135" i="1"/>
  <c r="B135" i="1"/>
  <c r="C135" i="1" s="1"/>
  <c r="N134" i="1"/>
  <c r="I134" i="1"/>
  <c r="C134" i="1"/>
  <c r="B134" i="1"/>
  <c r="N133" i="1"/>
  <c r="I133" i="1"/>
  <c r="B133" i="1"/>
  <c r="C133" i="1" s="1"/>
  <c r="N132" i="1"/>
  <c r="I132" i="1"/>
  <c r="C132" i="1"/>
  <c r="B132" i="1"/>
  <c r="N131" i="1"/>
  <c r="I131" i="1"/>
  <c r="B131" i="1"/>
  <c r="C131" i="1" s="1"/>
  <c r="N130" i="1"/>
  <c r="I130" i="1"/>
  <c r="C130" i="1"/>
  <c r="B130" i="1"/>
  <c r="N129" i="1"/>
  <c r="I129" i="1"/>
  <c r="B129" i="1"/>
  <c r="C129" i="1" s="1"/>
  <c r="N128" i="1"/>
  <c r="I128" i="1"/>
  <c r="C128" i="1"/>
  <c r="B128" i="1"/>
  <c r="N127" i="1"/>
  <c r="I127" i="1"/>
  <c r="B127" i="1"/>
  <c r="C127" i="1" s="1"/>
  <c r="N126" i="1"/>
  <c r="I126" i="1"/>
  <c r="C126" i="1"/>
  <c r="B126" i="1"/>
  <c r="N125" i="1"/>
  <c r="I125" i="1"/>
  <c r="B125" i="1"/>
  <c r="C125" i="1" s="1"/>
  <c r="N124" i="1"/>
  <c r="I124" i="1"/>
  <c r="C124" i="1"/>
  <c r="B124" i="1"/>
  <c r="N123" i="1"/>
  <c r="I123" i="1"/>
  <c r="B123" i="1"/>
  <c r="C123" i="1" s="1"/>
  <c r="N122" i="1"/>
  <c r="I122" i="1"/>
  <c r="C122" i="1"/>
  <c r="B122" i="1"/>
  <c r="N121" i="1"/>
  <c r="I121" i="1"/>
  <c r="B121" i="1"/>
  <c r="C121" i="1" s="1"/>
  <c r="N120" i="1"/>
  <c r="I120" i="1"/>
  <c r="C120" i="1"/>
  <c r="B120" i="1"/>
  <c r="N119" i="1"/>
  <c r="I119" i="1"/>
  <c r="B119" i="1"/>
  <c r="C119" i="1" s="1"/>
  <c r="N118" i="1"/>
  <c r="I118" i="1"/>
  <c r="C118" i="1"/>
  <c r="B118" i="1"/>
  <c r="N117" i="1"/>
  <c r="I117" i="1"/>
  <c r="B117" i="1"/>
  <c r="C117" i="1" s="1"/>
  <c r="N116" i="1"/>
  <c r="I116" i="1"/>
  <c r="C116" i="1"/>
  <c r="B116" i="1"/>
  <c r="N115" i="1"/>
  <c r="I115" i="1"/>
  <c r="B115" i="1"/>
  <c r="C115" i="1" s="1"/>
  <c r="N114" i="1"/>
  <c r="I114" i="1"/>
  <c r="C114" i="1"/>
  <c r="B114" i="1"/>
  <c r="N113" i="1"/>
  <c r="I113" i="1"/>
  <c r="B113" i="1"/>
  <c r="C113" i="1" s="1"/>
  <c r="N112" i="1"/>
  <c r="I112" i="1"/>
  <c r="C112" i="1"/>
  <c r="B112" i="1"/>
  <c r="N111" i="1"/>
  <c r="I111" i="1"/>
  <c r="B111" i="1"/>
  <c r="C111" i="1" s="1"/>
  <c r="N110" i="1"/>
  <c r="I110" i="1"/>
  <c r="C110" i="1"/>
  <c r="B110" i="1"/>
  <c r="N109" i="1"/>
  <c r="I109" i="1"/>
  <c r="B109" i="1"/>
  <c r="C109" i="1" s="1"/>
  <c r="N108" i="1"/>
  <c r="I108" i="1"/>
  <c r="C108" i="1"/>
  <c r="B108" i="1"/>
  <c r="N107" i="1"/>
  <c r="I107" i="1"/>
  <c r="B107" i="1"/>
  <c r="C107" i="1" s="1"/>
  <c r="N106" i="1"/>
  <c r="I106" i="1"/>
  <c r="C106" i="1"/>
  <c r="B106" i="1"/>
  <c r="N105" i="1"/>
  <c r="I105" i="1"/>
  <c r="B105" i="1"/>
  <c r="C105" i="1" s="1"/>
  <c r="N104" i="1"/>
  <c r="I104" i="1"/>
  <c r="C104" i="1"/>
  <c r="B104" i="1"/>
  <c r="N103" i="1"/>
  <c r="I103" i="1"/>
  <c r="B103" i="1"/>
  <c r="C103" i="1" s="1"/>
  <c r="N102" i="1"/>
  <c r="I102" i="1"/>
  <c r="C102" i="1"/>
  <c r="B102" i="1"/>
  <c r="N101" i="1"/>
  <c r="I101" i="1"/>
  <c r="B101" i="1"/>
  <c r="C101" i="1" s="1"/>
  <c r="N100" i="1"/>
  <c r="I100" i="1"/>
  <c r="C100" i="1"/>
  <c r="B100" i="1"/>
  <c r="N99" i="1"/>
  <c r="I99" i="1"/>
  <c r="B99" i="1"/>
  <c r="C99" i="1" s="1"/>
  <c r="N98" i="1"/>
  <c r="I98" i="1"/>
  <c r="C98" i="1"/>
  <c r="B98" i="1"/>
  <c r="N97" i="1"/>
  <c r="I97" i="1"/>
  <c r="B97" i="1"/>
  <c r="C97" i="1" s="1"/>
  <c r="N96" i="1"/>
  <c r="I96" i="1"/>
  <c r="C96" i="1"/>
  <c r="B96" i="1"/>
  <c r="N95" i="1"/>
  <c r="I95" i="1"/>
  <c r="B95" i="1"/>
  <c r="C95" i="1" s="1"/>
  <c r="N94" i="1"/>
  <c r="I94" i="1"/>
  <c r="C94" i="1"/>
  <c r="B94" i="1"/>
  <c r="N93" i="1"/>
  <c r="I93" i="1"/>
  <c r="B93" i="1"/>
  <c r="C93" i="1" s="1"/>
  <c r="N92" i="1"/>
  <c r="I92" i="1"/>
  <c r="C92" i="1"/>
  <c r="B92" i="1"/>
  <c r="N91" i="1"/>
  <c r="I91" i="1"/>
  <c r="B91" i="1"/>
  <c r="C91" i="1" s="1"/>
  <c r="N90" i="1"/>
  <c r="I90" i="1"/>
  <c r="C90" i="1"/>
  <c r="B90" i="1"/>
  <c r="N89" i="1"/>
  <c r="I89" i="1"/>
  <c r="B89" i="1"/>
  <c r="C89" i="1" s="1"/>
  <c r="N88" i="1"/>
  <c r="I88" i="1"/>
  <c r="C88" i="1"/>
  <c r="B88" i="1"/>
  <c r="N87" i="1"/>
  <c r="I87" i="1"/>
  <c r="B87" i="1"/>
  <c r="C87" i="1" s="1"/>
  <c r="N86" i="1"/>
  <c r="I86" i="1"/>
  <c r="C86" i="1"/>
  <c r="B86" i="1"/>
  <c r="N85" i="1"/>
  <c r="I85" i="1"/>
  <c r="B85" i="1"/>
  <c r="C85" i="1" s="1"/>
  <c r="N84" i="1"/>
  <c r="I84" i="1"/>
  <c r="C84" i="1"/>
  <c r="B84" i="1"/>
  <c r="N83" i="1"/>
  <c r="I83" i="1"/>
  <c r="B83" i="1"/>
  <c r="C83" i="1" s="1"/>
  <c r="N82" i="1"/>
  <c r="I82" i="1"/>
  <c r="C82" i="1"/>
  <c r="B82" i="1"/>
  <c r="N81" i="1"/>
  <c r="I81" i="1"/>
  <c r="B81" i="1"/>
  <c r="C81" i="1" s="1"/>
  <c r="N80" i="1"/>
  <c r="I80" i="1"/>
  <c r="C80" i="1"/>
  <c r="B80" i="1"/>
  <c r="N79" i="1"/>
  <c r="I79" i="1"/>
  <c r="B79" i="1"/>
  <c r="C79" i="1" s="1"/>
  <c r="N78" i="1"/>
  <c r="I78" i="1"/>
  <c r="C78" i="1"/>
  <c r="B78" i="1"/>
  <c r="N77" i="1"/>
  <c r="I77" i="1"/>
  <c r="B77" i="1"/>
  <c r="C77" i="1" s="1"/>
  <c r="N76" i="1"/>
  <c r="I76" i="1"/>
  <c r="C76" i="1"/>
  <c r="B76" i="1"/>
  <c r="N75" i="1"/>
  <c r="I75" i="1"/>
  <c r="B75" i="1"/>
  <c r="C75" i="1" s="1"/>
  <c r="N74" i="1"/>
  <c r="I74" i="1"/>
  <c r="C74" i="1"/>
  <c r="B74" i="1"/>
  <c r="N73" i="1"/>
  <c r="I73" i="1"/>
  <c r="B73" i="1"/>
  <c r="C73" i="1" s="1"/>
  <c r="N72" i="1"/>
  <c r="I72" i="1"/>
  <c r="C72" i="1"/>
  <c r="B72" i="1"/>
  <c r="N71" i="1"/>
  <c r="I71" i="1"/>
  <c r="B71" i="1"/>
  <c r="C71" i="1" s="1"/>
  <c r="N70" i="1"/>
  <c r="I70" i="1"/>
  <c r="C70" i="1"/>
  <c r="B70" i="1"/>
  <c r="N69" i="1"/>
  <c r="I69" i="1"/>
  <c r="B69" i="1"/>
  <c r="C69" i="1" s="1"/>
  <c r="N68" i="1"/>
  <c r="I68" i="1"/>
  <c r="C68" i="1"/>
  <c r="B68" i="1"/>
  <c r="N67" i="1"/>
  <c r="I67" i="1"/>
  <c r="B67" i="1"/>
  <c r="C67" i="1" s="1"/>
  <c r="N66" i="1"/>
  <c r="I66" i="1"/>
  <c r="C66" i="1"/>
  <c r="B66" i="1"/>
  <c r="N65" i="1"/>
  <c r="I65" i="1"/>
  <c r="B65" i="1"/>
  <c r="C65" i="1" s="1"/>
  <c r="N64" i="1"/>
  <c r="I64" i="1"/>
  <c r="C64" i="1"/>
  <c r="B64" i="1"/>
  <c r="N63" i="1"/>
  <c r="I63" i="1"/>
  <c r="B63" i="1"/>
  <c r="C63" i="1" s="1"/>
  <c r="N62" i="1"/>
  <c r="I62" i="1"/>
  <c r="C62" i="1"/>
  <c r="B62" i="1"/>
  <c r="N61" i="1"/>
  <c r="I61" i="1"/>
  <c r="B61" i="1"/>
  <c r="C61" i="1" s="1"/>
  <c r="N60" i="1"/>
  <c r="I60" i="1"/>
  <c r="C60" i="1"/>
  <c r="B60" i="1"/>
  <c r="N59" i="1"/>
  <c r="I59" i="1"/>
  <c r="B59" i="1"/>
  <c r="C59" i="1" s="1"/>
  <c r="N58" i="1"/>
  <c r="I58" i="1"/>
  <c r="C58" i="1"/>
  <c r="B58" i="1"/>
  <c r="N57" i="1"/>
  <c r="I57" i="1"/>
  <c r="B57" i="1"/>
  <c r="C57" i="1" s="1"/>
  <c r="N56" i="1"/>
  <c r="I56" i="1"/>
  <c r="C56" i="1"/>
  <c r="B56" i="1"/>
  <c r="N55" i="1"/>
  <c r="I55" i="1"/>
  <c r="B55" i="1"/>
  <c r="C55" i="1" s="1"/>
  <c r="N54" i="1"/>
  <c r="I54" i="1"/>
  <c r="C54" i="1"/>
  <c r="B54" i="1"/>
  <c r="N53" i="1"/>
  <c r="I53" i="1"/>
  <c r="B53" i="1"/>
  <c r="C53" i="1" s="1"/>
  <c r="N52" i="1"/>
  <c r="I52" i="1"/>
  <c r="C52" i="1"/>
  <c r="B52" i="1"/>
  <c r="N51" i="1"/>
  <c r="I51" i="1"/>
  <c r="B51" i="1"/>
  <c r="C51" i="1" s="1"/>
  <c r="N50" i="1"/>
  <c r="I50" i="1"/>
  <c r="C50" i="1"/>
  <c r="B50" i="1"/>
  <c r="N49" i="1"/>
  <c r="I49" i="1"/>
  <c r="B49" i="1"/>
  <c r="C49" i="1" s="1"/>
  <c r="N48" i="1"/>
  <c r="I48" i="1"/>
  <c r="C48" i="1"/>
  <c r="B48" i="1"/>
  <c r="N47" i="1"/>
  <c r="I47" i="1"/>
  <c r="B47" i="1"/>
  <c r="C47" i="1" s="1"/>
  <c r="N46" i="1"/>
  <c r="I46" i="1"/>
  <c r="C46" i="1"/>
  <c r="B46" i="1"/>
  <c r="N45" i="1"/>
  <c r="I45" i="1"/>
  <c r="B45" i="1"/>
  <c r="C45" i="1" s="1"/>
  <c r="N44" i="1"/>
  <c r="I44" i="1"/>
  <c r="C44" i="1"/>
  <c r="B44" i="1"/>
  <c r="N43" i="1"/>
  <c r="I43" i="1"/>
  <c r="B43" i="1"/>
  <c r="C43" i="1" s="1"/>
  <c r="N42" i="1"/>
  <c r="I42" i="1"/>
  <c r="C42" i="1"/>
  <c r="B42" i="1"/>
  <c r="N41" i="1"/>
  <c r="I41" i="1"/>
  <c r="B41" i="1"/>
  <c r="C41" i="1" s="1"/>
  <c r="N40" i="1"/>
  <c r="I40" i="1"/>
  <c r="C40" i="1"/>
  <c r="B40" i="1"/>
  <c r="N39" i="1"/>
  <c r="N38" i="1"/>
  <c r="I38" i="1"/>
  <c r="B38" i="1"/>
  <c r="C38" i="1" s="1"/>
  <c r="N37" i="1"/>
  <c r="I37" i="1"/>
  <c r="B37" i="1"/>
  <c r="C37" i="1" s="1"/>
  <c r="N36" i="1"/>
  <c r="I36" i="1"/>
  <c r="B36" i="1"/>
  <c r="C36" i="1" s="1"/>
  <c r="N35" i="1"/>
  <c r="I35" i="1"/>
  <c r="B35" i="1"/>
  <c r="C35" i="1" s="1"/>
  <c r="N34" i="1"/>
  <c r="I34" i="1"/>
  <c r="B34" i="1"/>
  <c r="C34" i="1" s="1"/>
  <c r="N33" i="1"/>
  <c r="I33" i="1"/>
  <c r="B33" i="1"/>
  <c r="C33" i="1" s="1"/>
  <c r="N32" i="1"/>
  <c r="I32" i="1"/>
  <c r="B32" i="1"/>
  <c r="C32" i="1" s="1"/>
  <c r="N31" i="1"/>
  <c r="I31" i="1"/>
  <c r="B31" i="1"/>
  <c r="C31" i="1" s="1"/>
  <c r="N30" i="1"/>
  <c r="I30" i="1"/>
  <c r="B30" i="1"/>
  <c r="C30" i="1" s="1"/>
  <c r="N29" i="1"/>
  <c r="I29" i="1"/>
  <c r="B29" i="1"/>
  <c r="C29" i="1" s="1"/>
  <c r="N28" i="1"/>
  <c r="I28" i="1"/>
  <c r="B28" i="1"/>
  <c r="C28" i="1" s="1"/>
  <c r="N27" i="1"/>
  <c r="I27" i="1"/>
  <c r="B27" i="1"/>
  <c r="C27" i="1" s="1"/>
  <c r="N26" i="1"/>
  <c r="I26" i="1"/>
  <c r="B26" i="1"/>
  <c r="C26" i="1" s="1"/>
  <c r="N25" i="1"/>
  <c r="I25" i="1"/>
  <c r="B25" i="1"/>
  <c r="C25" i="1" s="1"/>
  <c r="N24" i="1"/>
  <c r="I24" i="1"/>
  <c r="B24" i="1"/>
  <c r="C24" i="1" s="1"/>
  <c r="N23" i="1"/>
  <c r="I23" i="1"/>
  <c r="B23" i="1"/>
  <c r="C23" i="1" s="1"/>
  <c r="N22" i="1"/>
  <c r="I22" i="1"/>
  <c r="B22" i="1"/>
  <c r="C22" i="1" s="1"/>
  <c r="N21" i="1"/>
  <c r="I21" i="1"/>
  <c r="B21" i="1"/>
  <c r="C21" i="1" s="1"/>
  <c r="N20" i="1"/>
  <c r="I20" i="1"/>
  <c r="B20" i="1"/>
  <c r="C20" i="1" s="1"/>
  <c r="N19" i="1"/>
  <c r="I19" i="1"/>
  <c r="B19" i="1"/>
  <c r="C19" i="1" s="1"/>
  <c r="N18" i="1"/>
  <c r="I18" i="1"/>
  <c r="B18" i="1"/>
  <c r="C18" i="1" s="1"/>
  <c r="N17" i="1"/>
  <c r="I17" i="1"/>
  <c r="B17" i="1"/>
  <c r="C17" i="1" s="1"/>
  <c r="N16" i="1"/>
  <c r="I16" i="1"/>
  <c r="B16" i="1"/>
  <c r="C16" i="1" s="1"/>
  <c r="N15" i="1"/>
  <c r="I15" i="1"/>
  <c r="B15" i="1"/>
  <c r="C15" i="1" s="1"/>
  <c r="N14" i="1"/>
  <c r="I14" i="1"/>
  <c r="B14" i="1"/>
  <c r="C14" i="1" s="1"/>
  <c r="N13" i="1"/>
  <c r="I13" i="1"/>
  <c r="B13" i="1"/>
  <c r="C13" i="1" s="1"/>
  <c r="N12" i="1"/>
  <c r="I12" i="1"/>
  <c r="B12" i="1"/>
  <c r="C12" i="1" s="1"/>
  <c r="N11" i="1"/>
  <c r="I11" i="1"/>
  <c r="B11" i="1"/>
  <c r="C11" i="1" s="1"/>
  <c r="N10" i="1"/>
  <c r="I10" i="1"/>
  <c r="B10" i="1"/>
  <c r="C10" i="1" s="1"/>
  <c r="N9" i="1"/>
  <c r="I9" i="1"/>
  <c r="B9" i="1"/>
  <c r="C9" i="1" s="1"/>
  <c r="N8" i="1"/>
  <c r="I8" i="1"/>
  <c r="B8" i="1"/>
  <c r="C8" i="1" s="1"/>
  <c r="N7" i="1"/>
  <c r="I7" i="1"/>
  <c r="B7" i="1"/>
  <c r="C7" i="1" s="1"/>
  <c r="N6" i="1"/>
  <c r="I6" i="1"/>
  <c r="B6" i="1"/>
  <c r="C6" i="1" s="1"/>
  <c r="N5" i="1"/>
  <c r="I5" i="1"/>
  <c r="B5" i="1"/>
  <c r="C5" i="1" s="1"/>
  <c r="N4" i="1"/>
  <c r="I4" i="1"/>
  <c r="B4" i="1"/>
  <c r="C4" i="1" s="1"/>
  <c r="N3" i="1"/>
  <c r="I3" i="1"/>
  <c r="C3" i="1"/>
</calcChain>
</file>

<file path=xl/sharedStrings.xml><?xml version="1.0" encoding="utf-8"?>
<sst xmlns="http://schemas.openxmlformats.org/spreadsheetml/2006/main" count="524" uniqueCount="54">
  <si>
    <t>Entity Code</t>
  </si>
  <si>
    <t>Entity Name</t>
  </si>
  <si>
    <t>Chapter</t>
  </si>
  <si>
    <t>F2 - Appropriation Code</t>
  </si>
  <si>
    <t>F2 - Appropriation Description</t>
  </si>
  <si>
    <t>EBS Account code</t>
  </si>
  <si>
    <t>Fusion Account code</t>
  </si>
  <si>
    <t>Account Name</t>
  </si>
  <si>
    <t>2025 Actual FY</t>
  </si>
  <si>
    <t xml:space="preserve">2026 Revised Budget </t>
  </si>
  <si>
    <t>Actual_YTD 2026</t>
  </si>
  <si>
    <t>Actual_YTD 2025</t>
  </si>
  <si>
    <t>Variance</t>
  </si>
  <si>
    <t>Reasons for Variance_YTD  (Top 5 accounts)</t>
  </si>
  <si>
    <t>Chapter 1 - Manpower</t>
  </si>
  <si>
    <t>FA103-Manpower Expense</t>
  </si>
  <si>
    <t xml:space="preserve">Chapter 1 Total </t>
  </si>
  <si>
    <t>Chapter 2 - Opex</t>
  </si>
  <si>
    <t>FA50723-Ultimate Fighting Championship (UFC)</t>
  </si>
  <si>
    <t>FA50728-Al Ain Destination Strategy</t>
  </si>
  <si>
    <t>FA50729-NBA- Basket Ball Development</t>
  </si>
  <si>
    <t>FA50730-Culinary Fund</t>
  </si>
  <si>
    <t>FA50731-Abu Dhabi Public Art</t>
  </si>
  <si>
    <t>FA104-Opex Expense</t>
  </si>
  <si>
    <t>FA1096-UAE Warriors</t>
  </si>
  <si>
    <t>FA1760-Fight Night.Event</t>
  </si>
  <si>
    <t>FA1868:AD carnaval project's study</t>
  </si>
  <si>
    <t>FA1931-Abu Dhabi Tourism Strategy</t>
  </si>
  <si>
    <t>FA1932-The Sphere</t>
  </si>
  <si>
    <t>FA2061:Drones show lease agreement</t>
  </si>
  <si>
    <t>FA2067:Arabic Digital Library</t>
  </si>
  <si>
    <t>FA2185:Frieze Abu Dhabi – (IP and Management Fee)</t>
  </si>
  <si>
    <t>FA50044-The Arabic book program</t>
  </si>
  <si>
    <t xml:space="preserve">Chapter 2 Total </t>
  </si>
  <si>
    <t>Chapter 3 - Capex</t>
  </si>
  <si>
    <t>FA50727-NHM -Natural History Museum</t>
  </si>
  <si>
    <t>FA105-Capex Expense</t>
  </si>
  <si>
    <t>FA1439-art collectibles fund</t>
  </si>
  <si>
    <t xml:space="preserve">Chapter 3 Total </t>
  </si>
  <si>
    <t>FA2175: Design Committee – Abu Dhabi</t>
  </si>
  <si>
    <t>Chapter 5 - Aids</t>
  </si>
  <si>
    <t>Department of Culture and Tourism - Abu Dhabi</t>
  </si>
  <si>
    <t>FA2026: Abu Dhabi Group for Culture &amp; Arts</t>
  </si>
  <si>
    <t>FA2066:Tourism Development Program</t>
  </si>
  <si>
    <t>Chapter 4 - Subsidy</t>
  </si>
  <si>
    <t>FA2025:Bassam Freiha Foundation for Arts</t>
  </si>
  <si>
    <t>Reasons for variance</t>
  </si>
  <si>
    <t>Budget Utilization %</t>
  </si>
  <si>
    <t>Actual YTD</t>
  </si>
  <si>
    <t>Revised Budget YTD Cashflow</t>
  </si>
  <si>
    <t>Initial Budget YTD CF</t>
  </si>
  <si>
    <t>Revised Budget FY</t>
  </si>
  <si>
    <t>Initial Budget FY</t>
  </si>
  <si>
    <t>Entity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</si>
</sst>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wrapText="1"/>
    </xf>
    <xf numFmtId="0" fontId="2" fillId="0" borderId="0" xfId="0" applyFont="1"/>
    <xf numFmtId="0" fontId="3" fillId="2" borderId="0" xfId="2" applyFont="1" applyFill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4" fillId="2" borderId="0" xfId="1" applyNumberFormat="1" applyFont="1" applyFill="1" applyAlignment="1">
      <alignment horizontal="center" vertical="center"/>
    </xf>
    <xf numFmtId="0" fontId="2" fillId="0" borderId="0" xfId="3" applyAlignment="1">
      <alignment wrapText="1"/>
    </xf>
    <xf numFmtId="0" fontId="2" fillId="0" borderId="0" xfId="3" applyAlignment="1">
      <alignment vertical="center" wrapText="1"/>
    </xf>
    <xf numFmtId="164" fontId="2" fillId="0" borderId="0" xfId="3" applyNumberFormat="1" applyAlignment="1">
      <alignment wrapText="1"/>
    </xf>
    <xf numFmtId="43" fontId="5" fillId="0" borderId="0" xfId="3" applyNumberFormat="1" applyFont="1" applyAlignment="1">
      <alignment wrapText="1"/>
    </xf>
    <xf numFmtId="0" fontId="5" fillId="0" borderId="0" xfId="3" applyFont="1" applyAlignment="1">
      <alignment wrapText="1"/>
    </xf>
    <xf numFmtId="164" fontId="2" fillId="0" borderId="0" xfId="1" applyNumberFormat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2" fillId="0" borderId="0" xfId="3" applyAlignment="1">
      <alignment horizontal="left" vertical="center"/>
    </xf>
    <xf numFmtId="0" fontId="2" fillId="0" borderId="0" xfId="3" applyAlignment="1">
      <alignment horizontal="left" vertical="center" wrapText="1"/>
    </xf>
    <xf numFmtId="164" fontId="0" fillId="0" borderId="0" xfId="1" applyNumberFormat="1" applyFont="1" applyAlignment="1">
      <alignment horizontal="center" vertical="center"/>
    </xf>
    <xf numFmtId="0" fontId="6" fillId="2" borderId="0" xfId="2" applyFont="1" applyFill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164" fontId="2" fillId="0" borderId="0" xfId="4" applyNumberFormat="1" applyFont="1" applyAlignment="1">
      <alignment wrapText="1"/>
    </xf>
  </cellXfs>
  <cellStyles count="5">
    <cellStyle name="Comma 2" xfId="4" xr:uid="{218E37A8-A23F-43B4-9E71-07FDA3D1170E}"/>
    <cellStyle name="Comma 2 2" xfId="1" xr:uid="{3DC601F3-1CA6-42B0-8952-00894303FA8A}"/>
    <cellStyle name="Normal" xfId="0" builtinId="0"/>
    <cellStyle name="Normal 2" xfId="3" xr:uid="{574809F2-C764-4C48-A433-3920388607B6}"/>
    <cellStyle name="Normal 4 2 6" xfId="2" xr:uid="{B5873285-280D-47D2-9667-3AAC4285139A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</dxf>
    <dxf>
      <numFmt numFmtId="164" formatCode="_-* #,##0_-;\-* #,##0_-;_-* &quot;-&quot;??_-;_-@_-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right style="medium">
          <color indexed="64"/>
        </right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0FE93204-090C-47AA-9804-435D3308A8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A20236/AppData/Roaming/OpenText/OTEdit/EC_ecm/c24497533/2026%20Budget%20(Expenditures)%20-%20Monthly%20performance%20report%20June%20workings%20done.xlsx" TargetMode="External"/><Relationship Id="rId2" Type="http://schemas.openxmlformats.org/officeDocument/2006/relationships/externalLinkPath" Target="file:///C:\Users\AA20236\AppData\Roaming\OpenText\OTEdit\EC_ecm\c24497533\2026%20Budget%20(Expenditures)%20-%20Monthly%20performance%20report%20June%20workings%20done.xlsx" TargetMode="External"/><Relationship Id="rId1" Type="http://schemas.openxmlformats.org/officeDocument/2006/relationships/externalLinkPath" Target="/Users/AA20236/AppData/Roaming/OpenText/OTEdit/EC_ecm/c24497533/2026%20Budget%20(Expenditures)%20-%20Monthly%20performance%20report%20June%20workings%20d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DERP___Chart_of_Accounts___Se_"/>
      <sheetName val="Entity"/>
      <sheetName val="Chapter list"/>
      <sheetName val="COA"/>
      <sheetName val="2025 Actuals"/>
      <sheetName val="2026 Budget &amp; Actuals"/>
      <sheetName val="Cashflow from DCT &amp; MSS"/>
      <sheetName val="YoY performance Report"/>
      <sheetName val="Budget Utilization report"/>
      <sheetName val="Check"/>
    </sheetNames>
    <sheetDataSet>
      <sheetData sheetId="0" refreshError="1"/>
      <sheetData sheetId="1">
        <row r="3">
          <cell r="B3">
            <v>143</v>
          </cell>
          <cell r="C3" t="str">
            <v>National Consultative Council</v>
          </cell>
        </row>
        <row r="4">
          <cell r="B4">
            <v>145</v>
          </cell>
          <cell r="C4" t="str">
            <v>Govt. of Abu Dhabi Media Office</v>
          </cell>
        </row>
        <row r="5">
          <cell r="B5">
            <v>213</v>
          </cell>
          <cell r="C5" t="str">
            <v>Abu Dhabi Customs</v>
          </cell>
        </row>
        <row r="6">
          <cell r="B6">
            <v>234</v>
          </cell>
          <cell r="C6" t="str">
            <v xml:space="preserve">Advanced Technology Research Council </v>
          </cell>
        </row>
        <row r="7">
          <cell r="B7">
            <v>241</v>
          </cell>
          <cell r="C7" t="str">
            <v>Statistics Centre - Abu Dhabi</v>
          </cell>
        </row>
        <row r="8">
          <cell r="B8">
            <v>244</v>
          </cell>
          <cell r="C8" t="str">
            <v>Abu Dhabi Council for Quality and Conformity</v>
          </cell>
        </row>
        <row r="9">
          <cell r="B9">
            <v>246</v>
          </cell>
          <cell r="C9" t="str">
            <v>Department of Government Enablement</v>
          </cell>
        </row>
        <row r="10">
          <cell r="B10">
            <v>275</v>
          </cell>
          <cell r="C10" t="str">
            <v>Zayed Charitable &amp; Humanitarian Foundation</v>
          </cell>
        </row>
        <row r="11">
          <cell r="B11">
            <v>276</v>
          </cell>
          <cell r="C11" t="str">
            <v>Khalifa Fund For Enterprise Development</v>
          </cell>
        </row>
        <row r="12">
          <cell r="B12">
            <v>281</v>
          </cell>
          <cell r="C12" t="str">
            <v>Khalifa Bin Zayed Al Nahyan Foundation</v>
          </cell>
        </row>
        <row r="13">
          <cell r="B13">
            <v>327</v>
          </cell>
          <cell r="C13" t="str">
            <v>Emergency, Crisis and Disaster Management Center</v>
          </cell>
        </row>
        <row r="14">
          <cell r="B14">
            <v>361</v>
          </cell>
          <cell r="C14" t="str">
            <v>Abu Dhabi Police</v>
          </cell>
        </row>
        <row r="15">
          <cell r="B15">
            <v>362</v>
          </cell>
          <cell r="C15" t="str">
            <v xml:space="preserve">Foreigners &amp; Ports Affairs - Abu Dhabi </v>
          </cell>
        </row>
        <row r="16">
          <cell r="B16">
            <v>381</v>
          </cell>
          <cell r="C16" t="str">
            <v>Abu Dhabi Civil Defense Authority</v>
          </cell>
        </row>
        <row r="17">
          <cell r="B17">
            <v>411</v>
          </cell>
          <cell r="C17" t="str">
            <v>Department of Economic development</v>
          </cell>
        </row>
        <row r="18">
          <cell r="B18">
            <v>413</v>
          </cell>
          <cell r="C18" t="str">
            <v>Abu Dhabi Global Market</v>
          </cell>
        </row>
        <row r="19">
          <cell r="B19">
            <v>414</v>
          </cell>
          <cell r="C19" t="str">
            <v xml:space="preserve">Abu Dhabi Investment Office </v>
          </cell>
        </row>
        <row r="20">
          <cell r="B20">
            <v>436</v>
          </cell>
          <cell r="C20" t="str">
            <v>Department of Energy - Abu Dhabi</v>
          </cell>
        </row>
        <row r="21">
          <cell r="B21">
            <v>445</v>
          </cell>
          <cell r="C21" t="str">
            <v xml:space="preserve">Integrated Transport Center </v>
          </cell>
        </row>
        <row r="22">
          <cell r="B22">
            <v>451</v>
          </cell>
          <cell r="C22" t="str">
            <v>Department of Culture and Tourism - Abu Dhabi</v>
          </cell>
        </row>
        <row r="23">
          <cell r="B23">
            <v>511</v>
          </cell>
          <cell r="C23" t="str">
            <v>Environment Agency - Abu Dhabi</v>
          </cell>
        </row>
        <row r="24">
          <cell r="B24">
            <v>513</v>
          </cell>
          <cell r="C24" t="str">
            <v>The Mohamed bin Zayed Species Conservation Fund</v>
          </cell>
        </row>
        <row r="25">
          <cell r="B25">
            <v>514</v>
          </cell>
          <cell r="C25" t="str">
            <v>International Fund for Houbara Conservation</v>
          </cell>
        </row>
        <row r="26">
          <cell r="B26">
            <v>612</v>
          </cell>
          <cell r="C26" t="str">
            <v>Abu Dhabi Housing Authority</v>
          </cell>
        </row>
        <row r="27">
          <cell r="B27">
            <v>617</v>
          </cell>
          <cell r="C27" t="str">
            <v>Abrahamic Family House</v>
          </cell>
        </row>
        <row r="28">
          <cell r="B28">
            <v>618</v>
          </cell>
          <cell r="C28" t="str">
            <v>Abu Dhabi Center for Sheltering and Humanitarian</v>
          </cell>
        </row>
        <row r="29">
          <cell r="B29">
            <v>619</v>
          </cell>
          <cell r="C29" t="str">
            <v xml:space="preserve">Abu Dhabi Early Childhood Authority </v>
          </cell>
        </row>
        <row r="30">
          <cell r="B30">
            <v>625</v>
          </cell>
          <cell r="C30" t="str">
            <v>Department of Community Development</v>
          </cell>
        </row>
        <row r="31">
          <cell r="B31">
            <v>626</v>
          </cell>
          <cell r="C31" t="str">
            <v xml:space="preserve">Social Support Authority </v>
          </cell>
        </row>
        <row r="32">
          <cell r="B32">
            <v>627</v>
          </cell>
          <cell r="C32" t="str">
            <v>Authority Of Social contribution - Ma'an</v>
          </cell>
        </row>
        <row r="33">
          <cell r="B33">
            <v>631</v>
          </cell>
          <cell r="C33" t="str">
            <v>D M T - Abu Dhabi City Municipality</v>
          </cell>
        </row>
        <row r="34">
          <cell r="B34">
            <v>632</v>
          </cell>
          <cell r="C34" t="str">
            <v>D M T - Al Ain City Municipality</v>
          </cell>
        </row>
        <row r="35">
          <cell r="B35">
            <v>633</v>
          </cell>
          <cell r="C35" t="str">
            <v>D M T - Al Dhafra Region Municipality</v>
          </cell>
        </row>
        <row r="36">
          <cell r="B36">
            <v>635</v>
          </cell>
          <cell r="C36" t="str">
            <v xml:space="preserve">Department of Municipalities and Transport </v>
          </cell>
        </row>
        <row r="37">
          <cell r="B37">
            <v>636</v>
          </cell>
          <cell r="C37" t="str">
            <v>Abu Dhabi Projects and Infrastructure center</v>
          </cell>
        </row>
        <row r="38">
          <cell r="B38">
            <v>651</v>
          </cell>
          <cell r="C38" t="str">
            <v>Department of Health - Abu Dhabi</v>
          </cell>
        </row>
        <row r="39">
          <cell r="B39">
            <v>656</v>
          </cell>
          <cell r="C39" t="str">
            <v>Abu Dhabi Public Health Center</v>
          </cell>
        </row>
        <row r="40">
          <cell r="B40">
            <v>681</v>
          </cell>
          <cell r="C40" t="str">
            <v>Abu Dhabi Agriculture &amp; Food Safety Authority</v>
          </cell>
        </row>
        <row r="41">
          <cell r="B41">
            <v>711</v>
          </cell>
          <cell r="C41" t="str">
            <v>Zoo and Aquarium Public Institution in Al Ain (Al Ain Zoo)</v>
          </cell>
        </row>
        <row r="42">
          <cell r="B42">
            <v>712</v>
          </cell>
          <cell r="C42" t="str">
            <v>Abu Dhabi Sports Council</v>
          </cell>
        </row>
        <row r="43">
          <cell r="B43">
            <v>725</v>
          </cell>
          <cell r="C43" t="str">
            <v>Emirates Heritage Club</v>
          </cell>
        </row>
        <row r="44">
          <cell r="B44">
            <v>744</v>
          </cell>
          <cell r="C44" t="str">
            <v xml:space="preserve">Creative Media Authority </v>
          </cell>
        </row>
        <row r="45">
          <cell r="B45">
            <v>811</v>
          </cell>
          <cell r="C45" t="str">
            <v>Abu Dhabi Department of Education and Knowledge</v>
          </cell>
        </row>
        <row r="46">
          <cell r="B46">
            <v>832</v>
          </cell>
          <cell r="C46" t="str">
            <v>Abu Dhabi Technical and Vocational Education and Training Centre</v>
          </cell>
        </row>
        <row r="47">
          <cell r="B47">
            <v>833</v>
          </cell>
          <cell r="C47" t="str">
            <v xml:space="preserve">Abu Dhabi Institute for Vocational Education and Training </v>
          </cell>
        </row>
        <row r="48">
          <cell r="B48">
            <v>834</v>
          </cell>
          <cell r="C48" t="str">
            <v xml:space="preserve">Institute of Applied Technology </v>
          </cell>
        </row>
        <row r="49">
          <cell r="B49">
            <v>841</v>
          </cell>
          <cell r="C49" t="str">
            <v>Sorbonne University Abu Dhabi</v>
          </cell>
        </row>
        <row r="50">
          <cell r="B50">
            <v>845</v>
          </cell>
          <cell r="C50" t="str">
            <v>Emirates College for Advanced Education</v>
          </cell>
        </row>
        <row r="51">
          <cell r="B51">
            <v>846</v>
          </cell>
          <cell r="C51" t="str">
            <v>Mohamed Bin Zayed University For Humanities</v>
          </cell>
        </row>
        <row r="52">
          <cell r="B52">
            <v>847</v>
          </cell>
          <cell r="C52" t="str">
            <v>Khalifa University of Science &amp; Technology</v>
          </cell>
        </row>
        <row r="53">
          <cell r="B53">
            <v>848</v>
          </cell>
          <cell r="C53" t="str">
            <v>Mohammad Bin Zayed University of Artificial Intelligence</v>
          </cell>
        </row>
        <row r="54">
          <cell r="B54">
            <v>871</v>
          </cell>
          <cell r="C54" t="str">
            <v>Rabdan Academy</v>
          </cell>
        </row>
        <row r="55">
          <cell r="B55">
            <v>911</v>
          </cell>
          <cell r="C55" t="str">
            <v>Zayed Higher Organization for People of Determination</v>
          </cell>
        </row>
        <row r="56">
          <cell r="B56">
            <v>921</v>
          </cell>
          <cell r="C56" t="str">
            <v>AD Pension Fund</v>
          </cell>
        </row>
        <row r="57">
          <cell r="B57">
            <v>923</v>
          </cell>
          <cell r="C57" t="str">
            <v xml:space="preserve">Abu Dhabi Police - Pension </v>
          </cell>
        </row>
        <row r="58">
          <cell r="B58">
            <v>924</v>
          </cell>
          <cell r="C58" t="str">
            <v xml:space="preserve">Abu Dhabi Civil Defence Authority- Pension </v>
          </cell>
        </row>
        <row r="59">
          <cell r="B59">
            <v>925</v>
          </cell>
          <cell r="C59" t="str">
            <v xml:space="preserve">Foreigners &amp; Ports Affairs - Abu Dhabi - Pension  </v>
          </cell>
        </row>
        <row r="60">
          <cell r="B60">
            <v>931</v>
          </cell>
          <cell r="C60" t="str">
            <v>Family Development Foundation</v>
          </cell>
        </row>
        <row r="61">
          <cell r="B61">
            <v>933</v>
          </cell>
          <cell r="C61" t="str">
            <v>Social Care &amp; Minors Affairs Foundation</v>
          </cell>
        </row>
        <row r="62">
          <cell r="B62">
            <v>935</v>
          </cell>
          <cell r="C62" t="str">
            <v>Family Care Authority</v>
          </cell>
        </row>
        <row r="63">
          <cell r="B63">
            <v>943</v>
          </cell>
          <cell r="C63" t="str">
            <v>Emirates Foundation For Youth Development</v>
          </cell>
        </row>
        <row r="64">
          <cell r="B64">
            <v>873</v>
          </cell>
          <cell r="C64" t="str">
            <v>National Academy of Childhood Development</v>
          </cell>
        </row>
      </sheetData>
      <sheetData sheetId="2" refreshError="1"/>
      <sheetData sheetId="3">
        <row r="1">
          <cell r="B1" t="str">
            <v>FUSION_VALUE</v>
          </cell>
          <cell r="C1" t="str">
            <v>PARENT_CHILD</v>
          </cell>
          <cell r="D1" t="str">
            <v>FUSION_VALUE_DESCRIPTION</v>
          </cell>
        </row>
        <row r="2">
          <cell r="B2">
            <v>213276</v>
          </cell>
          <cell r="C2" t="str">
            <v>Child</v>
          </cell>
          <cell r="D2" t="str">
            <v>Acct Payable-Khalifa Fund for Enterprise Dev</v>
          </cell>
        </row>
        <row r="3">
          <cell r="B3">
            <v>213241</v>
          </cell>
          <cell r="C3" t="str">
            <v>Child</v>
          </cell>
          <cell r="D3" t="str">
            <v>Acct Payable-Statistics Center, Abu Dhabi</v>
          </cell>
        </row>
        <row r="4">
          <cell r="B4">
            <v>213213</v>
          </cell>
          <cell r="C4" t="str">
            <v>Child</v>
          </cell>
          <cell r="D4" t="str">
            <v>Acct Payable-Customs</v>
          </cell>
        </row>
        <row r="5">
          <cell r="B5">
            <v>213843</v>
          </cell>
          <cell r="C5" t="str">
            <v>Child</v>
          </cell>
          <cell r="D5" t="str">
            <v>Acct Payable-Khalifa University</v>
          </cell>
        </row>
        <row r="6">
          <cell r="B6">
            <v>321010</v>
          </cell>
          <cell r="C6" t="str">
            <v>Parent</v>
          </cell>
          <cell r="D6" t="str">
            <v>Licenses:</v>
          </cell>
        </row>
        <row r="7">
          <cell r="B7">
            <v>432618</v>
          </cell>
          <cell r="C7" t="str">
            <v>Child</v>
          </cell>
          <cell r="D7" t="str">
            <v>Plant and machinery</v>
          </cell>
        </row>
        <row r="8">
          <cell r="B8">
            <v>437000</v>
          </cell>
          <cell r="C8" t="str">
            <v>Parent</v>
          </cell>
          <cell r="D8" t="str">
            <v>FINANCE   CHARGES :</v>
          </cell>
        </row>
        <row r="9">
          <cell r="B9">
            <v>481111</v>
          </cell>
          <cell r="C9" t="str">
            <v>Child</v>
          </cell>
          <cell r="D9" t="str">
            <v>Loan Pyts-ADIA</v>
          </cell>
        </row>
        <row r="10">
          <cell r="B10">
            <v>494911</v>
          </cell>
          <cell r="C10" t="str">
            <v>Child</v>
          </cell>
          <cell r="D10" t="str">
            <v>Land reclamation</v>
          </cell>
        </row>
        <row r="11">
          <cell r="B11">
            <v>161689</v>
          </cell>
          <cell r="C11" t="str">
            <v>Child</v>
          </cell>
          <cell r="D11" t="str">
            <v>Other bonds</v>
          </cell>
        </row>
        <row r="12">
          <cell r="B12">
            <v>121124</v>
          </cell>
          <cell r="C12" t="str">
            <v>Child</v>
          </cell>
          <cell r="D12" t="str">
            <v>Acct Receivable-Offset Group</v>
          </cell>
        </row>
        <row r="13">
          <cell r="B13">
            <v>121444</v>
          </cell>
          <cell r="C13" t="str">
            <v>Child</v>
          </cell>
          <cell r="D13" t="str">
            <v>Acct Receivable-AD Ports Co (for GGS functions)</v>
          </cell>
        </row>
        <row r="14">
          <cell r="B14">
            <v>121847</v>
          </cell>
          <cell r="C14" t="str">
            <v>Child</v>
          </cell>
          <cell r="D14" t="str">
            <v>Accounts Receivable – Khalifa University for Science and Technology</v>
          </cell>
        </row>
        <row r="15">
          <cell r="B15">
            <v>321135</v>
          </cell>
          <cell r="C15" t="str">
            <v>Child</v>
          </cell>
          <cell r="D15" t="str">
            <v>Revenue from Notary Operational License</v>
          </cell>
        </row>
        <row r="16">
          <cell r="B16">
            <v>424229</v>
          </cell>
          <cell r="C16" t="str">
            <v>Child</v>
          </cell>
          <cell r="D16" t="str">
            <v>Events - TV Production costs for special events</v>
          </cell>
        </row>
        <row r="17">
          <cell r="B17">
            <v>172803</v>
          </cell>
          <cell r="C17" t="str">
            <v>Child</v>
          </cell>
          <cell r="D17" t="str">
            <v>Lease Assets -  Asset clearing</v>
          </cell>
        </row>
        <row r="18">
          <cell r="B18">
            <v>422541</v>
          </cell>
          <cell r="C18" t="str">
            <v>Child</v>
          </cell>
          <cell r="D18" t="str">
            <v>Advertising-thru Hoardings &amp; Other means</v>
          </cell>
        </row>
        <row r="19">
          <cell r="B19">
            <v>324785</v>
          </cell>
          <cell r="C19" t="str">
            <v>Child</v>
          </cell>
          <cell r="D19" t="str">
            <v>Revenue from Good conduct certification</v>
          </cell>
        </row>
        <row r="20">
          <cell r="B20">
            <v>172821</v>
          </cell>
          <cell r="C20" t="str">
            <v>Child</v>
          </cell>
          <cell r="D20" t="str">
            <v>Leasehold Bldgs-Cost of lease</v>
          </cell>
        </row>
        <row r="21">
          <cell r="B21">
            <v>172822</v>
          </cell>
          <cell r="C21" t="str">
            <v>Child</v>
          </cell>
          <cell r="D21" t="str">
            <v>Leasehold Bldgs-Provision for accumulated depreciation/amortization</v>
          </cell>
        </row>
        <row r="22">
          <cell r="B22">
            <v>171630</v>
          </cell>
          <cell r="C22" t="str">
            <v>Child</v>
          </cell>
          <cell r="D22" t="str">
            <v>Motor vehicles: CIP cost</v>
          </cell>
        </row>
        <row r="23">
          <cell r="B23">
            <v>412350</v>
          </cell>
          <cell r="C23" t="str">
            <v>Child</v>
          </cell>
          <cell r="D23" t="str">
            <v>Adjustment pay (including cost of living adjustment)</v>
          </cell>
        </row>
        <row r="24">
          <cell r="B24">
            <v>504100</v>
          </cell>
          <cell r="C24" t="str">
            <v>Child</v>
          </cell>
          <cell r="D24" t="str">
            <v>Available-for-sale investments revaluations</v>
          </cell>
        </row>
        <row r="25">
          <cell r="B25">
            <v>134111</v>
          </cell>
          <cell r="C25" t="str">
            <v>Child</v>
          </cell>
          <cell r="D25" t="str">
            <v>Material cost:Receipt (pre-inspection)</v>
          </cell>
        </row>
        <row r="26">
          <cell r="B26">
            <v>165328</v>
          </cell>
          <cell r="C26" t="str">
            <v>Child</v>
          </cell>
          <cell r="D26" t="str">
            <v>Loans-Guyana</v>
          </cell>
        </row>
        <row r="27">
          <cell r="B27">
            <v>160000</v>
          </cell>
          <cell r="C27" t="str">
            <v>Parent</v>
          </cell>
          <cell r="D27" t="str">
            <v>Investments</v>
          </cell>
        </row>
        <row r="28">
          <cell r="B28">
            <v>222510</v>
          </cell>
          <cell r="C28" t="str">
            <v>Child</v>
          </cell>
          <cell r="D28" t="str">
            <v>ADNOC deposit</v>
          </cell>
        </row>
        <row r="29">
          <cell r="B29">
            <v>414120</v>
          </cell>
          <cell r="C29" t="str">
            <v>Child</v>
          </cell>
          <cell r="D29" t="str">
            <v>Baggage</v>
          </cell>
        </row>
        <row r="30">
          <cell r="B30">
            <v>431712</v>
          </cell>
          <cell r="C30" t="str">
            <v>Child</v>
          </cell>
          <cell r="D30" t="str">
            <v>Animal Fodder</v>
          </cell>
        </row>
        <row r="31">
          <cell r="B31">
            <v>462423</v>
          </cell>
          <cell r="C31" t="str">
            <v>Child</v>
          </cell>
          <cell r="D31" t="str">
            <v>Grant - TDIC</v>
          </cell>
        </row>
        <row r="32">
          <cell r="B32">
            <v>328349</v>
          </cell>
          <cell r="C32" t="str">
            <v>Child</v>
          </cell>
          <cell r="D32" t="str">
            <v>Other assets</v>
          </cell>
        </row>
        <row r="33">
          <cell r="B33">
            <v>423941</v>
          </cell>
          <cell r="C33" t="str">
            <v>Child</v>
          </cell>
          <cell r="D33" t="str">
            <v xml:space="preserve">Electricity Connection Charges </v>
          </cell>
        </row>
        <row r="34">
          <cell r="B34">
            <v>437531</v>
          </cell>
          <cell r="C34" t="str">
            <v>Child</v>
          </cell>
          <cell r="D34" t="str">
            <v>Cash discount on Sales</v>
          </cell>
        </row>
        <row r="35">
          <cell r="B35">
            <v>213312</v>
          </cell>
          <cell r="C35" t="str">
            <v>Child</v>
          </cell>
          <cell r="D35" t="str">
            <v>Acct Payable-Tawazun Economic Council</v>
          </cell>
        </row>
        <row r="36">
          <cell r="B36">
            <v>213141</v>
          </cell>
          <cell r="C36" t="str">
            <v>Child</v>
          </cell>
          <cell r="D36" t="str">
            <v>Acct Payable-Executive Council</v>
          </cell>
        </row>
        <row r="37">
          <cell r="B37">
            <v>425152</v>
          </cell>
          <cell r="C37" t="str">
            <v>Child</v>
          </cell>
          <cell r="D37" t="str">
            <v>Rental - Equipment</v>
          </cell>
        </row>
        <row r="38">
          <cell r="B38">
            <v>462315</v>
          </cell>
          <cell r="C38" t="str">
            <v>Child</v>
          </cell>
          <cell r="D38" t="str">
            <v>Grant - Twofour54</v>
          </cell>
        </row>
        <row r="39">
          <cell r="B39">
            <v>422252</v>
          </cell>
          <cell r="C39" t="str">
            <v>Child</v>
          </cell>
          <cell r="D39" t="str">
            <v>Data Center Building and Facility Rental</v>
          </cell>
        </row>
        <row r="40">
          <cell r="B40">
            <v>225410</v>
          </cell>
          <cell r="C40" t="str">
            <v>Child</v>
          </cell>
          <cell r="D40" t="str">
            <v>Deferred Revenues - Grants and other transfer receipts</v>
          </cell>
        </row>
        <row r="41">
          <cell r="B41">
            <v>424750</v>
          </cell>
          <cell r="C41" t="str">
            <v>Parent</v>
          </cell>
          <cell r="D41" t="str">
            <v>Fostering Expenses</v>
          </cell>
        </row>
        <row r="42">
          <cell r="B42">
            <v>108000</v>
          </cell>
          <cell r="C42" t="str">
            <v>Parent</v>
          </cell>
          <cell r="D42" t="str">
            <v>Revenue Bank Accounts</v>
          </cell>
        </row>
        <row r="43">
          <cell r="B43">
            <v>163010</v>
          </cell>
          <cell r="C43" t="str">
            <v>Parent</v>
          </cell>
          <cell r="D43" t="str">
            <v xml:space="preserve">Funded Loans </v>
          </cell>
        </row>
        <row r="44">
          <cell r="B44">
            <v>175020</v>
          </cell>
          <cell r="C44" t="str">
            <v>Child</v>
          </cell>
          <cell r="D44" t="str">
            <v>Utilities-Asset cost</v>
          </cell>
        </row>
        <row r="45">
          <cell r="B45">
            <v>424711</v>
          </cell>
          <cell r="C45" t="str">
            <v>Child</v>
          </cell>
          <cell r="D45" t="str">
            <v>Legal fees and costs</v>
          </cell>
        </row>
        <row r="46">
          <cell r="B46">
            <v>432611</v>
          </cell>
          <cell r="C46" t="str">
            <v>Child</v>
          </cell>
          <cell r="D46" t="str">
            <v>Ammunition</v>
          </cell>
        </row>
        <row r="47">
          <cell r="B47">
            <v>495216</v>
          </cell>
          <cell r="C47" t="str">
            <v>Child</v>
          </cell>
          <cell r="D47" t="str">
            <v>Museums</v>
          </cell>
        </row>
        <row r="48">
          <cell r="B48">
            <v>120530</v>
          </cell>
          <cell r="C48" t="str">
            <v>Child</v>
          </cell>
          <cell r="D48" t="str">
            <v>Current debt receivable from Government Business Enterprises (SOEs)</v>
          </cell>
        </row>
        <row r="49">
          <cell r="B49">
            <v>172930</v>
          </cell>
          <cell r="C49" t="str">
            <v>Child</v>
          </cell>
          <cell r="D49" t="str">
            <v>Other Assets: CIP cost</v>
          </cell>
        </row>
        <row r="50">
          <cell r="B50">
            <v>213242</v>
          </cell>
          <cell r="C50" t="str">
            <v>Child</v>
          </cell>
          <cell r="D50" t="str">
            <v>Acct Payable-Abu Dhabi Digital Authority (ADDA)</v>
          </cell>
        </row>
        <row r="51">
          <cell r="B51">
            <v>213313</v>
          </cell>
          <cell r="C51" t="str">
            <v>Child</v>
          </cell>
          <cell r="D51" t="str">
            <v>Acct Payable-Presidential Guard</v>
          </cell>
        </row>
        <row r="52">
          <cell r="B52">
            <v>213628</v>
          </cell>
          <cell r="C52" t="str">
            <v>Child</v>
          </cell>
          <cell r="D52" t="str">
            <v>Acct Payable - Ministry of Community Development</v>
          </cell>
        </row>
        <row r="53">
          <cell r="B53">
            <v>322173</v>
          </cell>
          <cell r="C53" t="str">
            <v>Child</v>
          </cell>
          <cell r="D53" t="str">
            <v>Revenue from marine craft Hire</v>
          </cell>
        </row>
        <row r="54">
          <cell r="B54">
            <v>431814</v>
          </cell>
          <cell r="C54" t="str">
            <v>Child</v>
          </cell>
          <cell r="D54" t="str">
            <v>Printing press supplies not mentioned elsewhere</v>
          </cell>
        </row>
        <row r="55">
          <cell r="B55">
            <v>461421</v>
          </cell>
          <cell r="C55" t="str">
            <v>Child</v>
          </cell>
          <cell r="D55" t="str">
            <v>Support towards Eco Tourism</v>
          </cell>
        </row>
        <row r="56">
          <cell r="B56">
            <v>432312</v>
          </cell>
          <cell r="C56" t="str">
            <v>Child</v>
          </cell>
          <cell r="D56" t="str">
            <v>Training/Teaching equipment and other educational aid</v>
          </cell>
        </row>
        <row r="57">
          <cell r="B57">
            <v>461523</v>
          </cell>
          <cell r="C57" t="str">
            <v>Child</v>
          </cell>
          <cell r="D57" t="str">
            <v>Grant/Subsidy towards Agricultural Technology</v>
          </cell>
        </row>
        <row r="58">
          <cell r="B58">
            <v>324753</v>
          </cell>
          <cell r="C58" t="str">
            <v>Child</v>
          </cell>
          <cell r="D58" t="str">
            <v>Waste / Refuse Collection Services</v>
          </cell>
        </row>
        <row r="59">
          <cell r="B59">
            <v>461422</v>
          </cell>
          <cell r="C59" t="str">
            <v>Child</v>
          </cell>
          <cell r="D59" t="str">
            <v>Grants/Support towards Bio Tech Sector related entities</v>
          </cell>
        </row>
        <row r="60">
          <cell r="B60">
            <v>461423</v>
          </cell>
          <cell r="C60" t="str">
            <v>Child</v>
          </cell>
          <cell r="D60" t="str">
            <v>Grants/Support towards Edu Tech Sector related entities</v>
          </cell>
        </row>
        <row r="61">
          <cell r="B61">
            <v>483312</v>
          </cell>
          <cell r="C61" t="str">
            <v>Child</v>
          </cell>
          <cell r="D61" t="str">
            <v>Equity payments – Stimulus related investments towards Edu Tech Sector related funds</v>
          </cell>
        </row>
        <row r="62">
          <cell r="B62">
            <v>461522</v>
          </cell>
          <cell r="C62" t="str">
            <v>Child</v>
          </cell>
          <cell r="D62" t="str">
            <v>Fodder Subsidy Program</v>
          </cell>
        </row>
        <row r="63">
          <cell r="B63">
            <v>177170</v>
          </cell>
          <cell r="C63" t="str">
            <v>Child</v>
          </cell>
          <cell r="D63" t="str">
            <v>Intangible Asset: Accumulated deferred depreciation/amortization (Provision)</v>
          </cell>
        </row>
        <row r="64">
          <cell r="B64">
            <v>213632</v>
          </cell>
          <cell r="C64" t="str">
            <v>Child</v>
          </cell>
          <cell r="D64" t="str">
            <v>Related party accounts for payables - AAM</v>
          </cell>
        </row>
        <row r="65">
          <cell r="B65">
            <v>251445</v>
          </cell>
          <cell r="C65" t="str">
            <v>Child</v>
          </cell>
          <cell r="D65" t="str">
            <v>Departments - Grants and subsedies payable - Integrated Transport Center (ITC)</v>
          </cell>
        </row>
        <row r="66">
          <cell r="B66">
            <v>251512</v>
          </cell>
          <cell r="C66" t="str">
            <v>Child</v>
          </cell>
          <cell r="D66" t="str">
            <v>Departments - Grants and subsedies payable -Abu Dhabi Waste Management Center – Tadweer</v>
          </cell>
        </row>
        <row r="67">
          <cell r="B67">
            <v>251631</v>
          </cell>
          <cell r="C67" t="str">
            <v>Child</v>
          </cell>
          <cell r="D67" t="str">
            <v>Departments - Grants and subsedies payable - ADM</v>
          </cell>
        </row>
        <row r="68">
          <cell r="B68">
            <v>324784</v>
          </cell>
          <cell r="C68" t="str">
            <v>Child</v>
          </cell>
          <cell r="D68" t="str">
            <v>Sale of Mining / Quarry products</v>
          </cell>
        </row>
        <row r="69">
          <cell r="B69">
            <v>324754</v>
          </cell>
          <cell r="C69" t="str">
            <v>Child</v>
          </cell>
          <cell r="D69" t="str">
            <v>Waste Collection Charges</v>
          </cell>
        </row>
        <row r="70">
          <cell r="B70">
            <v>324776</v>
          </cell>
          <cell r="C70" t="str">
            <v>Child</v>
          </cell>
          <cell r="D70" t="str">
            <v>Sale-AD Int'l Bldg Code Handbook</v>
          </cell>
        </row>
        <row r="71">
          <cell r="B71">
            <v>399999</v>
          </cell>
          <cell r="C71" t="str">
            <v>Child</v>
          </cell>
          <cell r="D71" t="str">
            <v>Deferred Debt proceeds</v>
          </cell>
        </row>
        <row r="72">
          <cell r="B72">
            <v>125910</v>
          </cell>
          <cell r="C72" t="str">
            <v>Child</v>
          </cell>
          <cell r="D72" t="str">
            <v>Other accrued revenues not mentioned elsewhere</v>
          </cell>
        </row>
        <row r="73">
          <cell r="B73">
            <v>211119</v>
          </cell>
          <cell r="C73" t="str">
            <v>Child</v>
          </cell>
          <cell r="D73" t="str">
            <v>Risk Management Division</v>
          </cell>
        </row>
        <row r="74">
          <cell r="B74">
            <v>120311</v>
          </cell>
          <cell r="C74" t="str">
            <v>Child</v>
          </cell>
          <cell r="D74" t="str">
            <v>Car loans to employees</v>
          </cell>
        </row>
        <row r="75">
          <cell r="B75">
            <v>426714</v>
          </cell>
          <cell r="C75" t="str">
            <v>Child</v>
          </cell>
          <cell r="D75" t="str">
            <v>Gardens and parks</v>
          </cell>
        </row>
        <row r="76">
          <cell r="B76">
            <v>161101</v>
          </cell>
          <cell r="C76" t="str">
            <v>Child</v>
          </cell>
          <cell r="D76" t="str">
            <v>Equity - ADIA</v>
          </cell>
        </row>
        <row r="77">
          <cell r="B77">
            <v>493173</v>
          </cell>
          <cell r="C77" t="str">
            <v>Child</v>
          </cell>
          <cell r="D77" t="str">
            <v>Development and DevOps Tools</v>
          </cell>
        </row>
        <row r="78">
          <cell r="B78">
            <v>482404</v>
          </cell>
          <cell r="C78" t="str">
            <v>Child</v>
          </cell>
          <cell r="D78" t="str">
            <v>Loan Payments to Kenya</v>
          </cell>
        </row>
        <row r="79">
          <cell r="B79">
            <v>461601</v>
          </cell>
          <cell r="C79" t="str">
            <v>Child</v>
          </cell>
          <cell r="D79" t="str">
            <v>Social Support Payments for UAE Nationals</v>
          </cell>
        </row>
        <row r="80">
          <cell r="B80">
            <v>438300</v>
          </cell>
          <cell r="C80" t="str">
            <v>Parent</v>
          </cell>
          <cell r="D80" t="str">
            <v>Write down of Inventories</v>
          </cell>
        </row>
        <row r="81">
          <cell r="B81">
            <v>121453</v>
          </cell>
          <cell r="C81" t="str">
            <v>Child</v>
          </cell>
          <cell r="D81" t="str">
            <v>Acct Receivable-ZonesCorp</v>
          </cell>
        </row>
        <row r="82">
          <cell r="B82">
            <v>165504</v>
          </cell>
          <cell r="C82" t="str">
            <v>Child</v>
          </cell>
          <cell r="D82" t="str">
            <v>Loans-Morocco</v>
          </cell>
        </row>
        <row r="83">
          <cell r="B83">
            <v>461832</v>
          </cell>
          <cell r="C83" t="str">
            <v>Child</v>
          </cell>
          <cell r="D83" t="str">
            <v>Al Gharbia Sports Club</v>
          </cell>
        </row>
        <row r="84">
          <cell r="B84">
            <v>413610</v>
          </cell>
          <cell r="C84" t="str">
            <v>Child</v>
          </cell>
          <cell r="D84" t="str">
            <v>Recruitment expenses</v>
          </cell>
        </row>
        <row r="85">
          <cell r="B85">
            <v>411556</v>
          </cell>
          <cell r="C85" t="str">
            <v>Child</v>
          </cell>
          <cell r="D85" t="str">
            <v>Housing allowance</v>
          </cell>
        </row>
        <row r="86">
          <cell r="B86">
            <v>431513</v>
          </cell>
          <cell r="C86" t="str">
            <v>Child</v>
          </cell>
          <cell r="D86" t="str">
            <v>Scientific</v>
          </cell>
        </row>
        <row r="87">
          <cell r="B87">
            <v>491348</v>
          </cell>
          <cell r="C87" t="str">
            <v>Child</v>
          </cell>
          <cell r="D87" t="str">
            <v>Water tanks</v>
          </cell>
        </row>
        <row r="88">
          <cell r="B88">
            <v>102548</v>
          </cell>
          <cell r="C88" t="str">
            <v>Child</v>
          </cell>
          <cell r="D88" t="str">
            <v>USD Bank Account No.5</v>
          </cell>
        </row>
        <row r="89">
          <cell r="B89">
            <v>102246</v>
          </cell>
          <cell r="C89" t="str">
            <v>Child</v>
          </cell>
          <cell r="D89" t="str">
            <v>GBP Bank Account No. 2</v>
          </cell>
        </row>
        <row r="90">
          <cell r="B90">
            <v>174321</v>
          </cell>
          <cell r="C90" t="str">
            <v>Child</v>
          </cell>
          <cell r="D90" t="str">
            <v>Roads-Asset Clearing</v>
          </cell>
        </row>
        <row r="91">
          <cell r="B91">
            <v>102245</v>
          </cell>
          <cell r="C91" t="str">
            <v>Child</v>
          </cell>
          <cell r="D91" t="str">
            <v>CHF Bank Account No. 2</v>
          </cell>
        </row>
        <row r="92">
          <cell r="B92">
            <v>462422</v>
          </cell>
          <cell r="C92" t="str">
            <v>Child</v>
          </cell>
          <cell r="D92" t="str">
            <v>Grant - MBZUAI</v>
          </cell>
        </row>
        <row r="93">
          <cell r="B93">
            <v>431719</v>
          </cell>
          <cell r="C93" t="str">
            <v>Child</v>
          </cell>
          <cell r="D93" t="str">
            <v xml:space="preserve">Other Animal care consumables </v>
          </cell>
        </row>
        <row r="94">
          <cell r="B94">
            <v>230000</v>
          </cell>
          <cell r="C94" t="str">
            <v>Parent</v>
          </cell>
          <cell r="D94" t="str">
            <v>Deposits:</v>
          </cell>
        </row>
        <row r="95">
          <cell r="B95">
            <v>324323</v>
          </cell>
          <cell r="C95" t="str">
            <v>Child</v>
          </cell>
          <cell r="D95" t="str">
            <v>Revenue from management fee</v>
          </cell>
        </row>
        <row r="96">
          <cell r="B96">
            <v>323312</v>
          </cell>
          <cell r="C96" t="str">
            <v>Child</v>
          </cell>
          <cell r="D96" t="str">
            <v>Parking fine</v>
          </cell>
        </row>
        <row r="97">
          <cell r="B97">
            <v>105900</v>
          </cell>
          <cell r="C97" t="str">
            <v>Parent</v>
          </cell>
          <cell r="D97" t="str">
            <v>A P payment clearing accounts - For system setup</v>
          </cell>
        </row>
        <row r="98">
          <cell r="B98">
            <v>105950</v>
          </cell>
          <cell r="C98" t="str">
            <v>Parent</v>
          </cell>
          <cell r="D98" t="str">
            <v>A P payment clearing for Trust bank accounts - System setup</v>
          </cell>
        </row>
        <row r="99">
          <cell r="B99">
            <v>161168</v>
          </cell>
          <cell r="C99" t="str">
            <v>Child</v>
          </cell>
          <cell r="D99" t="str">
            <v>Equity - Q-Mobility</v>
          </cell>
        </row>
        <row r="100">
          <cell r="B100">
            <v>161169</v>
          </cell>
          <cell r="C100" t="str">
            <v>Child</v>
          </cell>
          <cell r="D100" t="str">
            <v>Equity - Mubadala – Investment through MGX</v>
          </cell>
        </row>
        <row r="101">
          <cell r="B101">
            <v>251635</v>
          </cell>
          <cell r="C101" t="str">
            <v>Child</v>
          </cell>
          <cell r="D101" t="str">
            <v>Long-term Payable to DMT</v>
          </cell>
        </row>
        <row r="102">
          <cell r="B102">
            <v>135000</v>
          </cell>
          <cell r="C102" t="str">
            <v>Parent</v>
          </cell>
          <cell r="D102" t="str">
            <v>Other current assets:</v>
          </cell>
        </row>
        <row r="103">
          <cell r="B103">
            <v>102601</v>
          </cell>
          <cell r="C103" t="str">
            <v>Child</v>
          </cell>
          <cell r="D103" t="str">
            <v>AED Bank Account No.6</v>
          </cell>
        </row>
        <row r="104">
          <cell r="B104">
            <v>161170</v>
          </cell>
          <cell r="C104" t="str">
            <v>Child</v>
          </cell>
          <cell r="D104" t="str">
            <v>Equity - G42 – Investment through MGX</v>
          </cell>
        </row>
        <row r="105">
          <cell r="B105">
            <v>165404</v>
          </cell>
          <cell r="C105" t="str">
            <v>Child</v>
          </cell>
          <cell r="D105" t="str">
            <v>Loans-Kenya</v>
          </cell>
        </row>
        <row r="106">
          <cell r="B106">
            <v>171680</v>
          </cell>
          <cell r="C106" t="str">
            <v>Child</v>
          </cell>
          <cell r="D106" t="str">
            <v>Motor vehicles: Impairment (Provision)</v>
          </cell>
        </row>
        <row r="107">
          <cell r="B107">
            <v>172280</v>
          </cell>
          <cell r="C107" t="str">
            <v>Child</v>
          </cell>
          <cell r="D107" t="str">
            <v>Furniture &amp; fixtures:Impairment (Provision)</v>
          </cell>
        </row>
        <row r="108">
          <cell r="B108">
            <v>172380</v>
          </cell>
          <cell r="C108" t="str">
            <v>Child</v>
          </cell>
          <cell r="D108" t="str">
            <v>Heritage and cultural assets:Impairment (Provision)</v>
          </cell>
        </row>
        <row r="109">
          <cell r="B109">
            <v>172480</v>
          </cell>
          <cell r="C109" t="str">
            <v>Child</v>
          </cell>
          <cell r="D109" t="str">
            <v>Impairment (Provision)</v>
          </cell>
        </row>
        <row r="110">
          <cell r="B110">
            <v>172833</v>
          </cell>
          <cell r="C110" t="str">
            <v>Child</v>
          </cell>
          <cell r="D110" t="str">
            <v>Leased plant, machinery &amp; equipment:  Clearing of lease</v>
          </cell>
        </row>
        <row r="111">
          <cell r="B111">
            <v>174160</v>
          </cell>
          <cell r="C111" t="str">
            <v>Child</v>
          </cell>
          <cell r="D111" t="str">
            <v>Agri Farms-Depreciation (Provision)</v>
          </cell>
        </row>
        <row r="112">
          <cell r="B112">
            <v>211116</v>
          </cell>
          <cell r="C112" t="str">
            <v>Child</v>
          </cell>
          <cell r="D112" t="str">
            <v>AD Pension Fund - Combined Contribution</v>
          </cell>
        </row>
        <row r="113">
          <cell r="B113">
            <v>213436</v>
          </cell>
          <cell r="C113" t="str">
            <v>Child</v>
          </cell>
          <cell r="D113" t="str">
            <v>Acct Payable-Department of Energy - Abu Dhabi</v>
          </cell>
        </row>
        <row r="114">
          <cell r="B114">
            <v>222411</v>
          </cell>
          <cell r="C114" t="str">
            <v>Child</v>
          </cell>
          <cell r="D114" t="str">
            <v xml:space="preserve">T-bills payable </v>
          </cell>
        </row>
        <row r="115">
          <cell r="B115">
            <v>222490</v>
          </cell>
          <cell r="C115" t="str">
            <v>Child</v>
          </cell>
          <cell r="D115" t="str">
            <v xml:space="preserve">Fund Account - T-bills </v>
          </cell>
        </row>
        <row r="116">
          <cell r="B116">
            <v>251636</v>
          </cell>
          <cell r="C116" t="str">
            <v>Child</v>
          </cell>
          <cell r="D116" t="str">
            <v>Payable to Abu Dhabi Projects and Infrastructure Centre (ADPIC)</v>
          </cell>
        </row>
        <row r="117">
          <cell r="B117">
            <v>264210</v>
          </cell>
          <cell r="C117" t="str">
            <v>Child</v>
          </cell>
          <cell r="D117" t="str">
            <v>FAB Revolving credit facility</v>
          </cell>
        </row>
        <row r="118">
          <cell r="B118">
            <v>264220</v>
          </cell>
          <cell r="C118" t="str">
            <v>Child</v>
          </cell>
          <cell r="D118" t="str">
            <v>FAB- Modon 10 Y facility</v>
          </cell>
        </row>
        <row r="119">
          <cell r="B119">
            <v>265111</v>
          </cell>
          <cell r="C119" t="str">
            <v>Child</v>
          </cell>
          <cell r="D119" t="str">
            <v>ADCB Extendable term loan</v>
          </cell>
        </row>
        <row r="120">
          <cell r="B120">
            <v>312020</v>
          </cell>
          <cell r="C120" t="str">
            <v>Child</v>
          </cell>
          <cell r="D120" t="str">
            <v>SOCAR – Umm Lulu, Sarb, Bin Nasher &amp; Al Bateel – Royalty &amp; Tax</v>
          </cell>
        </row>
        <row r="121">
          <cell r="B121">
            <v>315610</v>
          </cell>
          <cell r="C121" t="str">
            <v>Child</v>
          </cell>
          <cell r="D121" t="str">
            <v>Annual Levy/Tax from ADNOC Subsidies</v>
          </cell>
        </row>
        <row r="122">
          <cell r="B122">
            <v>175100</v>
          </cell>
          <cell r="C122" t="str">
            <v>Parent</v>
          </cell>
          <cell r="D122" t="str">
            <v>Health Care</v>
          </cell>
        </row>
        <row r="123">
          <cell r="B123">
            <v>462421</v>
          </cell>
          <cell r="C123" t="str">
            <v>Child</v>
          </cell>
          <cell r="D123" t="str">
            <v>Grant - Abu Dhabi Chamber</v>
          </cell>
        </row>
        <row r="124">
          <cell r="B124">
            <v>483137</v>
          </cell>
          <cell r="C124" t="str">
            <v>Child</v>
          </cell>
          <cell r="D124" t="str">
            <v xml:space="preserve">Equity Payments - MGX - G42 </v>
          </cell>
        </row>
        <row r="125">
          <cell r="B125">
            <v>484109</v>
          </cell>
          <cell r="C125" t="str">
            <v>Child</v>
          </cell>
          <cell r="D125" t="str">
            <v>Repyt – Bond issue no. 9 (2019-24)</v>
          </cell>
        </row>
        <row r="126">
          <cell r="B126">
            <v>484112</v>
          </cell>
          <cell r="C126" t="str">
            <v>Child</v>
          </cell>
          <cell r="D126" t="str">
            <v>Repyt – Bond Issue No.12 (2020-2025)</v>
          </cell>
        </row>
        <row r="127">
          <cell r="B127">
            <v>484411</v>
          </cell>
          <cell r="C127" t="str">
            <v>Child</v>
          </cell>
          <cell r="D127" t="str">
            <v xml:space="preserve">Repayment of T-bills </v>
          </cell>
        </row>
        <row r="128">
          <cell r="B128">
            <v>491371</v>
          </cell>
          <cell r="C128" t="str">
            <v>Child</v>
          </cell>
          <cell r="D128" t="str">
            <v>Hardware &amp; peripherals-End user PCs, Laptops</v>
          </cell>
        </row>
        <row r="129">
          <cell r="B129">
            <v>491372</v>
          </cell>
          <cell r="C129" t="str">
            <v>Child</v>
          </cell>
          <cell r="D129" t="str">
            <v>Hardware &amp; peripherals-Other Infrastructure Components</v>
          </cell>
        </row>
        <row r="130">
          <cell r="B130">
            <v>491373</v>
          </cell>
          <cell r="C130" t="str">
            <v>Child</v>
          </cell>
          <cell r="D130" t="str">
            <v>Hardware &amp; peripherals-Storage</v>
          </cell>
        </row>
        <row r="131">
          <cell r="B131">
            <v>491374</v>
          </cell>
          <cell r="C131" t="str">
            <v>Child</v>
          </cell>
          <cell r="D131" t="str">
            <v>Hardware &amp; peripherals-Facility and Physical Infrastructure</v>
          </cell>
        </row>
        <row r="132">
          <cell r="B132">
            <v>491375</v>
          </cell>
          <cell r="C132" t="str">
            <v>Child</v>
          </cell>
          <cell r="D132" t="str">
            <v>Hardware &amp; peripherals-Power and Cooling Infrastructure</v>
          </cell>
        </row>
        <row r="133">
          <cell r="B133">
            <v>491376</v>
          </cell>
          <cell r="C133" t="str">
            <v>Child</v>
          </cell>
          <cell r="D133" t="str">
            <v>Hardware &amp; peripherals - ICT Projects related Services</v>
          </cell>
        </row>
        <row r="134">
          <cell r="B134">
            <v>491419</v>
          </cell>
          <cell r="C134" t="str">
            <v>Child</v>
          </cell>
          <cell r="D134" t="str">
            <v>Motor Vehicles - Spares</v>
          </cell>
        </row>
        <row r="135">
          <cell r="B135">
            <v>493171</v>
          </cell>
          <cell r="C135" t="str">
            <v>Child</v>
          </cell>
          <cell r="D135" t="str">
            <v>Computer software - ICT Projects - Professional Services</v>
          </cell>
        </row>
        <row r="136">
          <cell r="B136">
            <v>493172</v>
          </cell>
          <cell r="C136" t="str">
            <v>Child</v>
          </cell>
          <cell r="D136" t="str">
            <v>Business Specific Solutions</v>
          </cell>
        </row>
        <row r="137">
          <cell r="B137">
            <v>493174</v>
          </cell>
          <cell r="C137" t="str">
            <v>Child</v>
          </cell>
          <cell r="D137" t="str">
            <v>Integration Platforms and Tools</v>
          </cell>
        </row>
        <row r="138">
          <cell r="B138">
            <v>493175</v>
          </cell>
          <cell r="C138" t="str">
            <v>Child</v>
          </cell>
          <cell r="D138" t="str">
            <v>Artificial Intelligence Platforms</v>
          </cell>
        </row>
        <row r="139">
          <cell r="B139">
            <v>493176</v>
          </cell>
          <cell r="C139" t="str">
            <v>Child</v>
          </cell>
          <cell r="D139" t="str">
            <v>Productivity and Collaboration Tools</v>
          </cell>
        </row>
        <row r="140">
          <cell r="B140">
            <v>494116</v>
          </cell>
          <cell r="C140" t="str">
            <v>Child</v>
          </cell>
          <cell r="D140" t="str">
            <v>Fish farming and hatcheries</v>
          </cell>
        </row>
        <row r="141">
          <cell r="B141">
            <v>484400</v>
          </cell>
          <cell r="C141" t="str">
            <v>Parent</v>
          </cell>
          <cell r="D141" t="str">
            <v>Repayment of T-bills and Treasury Notes</v>
          </cell>
        </row>
        <row r="142">
          <cell r="B142">
            <v>316134</v>
          </cell>
          <cell r="C142" t="str">
            <v>Child</v>
          </cell>
          <cell r="D142" t="str">
            <v>CNPC ALYASAT Oil Company – Oil Concession/Milestone achievement Fee</v>
          </cell>
        </row>
        <row r="143">
          <cell r="B143">
            <v>321670</v>
          </cell>
          <cell r="C143" t="str">
            <v>Child</v>
          </cell>
          <cell r="D143" t="str">
            <v>Permit to close/Cover outdoor area</v>
          </cell>
        </row>
        <row r="144">
          <cell r="B144">
            <v>322196</v>
          </cell>
          <cell r="C144" t="str">
            <v>Child</v>
          </cell>
          <cell r="D144" t="str">
            <v>Rental / Lease income on training and other facilities</v>
          </cell>
        </row>
        <row r="145">
          <cell r="B145">
            <v>322629</v>
          </cell>
          <cell r="C145" t="str">
            <v>Child</v>
          </cell>
          <cell r="D145" t="str">
            <v>Maritime Services - Other services</v>
          </cell>
        </row>
        <row r="146">
          <cell r="B146">
            <v>323119</v>
          </cell>
          <cell r="C146" t="str">
            <v>Child</v>
          </cell>
          <cell r="D146" t="str">
            <v>Fines related to Maritime Services</v>
          </cell>
        </row>
        <row r="147">
          <cell r="B147">
            <v>324322</v>
          </cell>
          <cell r="C147" t="str">
            <v>Child</v>
          </cell>
          <cell r="D147" t="str">
            <v>Master Plan/Maps fees</v>
          </cell>
        </row>
        <row r="148">
          <cell r="B148">
            <v>324324</v>
          </cell>
          <cell r="C148" t="str">
            <v>Child</v>
          </cell>
          <cell r="D148" t="str">
            <v>Visa examination certificate fee</v>
          </cell>
        </row>
        <row r="149">
          <cell r="B149">
            <v>324325</v>
          </cell>
          <cell r="C149" t="str">
            <v>Child</v>
          </cell>
          <cell r="D149" t="str">
            <v>Electronic systems usage fee</v>
          </cell>
        </row>
        <row r="150">
          <cell r="B150">
            <v>324783</v>
          </cell>
          <cell r="C150" t="str">
            <v>Child</v>
          </cell>
          <cell r="D150" t="str">
            <v>Revenue from Alarm systems services</v>
          </cell>
        </row>
        <row r="151">
          <cell r="B151">
            <v>326029</v>
          </cell>
          <cell r="C151" t="str">
            <v>Child</v>
          </cell>
          <cell r="D151" t="str">
            <v>Transfers received from Ministry of Finance</v>
          </cell>
        </row>
        <row r="152">
          <cell r="B152">
            <v>326051</v>
          </cell>
          <cell r="C152" t="str">
            <v>Child</v>
          </cell>
          <cell r="D152" t="str">
            <v>Surplus cash received from DoF Treasury into Reserve fund</v>
          </cell>
        </row>
        <row r="153">
          <cell r="B153">
            <v>326276</v>
          </cell>
          <cell r="C153" t="str">
            <v>Child</v>
          </cell>
          <cell r="D153" t="str">
            <v>Revenue Transfers Received from -Khalifa Fund For Enterprise Development</v>
          </cell>
        </row>
        <row r="154">
          <cell r="B154">
            <v>326363</v>
          </cell>
          <cell r="C154" t="str">
            <v>Child</v>
          </cell>
          <cell r="D154" t="str">
            <v>Revenue Transfers Received from -Abu Dhabi Hazardous Materials Management Centre (ADHMMC Ledger)</v>
          </cell>
        </row>
        <row r="155">
          <cell r="B155">
            <v>326617</v>
          </cell>
          <cell r="C155" t="str">
            <v>Child</v>
          </cell>
          <cell r="D155" t="str">
            <v>Revenue Transfers Received from -Abrahamic Family House Centre</v>
          </cell>
        </row>
        <row r="156">
          <cell r="B156">
            <v>326618</v>
          </cell>
          <cell r="C156" t="str">
            <v>Child</v>
          </cell>
          <cell r="D156" t="str">
            <v>Revenue Transfers Received from -Abu Dhabi Center for Sheltering and Humanitarian Care (Ewa’a)</v>
          </cell>
        </row>
        <row r="157">
          <cell r="B157">
            <v>332111</v>
          </cell>
          <cell r="C157" t="str">
            <v>Child</v>
          </cell>
          <cell r="D157" t="str">
            <v xml:space="preserve">Interest income on funds with Developers </v>
          </cell>
        </row>
        <row r="158">
          <cell r="B158">
            <v>333792</v>
          </cell>
          <cell r="C158" t="str">
            <v>Child</v>
          </cell>
          <cell r="D158" t="str">
            <v xml:space="preserve">Repayment/Realization of Deposits at Foreign Governments </v>
          </cell>
        </row>
        <row r="159">
          <cell r="B159">
            <v>350111</v>
          </cell>
          <cell r="C159" t="str">
            <v>Child</v>
          </cell>
          <cell r="D159" t="str">
            <v xml:space="preserve">Proceeds from T-bills </v>
          </cell>
        </row>
        <row r="160">
          <cell r="B160">
            <v>352152</v>
          </cell>
          <cell r="C160" t="str">
            <v>Child</v>
          </cell>
          <cell r="D160" t="str">
            <v>Receipts from FAB- Modon 10 Y facility</v>
          </cell>
        </row>
        <row r="161">
          <cell r="B161">
            <v>411655</v>
          </cell>
          <cell r="C161" t="str">
            <v>Child</v>
          </cell>
          <cell r="D161" t="str">
            <v>Housing grant to employees</v>
          </cell>
        </row>
        <row r="162">
          <cell r="B162">
            <v>412630</v>
          </cell>
          <cell r="C162" t="str">
            <v>Child</v>
          </cell>
          <cell r="D162" t="str">
            <v>IT Manpower supply-AI specialized resources</v>
          </cell>
        </row>
        <row r="163">
          <cell r="B163">
            <v>412631</v>
          </cell>
          <cell r="C163" t="str">
            <v>Child</v>
          </cell>
          <cell r="D163" t="str">
            <v>IT Manpower supply-Q A/ Testing Specialized resources</v>
          </cell>
        </row>
        <row r="164">
          <cell r="B164">
            <v>412632</v>
          </cell>
          <cell r="C164" t="str">
            <v>Child</v>
          </cell>
          <cell r="D164" t="str">
            <v>IT Manpower supply-Cloud and Infrastructure Specialized resources</v>
          </cell>
        </row>
        <row r="165">
          <cell r="B165">
            <v>414331</v>
          </cell>
          <cell r="C165" t="str">
            <v>Child</v>
          </cell>
          <cell r="D165" t="str">
            <v>Local medical treatment costs</v>
          </cell>
        </row>
        <row r="166">
          <cell r="B166">
            <v>414440</v>
          </cell>
          <cell r="C166" t="str">
            <v>Child</v>
          </cell>
          <cell r="D166" t="str">
            <v>Haj and Umra travel costs</v>
          </cell>
        </row>
        <row r="167">
          <cell r="B167">
            <v>421126</v>
          </cell>
          <cell r="C167" t="str">
            <v>Child</v>
          </cell>
          <cell r="D167" t="str">
            <v>I T Project Management Services</v>
          </cell>
        </row>
        <row r="168">
          <cell r="B168">
            <v>422218</v>
          </cell>
          <cell r="C168" t="str">
            <v>Child</v>
          </cell>
          <cell r="D168" t="str">
            <v>Cloud and Infrastructure Operation</v>
          </cell>
        </row>
        <row r="169">
          <cell r="B169">
            <v>422219</v>
          </cell>
          <cell r="C169" t="str">
            <v>Child</v>
          </cell>
          <cell r="D169" t="str">
            <v>Artificial Intelligence Operation</v>
          </cell>
        </row>
        <row r="170">
          <cell r="B170">
            <v>422252</v>
          </cell>
          <cell r="C170" t="str">
            <v>Child</v>
          </cell>
          <cell r="D170" t="str">
            <v>Data Center Building and Facility Rental</v>
          </cell>
        </row>
        <row r="171">
          <cell r="B171">
            <v>422253</v>
          </cell>
          <cell r="C171" t="str">
            <v>Child</v>
          </cell>
          <cell r="D171" t="str">
            <v>Data Center Energy and Utilities</v>
          </cell>
        </row>
        <row r="172">
          <cell r="B172">
            <v>422254</v>
          </cell>
          <cell r="C172" t="str">
            <v>Child</v>
          </cell>
          <cell r="D172" t="str">
            <v>Data Center Colocation</v>
          </cell>
        </row>
        <row r="173">
          <cell r="B173">
            <v>422912</v>
          </cell>
          <cell r="C173" t="str">
            <v>Child</v>
          </cell>
          <cell r="D173" t="str">
            <v>Operating System, Virtualization - License Renewal</v>
          </cell>
        </row>
        <row r="174">
          <cell r="B174">
            <v>422913</v>
          </cell>
          <cell r="C174" t="str">
            <v>Child</v>
          </cell>
          <cell r="D174" t="str">
            <v>Database and Data Platforms - License Renewal</v>
          </cell>
        </row>
        <row r="175">
          <cell r="B175">
            <v>422914</v>
          </cell>
          <cell r="C175" t="str">
            <v>Child</v>
          </cell>
          <cell r="D175" t="str">
            <v>Integration Platforms and Tools  - License Renewal</v>
          </cell>
        </row>
        <row r="176">
          <cell r="B176">
            <v>422915</v>
          </cell>
          <cell r="C176" t="str">
            <v>Child</v>
          </cell>
          <cell r="D176" t="str">
            <v>Enterprise Software - License Renewal</v>
          </cell>
        </row>
        <row r="177">
          <cell r="B177">
            <v>422916</v>
          </cell>
          <cell r="C177" t="str">
            <v>Child</v>
          </cell>
          <cell r="D177" t="str">
            <v>Security Software - License Renewal</v>
          </cell>
        </row>
        <row r="178">
          <cell r="B178">
            <v>422917</v>
          </cell>
          <cell r="C178" t="str">
            <v>Child</v>
          </cell>
          <cell r="D178" t="str">
            <v>Network &amp; Infrastructure Software - License Renewal</v>
          </cell>
        </row>
        <row r="179">
          <cell r="B179">
            <v>422918</v>
          </cell>
          <cell r="C179" t="str">
            <v>Child</v>
          </cell>
          <cell r="D179" t="str">
            <v>Data Analytics and Business Intelligence Platforms - License Renewal</v>
          </cell>
        </row>
        <row r="180">
          <cell r="B180">
            <v>422919</v>
          </cell>
          <cell r="C180" t="str">
            <v>Child</v>
          </cell>
          <cell r="D180" t="str">
            <v>Artificial Intelligence Platforms - License Renewal</v>
          </cell>
        </row>
        <row r="181">
          <cell r="B181">
            <v>422920</v>
          </cell>
          <cell r="C181" t="str">
            <v>Child</v>
          </cell>
          <cell r="D181" t="str">
            <v>Productivity and Collaboration Tools - License Renewal</v>
          </cell>
        </row>
        <row r="182">
          <cell r="B182">
            <v>424712</v>
          </cell>
          <cell r="C182" t="str">
            <v>Child</v>
          </cell>
          <cell r="D182" t="str">
            <v>Deportation related expenses</v>
          </cell>
        </row>
        <row r="183">
          <cell r="B183">
            <v>425301</v>
          </cell>
          <cell r="C183" t="str">
            <v>Child</v>
          </cell>
          <cell r="D183" t="str">
            <v>PaaS - Integration Platforms and Tools Subscription</v>
          </cell>
        </row>
        <row r="184">
          <cell r="B184">
            <v>425302</v>
          </cell>
          <cell r="C184" t="str">
            <v>Child</v>
          </cell>
          <cell r="D184" t="str">
            <v>SaaS - Security Software Subscription</v>
          </cell>
        </row>
        <row r="185">
          <cell r="B185">
            <v>425303</v>
          </cell>
          <cell r="C185" t="str">
            <v>Child</v>
          </cell>
          <cell r="D185" t="str">
            <v>SaaS - Network &amp; Infrastructure Software Subscription</v>
          </cell>
        </row>
        <row r="186">
          <cell r="B186">
            <v>425304</v>
          </cell>
          <cell r="C186" t="str">
            <v>Child</v>
          </cell>
          <cell r="D186" t="str">
            <v>PaaS - Data Analytics and Business Intelligence Platforms Subscription</v>
          </cell>
        </row>
        <row r="187">
          <cell r="B187">
            <v>425305</v>
          </cell>
          <cell r="C187" t="str">
            <v>Child</v>
          </cell>
          <cell r="D187" t="str">
            <v>PaaS - Artificial Intelligence Platforms Subscription</v>
          </cell>
        </row>
        <row r="188">
          <cell r="B188">
            <v>425306</v>
          </cell>
          <cell r="C188" t="str">
            <v>Child</v>
          </cell>
          <cell r="D188" t="str">
            <v>SaaS - Productivity and Collaboration Tools Subscription</v>
          </cell>
        </row>
        <row r="189">
          <cell r="B189">
            <v>425307</v>
          </cell>
          <cell r="C189" t="str">
            <v>Child</v>
          </cell>
          <cell r="D189" t="str">
            <v>PaaS - Development and DevOps Tools Subscription</v>
          </cell>
        </row>
        <row r="190">
          <cell r="B190">
            <v>425308</v>
          </cell>
          <cell r="C190" t="str">
            <v>Child</v>
          </cell>
          <cell r="D190" t="str">
            <v>SaaS - Business Specific Solutions Subscription</v>
          </cell>
        </row>
        <row r="191">
          <cell r="B191">
            <v>431315</v>
          </cell>
          <cell r="C191" t="str">
            <v>Child</v>
          </cell>
          <cell r="D191" t="str">
            <v>Catering supplies- Palaces</v>
          </cell>
        </row>
        <row r="192">
          <cell r="B192">
            <v>431316</v>
          </cell>
          <cell r="C192" t="str">
            <v>Child</v>
          </cell>
          <cell r="D192" t="str">
            <v>Catering supplies- Kitchen</v>
          </cell>
        </row>
        <row r="193">
          <cell r="B193">
            <v>431714</v>
          </cell>
          <cell r="C193" t="str">
            <v>Child</v>
          </cell>
          <cell r="D193" t="str">
            <v xml:space="preserve">Animal Fodder - sea animals </v>
          </cell>
        </row>
        <row r="194">
          <cell r="B194">
            <v>432551</v>
          </cell>
          <cell r="C194" t="str">
            <v>Child</v>
          </cell>
          <cell r="D194" t="str">
            <v>Related Expenses to RF</v>
          </cell>
        </row>
        <row r="195">
          <cell r="B195">
            <v>432552</v>
          </cell>
          <cell r="C195" t="str">
            <v>Child</v>
          </cell>
          <cell r="D195" t="str">
            <v>RF- Travel - Accommodation expenses for RF use only</v>
          </cell>
        </row>
        <row r="196">
          <cell r="B196">
            <v>432553</v>
          </cell>
          <cell r="C196" t="str">
            <v>Child</v>
          </cell>
          <cell r="D196" t="str">
            <v>RF -Shipping &amp;Transportaion costs for RF use only</v>
          </cell>
        </row>
        <row r="197">
          <cell r="B197">
            <v>432554</v>
          </cell>
          <cell r="C197" t="str">
            <v>Child</v>
          </cell>
          <cell r="D197" t="str">
            <v>RF- Medicinal Products for RF use only</v>
          </cell>
        </row>
        <row r="198">
          <cell r="B198">
            <v>432555</v>
          </cell>
          <cell r="C198" t="str">
            <v>Child</v>
          </cell>
          <cell r="D198" t="str">
            <v>RF- Transfers to individuals/Gratuities for RF use only</v>
          </cell>
        </row>
        <row r="199">
          <cell r="B199">
            <v>432556</v>
          </cell>
          <cell r="C199" t="str">
            <v>Child</v>
          </cell>
          <cell r="D199" t="str">
            <v xml:space="preserve">Special purpose Consumables, not  mentioned elsewhere </v>
          </cell>
        </row>
        <row r="200">
          <cell r="B200">
            <v>432557</v>
          </cell>
          <cell r="C200" t="str">
            <v>Child</v>
          </cell>
          <cell r="D200" t="str">
            <v>Packaging consumables</v>
          </cell>
        </row>
        <row r="201">
          <cell r="B201">
            <v>432558</v>
          </cell>
          <cell r="C201" t="str">
            <v>Child</v>
          </cell>
          <cell r="D201" t="str">
            <v>Toiletries and bathroom consumables</v>
          </cell>
        </row>
        <row r="202">
          <cell r="B202">
            <v>432626</v>
          </cell>
          <cell r="C202" t="str">
            <v>Child</v>
          </cell>
          <cell r="D202" t="str">
            <v>Music Band  related items</v>
          </cell>
        </row>
        <row r="203">
          <cell r="B203">
            <v>432627</v>
          </cell>
          <cell r="C203" t="str">
            <v>Child</v>
          </cell>
          <cell r="D203" t="str">
            <v>Consumables for Carpentry and other furniture</v>
          </cell>
        </row>
        <row r="204">
          <cell r="B204">
            <v>450151</v>
          </cell>
          <cell r="C204" t="str">
            <v>Child</v>
          </cell>
          <cell r="D204" t="str">
            <v>EBL transfers to IBL</v>
          </cell>
        </row>
        <row r="205">
          <cell r="B205">
            <v>451363</v>
          </cell>
          <cell r="C205" t="str">
            <v>Child</v>
          </cell>
          <cell r="D205" t="str">
            <v>Treasury TRF to - Abu Dhabi Hazardous Materials Management Centre - ADHMMC</v>
          </cell>
        </row>
        <row r="206">
          <cell r="B206">
            <v>451617</v>
          </cell>
          <cell r="C206" t="str">
            <v>Child</v>
          </cell>
          <cell r="D206" t="str">
            <v>Treasury TRF to - Abrahamic Family House Centre</v>
          </cell>
        </row>
        <row r="207">
          <cell r="B207">
            <v>482061</v>
          </cell>
          <cell r="C207" t="str">
            <v>Child</v>
          </cell>
          <cell r="D207" t="str">
            <v>Equity Payments - Q-Mobility</v>
          </cell>
        </row>
        <row r="208">
          <cell r="B208">
            <v>483135</v>
          </cell>
          <cell r="C208" t="str">
            <v>Child</v>
          </cell>
          <cell r="D208" t="str">
            <v>Equity Payments - Q-Mobility</v>
          </cell>
        </row>
        <row r="209">
          <cell r="B209">
            <v>483136</v>
          </cell>
          <cell r="C209" t="str">
            <v>Child</v>
          </cell>
          <cell r="D209" t="str">
            <v xml:space="preserve">Equity Payments -MGX -Mubadala </v>
          </cell>
        </row>
        <row r="210">
          <cell r="B210">
            <v>109900</v>
          </cell>
          <cell r="C210" t="str">
            <v>Parent</v>
          </cell>
          <cell r="D210" t="str">
            <v>Bank setup Control accounts - System setups</v>
          </cell>
        </row>
        <row r="211">
          <cell r="B211">
            <v>165000</v>
          </cell>
          <cell r="C211" t="str">
            <v>Parent</v>
          </cell>
          <cell r="D211" t="str">
            <v>Loans to Foreign Governments</v>
          </cell>
        </row>
        <row r="212">
          <cell r="B212">
            <v>176000</v>
          </cell>
          <cell r="C212" t="str">
            <v>Parent</v>
          </cell>
          <cell r="D212" t="str">
            <v>Other Infrastructural Assets</v>
          </cell>
        </row>
        <row r="213">
          <cell r="B213">
            <v>200110</v>
          </cell>
          <cell r="C213" t="str">
            <v>Parent</v>
          </cell>
          <cell r="D213" t="str">
            <v>EBS to Fusion Migration contra accounts for liabilities (system setup)</v>
          </cell>
        </row>
        <row r="214">
          <cell r="B214">
            <v>222400</v>
          </cell>
          <cell r="C214" t="str">
            <v>Parent</v>
          </cell>
          <cell r="D214" t="str">
            <v xml:space="preserve">Liabiltiy towards T-bills </v>
          </cell>
        </row>
        <row r="215">
          <cell r="B215">
            <v>253001</v>
          </cell>
          <cell r="C215" t="str">
            <v>Parent</v>
          </cell>
          <cell r="D215" t="str">
            <v>Provisions for long-term payables</v>
          </cell>
        </row>
        <row r="216">
          <cell r="B216">
            <v>315600</v>
          </cell>
          <cell r="C216" t="str">
            <v>Parent</v>
          </cell>
          <cell r="D216" t="str">
            <v>Annual Levy/Tax from Oil Companies</v>
          </cell>
        </row>
        <row r="217">
          <cell r="B217">
            <v>350100</v>
          </cell>
          <cell r="C217" t="str">
            <v>Parent</v>
          </cell>
          <cell r="D217" t="str">
            <v>Proceeds from T-bills and Treasury Notes</v>
          </cell>
        </row>
        <row r="218">
          <cell r="B218">
            <v>401000</v>
          </cell>
          <cell r="C218" t="str">
            <v>Parent</v>
          </cell>
          <cell r="D218" t="str">
            <v>Common Expenses not mentioned elsewhere  (For TDF use only)</v>
          </cell>
        </row>
        <row r="219">
          <cell r="B219">
            <v>461600</v>
          </cell>
          <cell r="C219" t="str">
            <v>Parent</v>
          </cell>
          <cell r="D219" t="str">
            <v>Social Support Payments</v>
          </cell>
        </row>
        <row r="220">
          <cell r="B220">
            <v>151648</v>
          </cell>
          <cell r="C220" t="str">
            <v>Child</v>
          </cell>
          <cell r="D220" t="str">
            <v>Long-term USD Deposits in Foreign Countries (TDF use only)</v>
          </cell>
        </row>
        <row r="221">
          <cell r="B221">
            <v>102125</v>
          </cell>
          <cell r="C221" t="str">
            <v>Child</v>
          </cell>
          <cell r="D221" t="str">
            <v>SGD Current Bank Account No.1</v>
          </cell>
        </row>
        <row r="222">
          <cell r="B222">
            <v>213411</v>
          </cell>
          <cell r="C222" t="str">
            <v>Child</v>
          </cell>
          <cell r="D222" t="str">
            <v>Payable to Dept of Economic Development</v>
          </cell>
        </row>
        <row r="223">
          <cell r="B223">
            <v>213931</v>
          </cell>
          <cell r="C223" t="str">
            <v>Child</v>
          </cell>
          <cell r="D223" t="str">
            <v>Acct Payable-Zayed Higher Org for Humanitarian Care/Special Needs</v>
          </cell>
        </row>
        <row r="224">
          <cell r="B224">
            <v>265890</v>
          </cell>
          <cell r="C224" t="str">
            <v>Child</v>
          </cell>
          <cell r="D224" t="str">
            <v>Fund Acct-Interest bearing Other Loans</v>
          </cell>
        </row>
        <row r="225">
          <cell r="B225">
            <v>332250</v>
          </cell>
          <cell r="C225" t="str">
            <v>Child</v>
          </cell>
          <cell r="D225" t="str">
            <v>Interest - GBE loans</v>
          </cell>
        </row>
        <row r="226">
          <cell r="B226">
            <v>328313</v>
          </cell>
          <cell r="C226" t="str">
            <v>Child</v>
          </cell>
          <cell r="D226" t="str">
            <v>Vehicles</v>
          </cell>
        </row>
        <row r="227">
          <cell r="B227">
            <v>422949</v>
          </cell>
          <cell r="C227" t="str">
            <v>Child</v>
          </cell>
          <cell r="D227" t="str">
            <v>Exhibits licenses</v>
          </cell>
        </row>
        <row r="228">
          <cell r="B228">
            <v>494912</v>
          </cell>
          <cell r="C228" t="str">
            <v>Child</v>
          </cell>
          <cell r="D228" t="str">
            <v>Housing</v>
          </cell>
        </row>
        <row r="229">
          <cell r="B229">
            <v>132200</v>
          </cell>
          <cell r="C229" t="str">
            <v>Parent</v>
          </cell>
          <cell r="D229" t="str">
            <v>Pre-paid rent:</v>
          </cell>
        </row>
        <row r="230">
          <cell r="B230">
            <v>200000</v>
          </cell>
          <cell r="C230" t="str">
            <v>Parent</v>
          </cell>
          <cell r="D230" t="str">
            <v>Liabilities</v>
          </cell>
        </row>
        <row r="231">
          <cell r="B231">
            <v>463232</v>
          </cell>
          <cell r="C231" t="str">
            <v>Child</v>
          </cell>
          <cell r="D231" t="str">
            <v>Grant-Eritrea</v>
          </cell>
        </row>
        <row r="232">
          <cell r="B232">
            <v>163449</v>
          </cell>
          <cell r="C232" t="str">
            <v>Child</v>
          </cell>
          <cell r="D232" t="str">
            <v>Fund-Collateral Financed Loans</v>
          </cell>
        </row>
        <row r="233">
          <cell r="B233">
            <v>423800</v>
          </cell>
          <cell r="C233" t="str">
            <v>Child</v>
          </cell>
          <cell r="D233" t="str">
            <v>Travel expenses - business-related</v>
          </cell>
        </row>
        <row r="234">
          <cell r="B234">
            <v>102195</v>
          </cell>
          <cell r="C234" t="str">
            <v>Child</v>
          </cell>
          <cell r="D234" t="str">
            <v>RUB Current Bank Account No.1</v>
          </cell>
        </row>
        <row r="235">
          <cell r="B235">
            <v>121636</v>
          </cell>
          <cell r="C235" t="str">
            <v>Child</v>
          </cell>
          <cell r="D235" t="str">
            <v>Acct Receivable - Abu Dhabi Projects and Infrastructure Centre (ADPIC)</v>
          </cell>
        </row>
        <row r="236">
          <cell r="B236">
            <v>231011</v>
          </cell>
          <cell r="C236" t="str">
            <v>Child</v>
          </cell>
          <cell r="D236" t="str">
            <v>Wakf funds</v>
          </cell>
        </row>
        <row r="237">
          <cell r="B237">
            <v>213651</v>
          </cell>
          <cell r="C237" t="str">
            <v>Child</v>
          </cell>
          <cell r="D237" t="str">
            <v>Acct Payable-HAAD - Health Authority</v>
          </cell>
        </row>
        <row r="238">
          <cell r="B238">
            <v>213933</v>
          </cell>
          <cell r="C238" t="str">
            <v>Child</v>
          </cell>
          <cell r="D238" t="str">
            <v>Acct Payable-Social Care&amp;Minors Affairs Foundation</v>
          </cell>
        </row>
        <row r="239">
          <cell r="B239">
            <v>360730</v>
          </cell>
          <cell r="C239" t="str">
            <v>Child</v>
          </cell>
          <cell r="D239" t="str">
            <v>Undisbursed salaries/wages</v>
          </cell>
        </row>
        <row r="240">
          <cell r="B240">
            <v>438511</v>
          </cell>
          <cell r="C240" t="str">
            <v>Child</v>
          </cell>
          <cell r="D240" t="str">
            <v>Loss on disposal of physical asset</v>
          </cell>
        </row>
        <row r="241">
          <cell r="B241">
            <v>101507</v>
          </cell>
          <cell r="C241" t="str">
            <v>Child</v>
          </cell>
          <cell r="D241" t="str">
            <v>Sp.Imp No. 10</v>
          </cell>
        </row>
        <row r="242">
          <cell r="B242">
            <v>324749</v>
          </cell>
          <cell r="C242" t="str">
            <v>Child</v>
          </cell>
          <cell r="D242" t="str">
            <v>Charges for Auctioneering services</v>
          </cell>
        </row>
        <row r="243">
          <cell r="B243">
            <v>324789</v>
          </cell>
          <cell r="C243" t="str">
            <v>Child</v>
          </cell>
          <cell r="D243" t="str">
            <v>Charges for Vehicle towing</v>
          </cell>
        </row>
        <row r="244">
          <cell r="B244">
            <v>103901</v>
          </cell>
          <cell r="C244" t="str">
            <v>Child</v>
          </cell>
          <cell r="D244" t="str">
            <v>AED Bank Account No.19</v>
          </cell>
        </row>
        <row r="245">
          <cell r="B245">
            <v>120315</v>
          </cell>
          <cell r="C245" t="str">
            <v>Child</v>
          </cell>
          <cell r="D245" t="str">
            <v>Child Education Support Loans</v>
          </cell>
        </row>
        <row r="246">
          <cell r="B246">
            <v>120916</v>
          </cell>
          <cell r="C246" t="str">
            <v>Child</v>
          </cell>
          <cell r="D246" t="str">
            <v>Losses under investigation</v>
          </cell>
        </row>
        <row r="247">
          <cell r="B247">
            <v>121451</v>
          </cell>
          <cell r="C247" t="str">
            <v>Child</v>
          </cell>
          <cell r="D247" t="str">
            <v>Acct Receivable-Department of Culture and Tourism - Abu Dhabi (DCT)</v>
          </cell>
        </row>
        <row r="248">
          <cell r="B248">
            <v>270610</v>
          </cell>
          <cell r="C248" t="str">
            <v>Child</v>
          </cell>
          <cell r="D248" t="str">
            <v xml:space="preserve">Deferred Revenues for Grants and other transfer receipts - Non-current </v>
          </cell>
        </row>
        <row r="249">
          <cell r="B249">
            <v>321220</v>
          </cell>
          <cell r="C249" t="str">
            <v>Parent</v>
          </cell>
          <cell r="D249" t="str">
            <v>Fauna &amp; Flora Control Licenses:</v>
          </cell>
        </row>
        <row r="250">
          <cell r="B250">
            <v>321221</v>
          </cell>
          <cell r="C250" t="str">
            <v>Child</v>
          </cell>
          <cell r="D250" t="str">
            <v>License- Int'l Trade in Endangered Animals &amp; Plants</v>
          </cell>
        </row>
        <row r="251">
          <cell r="B251">
            <v>324663</v>
          </cell>
          <cell r="C251" t="str">
            <v>Child</v>
          </cell>
          <cell r="D251" t="str">
            <v>Guest fee</v>
          </cell>
        </row>
        <row r="252">
          <cell r="B252">
            <v>324777</v>
          </cell>
          <cell r="C252" t="str">
            <v>Child</v>
          </cell>
          <cell r="D252" t="str">
            <v>Hotel information system</v>
          </cell>
        </row>
        <row r="253">
          <cell r="B253">
            <v>324778</v>
          </cell>
          <cell r="C253" t="str">
            <v>Child</v>
          </cell>
          <cell r="D253" t="str">
            <v>Security guard services Revenue</v>
          </cell>
        </row>
        <row r="254">
          <cell r="B254">
            <v>324779</v>
          </cell>
          <cell r="C254" t="str">
            <v>Child</v>
          </cell>
          <cell r="D254" t="str">
            <v>Revenue from Tetra network service</v>
          </cell>
        </row>
        <row r="255">
          <cell r="B255">
            <v>324781</v>
          </cell>
          <cell r="C255" t="str">
            <v>Child</v>
          </cell>
          <cell r="D255" t="str">
            <v>Chrgs for arranging sale of strategic commodities</v>
          </cell>
        </row>
        <row r="256">
          <cell r="B256">
            <v>333311</v>
          </cell>
          <cell r="C256" t="str">
            <v>Child</v>
          </cell>
          <cell r="D256" t="str">
            <v>Loan Repayments - ENEC</v>
          </cell>
        </row>
        <row r="257">
          <cell r="B257">
            <v>412122</v>
          </cell>
          <cell r="C257" t="str">
            <v>Child</v>
          </cell>
          <cell r="D257" t="str">
            <v>Union pay</v>
          </cell>
        </row>
        <row r="258">
          <cell r="B258">
            <v>101110</v>
          </cell>
          <cell r="C258" t="str">
            <v>Parent</v>
          </cell>
          <cell r="D258" t="str">
            <v>AR related remittance accounts (Set-up account for AR cash in transit)</v>
          </cell>
        </row>
        <row r="259">
          <cell r="B259">
            <v>101111</v>
          </cell>
          <cell r="C259" t="str">
            <v>Child</v>
          </cell>
          <cell r="D259" t="str">
            <v>Cash in Transit - AED (Set-up account for AR cash in transit)</v>
          </cell>
        </row>
        <row r="260">
          <cell r="B260">
            <v>101112</v>
          </cell>
          <cell r="C260" t="str">
            <v>Child</v>
          </cell>
          <cell r="D260" t="str">
            <v>Cash in Transit AED - No.2 (Set-up account for AR cash in transit)</v>
          </cell>
        </row>
        <row r="261">
          <cell r="B261">
            <v>101201</v>
          </cell>
          <cell r="C261" t="str">
            <v>Child</v>
          </cell>
          <cell r="D261" t="str">
            <v>Cash holdings - in bank vaults (for special purpose)</v>
          </cell>
        </row>
        <row r="262">
          <cell r="B262">
            <v>101210</v>
          </cell>
          <cell r="C262" t="str">
            <v>Child</v>
          </cell>
          <cell r="D262" t="str">
            <v>EUR Cash holding-Bank vault</v>
          </cell>
        </row>
        <row r="263">
          <cell r="B263">
            <v>101245</v>
          </cell>
          <cell r="C263" t="str">
            <v>Child</v>
          </cell>
          <cell r="D263" t="str">
            <v>CHF Cash holding-Bank vault</v>
          </cell>
        </row>
        <row r="264">
          <cell r="B264">
            <v>101246</v>
          </cell>
          <cell r="C264" t="str">
            <v>Child</v>
          </cell>
          <cell r="D264" t="str">
            <v>GBP Cash holding-Bank vault</v>
          </cell>
        </row>
        <row r="265">
          <cell r="B265">
            <v>101248</v>
          </cell>
          <cell r="C265" t="str">
            <v>Child</v>
          </cell>
          <cell r="D265" t="str">
            <v>USD Cash holding-Bank vault</v>
          </cell>
        </row>
        <row r="266">
          <cell r="B266">
            <v>101300</v>
          </cell>
          <cell r="C266" t="str">
            <v>Parent</v>
          </cell>
          <cell r="D266" t="str">
            <v>Ordinary Imprest- imprest floats for general purpose (replenishable) - AED</v>
          </cell>
        </row>
        <row r="267">
          <cell r="B267">
            <v>101301</v>
          </cell>
          <cell r="C267" t="str">
            <v>Child</v>
          </cell>
          <cell r="D267" t="str">
            <v>Ordinary Imprest No.01 AED</v>
          </cell>
        </row>
        <row r="268">
          <cell r="B268">
            <v>101302</v>
          </cell>
          <cell r="C268" t="str">
            <v>Child</v>
          </cell>
          <cell r="D268" t="str">
            <v>Ordinary Imprest No.02 AED</v>
          </cell>
        </row>
        <row r="269">
          <cell r="B269">
            <v>101303</v>
          </cell>
          <cell r="C269" t="str">
            <v>Child</v>
          </cell>
          <cell r="D269" t="str">
            <v>Ordinary Imprest No.03 AED</v>
          </cell>
        </row>
        <row r="270">
          <cell r="B270">
            <v>101304</v>
          </cell>
          <cell r="C270" t="str">
            <v>Child</v>
          </cell>
          <cell r="D270" t="str">
            <v>Ordinary Imprest No.04 AED</v>
          </cell>
        </row>
        <row r="271">
          <cell r="B271">
            <v>101305</v>
          </cell>
          <cell r="C271" t="str">
            <v>Child</v>
          </cell>
          <cell r="D271" t="str">
            <v>Ordinary Imprest No.05 AED</v>
          </cell>
        </row>
        <row r="272">
          <cell r="B272">
            <v>101306</v>
          </cell>
          <cell r="C272" t="str">
            <v>Child</v>
          </cell>
          <cell r="D272" t="str">
            <v>Ordinary Imprest No.06 AED</v>
          </cell>
        </row>
        <row r="273">
          <cell r="B273">
            <v>101307</v>
          </cell>
          <cell r="C273" t="str">
            <v>Child</v>
          </cell>
          <cell r="D273" t="str">
            <v>Ordinary Imprest No.07 AED</v>
          </cell>
        </row>
        <row r="274">
          <cell r="B274">
            <v>101308</v>
          </cell>
          <cell r="C274" t="str">
            <v>Child</v>
          </cell>
          <cell r="D274" t="str">
            <v>Ordinary Imprest No.08 AED</v>
          </cell>
        </row>
        <row r="275">
          <cell r="B275">
            <v>101309</v>
          </cell>
          <cell r="C275" t="str">
            <v>Child</v>
          </cell>
          <cell r="D275" t="str">
            <v>Ordinary Imprest No.09 AED</v>
          </cell>
        </row>
        <row r="276">
          <cell r="B276">
            <v>101310</v>
          </cell>
          <cell r="C276" t="str">
            <v>Child</v>
          </cell>
          <cell r="D276" t="str">
            <v>Ordinary Imprest No.10 AED</v>
          </cell>
        </row>
        <row r="277">
          <cell r="B277">
            <v>101311</v>
          </cell>
          <cell r="C277" t="str">
            <v>Child</v>
          </cell>
          <cell r="D277" t="str">
            <v>Ordinary Imprest No.11 AED</v>
          </cell>
        </row>
        <row r="278">
          <cell r="B278">
            <v>174330</v>
          </cell>
          <cell r="C278" t="str">
            <v>Child</v>
          </cell>
          <cell r="D278" t="str">
            <v>Roads-CIP cost</v>
          </cell>
        </row>
        <row r="279">
          <cell r="B279">
            <v>101312</v>
          </cell>
          <cell r="C279" t="str">
            <v>Child</v>
          </cell>
          <cell r="D279" t="str">
            <v>Ordinary Imprest No.12 AED</v>
          </cell>
        </row>
        <row r="280">
          <cell r="B280">
            <v>101313</v>
          </cell>
          <cell r="C280" t="str">
            <v>Child</v>
          </cell>
          <cell r="D280" t="str">
            <v>Ordinary Imprest No.13 AED</v>
          </cell>
        </row>
        <row r="281">
          <cell r="B281">
            <v>101314</v>
          </cell>
          <cell r="C281" t="str">
            <v>Child</v>
          </cell>
          <cell r="D281" t="str">
            <v>Ordinary Imprest No.14 AED</v>
          </cell>
        </row>
        <row r="282">
          <cell r="B282">
            <v>101315</v>
          </cell>
          <cell r="C282" t="str">
            <v>Child</v>
          </cell>
          <cell r="D282" t="str">
            <v>Ordinary Imprest No.15 AED</v>
          </cell>
        </row>
        <row r="283">
          <cell r="B283">
            <v>101316</v>
          </cell>
          <cell r="C283" t="str">
            <v>Child</v>
          </cell>
          <cell r="D283" t="str">
            <v>Ordinary Imprest No.16 AED</v>
          </cell>
        </row>
        <row r="284">
          <cell r="B284">
            <v>101448</v>
          </cell>
          <cell r="C284" t="str">
            <v>Child</v>
          </cell>
          <cell r="D284" t="str">
            <v xml:space="preserve">Ordinary Imprest -  USD </v>
          </cell>
        </row>
        <row r="285">
          <cell r="B285">
            <v>101500</v>
          </cell>
          <cell r="C285" t="str">
            <v>Parent</v>
          </cell>
          <cell r="D285" t="str">
            <v>Special Imprest - imprest floats for special purpose (non-replenishable)</v>
          </cell>
        </row>
        <row r="286">
          <cell r="B286">
            <v>101501</v>
          </cell>
          <cell r="C286" t="str">
            <v>Child</v>
          </cell>
          <cell r="D286" t="str">
            <v xml:space="preserve">Special Imprest No. 1 </v>
          </cell>
        </row>
        <row r="287">
          <cell r="B287">
            <v>101502</v>
          </cell>
          <cell r="C287" t="str">
            <v>Child</v>
          </cell>
          <cell r="D287" t="str">
            <v>Special Imprest No. 2</v>
          </cell>
        </row>
        <row r="288">
          <cell r="B288">
            <v>101503</v>
          </cell>
          <cell r="C288" t="str">
            <v>Child</v>
          </cell>
          <cell r="D288" t="str">
            <v>Special Imprest No. 3</v>
          </cell>
        </row>
        <row r="289">
          <cell r="B289">
            <v>101504</v>
          </cell>
          <cell r="C289" t="str">
            <v>Child</v>
          </cell>
          <cell r="D289" t="str">
            <v>Special Imprest No. 4</v>
          </cell>
        </row>
        <row r="290">
          <cell r="B290">
            <v>101505</v>
          </cell>
          <cell r="C290" t="str">
            <v>Child</v>
          </cell>
          <cell r="D290" t="str">
            <v>Special Imprest No. 5</v>
          </cell>
        </row>
        <row r="291">
          <cell r="B291">
            <v>101506</v>
          </cell>
          <cell r="C291" t="str">
            <v>Child</v>
          </cell>
          <cell r="D291" t="str">
            <v>Special Imprest No. 6</v>
          </cell>
        </row>
        <row r="292">
          <cell r="B292">
            <v>102000</v>
          </cell>
          <cell r="C292" t="str">
            <v>Parent</v>
          </cell>
          <cell r="D292" t="str">
            <v>Current / Call  Bank accounts:</v>
          </cell>
        </row>
        <row r="293">
          <cell r="B293">
            <v>102101</v>
          </cell>
          <cell r="C293" t="str">
            <v>Child</v>
          </cell>
          <cell r="D293" t="str">
            <v>AED Current/Call Bank Account</v>
          </cell>
        </row>
        <row r="294">
          <cell r="B294">
            <v>102109</v>
          </cell>
          <cell r="C294" t="str">
            <v>Child</v>
          </cell>
          <cell r="D294" t="str">
            <v>THB Current Bank Account No.1</v>
          </cell>
        </row>
        <row r="295">
          <cell r="B295">
            <v>102110</v>
          </cell>
          <cell r="C295" t="str">
            <v>Child</v>
          </cell>
          <cell r="D295" t="str">
            <v>EUR Current Bank Account No.1</v>
          </cell>
        </row>
        <row r="296">
          <cell r="B296">
            <v>102113</v>
          </cell>
          <cell r="C296" t="str">
            <v>Child</v>
          </cell>
          <cell r="D296" t="str">
            <v>EGP Current Bank Account No.1</v>
          </cell>
        </row>
        <row r="297">
          <cell r="B297">
            <v>102114</v>
          </cell>
          <cell r="C297" t="str">
            <v>Child</v>
          </cell>
          <cell r="D297" t="str">
            <v>JOD Current Bank Account No.1</v>
          </cell>
        </row>
        <row r="298">
          <cell r="B298">
            <v>102120</v>
          </cell>
          <cell r="C298" t="str">
            <v>Child</v>
          </cell>
          <cell r="D298" t="str">
            <v>MAD Current Bank Account No.1</v>
          </cell>
        </row>
        <row r="299">
          <cell r="B299">
            <v>102122</v>
          </cell>
          <cell r="C299" t="str">
            <v>Child</v>
          </cell>
          <cell r="D299" t="str">
            <v>PKR Current Bank Account No.1</v>
          </cell>
        </row>
        <row r="300">
          <cell r="B300">
            <v>102127</v>
          </cell>
          <cell r="C300" t="str">
            <v>Child</v>
          </cell>
          <cell r="D300" t="str">
            <v>BHD Current Bank Account No.1</v>
          </cell>
        </row>
        <row r="301">
          <cell r="B301">
            <v>102129</v>
          </cell>
          <cell r="C301" t="str">
            <v>Child</v>
          </cell>
          <cell r="D301" t="str">
            <v>CAD Current Bank Account No.1</v>
          </cell>
        </row>
        <row r="302">
          <cell r="B302">
            <v>102134</v>
          </cell>
          <cell r="C302" t="str">
            <v>Child</v>
          </cell>
          <cell r="D302" t="str">
            <v>INR Current Bank Account No.1</v>
          </cell>
        </row>
        <row r="303">
          <cell r="B303">
            <v>102136</v>
          </cell>
          <cell r="C303" t="str">
            <v>Child</v>
          </cell>
          <cell r="D303" t="str">
            <v>JPY Current Bank Account No.1</v>
          </cell>
        </row>
        <row r="304">
          <cell r="B304">
            <v>102137</v>
          </cell>
          <cell r="C304" t="str">
            <v>Child</v>
          </cell>
          <cell r="D304" t="str">
            <v>KWD Current Bank Account No.1</v>
          </cell>
        </row>
        <row r="305">
          <cell r="B305">
            <v>102143</v>
          </cell>
          <cell r="C305" t="str">
            <v>Child</v>
          </cell>
          <cell r="D305" t="str">
            <v>SAR Current Bank Account No.1</v>
          </cell>
        </row>
        <row r="306">
          <cell r="B306">
            <v>102145</v>
          </cell>
          <cell r="C306" t="str">
            <v>Child</v>
          </cell>
          <cell r="D306" t="str">
            <v>CHF Current Bank Account No.1</v>
          </cell>
        </row>
        <row r="307">
          <cell r="B307">
            <v>102146</v>
          </cell>
          <cell r="C307" t="str">
            <v>Child</v>
          </cell>
          <cell r="D307" t="str">
            <v>GBP Current Bank Account No.1</v>
          </cell>
        </row>
        <row r="308">
          <cell r="B308">
            <v>102148</v>
          </cell>
          <cell r="C308" t="str">
            <v>Child</v>
          </cell>
          <cell r="D308" t="str">
            <v>USD Current Bank Account No.1</v>
          </cell>
        </row>
        <row r="309">
          <cell r="B309">
            <v>102149</v>
          </cell>
          <cell r="C309" t="str">
            <v>Child</v>
          </cell>
          <cell r="D309" t="str">
            <v>AUD Current Bank Account No.1</v>
          </cell>
        </row>
        <row r="310">
          <cell r="B310">
            <v>102189</v>
          </cell>
          <cell r="C310" t="str">
            <v>Child</v>
          </cell>
          <cell r="D310" t="str">
            <v>LYD Current Bank Account No.1</v>
          </cell>
        </row>
        <row r="311">
          <cell r="B311">
            <v>102192</v>
          </cell>
          <cell r="C311" t="str">
            <v>Child</v>
          </cell>
          <cell r="D311" t="str">
            <v>KRW Current Bank Account No.1</v>
          </cell>
        </row>
        <row r="312">
          <cell r="B312">
            <v>102196</v>
          </cell>
          <cell r="C312" t="str">
            <v>Child</v>
          </cell>
          <cell r="D312" t="str">
            <v>IRR Current Bank Account No.1</v>
          </cell>
        </row>
        <row r="313">
          <cell r="B313">
            <v>102197</v>
          </cell>
          <cell r="C313" t="str">
            <v>Child</v>
          </cell>
          <cell r="D313" t="str">
            <v>TRY Current Bank Account No.1</v>
          </cell>
        </row>
        <row r="314">
          <cell r="B314">
            <v>102198</v>
          </cell>
          <cell r="C314" t="str">
            <v>Child</v>
          </cell>
          <cell r="D314" t="str">
            <v>CNY Current Bank Account No.1</v>
          </cell>
        </row>
        <row r="315">
          <cell r="B315">
            <v>102201</v>
          </cell>
          <cell r="C315" t="str">
            <v>Child</v>
          </cell>
          <cell r="D315" t="str">
            <v>AED Bank Account No. 2</v>
          </cell>
        </row>
        <row r="316">
          <cell r="B316">
            <v>102220</v>
          </cell>
          <cell r="C316" t="str">
            <v>Child</v>
          </cell>
          <cell r="D316" t="str">
            <v>MAD Bank Account No. 2</v>
          </cell>
        </row>
        <row r="317">
          <cell r="B317">
            <v>102248</v>
          </cell>
          <cell r="C317" t="str">
            <v>Child</v>
          </cell>
          <cell r="D317" t="str">
            <v>USD Bank Account No. 2</v>
          </cell>
        </row>
        <row r="318">
          <cell r="B318">
            <v>126110</v>
          </cell>
          <cell r="C318" t="str">
            <v>Child</v>
          </cell>
          <cell r="D318" t="str">
            <v>Input VAT recoverable</v>
          </cell>
        </row>
        <row r="319">
          <cell r="B319">
            <v>102292</v>
          </cell>
          <cell r="C319" t="str">
            <v>Child</v>
          </cell>
          <cell r="D319" t="str">
            <v>Main Bank accounts - Won (South Korea)</v>
          </cell>
        </row>
        <row r="320">
          <cell r="B320">
            <v>102301</v>
          </cell>
          <cell r="C320" t="str">
            <v>Child</v>
          </cell>
          <cell r="D320" t="str">
            <v>AED Bank Account No.3</v>
          </cell>
        </row>
        <row r="321">
          <cell r="B321">
            <v>102346</v>
          </cell>
          <cell r="C321" t="str">
            <v>Child</v>
          </cell>
          <cell r="D321" t="str">
            <v>GBP Bank Account No.3</v>
          </cell>
        </row>
        <row r="322">
          <cell r="B322">
            <v>102348</v>
          </cell>
          <cell r="C322" t="str">
            <v>Child</v>
          </cell>
          <cell r="D322" t="str">
            <v>USD Bank Account No.3</v>
          </cell>
        </row>
        <row r="323">
          <cell r="B323">
            <v>102394</v>
          </cell>
          <cell r="C323" t="str">
            <v>Child</v>
          </cell>
          <cell r="D323" t="str">
            <v xml:space="preserve">EUR Bank Account No.3 </v>
          </cell>
        </row>
        <row r="324">
          <cell r="B324">
            <v>102401</v>
          </cell>
          <cell r="C324" t="str">
            <v>Child</v>
          </cell>
          <cell r="D324" t="str">
            <v>AED Bank Account No.4</v>
          </cell>
        </row>
        <row r="325">
          <cell r="B325">
            <v>102501</v>
          </cell>
          <cell r="C325" t="str">
            <v>Child</v>
          </cell>
          <cell r="D325" t="str">
            <v>AED Bank Account No.5</v>
          </cell>
        </row>
        <row r="326">
          <cell r="B326">
            <v>102701</v>
          </cell>
          <cell r="C326" t="str">
            <v>Child</v>
          </cell>
          <cell r="D326" t="str">
            <v>AED Bank Account No.7</v>
          </cell>
        </row>
        <row r="327">
          <cell r="B327">
            <v>102801</v>
          </cell>
          <cell r="C327" t="str">
            <v>Child</v>
          </cell>
          <cell r="D327" t="str">
            <v>AED Bank Account No.8</v>
          </cell>
        </row>
        <row r="328">
          <cell r="B328">
            <v>103001</v>
          </cell>
          <cell r="C328" t="str">
            <v>Child</v>
          </cell>
          <cell r="D328" t="str">
            <v>AED Bank Account No.10</v>
          </cell>
        </row>
        <row r="329">
          <cell r="B329">
            <v>103101</v>
          </cell>
          <cell r="C329" t="str">
            <v>Child</v>
          </cell>
          <cell r="D329" t="str">
            <v>AED Bank Account No.11</v>
          </cell>
        </row>
        <row r="330">
          <cell r="B330">
            <v>103201</v>
          </cell>
          <cell r="C330" t="str">
            <v>Child</v>
          </cell>
          <cell r="D330" t="str">
            <v>AED Bank Account No.12</v>
          </cell>
        </row>
        <row r="331">
          <cell r="B331">
            <v>103246</v>
          </cell>
          <cell r="C331" t="str">
            <v>Child</v>
          </cell>
          <cell r="D331" t="str">
            <v>GBP Bank Account No.12</v>
          </cell>
        </row>
        <row r="332">
          <cell r="B332">
            <v>103248</v>
          </cell>
          <cell r="C332" t="str">
            <v>Child</v>
          </cell>
          <cell r="D332" t="str">
            <v>USD Bank Account No.12</v>
          </cell>
        </row>
        <row r="333">
          <cell r="B333">
            <v>103301</v>
          </cell>
          <cell r="C333" t="str">
            <v>Child</v>
          </cell>
          <cell r="D333" t="str">
            <v>AED Bank Account No.13</v>
          </cell>
        </row>
        <row r="334">
          <cell r="B334">
            <v>103401</v>
          </cell>
          <cell r="C334" t="str">
            <v>Child</v>
          </cell>
          <cell r="D334" t="str">
            <v>AED Bank Account No.14</v>
          </cell>
        </row>
        <row r="335">
          <cell r="B335">
            <v>103501</v>
          </cell>
          <cell r="C335" t="str">
            <v>Child</v>
          </cell>
          <cell r="D335" t="str">
            <v>VAT portfolio AED account</v>
          </cell>
        </row>
        <row r="336">
          <cell r="B336">
            <v>104000</v>
          </cell>
          <cell r="C336" t="str">
            <v>Parent</v>
          </cell>
          <cell r="D336" t="str">
            <v>A.P Payments related bank accounts</v>
          </cell>
        </row>
        <row r="337">
          <cell r="B337">
            <v>104101</v>
          </cell>
          <cell r="C337" t="str">
            <v>Child</v>
          </cell>
          <cell r="D337" t="str">
            <v>Payment bank account (For TDF use only)</v>
          </cell>
        </row>
        <row r="338">
          <cell r="B338">
            <v>104201</v>
          </cell>
          <cell r="C338" t="str">
            <v>Child</v>
          </cell>
          <cell r="D338" t="str">
            <v>Payment bank account (For TDF use only)  Account  No. 2</v>
          </cell>
        </row>
        <row r="339">
          <cell r="B339">
            <v>104501</v>
          </cell>
          <cell r="C339" t="str">
            <v>Child</v>
          </cell>
          <cell r="D339" t="str">
            <v>Trust (Amanah) AED Bank Account - Regular</v>
          </cell>
        </row>
        <row r="340">
          <cell r="B340">
            <v>104502</v>
          </cell>
          <cell r="C340" t="str">
            <v>Child</v>
          </cell>
          <cell r="D340" t="str">
            <v>Trust (Amanah) AED Bank Account - Special 1</v>
          </cell>
        </row>
        <row r="341">
          <cell r="B341">
            <v>104503</v>
          </cell>
          <cell r="C341" t="str">
            <v>Child</v>
          </cell>
          <cell r="D341" t="str">
            <v>Trust (Amanah) AED Bank Account- Special 2</v>
          </cell>
        </row>
        <row r="342">
          <cell r="B342">
            <v>104504</v>
          </cell>
          <cell r="C342" t="str">
            <v>Child</v>
          </cell>
          <cell r="D342" t="str">
            <v>Trust (Amanah) AED Bank Acccount - Special 3</v>
          </cell>
        </row>
        <row r="343">
          <cell r="B343">
            <v>104505</v>
          </cell>
          <cell r="C343" t="str">
            <v>Child</v>
          </cell>
          <cell r="D343" t="str">
            <v>Trust (Amanah) AED Bank Account - Special 4</v>
          </cell>
        </row>
        <row r="344">
          <cell r="B344">
            <v>105901</v>
          </cell>
          <cell r="C344" t="str">
            <v>Child</v>
          </cell>
          <cell r="D344" t="str">
            <v>A P payment clearing account no. 1 for system setup</v>
          </cell>
        </row>
        <row r="345">
          <cell r="B345">
            <v>105902</v>
          </cell>
          <cell r="C345" t="str">
            <v>Child</v>
          </cell>
          <cell r="D345" t="str">
            <v>A P payment clearing account no. 2 for system setup</v>
          </cell>
        </row>
        <row r="346">
          <cell r="B346">
            <v>105903</v>
          </cell>
          <cell r="C346" t="str">
            <v>Child</v>
          </cell>
          <cell r="D346" t="str">
            <v>A P payment clearing account no. 1 for system setup</v>
          </cell>
        </row>
        <row r="347">
          <cell r="B347">
            <v>105904</v>
          </cell>
          <cell r="C347" t="str">
            <v>Child</v>
          </cell>
          <cell r="D347" t="str">
            <v>A P payment clearing account no. 2 for system setup</v>
          </cell>
        </row>
        <row r="348">
          <cell r="B348">
            <v>105905</v>
          </cell>
          <cell r="C348" t="str">
            <v>Child</v>
          </cell>
          <cell r="D348" t="str">
            <v>A P payment clearing account no. 1 for system setup</v>
          </cell>
        </row>
        <row r="349">
          <cell r="B349">
            <v>105906</v>
          </cell>
          <cell r="C349" t="str">
            <v>Child</v>
          </cell>
          <cell r="D349" t="str">
            <v>A P payment clearing account no. 2 for system setup</v>
          </cell>
        </row>
        <row r="350">
          <cell r="B350">
            <v>105951</v>
          </cell>
          <cell r="C350" t="str">
            <v>Child</v>
          </cell>
          <cell r="D350" t="str">
            <v>Clearing Account of Trust (Amanah) Bank account 1</v>
          </cell>
        </row>
        <row r="351">
          <cell r="B351">
            <v>106000</v>
          </cell>
          <cell r="C351" t="str">
            <v>Parent</v>
          </cell>
          <cell r="D351" t="str">
            <v>Sub-bank accounts for processing non-AP payments:</v>
          </cell>
        </row>
        <row r="352">
          <cell r="B352">
            <v>106001</v>
          </cell>
          <cell r="C352" t="str">
            <v>Child</v>
          </cell>
          <cell r="D352" t="str">
            <v>AED Non-AP Payments Bank Account No.1</v>
          </cell>
        </row>
        <row r="353">
          <cell r="B353">
            <v>106101</v>
          </cell>
          <cell r="C353" t="str">
            <v>Child</v>
          </cell>
          <cell r="D353" t="str">
            <v>AED Non-AP Payments Bank Account No.2</v>
          </cell>
        </row>
        <row r="354">
          <cell r="B354">
            <v>106201</v>
          </cell>
          <cell r="C354" t="str">
            <v>Child</v>
          </cell>
          <cell r="D354" t="str">
            <v>AED Non-AP Payments Bank Account No.3</v>
          </cell>
        </row>
        <row r="355">
          <cell r="B355">
            <v>106301</v>
          </cell>
          <cell r="C355" t="str">
            <v>Child</v>
          </cell>
          <cell r="D355" t="str">
            <v>AED Non-AP Payments Bank Account No.4</v>
          </cell>
        </row>
        <row r="356">
          <cell r="B356">
            <v>108101</v>
          </cell>
          <cell r="C356" t="str">
            <v>Child</v>
          </cell>
          <cell r="D356" t="str">
            <v>AED Revenue Bank Account No.1</v>
          </cell>
        </row>
        <row r="357">
          <cell r="B357">
            <v>108148</v>
          </cell>
          <cell r="C357" t="str">
            <v>Child</v>
          </cell>
          <cell r="D357" t="str">
            <v>USD Revenue Bank Account No.1</v>
          </cell>
        </row>
        <row r="358">
          <cell r="B358">
            <v>108201</v>
          </cell>
          <cell r="C358" t="str">
            <v>Child</v>
          </cell>
          <cell r="D358" t="str">
            <v>AED Revenue Bank Account No.2</v>
          </cell>
        </row>
        <row r="359">
          <cell r="B359">
            <v>108301</v>
          </cell>
          <cell r="C359" t="str">
            <v>Child</v>
          </cell>
          <cell r="D359" t="str">
            <v>AED Revenue Bank Account No.3</v>
          </cell>
        </row>
        <row r="360">
          <cell r="B360">
            <v>108401</v>
          </cell>
          <cell r="C360" t="str">
            <v>Child</v>
          </cell>
          <cell r="D360" t="str">
            <v>AED Revenue Bank Account No.4</v>
          </cell>
        </row>
        <row r="361">
          <cell r="B361">
            <v>108501</v>
          </cell>
          <cell r="C361" t="str">
            <v>Child</v>
          </cell>
          <cell r="D361" t="str">
            <v>AED Revenue Bank Account No.5</v>
          </cell>
        </row>
        <row r="362">
          <cell r="B362">
            <v>108601</v>
          </cell>
          <cell r="C362" t="str">
            <v>Child</v>
          </cell>
          <cell r="D362" t="str">
            <v>AED Revenue Bank Account No.9</v>
          </cell>
        </row>
        <row r="363">
          <cell r="B363">
            <v>109101</v>
          </cell>
          <cell r="C363" t="str">
            <v>Child</v>
          </cell>
          <cell r="D363" t="str">
            <v>Clearing Account-AR-related Bank Deposits</v>
          </cell>
        </row>
        <row r="364">
          <cell r="B364">
            <v>109901</v>
          </cell>
          <cell r="C364" t="str">
            <v>Child</v>
          </cell>
          <cell r="D364" t="str">
            <v>Nostro account - setup</v>
          </cell>
        </row>
        <row r="365">
          <cell r="B365">
            <v>109910</v>
          </cell>
          <cell r="C365" t="str">
            <v>Child</v>
          </cell>
          <cell r="D365" t="str">
            <v>Bank errors (Oracle setup account)</v>
          </cell>
        </row>
        <row r="366">
          <cell r="B366">
            <v>110000</v>
          </cell>
          <cell r="C366" t="str">
            <v>Parent</v>
          </cell>
          <cell r="D366" t="str">
            <v>Short-Term Bank Deposits:</v>
          </cell>
        </row>
        <row r="367">
          <cell r="B367">
            <v>110100</v>
          </cell>
          <cell r="C367" t="str">
            <v>Parent</v>
          </cell>
          <cell r="D367" t="str">
            <v xml:space="preserve">Term Deposits: Unrestricted </v>
          </cell>
        </row>
        <row r="368">
          <cell r="B368">
            <v>110101</v>
          </cell>
          <cell r="C368" t="str">
            <v>Child</v>
          </cell>
          <cell r="D368" t="str">
            <v>Term Deposit  in AED - Bank No.1</v>
          </cell>
        </row>
        <row r="369">
          <cell r="B369">
            <v>110110</v>
          </cell>
          <cell r="C369" t="str">
            <v>Child</v>
          </cell>
          <cell r="D369" t="str">
            <v>Term Deposit  in EURO– Bank No. 1</v>
          </cell>
        </row>
        <row r="370">
          <cell r="B370">
            <v>110146</v>
          </cell>
          <cell r="C370" t="str">
            <v>Child</v>
          </cell>
          <cell r="D370" t="str">
            <v>Term Deposit in GBP - Bank No.1</v>
          </cell>
        </row>
        <row r="371">
          <cell r="B371">
            <v>110148</v>
          </cell>
          <cell r="C371" t="str">
            <v>Child</v>
          </cell>
          <cell r="D371" t="str">
            <v>Term Deposit in USD - Bank No.1</v>
          </cell>
        </row>
        <row r="372">
          <cell r="B372">
            <v>110201</v>
          </cell>
          <cell r="C372" t="str">
            <v>Child</v>
          </cell>
          <cell r="D372" t="str">
            <v>Term Deposit  in AED - Bank No.2</v>
          </cell>
        </row>
        <row r="373">
          <cell r="B373">
            <v>110248</v>
          </cell>
          <cell r="C373" t="str">
            <v>Child</v>
          </cell>
          <cell r="D373" t="str">
            <v>Term Deposit in USD - Bank No.2</v>
          </cell>
        </row>
        <row r="374">
          <cell r="B374">
            <v>110301</v>
          </cell>
          <cell r="C374" t="str">
            <v>Child</v>
          </cell>
          <cell r="D374" t="str">
            <v>Term Deposit  in AED - Bank No.3</v>
          </cell>
        </row>
        <row r="375">
          <cell r="B375">
            <v>110348</v>
          </cell>
          <cell r="C375" t="str">
            <v>Child</v>
          </cell>
          <cell r="D375" t="str">
            <v>Term Deposit in USD - Bank No.3</v>
          </cell>
        </row>
        <row r="376">
          <cell r="B376">
            <v>110401</v>
          </cell>
          <cell r="C376" t="str">
            <v>Child</v>
          </cell>
          <cell r="D376" t="str">
            <v>Term Deposit  in AED - Bank No.4</v>
          </cell>
        </row>
        <row r="377">
          <cell r="B377">
            <v>110448</v>
          </cell>
          <cell r="C377" t="str">
            <v>Child</v>
          </cell>
          <cell r="D377" t="str">
            <v>Term Deposit in USD - Bank No.4</v>
          </cell>
        </row>
        <row r="378">
          <cell r="B378">
            <v>110501</v>
          </cell>
          <cell r="C378" t="str">
            <v>Child</v>
          </cell>
          <cell r="D378" t="str">
            <v>Term Deposit  in AED - Bank No.5</v>
          </cell>
        </row>
        <row r="379">
          <cell r="B379">
            <v>110548</v>
          </cell>
          <cell r="C379" t="str">
            <v>Child</v>
          </cell>
          <cell r="D379" t="str">
            <v>Term Deposit in USD - Bank No.5</v>
          </cell>
        </row>
        <row r="380">
          <cell r="B380">
            <v>110701</v>
          </cell>
          <cell r="C380" t="str">
            <v>Child</v>
          </cell>
          <cell r="D380" t="str">
            <v>Term Deposit  in AED - Bank No.7</v>
          </cell>
        </row>
        <row r="381">
          <cell r="B381">
            <v>110748</v>
          </cell>
          <cell r="C381" t="str">
            <v>Child</v>
          </cell>
          <cell r="D381" t="str">
            <v>Term Deposit in USD - Bank No.7</v>
          </cell>
        </row>
        <row r="382">
          <cell r="B382">
            <v>110801</v>
          </cell>
          <cell r="C382" t="str">
            <v>Child</v>
          </cell>
          <cell r="D382" t="str">
            <v>Term Deposit  in AED - Bank No.8</v>
          </cell>
        </row>
        <row r="383">
          <cell r="B383">
            <v>110848</v>
          </cell>
          <cell r="C383" t="str">
            <v>Child</v>
          </cell>
          <cell r="D383" t="str">
            <v>Term Deposit in USD - Bank No.8</v>
          </cell>
        </row>
        <row r="384">
          <cell r="B384">
            <v>110901</v>
          </cell>
          <cell r="C384" t="str">
            <v>Child</v>
          </cell>
          <cell r="D384" t="str">
            <v>Term Deposit  in AED - Bank No.9</v>
          </cell>
        </row>
        <row r="385">
          <cell r="B385">
            <v>110948</v>
          </cell>
          <cell r="C385" t="str">
            <v>Child</v>
          </cell>
          <cell r="D385" t="str">
            <v>Term Deposit in USD - Bank No.9</v>
          </cell>
        </row>
        <row r="386">
          <cell r="B386">
            <v>112000</v>
          </cell>
          <cell r="C386" t="str">
            <v>Parent</v>
          </cell>
          <cell r="D386" t="str">
            <v>Term Deposits - Restricted (Current)</v>
          </cell>
        </row>
        <row r="387">
          <cell r="B387">
            <v>463212</v>
          </cell>
          <cell r="C387" t="str">
            <v>Child</v>
          </cell>
          <cell r="D387" t="str">
            <v>Grant - Dominica</v>
          </cell>
        </row>
        <row r="388">
          <cell r="B388">
            <v>112101</v>
          </cell>
          <cell r="C388" t="str">
            <v>Child</v>
          </cell>
          <cell r="D388" t="str">
            <v>Restricted Term Deposit in AED (Current) - Bank No.1</v>
          </cell>
        </row>
        <row r="389">
          <cell r="B389">
            <v>112201</v>
          </cell>
          <cell r="C389" t="str">
            <v>Child</v>
          </cell>
          <cell r="D389" t="str">
            <v>Restricted Term Deposit  in AED(Current) - Bank No.2</v>
          </cell>
        </row>
        <row r="390">
          <cell r="B390">
            <v>117000</v>
          </cell>
          <cell r="C390" t="str">
            <v>Parent</v>
          </cell>
          <cell r="D390" t="str">
            <v>Short-term Investments:</v>
          </cell>
        </row>
        <row r="391">
          <cell r="B391">
            <v>117100</v>
          </cell>
          <cell r="C391" t="str">
            <v>Parent</v>
          </cell>
          <cell r="D391" t="str">
            <v>Investments available for sale:</v>
          </cell>
        </row>
        <row r="392">
          <cell r="B392">
            <v>117101</v>
          </cell>
          <cell r="C392" t="str">
            <v>Child</v>
          </cell>
          <cell r="D392" t="str">
            <v>Investments for sale - AED</v>
          </cell>
        </row>
        <row r="393">
          <cell r="B393">
            <v>117201</v>
          </cell>
          <cell r="C393" t="str">
            <v>Child</v>
          </cell>
          <cell r="D393" t="str">
            <v xml:space="preserve"> Investments for sale - AED - C/yr tfr</v>
          </cell>
        </row>
        <row r="394">
          <cell r="B394">
            <v>117301</v>
          </cell>
          <cell r="C394" t="str">
            <v>Child</v>
          </cell>
          <cell r="D394" t="str">
            <v>Investments for sale - AED  - Carrying amount</v>
          </cell>
        </row>
        <row r="395">
          <cell r="B395">
            <v>117401</v>
          </cell>
          <cell r="C395" t="str">
            <v>Child</v>
          </cell>
          <cell r="D395" t="str">
            <v>Investments for sale - AED  year end valuation impact</v>
          </cell>
        </row>
        <row r="396">
          <cell r="B396">
            <v>120000</v>
          </cell>
          <cell r="C396" t="str">
            <v>Parent</v>
          </cell>
          <cell r="D396" t="str">
            <v>Accounts Receivables (Current):</v>
          </cell>
        </row>
        <row r="397">
          <cell r="B397">
            <v>120110</v>
          </cell>
          <cell r="C397" t="str">
            <v>Parent</v>
          </cell>
          <cell r="D397" t="str">
            <v>Hydrocarbon revenue receivable</v>
          </cell>
        </row>
        <row r="398">
          <cell r="B398">
            <v>120120</v>
          </cell>
          <cell r="C398" t="str">
            <v>Parent</v>
          </cell>
          <cell r="D398" t="str">
            <v>Taxes  and Duties receivable:</v>
          </cell>
        </row>
        <row r="399">
          <cell r="B399">
            <v>121201</v>
          </cell>
          <cell r="C399" t="str">
            <v>Child</v>
          </cell>
          <cell r="D399" t="str">
            <v>Intra-Govt Receivables: TRY</v>
          </cell>
        </row>
        <row r="400">
          <cell r="B400">
            <v>120123</v>
          </cell>
          <cell r="C400" t="str">
            <v>Child</v>
          </cell>
          <cell r="D400" t="str">
            <v>Output VAT receivable from customers - setup account</v>
          </cell>
        </row>
        <row r="401">
          <cell r="B401">
            <v>120124</v>
          </cell>
          <cell r="C401" t="str">
            <v>Child</v>
          </cell>
          <cell r="D401" t="str">
            <v>Customs Duties and Taxes Receivable</v>
          </cell>
        </row>
        <row r="402">
          <cell r="B402">
            <v>120131</v>
          </cell>
          <cell r="C402" t="str">
            <v>Child</v>
          </cell>
          <cell r="D402" t="str">
            <v>Fees and charges receivable</v>
          </cell>
        </row>
        <row r="403">
          <cell r="B403">
            <v>120141</v>
          </cell>
          <cell r="C403" t="str">
            <v>Child</v>
          </cell>
          <cell r="D403" t="str">
            <v>Penalties and Fines receivable</v>
          </cell>
        </row>
        <row r="404">
          <cell r="B404">
            <v>120151</v>
          </cell>
          <cell r="C404" t="str">
            <v>Child</v>
          </cell>
          <cell r="D404" t="str">
            <v>Receivables from sale of Goods and services</v>
          </cell>
        </row>
        <row r="405">
          <cell r="B405">
            <v>120156</v>
          </cell>
          <cell r="C405" t="str">
            <v>Child</v>
          </cell>
          <cell r="D405" t="str">
            <v>Other Accounts Receivable</v>
          </cell>
        </row>
        <row r="406">
          <cell r="B406">
            <v>120160</v>
          </cell>
          <cell r="C406" t="str">
            <v>Parent</v>
          </cell>
          <cell r="D406" t="str">
            <v>Rent Receivable</v>
          </cell>
        </row>
        <row r="407">
          <cell r="B407">
            <v>120161</v>
          </cell>
          <cell r="C407" t="str">
            <v>Child</v>
          </cell>
          <cell r="D407" t="str">
            <v>Receivable-Rent: Buildings</v>
          </cell>
        </row>
        <row r="408">
          <cell r="B408">
            <v>120162</v>
          </cell>
          <cell r="C408" t="str">
            <v>Child</v>
          </cell>
          <cell r="D408" t="str">
            <v>Receivable-Rent: Land</v>
          </cell>
        </row>
        <row r="409">
          <cell r="B409">
            <v>120171</v>
          </cell>
          <cell r="C409" t="str">
            <v>Child</v>
          </cell>
          <cell r="D409" t="str">
            <v>Finance lease receivable</v>
          </cell>
        </row>
        <row r="410">
          <cell r="B410">
            <v>120181</v>
          </cell>
          <cell r="C410" t="str">
            <v>Child</v>
          </cell>
          <cell r="D410" t="str">
            <v>Receivable against post dated cheques  as part of AR</v>
          </cell>
        </row>
        <row r="411">
          <cell r="B411">
            <v>120191</v>
          </cell>
          <cell r="C411" t="str">
            <v>Child</v>
          </cell>
          <cell r="D411" t="str">
            <v>Provision for doubtful debts - Customers</v>
          </cell>
        </row>
        <row r="412">
          <cell r="B412">
            <v>120300</v>
          </cell>
          <cell r="C412" t="str">
            <v>Parent</v>
          </cell>
          <cell r="D412" t="str">
            <v>Receivable from employees:</v>
          </cell>
        </row>
        <row r="413">
          <cell r="B413">
            <v>120310</v>
          </cell>
          <cell r="C413" t="str">
            <v>Parent</v>
          </cell>
          <cell r="D413" t="str">
            <v>Loans to employees:</v>
          </cell>
        </row>
        <row r="414">
          <cell r="B414">
            <v>120312</v>
          </cell>
          <cell r="C414" t="str">
            <v>Child</v>
          </cell>
          <cell r="D414" t="str">
            <v>Special loans to employees</v>
          </cell>
        </row>
        <row r="415">
          <cell r="B415">
            <v>120313</v>
          </cell>
          <cell r="C415" t="str">
            <v>Child</v>
          </cell>
          <cell r="D415" t="str">
            <v>Personal loans to employees</v>
          </cell>
        </row>
        <row r="416">
          <cell r="B416">
            <v>120314</v>
          </cell>
          <cell r="C416" t="str">
            <v>Child</v>
          </cell>
          <cell r="D416" t="str">
            <v>Rent support loans to employees</v>
          </cell>
        </row>
        <row r="417">
          <cell r="B417">
            <v>120316</v>
          </cell>
          <cell r="C417" t="str">
            <v>Child</v>
          </cell>
          <cell r="D417" t="str">
            <v>Same Year Recoverable Rent Support Loans to employees (new 2021)</v>
          </cell>
        </row>
        <row r="418">
          <cell r="B418">
            <v>120320</v>
          </cell>
          <cell r="C418" t="str">
            <v>Parent</v>
          </cell>
          <cell r="D418" t="str">
            <v>Advances to employees (for immediate recovery from available pay):</v>
          </cell>
        </row>
        <row r="419">
          <cell r="B419">
            <v>120321</v>
          </cell>
          <cell r="C419" t="str">
            <v>Child</v>
          </cell>
          <cell r="D419" t="str">
            <v>Special advances - Employee advances to be recovered</v>
          </cell>
        </row>
        <row r="420">
          <cell r="B420">
            <v>120322</v>
          </cell>
          <cell r="C420" t="str">
            <v>Child</v>
          </cell>
          <cell r="D420" t="str">
            <v>Emergency advances to employees</v>
          </cell>
        </row>
        <row r="421">
          <cell r="B421">
            <v>120323</v>
          </cell>
          <cell r="C421" t="str">
            <v>Child</v>
          </cell>
          <cell r="D421" t="str">
            <v>Duty travel advances to employees</v>
          </cell>
        </row>
        <row r="422">
          <cell r="B422">
            <v>120324</v>
          </cell>
          <cell r="C422" t="str">
            <v>Child</v>
          </cell>
          <cell r="D422" t="str">
            <v>Overpayments for recovery - employees</v>
          </cell>
        </row>
        <row r="423">
          <cell r="B423">
            <v>120325</v>
          </cell>
          <cell r="C423" t="str">
            <v>Child</v>
          </cell>
          <cell r="D423" t="str">
            <v>Advances to recruits</v>
          </cell>
        </row>
        <row r="424">
          <cell r="B424">
            <v>120326</v>
          </cell>
          <cell r="C424" t="str">
            <v>Child</v>
          </cell>
          <cell r="D424" t="str">
            <v>Advances to seconded employees</v>
          </cell>
        </row>
        <row r="425">
          <cell r="B425">
            <v>120327</v>
          </cell>
          <cell r="C425" t="str">
            <v>Child</v>
          </cell>
          <cell r="D425" t="str">
            <v>Vacation (Leave) pay advance                                                                    (*)</v>
          </cell>
        </row>
        <row r="426">
          <cell r="B426">
            <v>120329</v>
          </cell>
          <cell r="C426" t="str">
            <v>Child</v>
          </cell>
          <cell r="D426" t="str">
            <v>Miscellaneous advances-Employees</v>
          </cell>
        </row>
        <row r="427">
          <cell r="B427">
            <v>120399</v>
          </cell>
          <cell r="C427" t="str">
            <v>Child</v>
          </cell>
          <cell r="D427" t="str">
            <v>Receivables from employees - Provision for doubtful debts</v>
          </cell>
        </row>
        <row r="428">
          <cell r="B428">
            <v>120400</v>
          </cell>
          <cell r="C428" t="str">
            <v>Parent</v>
          </cell>
          <cell r="D428" t="str">
            <v>Receivables from vendors:</v>
          </cell>
        </row>
        <row r="429">
          <cell r="B429">
            <v>120410</v>
          </cell>
          <cell r="C429" t="str">
            <v>Child</v>
          </cell>
          <cell r="D429" t="str">
            <v>Contract advances</v>
          </cell>
        </row>
        <row r="430">
          <cell r="B430">
            <v>120420</v>
          </cell>
          <cell r="C430" t="str">
            <v>Child</v>
          </cell>
          <cell r="D430" t="str">
            <v>Other advances to vendors</v>
          </cell>
        </row>
        <row r="431">
          <cell r="B431">
            <v>120499</v>
          </cell>
          <cell r="C431" t="str">
            <v>Child</v>
          </cell>
          <cell r="D431" t="str">
            <v>Receivables from vendors - Provision for doubtful debts</v>
          </cell>
        </row>
        <row r="432">
          <cell r="B432">
            <v>120500</v>
          </cell>
          <cell r="C432" t="str">
            <v>Parent</v>
          </cell>
          <cell r="D432" t="str">
            <v>Receivables from borrowers - Current debt:</v>
          </cell>
        </row>
        <row r="433">
          <cell r="B433">
            <v>411567</v>
          </cell>
          <cell r="C433" t="str">
            <v>Child</v>
          </cell>
          <cell r="D433" t="str">
            <v>Technical allowance</v>
          </cell>
        </row>
        <row r="434">
          <cell r="B434">
            <v>120510</v>
          </cell>
          <cell r="C434" t="str">
            <v>Child</v>
          </cell>
          <cell r="D434" t="str">
            <v>Current debt receivable from Non-Government organisations</v>
          </cell>
        </row>
        <row r="435">
          <cell r="B435">
            <v>120560</v>
          </cell>
          <cell r="C435" t="str">
            <v>Parent</v>
          </cell>
          <cell r="D435" t="str">
            <v>Other receivables related to commercial building owners</v>
          </cell>
        </row>
        <row r="436">
          <cell r="B436">
            <v>120561</v>
          </cell>
          <cell r="C436" t="str">
            <v>Child</v>
          </cell>
          <cell r="D436" t="str">
            <v>Receivable towards commercial buildings maintenance</v>
          </cell>
        </row>
        <row r="437">
          <cell r="B437">
            <v>120562</v>
          </cell>
          <cell r="C437" t="str">
            <v>Child</v>
          </cell>
          <cell r="D437" t="str">
            <v>Receivable towards commercial buildings Owners Dues</v>
          </cell>
        </row>
        <row r="438">
          <cell r="B438">
            <v>120563</v>
          </cell>
          <cell r="C438" t="str">
            <v>Child</v>
          </cell>
          <cell r="D438" t="str">
            <v>Receivable towards commercial buildings Security Deposit</v>
          </cell>
        </row>
        <row r="439">
          <cell r="B439">
            <v>120564</v>
          </cell>
          <cell r="C439" t="str">
            <v>Child</v>
          </cell>
          <cell r="D439" t="str">
            <v>Receivable towards commercial buildings- water and electricity Dues from the Owners</v>
          </cell>
        </row>
        <row r="440">
          <cell r="B440">
            <v>120599</v>
          </cell>
          <cell r="C440" t="str">
            <v>Child</v>
          </cell>
          <cell r="D440" t="str">
            <v>Receivables from borrowers - Provision for doubtful debt</v>
          </cell>
        </row>
        <row r="441">
          <cell r="B441">
            <v>120600</v>
          </cell>
          <cell r="C441" t="str">
            <v>Parent</v>
          </cell>
          <cell r="D441" t="str">
            <v>Other receivables not mentioned elsewhere</v>
          </cell>
        </row>
        <row r="442">
          <cell r="B442">
            <v>120605</v>
          </cell>
          <cell r="C442" t="str">
            <v>Child</v>
          </cell>
          <cell r="D442" t="str">
            <v>Receivable - Returned cheques</v>
          </cell>
        </row>
        <row r="443">
          <cell r="B443">
            <v>120610</v>
          </cell>
          <cell r="C443" t="str">
            <v>Child</v>
          </cell>
          <cell r="D443" t="str">
            <v>Receivable - Sale of Non-current assets</v>
          </cell>
        </row>
        <row r="444">
          <cell r="B444">
            <v>120615</v>
          </cell>
          <cell r="C444" t="str">
            <v>Child</v>
          </cell>
          <cell r="D444" t="str">
            <v>Receivable - Grants/Transfer from non-Government entities</v>
          </cell>
        </row>
        <row r="445">
          <cell r="B445">
            <v>161117</v>
          </cell>
          <cell r="C445" t="str">
            <v>Child</v>
          </cell>
          <cell r="D445" t="str">
            <v>Equity - ADNOC</v>
          </cell>
        </row>
        <row r="446">
          <cell r="B446">
            <v>120620</v>
          </cell>
          <cell r="C446" t="str">
            <v>Child</v>
          </cell>
          <cell r="D446" t="str">
            <v>Receivable - Organisations under liquidation</v>
          </cell>
        </row>
        <row r="447">
          <cell r="B447">
            <v>120625</v>
          </cell>
          <cell r="C447" t="str">
            <v>Child</v>
          </cell>
          <cell r="D447" t="str">
            <v>Receivable from Students in Educations Institutions</v>
          </cell>
        </row>
        <row r="448">
          <cell r="B448">
            <v>120630</v>
          </cell>
          <cell r="C448" t="str">
            <v>Child</v>
          </cell>
          <cell r="D448" t="str">
            <v>Sundry receivables</v>
          </cell>
        </row>
        <row r="449">
          <cell r="B449">
            <v>120635</v>
          </cell>
          <cell r="C449" t="str">
            <v>Child</v>
          </cell>
          <cell r="D449" t="str">
            <v>Non-Cash / In kind Receivables</v>
          </cell>
        </row>
        <row r="450">
          <cell r="B450">
            <v>120640</v>
          </cell>
          <cell r="C450" t="str">
            <v>Child</v>
          </cell>
          <cell r="D450" t="str">
            <v>Receivable e-Payments: NBAD</v>
          </cell>
        </row>
        <row r="451">
          <cell r="B451">
            <v>120690</v>
          </cell>
          <cell r="C451" t="str">
            <v>Child</v>
          </cell>
          <cell r="D451" t="str">
            <v>Receivable from UAE Federal Govt Entities</v>
          </cell>
        </row>
        <row r="452">
          <cell r="B452">
            <v>120699</v>
          </cell>
          <cell r="C452" t="str">
            <v>Child</v>
          </cell>
          <cell r="D452" t="str">
            <v>Other receivables - Provision for doubtful debt</v>
          </cell>
        </row>
        <row r="453">
          <cell r="B453">
            <v>126190</v>
          </cell>
          <cell r="C453" t="str">
            <v>Child</v>
          </cell>
          <cell r="D453" t="str">
            <v>Consolidated VAT amount receivable from FTA</v>
          </cell>
        </row>
        <row r="454">
          <cell r="B454">
            <v>120900</v>
          </cell>
          <cell r="C454" t="str">
            <v>Parent</v>
          </cell>
          <cell r="D454" t="str">
            <v>Suspense payments pending recovery / approval for expense authorisation:</v>
          </cell>
        </row>
        <row r="455">
          <cell r="B455">
            <v>120910</v>
          </cell>
          <cell r="C455" t="str">
            <v>Parent</v>
          </cell>
          <cell r="D455" t="str">
            <v>Payments pending expense authorisation/budget allocation</v>
          </cell>
        </row>
        <row r="456">
          <cell r="B456">
            <v>120911</v>
          </cell>
          <cell r="C456" t="str">
            <v>Child</v>
          </cell>
          <cell r="D456" t="str">
            <v>Advances - awaiting authorisation - TDF use only</v>
          </cell>
        </row>
        <row r="457">
          <cell r="B457">
            <v>120912</v>
          </cell>
          <cell r="C457" t="str">
            <v>Child</v>
          </cell>
          <cell r="D457" t="str">
            <v>Advances pending budgetary approval - TDF use only</v>
          </cell>
        </row>
        <row r="458">
          <cell r="B458">
            <v>161136</v>
          </cell>
          <cell r="C458" t="str">
            <v>Child</v>
          </cell>
          <cell r="D458" t="str">
            <v>Equity - TDIC</v>
          </cell>
        </row>
        <row r="459">
          <cell r="B459">
            <v>120913</v>
          </cell>
          <cell r="C459" t="str">
            <v>Child</v>
          </cell>
          <cell r="D459" t="str">
            <v>Advances-Against Strategic Initiatives pending approval</v>
          </cell>
        </row>
        <row r="460">
          <cell r="B460">
            <v>120920</v>
          </cell>
          <cell r="C460" t="str">
            <v>Parent</v>
          </cell>
          <cell r="D460" t="str">
            <v>System generated Accounting discrepancies pending reconciliation/clearance:</v>
          </cell>
        </row>
        <row r="461">
          <cell r="B461">
            <v>120921</v>
          </cell>
          <cell r="C461" t="str">
            <v>Child</v>
          </cell>
          <cell r="D461" t="str">
            <v>System generated  discrepancies resulting from SLA transactions</v>
          </cell>
        </row>
        <row r="462">
          <cell r="B462">
            <v>120999</v>
          </cell>
          <cell r="C462" t="str">
            <v>Child</v>
          </cell>
          <cell r="D462" t="str">
            <v>Receivables relating to suspense payments - Provision for doubtful debts</v>
          </cell>
        </row>
        <row r="463">
          <cell r="B463">
            <v>121000</v>
          </cell>
          <cell r="C463" t="str">
            <v>Parent</v>
          </cell>
          <cell r="D463" t="str">
            <v>Intra-Govt Receivables: Departments</v>
          </cell>
        </row>
        <row r="464">
          <cell r="B464">
            <v>121010</v>
          </cell>
          <cell r="C464" t="str">
            <v>Child</v>
          </cell>
          <cell r="D464" t="str">
            <v>Inter-company Receivable(Payable) - System Generated entries through setups</v>
          </cell>
        </row>
        <row r="465">
          <cell r="B465">
            <v>121011</v>
          </cell>
          <cell r="C465" t="str">
            <v>Child</v>
          </cell>
          <cell r="D465" t="str">
            <v>Intercompany VAT a/c with DoF Treasury - Manual entries</v>
          </cell>
        </row>
        <row r="466">
          <cell r="B466">
            <v>121012</v>
          </cell>
          <cell r="C466" t="str">
            <v>Child</v>
          </cell>
          <cell r="D466" t="str">
            <v>Intra-Department VAT Offset  within same group - Manual entries for VAT receivable /Payable  offset</v>
          </cell>
        </row>
        <row r="467">
          <cell r="B467">
            <v>121013</v>
          </cell>
          <cell r="C467" t="str">
            <v>Child</v>
          </cell>
          <cell r="D467" t="str">
            <v>Intra-entity Receivables (from a Separate Ledger) within same entity</v>
          </cell>
        </row>
        <row r="468">
          <cell r="B468">
            <v>121111</v>
          </cell>
          <cell r="C468" t="str">
            <v>Child</v>
          </cell>
          <cell r="D468" t="str">
            <v>Intra-Govt Receivables: MPA</v>
          </cell>
        </row>
        <row r="469">
          <cell r="B469">
            <v>121142</v>
          </cell>
          <cell r="C469" t="str">
            <v>Child</v>
          </cell>
          <cell r="D469" t="str">
            <v>Acct Receivable-General Secretariat</v>
          </cell>
        </row>
        <row r="470">
          <cell r="B470">
            <v>275500</v>
          </cell>
          <cell r="C470" t="str">
            <v>Parent</v>
          </cell>
          <cell r="D470" t="str">
            <v>Awqaf Trust Funds</v>
          </cell>
        </row>
        <row r="471">
          <cell r="B471">
            <v>121211</v>
          </cell>
          <cell r="C471" t="str">
            <v>Child</v>
          </cell>
          <cell r="D471" t="str">
            <v>Acct Receivable-Receivables: DOF</v>
          </cell>
        </row>
        <row r="472">
          <cell r="B472">
            <v>121231</v>
          </cell>
          <cell r="C472" t="str">
            <v>Child</v>
          </cell>
          <cell r="D472" t="str">
            <v>Acct Receivable-AD Council for Economic Development</v>
          </cell>
        </row>
        <row r="473">
          <cell r="B473">
            <v>121251</v>
          </cell>
          <cell r="C473" t="str">
            <v>Child</v>
          </cell>
          <cell r="D473" t="str">
            <v>Acct Receivable-Musanada (for GGS functions)</v>
          </cell>
        </row>
        <row r="474">
          <cell r="B474">
            <v>121322</v>
          </cell>
          <cell r="C474" t="str">
            <v>Child</v>
          </cell>
          <cell r="D474" t="str">
            <v>Acct Receivable-Critical National Infrastructure Authority</v>
          </cell>
        </row>
        <row r="475">
          <cell r="B475">
            <v>121391</v>
          </cell>
          <cell r="C475" t="str">
            <v>Child</v>
          </cell>
          <cell r="D475" t="str">
            <v>Acct Receivable-AD Judicial Dept</v>
          </cell>
        </row>
        <row r="476">
          <cell r="B476">
            <v>161163</v>
          </cell>
          <cell r="C476" t="str">
            <v>Child</v>
          </cell>
          <cell r="D476" t="str">
            <v>Equity - A D Fund for Development</v>
          </cell>
        </row>
        <row r="477">
          <cell r="B477">
            <v>121411</v>
          </cell>
          <cell r="C477" t="str">
            <v>Child</v>
          </cell>
          <cell r="D477" t="str">
            <v>Acct Receivable- Department of Economic Development - Abu Dhabi (DED)</v>
          </cell>
        </row>
        <row r="478">
          <cell r="B478">
            <v>121432</v>
          </cell>
          <cell r="C478" t="str">
            <v>Child</v>
          </cell>
          <cell r="D478" t="str">
            <v>ADWEA (Dept) - Advances</v>
          </cell>
        </row>
        <row r="479">
          <cell r="B479">
            <v>165466</v>
          </cell>
          <cell r="C479" t="str">
            <v>Child</v>
          </cell>
          <cell r="D479" t="str">
            <v>Loans-Mali</v>
          </cell>
        </row>
        <row r="480">
          <cell r="B480">
            <v>121441</v>
          </cell>
          <cell r="C480" t="str">
            <v>Child</v>
          </cell>
          <cell r="D480" t="str">
            <v>Intra-Govt receivables - DOT</v>
          </cell>
        </row>
        <row r="481">
          <cell r="B481">
            <v>121445</v>
          </cell>
          <cell r="C481" t="str">
            <v>Child</v>
          </cell>
          <cell r="D481" t="str">
            <v>Acct Receivable: Integrated Transport Center (ITC)</v>
          </cell>
        </row>
        <row r="482">
          <cell r="B482">
            <v>121512</v>
          </cell>
          <cell r="C482" t="str">
            <v>Child</v>
          </cell>
          <cell r="D482" t="str">
            <v>Acct Receivable-Center for Waste Management</v>
          </cell>
        </row>
        <row r="483">
          <cell r="B483">
            <v>121631</v>
          </cell>
          <cell r="C483" t="str">
            <v>Child</v>
          </cell>
          <cell r="D483" t="str">
            <v>Acct Receivable: D M T - Abu Dhabi City Municipality</v>
          </cell>
        </row>
        <row r="484">
          <cell r="B484">
            <v>121632</v>
          </cell>
          <cell r="C484" t="str">
            <v>Child</v>
          </cell>
          <cell r="D484" t="str">
            <v>Acct Receivable: D M T - Al Ain Municipality</v>
          </cell>
        </row>
        <row r="485">
          <cell r="B485">
            <v>121633</v>
          </cell>
          <cell r="C485" t="str">
            <v>Child</v>
          </cell>
          <cell r="D485" t="str">
            <v>Acct Receivable: D M T - Al Dhafra Region Municipality</v>
          </cell>
        </row>
        <row r="486">
          <cell r="B486">
            <v>174730</v>
          </cell>
          <cell r="C486" t="str">
            <v>Child</v>
          </cell>
          <cell r="D486" t="str">
            <v>Industrial &amp; FTZ-CIP cost</v>
          </cell>
        </row>
        <row r="487">
          <cell r="B487">
            <v>121635</v>
          </cell>
          <cell r="C487" t="str">
            <v>Child</v>
          </cell>
          <cell r="D487" t="str">
            <v>Acct Receivable - Department of Municipalities and Transport (DMT)</v>
          </cell>
        </row>
        <row r="488">
          <cell r="B488">
            <v>121651</v>
          </cell>
          <cell r="C488" t="str">
            <v>Child</v>
          </cell>
          <cell r="D488" t="str">
            <v>Acct Receivable-HAAD - Health Authority</v>
          </cell>
        </row>
        <row r="489">
          <cell r="B489">
            <v>121656</v>
          </cell>
          <cell r="C489" t="str">
            <v>Child</v>
          </cell>
          <cell r="D489" t="str">
            <v>Acct Receivable-ADPHC - Abu Dhabi Public Health Center</v>
          </cell>
        </row>
        <row r="490">
          <cell r="B490">
            <v>121711</v>
          </cell>
          <cell r="C490" t="str">
            <v>Child</v>
          </cell>
          <cell r="D490" t="str">
            <v>Acct Receivable- Zoo &amp; Aquarium</v>
          </cell>
        </row>
        <row r="491">
          <cell r="B491">
            <v>121721</v>
          </cell>
          <cell r="C491" t="str">
            <v>Child</v>
          </cell>
          <cell r="D491" t="str">
            <v>Acct Receivable-AD Authority for Culture &amp; Heritage</v>
          </cell>
        </row>
        <row r="492">
          <cell r="B492">
            <v>121832</v>
          </cell>
          <cell r="C492" t="str">
            <v>Child</v>
          </cell>
          <cell r="D492" t="str">
            <v>Acct Receivable-ACTVET - Tecnical/Vocational Education</v>
          </cell>
        </row>
        <row r="493">
          <cell r="B493">
            <v>121842</v>
          </cell>
          <cell r="C493" t="str">
            <v>Child</v>
          </cell>
          <cell r="D493" t="str">
            <v>Acct Receivable-University of UAE</v>
          </cell>
        </row>
        <row r="494">
          <cell r="B494">
            <v>121921</v>
          </cell>
          <cell r="C494" t="str">
            <v>Child</v>
          </cell>
          <cell r="D494" t="str">
            <v>Acct Receivable-AD Retirement Pensions  Fund</v>
          </cell>
        </row>
        <row r="495">
          <cell r="B495">
            <v>121991</v>
          </cell>
          <cell r="C495" t="str">
            <v>Child</v>
          </cell>
          <cell r="D495" t="str">
            <v>Acct Receivable-Tax collectors - unidentified taxes (for AR accounting system setup)</v>
          </cell>
        </row>
        <row r="496">
          <cell r="B496">
            <v>122000</v>
          </cell>
          <cell r="C496" t="str">
            <v>Parent</v>
          </cell>
          <cell r="D496" t="str">
            <v>Receivable from Government Business Enterprises (GBEs / SOEs) and other related parties</v>
          </cell>
        </row>
        <row r="497">
          <cell r="B497">
            <v>414470</v>
          </cell>
          <cell r="C497" t="str">
            <v>Child</v>
          </cell>
          <cell r="D497" t="str">
            <v>Special Loans</v>
          </cell>
        </row>
        <row r="498">
          <cell r="B498">
            <v>122101</v>
          </cell>
          <cell r="C498" t="str">
            <v>Child</v>
          </cell>
          <cell r="D498" t="str">
            <v>SOE Receivable - AD Airport Services (ADAS)</v>
          </cell>
        </row>
        <row r="499">
          <cell r="B499">
            <v>122102</v>
          </cell>
          <cell r="C499" t="str">
            <v>Child</v>
          </cell>
          <cell r="D499" t="str">
            <v>SOE Receivable - Rest houses</v>
          </cell>
        </row>
        <row r="500">
          <cell r="B500">
            <v>122103</v>
          </cell>
          <cell r="C500" t="str">
            <v>Child</v>
          </cell>
          <cell r="D500" t="str">
            <v>Receivables from  Abu Dhabi Distribution Company (ADDC)</v>
          </cell>
        </row>
        <row r="501">
          <cell r="B501">
            <v>122104</v>
          </cell>
          <cell r="C501" t="str">
            <v>Child</v>
          </cell>
          <cell r="D501" t="str">
            <v>Receivables from Al Marfa veg &amp; dates canning Factory</v>
          </cell>
        </row>
        <row r="502">
          <cell r="B502">
            <v>122105</v>
          </cell>
          <cell r="C502" t="str">
            <v>Child</v>
          </cell>
          <cell r="D502" t="str">
            <v>Receivables from Liwa Mizeira Hotel</v>
          </cell>
        </row>
        <row r="503">
          <cell r="B503">
            <v>122106</v>
          </cell>
          <cell r="C503" t="str">
            <v>Child</v>
          </cell>
          <cell r="D503" t="str">
            <v>SOE Receivable - Zayed Sports City</v>
          </cell>
        </row>
        <row r="504">
          <cell r="B504">
            <v>122107</v>
          </cell>
          <cell r="C504" t="str">
            <v>Child</v>
          </cell>
          <cell r="D504" t="str">
            <v>SOE Receivable - AD Nat'l Exhibitions Co</v>
          </cell>
        </row>
        <row r="505">
          <cell r="B505">
            <v>122108</v>
          </cell>
          <cell r="C505" t="str">
            <v>Child</v>
          </cell>
          <cell r="D505" t="str">
            <v>Abu Dhabi Airport Company</v>
          </cell>
        </row>
        <row r="506">
          <cell r="B506">
            <v>125000</v>
          </cell>
          <cell r="C506" t="str">
            <v>Parent</v>
          </cell>
          <cell r="D506" t="str">
            <v>Accrued revenues:</v>
          </cell>
        </row>
        <row r="507">
          <cell r="B507">
            <v>125100</v>
          </cell>
          <cell r="C507" t="str">
            <v>Parent</v>
          </cell>
          <cell r="D507" t="str">
            <v>Accrued interest receivable:</v>
          </cell>
        </row>
        <row r="508">
          <cell r="B508">
            <v>125110</v>
          </cell>
          <cell r="C508" t="str">
            <v>Child</v>
          </cell>
          <cell r="D508" t="str">
            <v>Accrued Interest on bank deposits</v>
          </cell>
        </row>
        <row r="509">
          <cell r="B509">
            <v>125120</v>
          </cell>
          <cell r="C509" t="str">
            <v>Child</v>
          </cell>
          <cell r="D509" t="str">
            <v>Accrued Loan interest</v>
          </cell>
        </row>
        <row r="510">
          <cell r="B510">
            <v>125190</v>
          </cell>
          <cell r="C510" t="str">
            <v>Child</v>
          </cell>
          <cell r="D510" t="str">
            <v>Accrued interest on “available for sale” investments</v>
          </cell>
        </row>
        <row r="511">
          <cell r="B511">
            <v>125200</v>
          </cell>
          <cell r="C511" t="str">
            <v>Parent</v>
          </cell>
          <cell r="D511" t="str">
            <v>Accrued  Dividends</v>
          </cell>
        </row>
        <row r="512">
          <cell r="B512">
            <v>125210</v>
          </cell>
          <cell r="C512" t="str">
            <v>Child</v>
          </cell>
          <cell r="D512" t="str">
            <v>Accrued dividends receivable</v>
          </cell>
        </row>
        <row r="513">
          <cell r="B513">
            <v>125910</v>
          </cell>
          <cell r="C513" t="str">
            <v>Child</v>
          </cell>
          <cell r="D513" t="str">
            <v>Other accrued revenues not mentioned elsewhere</v>
          </cell>
        </row>
        <row r="514">
          <cell r="B514">
            <v>126000</v>
          </cell>
          <cell r="C514" t="str">
            <v>Parent</v>
          </cell>
          <cell r="D514" t="str">
            <v>Recoverable Indirect Taxes and Customs duties</v>
          </cell>
        </row>
        <row r="515">
          <cell r="B515">
            <v>126120</v>
          </cell>
          <cell r="C515" t="str">
            <v>Child</v>
          </cell>
          <cell r="D515" t="str">
            <v>R C input VAT recoverable on Services</v>
          </cell>
        </row>
        <row r="516">
          <cell r="B516">
            <v>126130</v>
          </cell>
          <cell r="C516" t="str">
            <v>Child</v>
          </cell>
          <cell r="D516" t="str">
            <v>Reverse Charge input VAT recoverable on Goods</v>
          </cell>
        </row>
        <row r="517">
          <cell r="B517">
            <v>126140</v>
          </cell>
          <cell r="C517" t="str">
            <v>Child</v>
          </cell>
          <cell r="D517" t="str">
            <v>Input VAT apportionment</v>
          </cell>
        </row>
        <row r="518">
          <cell r="B518">
            <v>161118</v>
          </cell>
          <cell r="C518" t="str">
            <v>Child</v>
          </cell>
          <cell r="D518" t="str">
            <v>Equity - AD Ports Company</v>
          </cell>
        </row>
        <row r="519">
          <cell r="B519">
            <v>126150</v>
          </cell>
          <cell r="C519" t="str">
            <v>Child</v>
          </cell>
          <cell r="D519" t="str">
            <v>RC VAT Input apportionment on recoverable</v>
          </cell>
        </row>
        <row r="520">
          <cell r="B520">
            <v>128000</v>
          </cell>
          <cell r="C520" t="str">
            <v>Parent</v>
          </cell>
          <cell r="D520" t="str">
            <v>Receivable from Foreign Governments</v>
          </cell>
        </row>
        <row r="521">
          <cell r="B521">
            <v>128100</v>
          </cell>
          <cell r="C521" t="str">
            <v>Parent</v>
          </cell>
          <cell r="D521" t="str">
            <v>Customs Duty Receivable from GCC countries</v>
          </cell>
        </row>
        <row r="522">
          <cell r="B522">
            <v>128110</v>
          </cell>
          <cell r="C522" t="str">
            <v>Child</v>
          </cell>
          <cell r="D522" t="str">
            <v>Customs Duty receivable from Saudi Arabia</v>
          </cell>
        </row>
        <row r="523">
          <cell r="B523">
            <v>128120</v>
          </cell>
          <cell r="C523" t="str">
            <v>Child</v>
          </cell>
          <cell r="D523" t="str">
            <v>Customs Duty receivable from Bahrain</v>
          </cell>
        </row>
        <row r="524">
          <cell r="B524">
            <v>128130</v>
          </cell>
          <cell r="C524" t="str">
            <v>Child</v>
          </cell>
          <cell r="D524" t="str">
            <v>Customs Duty receivable from Kuwait</v>
          </cell>
        </row>
        <row r="525">
          <cell r="B525">
            <v>128140</v>
          </cell>
          <cell r="C525" t="str">
            <v>Child</v>
          </cell>
          <cell r="D525" t="str">
            <v>Customs Duty receivable from Oman</v>
          </cell>
        </row>
        <row r="526">
          <cell r="B526">
            <v>128150</v>
          </cell>
          <cell r="C526" t="str">
            <v>Child</v>
          </cell>
          <cell r="D526" t="str">
            <v>Customs Duty receivable from Qatar</v>
          </cell>
        </row>
        <row r="527">
          <cell r="B527">
            <v>161130</v>
          </cell>
          <cell r="C527" t="str">
            <v>Child</v>
          </cell>
          <cell r="D527" t="str">
            <v>Equity - IPIC</v>
          </cell>
        </row>
        <row r="528">
          <cell r="B528">
            <v>132010</v>
          </cell>
          <cell r="C528" t="str">
            <v>Child</v>
          </cell>
          <cell r="D528" t="str">
            <v>Prepayments - (Unidentified category)</v>
          </cell>
        </row>
        <row r="529">
          <cell r="B529">
            <v>132020</v>
          </cell>
          <cell r="C529" t="str">
            <v>Child</v>
          </cell>
          <cell r="D529" t="str">
            <v>Prepayments-Asset Cost (for setup)</v>
          </cell>
        </row>
        <row r="530">
          <cell r="B530">
            <v>132021</v>
          </cell>
          <cell r="C530" t="str">
            <v>Child</v>
          </cell>
          <cell r="D530" t="str">
            <v>Prepayments-Asset Clearing (for setup)</v>
          </cell>
        </row>
        <row r="531">
          <cell r="B531">
            <v>132100</v>
          </cell>
          <cell r="C531" t="str">
            <v>Parent</v>
          </cell>
          <cell r="D531" t="str">
            <v>Prepayments to employees:</v>
          </cell>
        </row>
        <row r="532">
          <cell r="B532">
            <v>132110</v>
          </cell>
          <cell r="C532" t="str">
            <v>Child</v>
          </cell>
          <cell r="D532" t="str">
            <v>Prepaid Motor vehicle grant to employees</v>
          </cell>
        </row>
        <row r="533">
          <cell r="B533">
            <v>132120</v>
          </cell>
          <cell r="C533" t="str">
            <v>Child</v>
          </cell>
          <cell r="D533" t="str">
            <v>Prepaid Furniture grant to employees</v>
          </cell>
        </row>
        <row r="534">
          <cell r="B534">
            <v>132130</v>
          </cell>
          <cell r="C534" t="str">
            <v>Child</v>
          </cell>
          <cell r="D534" t="str">
            <v>Prepaid Furniture maintenance grant to employees</v>
          </cell>
        </row>
        <row r="535">
          <cell r="B535">
            <v>132140</v>
          </cell>
          <cell r="C535" t="str">
            <v>Child</v>
          </cell>
          <cell r="D535" t="str">
            <v>Prepaid-Schooll fee reimbursement to employees</v>
          </cell>
        </row>
        <row r="536">
          <cell r="B536">
            <v>132190</v>
          </cell>
          <cell r="C536" t="str">
            <v>Child</v>
          </cell>
          <cell r="D536" t="str">
            <v>Prepayments to employees specifically not mentioned elsewhere</v>
          </cell>
        </row>
        <row r="537">
          <cell r="B537">
            <v>132210</v>
          </cell>
          <cell r="C537" t="str">
            <v>Child</v>
          </cell>
          <cell r="D537" t="str">
            <v>Prepaid Rent - Staff accommodation</v>
          </cell>
        </row>
        <row r="538">
          <cell r="B538">
            <v>132220</v>
          </cell>
          <cell r="C538" t="str">
            <v>Child</v>
          </cell>
          <cell r="D538" t="str">
            <v>Prepaid Rent -Business premises</v>
          </cell>
        </row>
        <row r="539">
          <cell r="B539">
            <v>132300</v>
          </cell>
          <cell r="C539" t="str">
            <v>Parent</v>
          </cell>
          <cell r="D539" t="str">
            <v>Pre-paid Insurance premium:</v>
          </cell>
        </row>
        <row r="540">
          <cell r="B540">
            <v>132310</v>
          </cell>
          <cell r="C540" t="str">
            <v>Child</v>
          </cell>
          <cell r="D540" t="str">
            <v>Pre-paid Insurance premium: Cash and fidelity</v>
          </cell>
        </row>
        <row r="541">
          <cell r="B541">
            <v>132320</v>
          </cell>
          <cell r="C541" t="str">
            <v>Child</v>
          </cell>
          <cell r="D541" t="str">
            <v>Pre-paid Insurance premium: Fire and allied perils</v>
          </cell>
        </row>
        <row r="542">
          <cell r="B542">
            <v>132340</v>
          </cell>
          <cell r="C542" t="str">
            <v>Child</v>
          </cell>
          <cell r="D542" t="str">
            <v>Pre-paid Insurance premium: Marine and aviation</v>
          </cell>
        </row>
        <row r="543">
          <cell r="B543">
            <v>132350</v>
          </cell>
          <cell r="C543" t="str">
            <v>Child</v>
          </cell>
          <cell r="D543" t="str">
            <v>Pre-paid Insurance premium: Motor vehicles</v>
          </cell>
        </row>
        <row r="544">
          <cell r="B544">
            <v>132360</v>
          </cell>
          <cell r="C544" t="str">
            <v>Child</v>
          </cell>
          <cell r="D544" t="str">
            <v>Pre-paid Insurance premium: Workman's compensation</v>
          </cell>
        </row>
        <row r="545">
          <cell r="B545">
            <v>132380</v>
          </cell>
          <cell r="C545" t="str">
            <v>Child</v>
          </cell>
          <cell r="D545" t="str">
            <v>Pre-paid Insurance premium: Medical (Health)</v>
          </cell>
        </row>
        <row r="546">
          <cell r="B546">
            <v>132390</v>
          </cell>
          <cell r="C546" t="str">
            <v>Child</v>
          </cell>
          <cell r="D546" t="str">
            <v>Pre-paid Insurance premium: Other risks not mentioned elsewhere</v>
          </cell>
        </row>
        <row r="547">
          <cell r="B547">
            <v>132411</v>
          </cell>
          <cell r="C547" t="str">
            <v>Child</v>
          </cell>
          <cell r="D547" t="str">
            <v>Pre-paid contract services</v>
          </cell>
        </row>
        <row r="548">
          <cell r="B548">
            <v>132910</v>
          </cell>
          <cell r="C548" t="str">
            <v>Child</v>
          </cell>
          <cell r="D548" t="str">
            <v>Other Pre-paid expenses  not mentioned elsewhere</v>
          </cell>
        </row>
        <row r="549">
          <cell r="B549">
            <v>133000</v>
          </cell>
          <cell r="C549" t="str">
            <v>Parent</v>
          </cell>
          <cell r="D549" t="str">
            <v>Deposits</v>
          </cell>
        </row>
        <row r="550">
          <cell r="B550">
            <v>133010</v>
          </cell>
          <cell r="C550" t="str">
            <v>Child</v>
          </cell>
          <cell r="D550" t="str">
            <v>Court deposits (for cases under litigation)</v>
          </cell>
        </row>
        <row r="551">
          <cell r="B551">
            <v>161616</v>
          </cell>
          <cell r="C551" t="str">
            <v>Child</v>
          </cell>
          <cell r="D551" t="str">
            <v>Corporate bonds</v>
          </cell>
        </row>
        <row r="552">
          <cell r="B552">
            <v>133020</v>
          </cell>
          <cell r="C552" t="str">
            <v>Child</v>
          </cell>
          <cell r="D552" t="str">
            <v>Petrol deposits (including coupon pre-purchase)</v>
          </cell>
        </row>
        <row r="553">
          <cell r="B553">
            <v>133030</v>
          </cell>
          <cell r="C553" t="str">
            <v>Child</v>
          </cell>
          <cell r="D553" t="str">
            <v>Telephone deposits</v>
          </cell>
        </row>
        <row r="554">
          <cell r="B554">
            <v>133040</v>
          </cell>
          <cell r="C554" t="str">
            <v>Child</v>
          </cell>
          <cell r="D554" t="str">
            <v>Water &amp; Electricity deposits</v>
          </cell>
        </row>
        <row r="555">
          <cell r="B555">
            <v>133090</v>
          </cell>
          <cell r="C555" t="str">
            <v>Child</v>
          </cell>
          <cell r="D555" t="str">
            <v>Other deposits not mentioned elsewhere</v>
          </cell>
        </row>
        <row r="556">
          <cell r="B556">
            <v>134000</v>
          </cell>
          <cell r="C556" t="str">
            <v>Parent</v>
          </cell>
          <cell r="D556" t="str">
            <v>Non-Financial Current Assets</v>
          </cell>
        </row>
        <row r="557">
          <cell r="B557">
            <v>134100</v>
          </cell>
          <cell r="C557" t="str">
            <v>Parent</v>
          </cell>
          <cell r="D557" t="str">
            <v xml:space="preserve">Inventories </v>
          </cell>
        </row>
        <row r="558">
          <cell r="B558">
            <v>134110</v>
          </cell>
          <cell r="C558" t="str">
            <v>Parent</v>
          </cell>
          <cell r="D558" t="str">
            <v>Material cost:</v>
          </cell>
        </row>
        <row r="559">
          <cell r="B559">
            <v>134111</v>
          </cell>
          <cell r="C559" t="str">
            <v>Child</v>
          </cell>
          <cell r="D559" t="str">
            <v>Material cost:Receipt (pre-inspection)</v>
          </cell>
        </row>
        <row r="560">
          <cell r="B560">
            <v>134112</v>
          </cell>
          <cell r="C560" t="str">
            <v>Child</v>
          </cell>
          <cell r="D560" t="str">
            <v>Material cost:Receipt (post-inspection)</v>
          </cell>
        </row>
        <row r="561">
          <cell r="B561">
            <v>134151</v>
          </cell>
          <cell r="C561" t="str">
            <v>Child</v>
          </cell>
          <cell r="D561" t="str">
            <v>Work-in-progress inventory</v>
          </cell>
        </row>
        <row r="562">
          <cell r="B562">
            <v>134161</v>
          </cell>
          <cell r="C562" t="str">
            <v>Child</v>
          </cell>
          <cell r="D562" t="str">
            <v>Consumable stores</v>
          </cell>
        </row>
        <row r="563">
          <cell r="B563">
            <v>134210</v>
          </cell>
          <cell r="C563" t="str">
            <v>Child</v>
          </cell>
          <cell r="D563" t="str">
            <v>Finished goods for sale</v>
          </cell>
        </row>
        <row r="564">
          <cell r="B564">
            <v>134220</v>
          </cell>
          <cell r="C564" t="str">
            <v>Child</v>
          </cell>
          <cell r="D564" t="str">
            <v xml:space="preserve">Trading - Stock-on-hand </v>
          </cell>
        </row>
        <row r="565">
          <cell r="B565">
            <v>134250</v>
          </cell>
          <cell r="C565" t="str">
            <v>Parent</v>
          </cell>
          <cell r="D565" t="str">
            <v>Strategic commodities:</v>
          </cell>
        </row>
        <row r="566">
          <cell r="B566">
            <v>134251</v>
          </cell>
          <cell r="C566" t="str">
            <v>Child</v>
          </cell>
          <cell r="D566" t="str">
            <v>Strategic commodities: Purchases</v>
          </cell>
        </row>
        <row r="567">
          <cell r="B567">
            <v>426215</v>
          </cell>
          <cell r="C567" t="str">
            <v>Child</v>
          </cell>
          <cell r="D567" t="str">
            <v>Residences</v>
          </cell>
        </row>
        <row r="568">
          <cell r="B568">
            <v>134252</v>
          </cell>
          <cell r="C568" t="str">
            <v>Child</v>
          </cell>
          <cell r="D568" t="str">
            <v>Strategic commodities: Sales/Distributions</v>
          </cell>
        </row>
        <row r="569">
          <cell r="B569">
            <v>134253</v>
          </cell>
          <cell r="C569" t="str">
            <v>Child</v>
          </cell>
          <cell r="D569" t="str">
            <v>Strategic commodities: Stocks</v>
          </cell>
        </row>
        <row r="570">
          <cell r="B570">
            <v>134261</v>
          </cell>
          <cell r="C570" t="str">
            <v>Child</v>
          </cell>
          <cell r="D570" t="str">
            <v>Inventory held for distribution</v>
          </cell>
        </row>
        <row r="571">
          <cell r="B571">
            <v>134270</v>
          </cell>
          <cell r="C571" t="str">
            <v>Parent</v>
          </cell>
          <cell r="D571" t="str">
            <v>Funded Inventories:</v>
          </cell>
        </row>
        <row r="572">
          <cell r="B572">
            <v>134271</v>
          </cell>
          <cell r="C572" t="str">
            <v>Child</v>
          </cell>
          <cell r="D572" t="str">
            <v>Inventories (funded)</v>
          </cell>
        </row>
        <row r="573">
          <cell r="B573">
            <v>134290</v>
          </cell>
          <cell r="C573" t="str">
            <v>Child</v>
          </cell>
          <cell r="D573" t="str">
            <v>Investment in inventories (Fund account)</v>
          </cell>
        </row>
        <row r="574">
          <cell r="B574">
            <v>134500</v>
          </cell>
          <cell r="C574" t="str">
            <v>Parent</v>
          </cell>
          <cell r="D574" t="str">
            <v>Other Inventories:</v>
          </cell>
        </row>
        <row r="575">
          <cell r="B575">
            <v>134510</v>
          </cell>
          <cell r="C575" t="str">
            <v>Child</v>
          </cell>
          <cell r="D575" t="str">
            <v>Other Inventories:Land and buildings held</v>
          </cell>
        </row>
        <row r="576">
          <cell r="B576">
            <v>134520</v>
          </cell>
          <cell r="C576" t="str">
            <v>Child</v>
          </cell>
          <cell r="D576" t="str">
            <v>Other non-current assets</v>
          </cell>
        </row>
        <row r="577">
          <cell r="B577">
            <v>135110</v>
          </cell>
          <cell r="C577" t="str">
            <v>Child</v>
          </cell>
          <cell r="D577" t="str">
            <v>Plant, machinery and equipment  held for sale</v>
          </cell>
        </row>
        <row r="578">
          <cell r="B578">
            <v>150100</v>
          </cell>
          <cell r="C578" t="str">
            <v>Parent</v>
          </cell>
          <cell r="D578" t="str">
            <v>Cash &amp; cash equivalents: Long-term cash deposits - Unrestricted:</v>
          </cell>
        </row>
        <row r="579">
          <cell r="B579">
            <v>150101</v>
          </cell>
          <cell r="C579" t="str">
            <v>Child</v>
          </cell>
          <cell r="D579" t="str">
            <v>Bank/Account No.1 - AED Long-Term Deposit Acct - Unrestricted</v>
          </cell>
        </row>
        <row r="580">
          <cell r="B580">
            <v>151000</v>
          </cell>
          <cell r="C580" t="str">
            <v>Parent</v>
          </cell>
          <cell r="D580" t="str">
            <v xml:space="preserve">Long-term cash deposits - Restricted. </v>
          </cell>
        </row>
        <row r="581">
          <cell r="B581">
            <v>163314</v>
          </cell>
          <cell r="C581" t="str">
            <v>Child</v>
          </cell>
          <cell r="D581" t="str">
            <v>Loans - Nat'l Corp for Tourism &amp; Hotels</v>
          </cell>
        </row>
        <row r="582">
          <cell r="B582">
            <v>151101</v>
          </cell>
          <cell r="C582" t="str">
            <v>Child</v>
          </cell>
          <cell r="D582" t="str">
            <v>Bank/Account No.1 - AED Long-Term Restricted Deposit Acct</v>
          </cell>
        </row>
        <row r="583">
          <cell r="B583">
            <v>151148</v>
          </cell>
          <cell r="C583" t="str">
            <v>Child</v>
          </cell>
          <cell r="D583" t="str">
            <v>Bank/Account No.1 - USD Long-Term Restricted Deposit Acct</v>
          </cell>
        </row>
        <row r="584">
          <cell r="B584">
            <v>151548</v>
          </cell>
          <cell r="C584" t="str">
            <v>Child</v>
          </cell>
          <cell r="D584" t="str">
            <v>Long-term USD Deposits in Foreign Countries (TDF use only)</v>
          </cell>
        </row>
        <row r="585">
          <cell r="B585">
            <v>151999</v>
          </cell>
          <cell r="C585" t="str">
            <v>Child</v>
          </cell>
          <cell r="D585" t="str">
            <v>Fund Account - Long term Cash Deposits</v>
          </cell>
        </row>
        <row r="586">
          <cell r="B586">
            <v>161102</v>
          </cell>
          <cell r="C586" t="str">
            <v>Child</v>
          </cell>
          <cell r="D586" t="str">
            <v>Equity - ADIC</v>
          </cell>
        </row>
        <row r="587">
          <cell r="B587">
            <v>161103</v>
          </cell>
          <cell r="C587" t="str">
            <v>Child</v>
          </cell>
          <cell r="D587" t="str">
            <v>Equity - Mubadala</v>
          </cell>
        </row>
        <row r="588">
          <cell r="B588">
            <v>172800</v>
          </cell>
          <cell r="C588" t="str">
            <v>Parent</v>
          </cell>
          <cell r="D588" t="str">
            <v>Capital Leases:</v>
          </cell>
        </row>
        <row r="589">
          <cell r="B589">
            <v>161104</v>
          </cell>
          <cell r="C589" t="str">
            <v>Child</v>
          </cell>
          <cell r="D589" t="str">
            <v>Equity - A.D. Development Holding PJSC (ADQ )</v>
          </cell>
        </row>
        <row r="590">
          <cell r="B590">
            <v>161111</v>
          </cell>
          <cell r="C590" t="str">
            <v>Child</v>
          </cell>
          <cell r="D590" t="str">
            <v>Equity - AD Airports Co</v>
          </cell>
        </row>
        <row r="591">
          <cell r="B591">
            <v>161113</v>
          </cell>
          <cell r="C591" t="str">
            <v>Child</v>
          </cell>
          <cell r="D591" t="str">
            <v>Equity - Musanda</v>
          </cell>
        </row>
        <row r="592">
          <cell r="B592">
            <v>161115</v>
          </cell>
          <cell r="C592" t="str">
            <v>Child</v>
          </cell>
          <cell r="D592" t="str">
            <v>Equity - AD Media Co</v>
          </cell>
        </row>
        <row r="593">
          <cell r="B593">
            <v>161116</v>
          </cell>
          <cell r="C593" t="str">
            <v>Child</v>
          </cell>
          <cell r="D593" t="str">
            <v>Equity - ADNEC</v>
          </cell>
        </row>
        <row r="594">
          <cell r="B594">
            <v>161119</v>
          </cell>
          <cell r="C594" t="str">
            <v>Child</v>
          </cell>
          <cell r="D594" t="str">
            <v>Equity - AD Sewerage Services Co</v>
          </cell>
        </row>
        <row r="595">
          <cell r="B595">
            <v>161121</v>
          </cell>
          <cell r="C595" t="str">
            <v>Child</v>
          </cell>
          <cell r="D595" t="str">
            <v>Equity - ADWEA</v>
          </cell>
        </row>
        <row r="596">
          <cell r="B596">
            <v>161122</v>
          </cell>
          <cell r="C596" t="str">
            <v>Child</v>
          </cell>
          <cell r="D596" t="str">
            <v>Equity - Emirates Co for Driving</v>
          </cell>
        </row>
        <row r="597">
          <cell r="B597">
            <v>161123</v>
          </cell>
          <cell r="C597" t="str">
            <v>Child</v>
          </cell>
          <cell r="D597" t="str">
            <v>Equity - ENEC</v>
          </cell>
        </row>
        <row r="598">
          <cell r="B598">
            <v>161124</v>
          </cell>
          <cell r="C598" t="str">
            <v>Child</v>
          </cell>
          <cell r="D598" t="str">
            <v>Equity - Emirates Palace Co</v>
          </cell>
        </row>
        <row r="599">
          <cell r="B599">
            <v>161125</v>
          </cell>
          <cell r="C599" t="str">
            <v>Child</v>
          </cell>
          <cell r="D599" t="str">
            <v>Equity - Etihad Aviation Group (Etihad Airways)</v>
          </cell>
        </row>
        <row r="600">
          <cell r="B600">
            <v>161126</v>
          </cell>
          <cell r="C600" t="str">
            <v>Child</v>
          </cell>
          <cell r="D600" t="str">
            <v>Equity - Etihad Rail</v>
          </cell>
        </row>
        <row r="601">
          <cell r="B601">
            <v>161127</v>
          </cell>
          <cell r="C601" t="str">
            <v>Child</v>
          </cell>
          <cell r="D601" t="str">
            <v>Equity - Fujairah Cement Industries</v>
          </cell>
        </row>
        <row r="602">
          <cell r="B602">
            <v>161128</v>
          </cell>
          <cell r="C602" t="str">
            <v>Child</v>
          </cell>
          <cell r="D602" t="str">
            <v>Equity - General Holding Corp</v>
          </cell>
        </row>
        <row r="603">
          <cell r="B603">
            <v>161132</v>
          </cell>
          <cell r="C603" t="str">
            <v>Child</v>
          </cell>
          <cell r="D603" t="str">
            <v>Equity - Daman Nat'l Insurance</v>
          </cell>
        </row>
        <row r="604">
          <cell r="B604">
            <v>161133</v>
          </cell>
          <cell r="C604" t="str">
            <v>Child</v>
          </cell>
          <cell r="D604" t="str">
            <v>Equity - NMDC</v>
          </cell>
        </row>
        <row r="605">
          <cell r="B605">
            <v>161134</v>
          </cell>
          <cell r="C605" t="str">
            <v>Child</v>
          </cell>
          <cell r="D605" t="str">
            <v>Equity - Qatar/AD Investment Fund</v>
          </cell>
        </row>
        <row r="606">
          <cell r="B606">
            <v>161135</v>
          </cell>
          <cell r="C606" t="str">
            <v>Child</v>
          </cell>
          <cell r="D606" t="str">
            <v>Equity - Oman Aluminium Smelter Co</v>
          </cell>
        </row>
        <row r="607">
          <cell r="B607">
            <v>161137</v>
          </cell>
          <cell r="C607" t="str">
            <v>Child</v>
          </cell>
          <cell r="D607" t="str">
            <v>Equity - UAE Development Bank</v>
          </cell>
        </row>
        <row r="608">
          <cell r="B608">
            <v>161138</v>
          </cell>
          <cell r="C608" t="str">
            <v>Child</v>
          </cell>
          <cell r="D608" t="str">
            <v>Equity - Zayed Sports City</v>
          </cell>
        </row>
        <row r="609">
          <cell r="B609">
            <v>161139</v>
          </cell>
          <cell r="C609" t="str">
            <v>Child</v>
          </cell>
          <cell r="D609" t="str">
            <v>Equity - Royal Jet</v>
          </cell>
        </row>
        <row r="610">
          <cell r="B610">
            <v>161141</v>
          </cell>
          <cell r="C610" t="str">
            <v>Child</v>
          </cell>
          <cell r="D610" t="str">
            <v>Equity Participation - Al Etihad Export Credit Guarantee Company</v>
          </cell>
        </row>
        <row r="611">
          <cell r="B611">
            <v>161144</v>
          </cell>
          <cell r="C611" t="str">
            <v>Child</v>
          </cell>
          <cell r="D611" t="str">
            <v>Equity - Modon Properties</v>
          </cell>
        </row>
        <row r="612">
          <cell r="B612">
            <v>161145</v>
          </cell>
          <cell r="C612" t="str">
            <v>Child</v>
          </cell>
          <cell r="D612" t="str">
            <v>Equity - EDGE</v>
          </cell>
        </row>
        <row r="613">
          <cell r="B613">
            <v>161150</v>
          </cell>
          <cell r="C613" t="str">
            <v>Child</v>
          </cell>
          <cell r="D613" t="str">
            <v>Equity - Q Market Makers</v>
          </cell>
        </row>
        <row r="614">
          <cell r="B614">
            <v>161161</v>
          </cell>
          <cell r="C614" t="str">
            <v>Child</v>
          </cell>
          <cell r="D614" t="str">
            <v>Equity – Fount</v>
          </cell>
        </row>
        <row r="615">
          <cell r="B615">
            <v>161162</v>
          </cell>
          <cell r="C615" t="str">
            <v>Child</v>
          </cell>
          <cell r="D615" t="str">
            <v>Equity – Abu Dhabi Advanced Motors</v>
          </cell>
        </row>
        <row r="616">
          <cell r="B616">
            <v>161164</v>
          </cell>
          <cell r="C616" t="str">
            <v>Child</v>
          </cell>
          <cell r="D616" t="str">
            <v>Equity - Al Ain University for Science &amp; Tech.</v>
          </cell>
        </row>
        <row r="617">
          <cell r="B617">
            <v>161165</v>
          </cell>
          <cell r="C617" t="str">
            <v>Child</v>
          </cell>
          <cell r="D617" t="str">
            <v>Equity - Khalifa Humanitarian Foundation</v>
          </cell>
        </row>
        <row r="618">
          <cell r="B618">
            <v>170010</v>
          </cell>
          <cell r="C618" t="str">
            <v>Parent</v>
          </cell>
          <cell r="D618" t="str">
            <v xml:space="preserve">Tangible Fixed Assets </v>
          </cell>
        </row>
        <row r="619">
          <cell r="B619">
            <v>161166</v>
          </cell>
          <cell r="C619" t="str">
            <v>Child</v>
          </cell>
          <cell r="D619" t="str">
            <v>Equity - Khalifa Fund for Enterprise Development</v>
          </cell>
        </row>
        <row r="620">
          <cell r="B620">
            <v>161167</v>
          </cell>
          <cell r="C620" t="str">
            <v>Child</v>
          </cell>
          <cell r="D620" t="str">
            <v>Equity - Zayed Charitable Foundation</v>
          </cell>
        </row>
        <row r="621">
          <cell r="B621">
            <v>161411</v>
          </cell>
          <cell r="C621" t="str">
            <v>Child</v>
          </cell>
          <cell r="D621" t="str">
            <v>Equity – Stimulus related investments</v>
          </cell>
        </row>
        <row r="622">
          <cell r="B622">
            <v>161580</v>
          </cell>
          <cell r="C622" t="str">
            <v>Child</v>
          </cell>
          <cell r="D622" t="str">
            <v>Equity-GBEs (pre-2014 acct) - list of 8 departmental enterprises</v>
          </cell>
        </row>
        <row r="623">
          <cell r="B623">
            <v>161590</v>
          </cell>
          <cell r="C623" t="str">
            <v>Child</v>
          </cell>
          <cell r="D623" t="str">
            <v>Fund-GBE Equity (pre-2014 acct) list of 8 departmental enterprises</v>
          </cell>
        </row>
        <row r="624">
          <cell r="B624">
            <v>161599</v>
          </cell>
          <cell r="C624" t="str">
            <v>Child</v>
          </cell>
          <cell r="D624" t="str">
            <v>Fund - All GBEs &amp; NPIS Equity</v>
          </cell>
        </row>
        <row r="625">
          <cell r="B625">
            <v>161600</v>
          </cell>
          <cell r="C625" t="str">
            <v>Parent</v>
          </cell>
          <cell r="D625" t="str">
            <v>Bonds and Cash Investments:</v>
          </cell>
        </row>
        <row r="626">
          <cell r="B626">
            <v>161610</v>
          </cell>
          <cell r="C626" t="str">
            <v>Parent</v>
          </cell>
          <cell r="D626" t="str">
            <v>Bonds:</v>
          </cell>
        </row>
        <row r="627">
          <cell r="B627">
            <v>161611</v>
          </cell>
          <cell r="C627" t="str">
            <v>Child</v>
          </cell>
          <cell r="D627" t="str">
            <v>Foreign Government bonds</v>
          </cell>
        </row>
        <row r="628">
          <cell r="B628">
            <v>161699</v>
          </cell>
          <cell r="C628" t="str">
            <v>Child</v>
          </cell>
          <cell r="D628" t="str">
            <v>Fund – Investments in Bonds</v>
          </cell>
        </row>
        <row r="629">
          <cell r="B629">
            <v>161710</v>
          </cell>
          <cell r="C629" t="str">
            <v>Parent</v>
          </cell>
          <cell r="D629" t="str">
            <v>Capital notes:</v>
          </cell>
        </row>
        <row r="630">
          <cell r="B630">
            <v>161711</v>
          </cell>
          <cell r="C630" t="str">
            <v>Child</v>
          </cell>
          <cell r="D630" t="str">
            <v>Capital notes:NBAD</v>
          </cell>
        </row>
        <row r="631">
          <cell r="B631">
            <v>161712</v>
          </cell>
          <cell r="C631" t="str">
            <v>Child</v>
          </cell>
          <cell r="D631" t="str">
            <v>Capital notes:ADCB</v>
          </cell>
        </row>
        <row r="632">
          <cell r="B632">
            <v>161713</v>
          </cell>
          <cell r="C632" t="str">
            <v>Child</v>
          </cell>
          <cell r="D632" t="str">
            <v>Capital notes:UNB</v>
          </cell>
        </row>
        <row r="633">
          <cell r="B633">
            <v>161714</v>
          </cell>
          <cell r="C633" t="str">
            <v>Child</v>
          </cell>
          <cell r="D633" t="str">
            <v>Capital notes:ADIB</v>
          </cell>
        </row>
        <row r="634">
          <cell r="B634">
            <v>161715</v>
          </cell>
          <cell r="C634" t="str">
            <v>Child</v>
          </cell>
          <cell r="D634" t="str">
            <v>Capital notes:FGB</v>
          </cell>
        </row>
        <row r="635">
          <cell r="B635">
            <v>161731</v>
          </cell>
          <cell r="C635" t="str">
            <v>Child</v>
          </cell>
          <cell r="D635" t="str">
            <v>Investments - Shares and other securities</v>
          </cell>
        </row>
        <row r="636">
          <cell r="B636">
            <v>161734</v>
          </cell>
          <cell r="C636" t="str">
            <v>Child</v>
          </cell>
          <cell r="D636" t="str">
            <v>Investment in equity of associates</v>
          </cell>
        </row>
        <row r="637">
          <cell r="B637">
            <v>161737</v>
          </cell>
          <cell r="C637" t="str">
            <v>Child</v>
          </cell>
          <cell r="D637" t="str">
            <v>Cash Investments</v>
          </cell>
        </row>
        <row r="638">
          <cell r="B638">
            <v>163111</v>
          </cell>
          <cell r="C638" t="str">
            <v>Child</v>
          </cell>
          <cell r="D638" t="str">
            <v>Loans - A D Airports Co</v>
          </cell>
        </row>
        <row r="639">
          <cell r="B639">
            <v>163115</v>
          </cell>
          <cell r="C639" t="str">
            <v>Child</v>
          </cell>
          <cell r="D639" t="str">
            <v>Loans - A D Media Co</v>
          </cell>
        </row>
        <row r="640">
          <cell r="B640">
            <v>163116</v>
          </cell>
          <cell r="C640" t="str">
            <v>Child</v>
          </cell>
          <cell r="D640" t="str">
            <v>Loans - ADNEC</v>
          </cell>
        </row>
        <row r="641">
          <cell r="B641">
            <v>163118</v>
          </cell>
          <cell r="C641" t="str">
            <v>Child</v>
          </cell>
          <cell r="D641" t="str">
            <v>Loans - A D Ports Company</v>
          </cell>
        </row>
        <row r="642">
          <cell r="B642">
            <v>163121</v>
          </cell>
          <cell r="C642" t="str">
            <v>Child</v>
          </cell>
          <cell r="D642" t="str">
            <v>Loans - ADWEA</v>
          </cell>
        </row>
        <row r="643">
          <cell r="B643">
            <v>163123</v>
          </cell>
          <cell r="C643" t="str">
            <v>Child</v>
          </cell>
          <cell r="D643" t="str">
            <v>Loans - ENEC</v>
          </cell>
        </row>
        <row r="644">
          <cell r="B644">
            <v>163125</v>
          </cell>
          <cell r="C644" t="str">
            <v>Child</v>
          </cell>
          <cell r="D644" t="str">
            <v>Loans - Etihad Aviation Group (Etihad Airways)</v>
          </cell>
        </row>
        <row r="645">
          <cell r="B645">
            <v>163126</v>
          </cell>
          <cell r="C645" t="str">
            <v>Child</v>
          </cell>
          <cell r="D645" t="str">
            <v>Loans - Etihad Rail</v>
          </cell>
        </row>
        <row r="646">
          <cell r="B646">
            <v>163129</v>
          </cell>
          <cell r="C646" t="str">
            <v>Child</v>
          </cell>
          <cell r="D646" t="str">
            <v>Loans - ZonesCorp</v>
          </cell>
        </row>
        <row r="647">
          <cell r="B647">
            <v>163131</v>
          </cell>
          <cell r="C647" t="str">
            <v>Child</v>
          </cell>
          <cell r="D647" t="str">
            <v>Loans - Mubadala</v>
          </cell>
        </row>
        <row r="648">
          <cell r="B648">
            <v>163136</v>
          </cell>
          <cell r="C648" t="str">
            <v>Child</v>
          </cell>
          <cell r="D648" t="str">
            <v>Loans - TDIC</v>
          </cell>
        </row>
        <row r="649">
          <cell r="B649">
            <v>163139</v>
          </cell>
          <cell r="C649" t="str">
            <v>Child</v>
          </cell>
          <cell r="D649" t="str">
            <v>Loans - Royal Jet</v>
          </cell>
        </row>
        <row r="650">
          <cell r="B650">
            <v>163142</v>
          </cell>
          <cell r="C650" t="str">
            <v>Child</v>
          </cell>
          <cell r="D650" t="str">
            <v>Loans - Barakah One Company PJSC</v>
          </cell>
        </row>
        <row r="651">
          <cell r="B651">
            <v>163290</v>
          </cell>
          <cell r="C651" t="str">
            <v>Child</v>
          </cell>
          <cell r="D651" t="str">
            <v>Fund-Loans to Government Institutions</v>
          </cell>
        </row>
        <row r="652">
          <cell r="B652">
            <v>163300</v>
          </cell>
          <cell r="C652" t="str">
            <v>Parent</v>
          </cell>
          <cell r="D652" t="str">
            <v>Loans to Non-Govt Institutions:</v>
          </cell>
        </row>
        <row r="653">
          <cell r="B653">
            <v>163311</v>
          </cell>
          <cell r="C653" t="str">
            <v>Child</v>
          </cell>
          <cell r="D653" t="str">
            <v>Loans - Aabar Investments</v>
          </cell>
        </row>
        <row r="654">
          <cell r="B654">
            <v>163312</v>
          </cell>
          <cell r="C654" t="str">
            <v>Child</v>
          </cell>
          <cell r="D654" t="str">
            <v>Loans - AD Aircraft Technologies (ex-GAMCO)</v>
          </cell>
        </row>
        <row r="655">
          <cell r="B655">
            <v>163313</v>
          </cell>
          <cell r="C655" t="str">
            <v>Child</v>
          </cell>
          <cell r="D655" t="str">
            <v>Loans - ADCB</v>
          </cell>
        </row>
        <row r="656">
          <cell r="B656">
            <v>163315</v>
          </cell>
          <cell r="C656" t="str">
            <v>Child</v>
          </cell>
          <cell r="D656" t="str">
            <v>Loans - Nat'l Investment Corp</v>
          </cell>
        </row>
        <row r="657">
          <cell r="B657">
            <v>163316</v>
          </cell>
          <cell r="C657" t="str">
            <v>Child</v>
          </cell>
          <cell r="D657" t="str">
            <v>Loans - Oman &amp; Emirates Investments Holding Company</v>
          </cell>
        </row>
        <row r="658">
          <cell r="B658">
            <v>163317</v>
          </cell>
          <cell r="C658" t="str">
            <v>Child</v>
          </cell>
          <cell r="D658" t="str">
            <v>Loans - Tanqia Freezone Co</v>
          </cell>
        </row>
        <row r="659">
          <cell r="B659">
            <v>163318</v>
          </cell>
          <cell r="C659" t="str">
            <v>Child</v>
          </cell>
          <cell r="D659" t="str">
            <v>Loans – National Companies to ADFD</v>
          </cell>
        </row>
        <row r="660">
          <cell r="B660">
            <v>163319</v>
          </cell>
          <cell r="C660" t="str">
            <v>Child</v>
          </cell>
          <cell r="D660" t="str">
            <v>Loans - Al Najah Private School</v>
          </cell>
        </row>
        <row r="661">
          <cell r="B661">
            <v>163320</v>
          </cell>
          <cell r="C661" t="str">
            <v>Child</v>
          </cell>
          <cell r="D661" t="str">
            <v>Loans - The British School - Al Khubairat</v>
          </cell>
        </row>
        <row r="662">
          <cell r="B662">
            <v>163321</v>
          </cell>
          <cell r="C662" t="str">
            <v>Child</v>
          </cell>
          <cell r="D662" t="str">
            <v>Loans - AD Cricket Club</v>
          </cell>
        </row>
        <row r="663">
          <cell r="B663">
            <v>163390</v>
          </cell>
          <cell r="C663" t="str">
            <v>Child</v>
          </cell>
          <cell r="D663" t="str">
            <v>Funding - Non-Govt-owned Orgs</v>
          </cell>
        </row>
        <row r="664">
          <cell r="B664">
            <v>163410</v>
          </cell>
          <cell r="C664" t="str">
            <v>Parent</v>
          </cell>
          <cell r="D664" t="str">
            <v>Loans-Comm Bldg owners</v>
          </cell>
        </row>
        <row r="665">
          <cell r="B665">
            <v>163411</v>
          </cell>
          <cell r="C665" t="str">
            <v>Child</v>
          </cell>
          <cell r="D665" t="str">
            <v>Loans-CBD owners(Govt-managed)</v>
          </cell>
        </row>
        <row r="666">
          <cell r="B666">
            <v>163412</v>
          </cell>
          <cell r="C666" t="str">
            <v>Child</v>
          </cell>
          <cell r="D666" t="str">
            <v>Loans-Collateral Finance</v>
          </cell>
        </row>
        <row r="667">
          <cell r="B667">
            <v>163413</v>
          </cell>
          <cell r="C667" t="str">
            <v>Child</v>
          </cell>
          <cell r="D667" t="str">
            <v>Impact of present value discount on CB loans</v>
          </cell>
        </row>
        <row r="668">
          <cell r="B668">
            <v>163450</v>
          </cell>
          <cell r="C668" t="str">
            <v>Parent</v>
          </cell>
          <cell r="D668" t="str">
            <v>Loans-Housing Loans:</v>
          </cell>
        </row>
        <row r="669">
          <cell r="B669">
            <v>163451</v>
          </cell>
          <cell r="C669" t="str">
            <v>Child</v>
          </cell>
          <cell r="D669" t="str">
            <v>Loans-Housing Loans (Govt-mngt)</v>
          </cell>
        </row>
        <row r="670">
          <cell r="B670">
            <v>163452</v>
          </cell>
          <cell r="C670" t="str">
            <v>Child</v>
          </cell>
          <cell r="D670" t="str">
            <v>Loans-Housing Loans (FGB managed)</v>
          </cell>
        </row>
        <row r="671">
          <cell r="B671">
            <v>163499</v>
          </cell>
          <cell r="C671" t="str">
            <v>Child</v>
          </cell>
          <cell r="D671" t="str">
            <v>Fund-Commercial Buildings and Housing Loans</v>
          </cell>
        </row>
        <row r="672">
          <cell r="B672">
            <v>163511</v>
          </cell>
          <cell r="C672" t="str">
            <v>Child</v>
          </cell>
          <cell r="D672" t="str">
            <v>Loans-Related Parties(non-funded)</v>
          </cell>
        </row>
        <row r="673">
          <cell r="B673">
            <v>163551</v>
          </cell>
          <cell r="C673" t="str">
            <v>Child</v>
          </cell>
          <cell r="D673" t="str">
            <v>Loans-Farmers(non-funded)</v>
          </cell>
        </row>
        <row r="674">
          <cell r="B674">
            <v>163552</v>
          </cell>
          <cell r="C674" t="str">
            <v>Child</v>
          </cell>
          <cell r="D674" t="str">
            <v>Loans-Shop owners(non-funded)</v>
          </cell>
        </row>
        <row r="675">
          <cell r="B675">
            <v>163600</v>
          </cell>
          <cell r="C675" t="str">
            <v>Parent</v>
          </cell>
          <cell r="D675" t="str">
            <v>Loans to UAE Governments</v>
          </cell>
        </row>
        <row r="676">
          <cell r="B676">
            <v>163611</v>
          </cell>
          <cell r="C676" t="str">
            <v>Child</v>
          </cell>
          <cell r="D676" t="str">
            <v>Loans to Sharjah</v>
          </cell>
        </row>
        <row r="677">
          <cell r="B677">
            <v>163612</v>
          </cell>
          <cell r="C677" t="str">
            <v>Child</v>
          </cell>
          <cell r="D677" t="str">
            <v>Loans to Ajman</v>
          </cell>
        </row>
        <row r="678">
          <cell r="B678">
            <v>163613</v>
          </cell>
          <cell r="C678" t="str">
            <v>Child</v>
          </cell>
          <cell r="D678" t="str">
            <v>Loans to Dubai</v>
          </cell>
        </row>
        <row r="679">
          <cell r="B679">
            <v>163616</v>
          </cell>
          <cell r="C679" t="str">
            <v>Child</v>
          </cell>
          <cell r="D679" t="str">
            <v>Loans to Umm al Qawain</v>
          </cell>
        </row>
        <row r="680">
          <cell r="B680">
            <v>163631</v>
          </cell>
          <cell r="C680" t="str">
            <v>Child</v>
          </cell>
          <cell r="D680" t="str">
            <v>Loans – UAE Ministry of Finance</v>
          </cell>
        </row>
        <row r="681">
          <cell r="B681">
            <v>163632</v>
          </cell>
          <cell r="C681" t="str">
            <v>Child</v>
          </cell>
          <cell r="D681" t="str">
            <v>Loans - UAE Min of Foreign Affrs</v>
          </cell>
        </row>
        <row r="682">
          <cell r="B682">
            <v>163699</v>
          </cell>
          <cell r="C682" t="str">
            <v>Child</v>
          </cell>
          <cell r="D682" t="str">
            <v>Funding - Loans to Domestic Govts/Emirates</v>
          </cell>
        </row>
        <row r="683">
          <cell r="B683">
            <v>165048</v>
          </cell>
          <cell r="C683" t="str">
            <v>Child</v>
          </cell>
          <cell r="D683" t="str">
            <v>Loans-Bahrain</v>
          </cell>
        </row>
        <row r="684">
          <cell r="B684">
            <v>165050</v>
          </cell>
          <cell r="C684" t="str">
            <v>Child</v>
          </cell>
          <cell r="D684" t="str">
            <v>Loans-Bangladesh</v>
          </cell>
        </row>
        <row r="685">
          <cell r="B685">
            <v>165112</v>
          </cell>
          <cell r="C685" t="str">
            <v>Child</v>
          </cell>
          <cell r="D685" t="str">
            <v>Loans-Belarus</v>
          </cell>
        </row>
        <row r="686">
          <cell r="B686">
            <v>165180</v>
          </cell>
          <cell r="C686" t="str">
            <v>Child</v>
          </cell>
          <cell r="D686" t="str">
            <v>Loans-Demo Rep of Congo (ex-Zaire)</v>
          </cell>
        </row>
        <row r="687">
          <cell r="B687">
            <v>165400</v>
          </cell>
          <cell r="C687" t="str">
            <v>Child</v>
          </cell>
          <cell r="D687" t="str">
            <v>Loans-Jordan</v>
          </cell>
        </row>
        <row r="688">
          <cell r="B688">
            <v>165422</v>
          </cell>
          <cell r="C688" t="str">
            <v>Child</v>
          </cell>
          <cell r="D688" t="str">
            <v>Loans-Lebanon</v>
          </cell>
        </row>
        <row r="689">
          <cell r="B689">
            <v>165434</v>
          </cell>
          <cell r="C689" t="str">
            <v>Child</v>
          </cell>
          <cell r="D689" t="str">
            <v>Loans-Libya</v>
          </cell>
        </row>
        <row r="690">
          <cell r="B690">
            <v>165586</v>
          </cell>
          <cell r="C690" t="str">
            <v>Child</v>
          </cell>
          <cell r="D690" t="str">
            <v>Loans-Pakistan</v>
          </cell>
        </row>
        <row r="691">
          <cell r="B691">
            <v>165624</v>
          </cell>
          <cell r="C691" t="str">
            <v>Child</v>
          </cell>
          <cell r="D691" t="str">
            <v>Loans-Guinea Bissau</v>
          </cell>
        </row>
        <row r="692">
          <cell r="B692">
            <v>165686</v>
          </cell>
          <cell r="C692" t="str">
            <v>Child</v>
          </cell>
          <cell r="D692" t="str">
            <v>Loans-Senegal</v>
          </cell>
        </row>
        <row r="693">
          <cell r="B693">
            <v>165690</v>
          </cell>
          <cell r="C693" t="str">
            <v>Child</v>
          </cell>
          <cell r="D693" t="str">
            <v>Loans-Seychelles</v>
          </cell>
        </row>
        <row r="694">
          <cell r="B694">
            <v>165706</v>
          </cell>
          <cell r="C694" t="str">
            <v>Child</v>
          </cell>
          <cell r="D694" t="str">
            <v>Loans-Somalia</v>
          </cell>
        </row>
        <row r="695">
          <cell r="B695">
            <v>165729</v>
          </cell>
          <cell r="C695" t="str">
            <v>Child</v>
          </cell>
          <cell r="D695" t="str">
            <v>Loans-Sudan</v>
          </cell>
        </row>
        <row r="696">
          <cell r="B696">
            <v>165788</v>
          </cell>
          <cell r="C696" t="str">
            <v>Child</v>
          </cell>
          <cell r="D696" t="str">
            <v>Loans-Tunisia</v>
          </cell>
        </row>
        <row r="697">
          <cell r="B697">
            <v>165818</v>
          </cell>
          <cell r="C697" t="str">
            <v>Child</v>
          </cell>
          <cell r="D697" t="str">
            <v>Loans-Egypt</v>
          </cell>
        </row>
        <row r="698">
          <cell r="B698">
            <v>165990</v>
          </cell>
          <cell r="C698" t="str">
            <v>Child</v>
          </cell>
          <cell r="D698" t="str">
            <v>Funding- Foreign Loans</v>
          </cell>
        </row>
        <row r="699">
          <cell r="B699">
            <v>165999</v>
          </cell>
          <cell r="C699" t="str">
            <v>Child</v>
          </cell>
          <cell r="D699" t="str">
            <v>Provision for Doubtful Debts - Loans</v>
          </cell>
        </row>
        <row r="700">
          <cell r="B700">
            <v>170100</v>
          </cell>
          <cell r="C700" t="str">
            <v>Parent</v>
          </cell>
          <cell r="D700" t="str">
            <v>Fixed Assets:Common setup accounts</v>
          </cell>
        </row>
        <row r="701">
          <cell r="B701">
            <v>170110</v>
          </cell>
          <cell r="C701" t="str">
            <v>Child</v>
          </cell>
          <cell r="D701" t="str">
            <v>Cost of removal - Clearing (all categories for setup acct for accrual)</v>
          </cell>
        </row>
        <row r="702">
          <cell r="B702">
            <v>170120</v>
          </cell>
          <cell r="C702" t="str">
            <v>Child</v>
          </cell>
          <cell r="D702" t="str">
            <v>Proceeds of sale - Clearing(all categories for setup acct for accrual)</v>
          </cell>
        </row>
        <row r="703">
          <cell r="B703">
            <v>174620</v>
          </cell>
          <cell r="C703" t="str">
            <v>Child</v>
          </cell>
          <cell r="D703" t="str">
            <v>Sea Ports-Asset cost</v>
          </cell>
        </row>
        <row r="704">
          <cell r="B704">
            <v>170130</v>
          </cell>
          <cell r="C704" t="str">
            <v>Child</v>
          </cell>
          <cell r="D704" t="str">
            <v>Deferred depreciation - Expense and Reserve Accts (all categories for setup acct for accrual)</v>
          </cell>
        </row>
        <row r="705">
          <cell r="B705">
            <v>170140</v>
          </cell>
          <cell r="C705" t="str">
            <v>Child</v>
          </cell>
          <cell r="D705" t="str">
            <v>Fixed Assets Generator Acct (setup for application to all categories)</v>
          </cell>
        </row>
        <row r="706">
          <cell r="B706">
            <v>170150</v>
          </cell>
          <cell r="C706" t="str">
            <v>Child</v>
          </cell>
          <cell r="D706" t="str">
            <v>Provisional Asset (all categories for setup acct for accrual)</v>
          </cell>
        </row>
        <row r="707">
          <cell r="B707">
            <v>170190</v>
          </cell>
          <cell r="C707" t="str">
            <v>Child</v>
          </cell>
          <cell r="D707" t="str">
            <v>FA Clearing Acct (Accrual)</v>
          </cell>
        </row>
        <row r="708">
          <cell r="B708">
            <v>171100</v>
          </cell>
          <cell r="C708" t="str">
            <v>Parent</v>
          </cell>
          <cell r="D708" t="str">
            <v>Land and Land Improvements:</v>
          </cell>
        </row>
        <row r="709">
          <cell r="B709">
            <v>171120</v>
          </cell>
          <cell r="C709" t="str">
            <v>Child</v>
          </cell>
          <cell r="D709" t="str">
            <v>Land and Land Improvements:Asset cost</v>
          </cell>
        </row>
        <row r="710">
          <cell r="B710">
            <v>463840</v>
          </cell>
          <cell r="C710" t="str">
            <v>Child</v>
          </cell>
          <cell r="D710" t="str">
            <v>Grant-USA</v>
          </cell>
        </row>
        <row r="711">
          <cell r="B711">
            <v>171121</v>
          </cell>
          <cell r="C711" t="str">
            <v>Child</v>
          </cell>
          <cell r="D711" t="str">
            <v>Land and Land Improvements:Asset clearing</v>
          </cell>
        </row>
        <row r="712">
          <cell r="B712">
            <v>171130</v>
          </cell>
          <cell r="C712" t="str">
            <v>Child</v>
          </cell>
          <cell r="D712" t="str">
            <v>Land and Land Improvements:CIP cost</v>
          </cell>
        </row>
        <row r="713">
          <cell r="B713">
            <v>171131</v>
          </cell>
          <cell r="C713" t="str">
            <v>Child</v>
          </cell>
          <cell r="D713" t="str">
            <v>Land and Land Improvements:CIP clearing</v>
          </cell>
        </row>
        <row r="714">
          <cell r="B714">
            <v>171180</v>
          </cell>
          <cell r="C714" t="str">
            <v>Child</v>
          </cell>
          <cell r="D714" t="str">
            <v>Land and Land Improvements:Impairment</v>
          </cell>
        </row>
        <row r="715">
          <cell r="B715">
            <v>171191</v>
          </cell>
          <cell r="C715" t="str">
            <v>Child</v>
          </cell>
          <cell r="D715" t="str">
            <v xml:space="preserve">Land and Land Improvements:Investment in Fixed Assets (Fund/Clearing Account) </v>
          </cell>
        </row>
        <row r="716">
          <cell r="B716">
            <v>171200</v>
          </cell>
          <cell r="C716" t="str">
            <v>Parent</v>
          </cell>
          <cell r="D716" t="str">
            <v>Depreciable Land Improvements (Not part of Land Value)</v>
          </cell>
        </row>
        <row r="717">
          <cell r="B717">
            <v>171220</v>
          </cell>
          <cell r="C717" t="str">
            <v>Child</v>
          </cell>
          <cell r="D717" t="str">
            <v>Depreciable Land Improvements Asset cost</v>
          </cell>
        </row>
        <row r="718">
          <cell r="B718">
            <v>171221</v>
          </cell>
          <cell r="C718" t="str">
            <v>Child</v>
          </cell>
          <cell r="D718" t="str">
            <v>Depreciable Land Improvements Asset clearing</v>
          </cell>
        </row>
        <row r="719">
          <cell r="B719">
            <v>171230</v>
          </cell>
          <cell r="C719" t="str">
            <v>Child</v>
          </cell>
          <cell r="D719" t="str">
            <v>Depreciable Land Improvements CIP cost</v>
          </cell>
        </row>
        <row r="720">
          <cell r="B720">
            <v>171231</v>
          </cell>
          <cell r="C720" t="str">
            <v>Child</v>
          </cell>
          <cell r="D720" t="str">
            <v>Depreciable Land Improvements CIP clearing</v>
          </cell>
        </row>
        <row r="721">
          <cell r="B721">
            <v>171260</v>
          </cell>
          <cell r="C721" t="str">
            <v>Child</v>
          </cell>
          <cell r="D721" t="str">
            <v>Depreciable Land Improvements Accumulated depreciation/amortization (Provision)</v>
          </cell>
        </row>
        <row r="722">
          <cell r="B722">
            <v>171280</v>
          </cell>
          <cell r="C722" t="str">
            <v>Child</v>
          </cell>
          <cell r="D722" t="str">
            <v>Depreciable Land Improvements Impairment (Provision)</v>
          </cell>
        </row>
        <row r="723">
          <cell r="B723">
            <v>171300</v>
          </cell>
          <cell r="C723" t="str">
            <v>Parent</v>
          </cell>
          <cell r="D723" t="str">
            <v>Buildings:</v>
          </cell>
        </row>
        <row r="724">
          <cell r="B724">
            <v>171320</v>
          </cell>
          <cell r="C724" t="str">
            <v>Child</v>
          </cell>
          <cell r="D724" t="str">
            <v>Buildings:Asset cost</v>
          </cell>
        </row>
        <row r="725">
          <cell r="B725">
            <v>171321</v>
          </cell>
          <cell r="C725" t="str">
            <v>Child</v>
          </cell>
          <cell r="D725" t="str">
            <v>Buildings:Asset clearing</v>
          </cell>
        </row>
        <row r="726">
          <cell r="B726">
            <v>171330</v>
          </cell>
          <cell r="C726" t="str">
            <v>Child</v>
          </cell>
          <cell r="D726" t="str">
            <v>Buildings:CIP cost</v>
          </cell>
        </row>
        <row r="727">
          <cell r="B727">
            <v>171331</v>
          </cell>
          <cell r="C727" t="str">
            <v>Child</v>
          </cell>
          <cell r="D727" t="str">
            <v>Buildings:CIP clearing</v>
          </cell>
        </row>
        <row r="728">
          <cell r="B728">
            <v>172820</v>
          </cell>
          <cell r="C728" t="str">
            <v>Parent</v>
          </cell>
          <cell r="D728" t="str">
            <v>Leasehold buildings:</v>
          </cell>
        </row>
        <row r="729">
          <cell r="B729">
            <v>171360</v>
          </cell>
          <cell r="C729" t="str">
            <v>Child</v>
          </cell>
          <cell r="D729" t="str">
            <v>Buildings:Accumulated depreciation/amortization (Provision)</v>
          </cell>
        </row>
        <row r="730">
          <cell r="B730">
            <v>171380</v>
          </cell>
          <cell r="C730" t="str">
            <v>Child</v>
          </cell>
          <cell r="D730" t="str">
            <v>Buildings:Impairment (Provision)</v>
          </cell>
        </row>
        <row r="731">
          <cell r="B731">
            <v>171391</v>
          </cell>
          <cell r="C731" t="str">
            <v>Child</v>
          </cell>
          <cell r="D731" t="str">
            <v>Buildings:Investment in Fixed Assets (Fund/Clearing Account)(*)</v>
          </cell>
        </row>
        <row r="732">
          <cell r="B732">
            <v>171400</v>
          </cell>
          <cell r="C732" t="str">
            <v>Parent</v>
          </cell>
          <cell r="D732" t="str">
            <v>Plant, machinery &amp; equipment:</v>
          </cell>
        </row>
        <row r="733">
          <cell r="B733">
            <v>171420</v>
          </cell>
          <cell r="C733" t="str">
            <v>Child</v>
          </cell>
          <cell r="D733" t="str">
            <v>Plant, machinery &amp; equipment:Asset cost</v>
          </cell>
        </row>
        <row r="734">
          <cell r="B734">
            <v>171421</v>
          </cell>
          <cell r="C734" t="str">
            <v>Child</v>
          </cell>
          <cell r="D734" t="str">
            <v>Plant, machinery &amp; equipment:Asset clearing</v>
          </cell>
        </row>
        <row r="735">
          <cell r="B735">
            <v>171430</v>
          </cell>
          <cell r="C735" t="str">
            <v>Child</v>
          </cell>
          <cell r="D735" t="str">
            <v>Plant, machinery &amp; equipment:CIP cost</v>
          </cell>
        </row>
        <row r="736">
          <cell r="B736">
            <v>171431</v>
          </cell>
          <cell r="C736" t="str">
            <v>Child</v>
          </cell>
          <cell r="D736" t="str">
            <v>Plant, machinery &amp; equipment:CIP clearing</v>
          </cell>
        </row>
        <row r="737">
          <cell r="B737">
            <v>171460</v>
          </cell>
          <cell r="C737" t="str">
            <v>Child</v>
          </cell>
          <cell r="D737" t="str">
            <v>Plant, machinery &amp; equipment:Accumulated depreciation/amortization (Provision)</v>
          </cell>
        </row>
        <row r="738">
          <cell r="B738">
            <v>221514</v>
          </cell>
          <cell r="C738" t="str">
            <v>Child</v>
          </cell>
          <cell r="D738" t="str">
            <v xml:space="preserve">Accrued Other leave benefits </v>
          </cell>
        </row>
        <row r="739">
          <cell r="B739">
            <v>171480</v>
          </cell>
          <cell r="C739" t="str">
            <v>Child</v>
          </cell>
          <cell r="D739" t="str">
            <v>Plant, machinery &amp; equipment:Impairment (Provision)</v>
          </cell>
        </row>
        <row r="740">
          <cell r="B740">
            <v>171491</v>
          </cell>
          <cell r="C740" t="str">
            <v>Child</v>
          </cell>
          <cell r="D740" t="str">
            <v>Plant, machinery &amp; equipment:Investment in Fixed Assets (Fund/Clearing Account) (*)</v>
          </cell>
        </row>
        <row r="741">
          <cell r="B741">
            <v>171600</v>
          </cell>
          <cell r="C741" t="str">
            <v>Parent</v>
          </cell>
          <cell r="D741" t="str">
            <v>Motor vehicles</v>
          </cell>
        </row>
        <row r="742">
          <cell r="B742">
            <v>171620</v>
          </cell>
          <cell r="C742" t="str">
            <v>Child</v>
          </cell>
          <cell r="D742" t="str">
            <v>Motor vehicles: Asset cost</v>
          </cell>
        </row>
        <row r="743">
          <cell r="B743">
            <v>171621</v>
          </cell>
          <cell r="C743" t="str">
            <v>Child</v>
          </cell>
          <cell r="D743" t="str">
            <v>Motor vehicles: Asset clearing</v>
          </cell>
        </row>
        <row r="744">
          <cell r="B744">
            <v>171631</v>
          </cell>
          <cell r="C744" t="str">
            <v>Child</v>
          </cell>
          <cell r="D744" t="str">
            <v>Motor vehicles: CIP clearing</v>
          </cell>
        </row>
        <row r="745">
          <cell r="B745">
            <v>171660</v>
          </cell>
          <cell r="C745" t="str">
            <v>Child</v>
          </cell>
          <cell r="D745" t="str">
            <v>Motor vehicles: Accumulated depreciation/amortization (Provision)</v>
          </cell>
        </row>
        <row r="746">
          <cell r="B746">
            <v>171691</v>
          </cell>
          <cell r="C746" t="str">
            <v>Child</v>
          </cell>
          <cell r="D746" t="str">
            <v>Motor vehicles: Investment in Fixed Assets (Fund/Clearing Account)</v>
          </cell>
        </row>
        <row r="747">
          <cell r="B747">
            <v>171700</v>
          </cell>
          <cell r="C747" t="str">
            <v>Parent</v>
          </cell>
          <cell r="D747" t="str">
            <v>Aircraft:</v>
          </cell>
        </row>
        <row r="748">
          <cell r="B748">
            <v>171720</v>
          </cell>
          <cell r="C748" t="str">
            <v>Child</v>
          </cell>
          <cell r="D748" t="str">
            <v>Aircraft:Asset cost</v>
          </cell>
        </row>
        <row r="749">
          <cell r="B749">
            <v>171721</v>
          </cell>
          <cell r="C749" t="str">
            <v>Child</v>
          </cell>
          <cell r="D749" t="str">
            <v>Aircraft:Asset clearing</v>
          </cell>
        </row>
        <row r="750">
          <cell r="B750">
            <v>171760</v>
          </cell>
          <cell r="C750" t="str">
            <v>Child</v>
          </cell>
          <cell r="D750" t="str">
            <v>Aircraft:Accumulated depreciation/amortization (Provision)</v>
          </cell>
        </row>
        <row r="751">
          <cell r="B751">
            <v>171780</v>
          </cell>
          <cell r="C751" t="str">
            <v>Child</v>
          </cell>
          <cell r="D751" t="str">
            <v>Aircraft:Impairment (Provision)</v>
          </cell>
        </row>
        <row r="752">
          <cell r="B752">
            <v>171791</v>
          </cell>
          <cell r="C752" t="str">
            <v>Child</v>
          </cell>
          <cell r="D752" t="str">
            <v>Aircraft:Investment in Fixed Assets (Fund/Clearing Account)                                          (*)</v>
          </cell>
        </row>
        <row r="753">
          <cell r="B753">
            <v>171800</v>
          </cell>
          <cell r="C753" t="str">
            <v>Parent</v>
          </cell>
          <cell r="D753" t="str">
            <v>Ships and boats:</v>
          </cell>
        </row>
        <row r="754">
          <cell r="B754">
            <v>171820</v>
          </cell>
          <cell r="C754" t="str">
            <v>Child</v>
          </cell>
          <cell r="D754" t="str">
            <v>Ships and boats:Asset cost</v>
          </cell>
        </row>
        <row r="755">
          <cell r="B755">
            <v>171821</v>
          </cell>
          <cell r="C755" t="str">
            <v>Child</v>
          </cell>
          <cell r="D755" t="str">
            <v>Ships and boats:Asset clearing</v>
          </cell>
        </row>
        <row r="756">
          <cell r="B756">
            <v>171830</v>
          </cell>
          <cell r="C756" t="str">
            <v>Child</v>
          </cell>
          <cell r="D756" t="str">
            <v>Ships and boats:CIP cost</v>
          </cell>
        </row>
        <row r="757">
          <cell r="B757">
            <v>171831</v>
          </cell>
          <cell r="C757" t="str">
            <v>Child</v>
          </cell>
          <cell r="D757" t="str">
            <v>Ships and boats:CIP clearing</v>
          </cell>
        </row>
        <row r="758">
          <cell r="B758">
            <v>171860</v>
          </cell>
          <cell r="C758" t="str">
            <v>Child</v>
          </cell>
          <cell r="D758" t="str">
            <v>Ships and boats:Accumulated depreciation/amortization (Provision)</v>
          </cell>
        </row>
        <row r="759">
          <cell r="B759">
            <v>171880</v>
          </cell>
          <cell r="C759" t="str">
            <v>Child</v>
          </cell>
          <cell r="D759" t="str">
            <v>Ships and boats:Impairment (Provision)</v>
          </cell>
        </row>
        <row r="760">
          <cell r="B760">
            <v>171891</v>
          </cell>
          <cell r="C760" t="str">
            <v>Child</v>
          </cell>
          <cell r="D760" t="str">
            <v>Ships and boats:Investment in Fixed Assets (Fund/Clearing Account)</v>
          </cell>
        </row>
        <row r="761">
          <cell r="B761">
            <v>172100</v>
          </cell>
          <cell r="C761" t="str">
            <v>Parent</v>
          </cell>
          <cell r="D761" t="str">
            <v>Specialised Military Equipment</v>
          </cell>
        </row>
        <row r="762">
          <cell r="B762">
            <v>172121</v>
          </cell>
          <cell r="C762" t="str">
            <v>Child</v>
          </cell>
          <cell r="D762" t="str">
            <v>Specialised Military Equipment:Asset clearing</v>
          </cell>
        </row>
        <row r="763">
          <cell r="B763">
            <v>172200</v>
          </cell>
          <cell r="C763" t="str">
            <v>Parent</v>
          </cell>
          <cell r="D763" t="str">
            <v>Furniture &amp; fixtures:</v>
          </cell>
        </row>
        <row r="764">
          <cell r="B764">
            <v>172220</v>
          </cell>
          <cell r="C764" t="str">
            <v>Child</v>
          </cell>
          <cell r="D764" t="str">
            <v>Furniture &amp; fixtures:Asset cost</v>
          </cell>
        </row>
        <row r="765">
          <cell r="B765">
            <v>172221</v>
          </cell>
          <cell r="C765" t="str">
            <v>Child</v>
          </cell>
          <cell r="D765" t="str">
            <v>Furniture &amp; fixtures:Asset clearing</v>
          </cell>
        </row>
        <row r="766">
          <cell r="B766">
            <v>172230</v>
          </cell>
          <cell r="C766" t="str">
            <v>Child</v>
          </cell>
          <cell r="D766" t="str">
            <v>Furniture &amp; fixtures:CIP cost</v>
          </cell>
        </row>
        <row r="767">
          <cell r="B767">
            <v>172231</v>
          </cell>
          <cell r="C767" t="str">
            <v>Child</v>
          </cell>
          <cell r="D767" t="str">
            <v>Furniture &amp; fixtures:CIP clearing</v>
          </cell>
        </row>
        <row r="768">
          <cell r="B768">
            <v>172260</v>
          </cell>
          <cell r="C768" t="str">
            <v>Child</v>
          </cell>
          <cell r="D768" t="str">
            <v>Furniture &amp; fixtures:Accumulated depreciation/amortization (Provision)</v>
          </cell>
        </row>
        <row r="769">
          <cell r="B769">
            <v>174500</v>
          </cell>
          <cell r="C769" t="str">
            <v>Parent</v>
          </cell>
          <cell r="D769" t="str">
            <v>Airports:</v>
          </cell>
        </row>
        <row r="770">
          <cell r="B770">
            <v>172291</v>
          </cell>
          <cell r="C770" t="str">
            <v>Child</v>
          </cell>
          <cell r="D770" t="str">
            <v>Furniture &amp; fixtures:Investment in Fixed Assets (Fund/Clearing Account)</v>
          </cell>
        </row>
        <row r="771">
          <cell r="B771">
            <v>172300</v>
          </cell>
          <cell r="C771" t="str">
            <v>Parent</v>
          </cell>
          <cell r="D771" t="str">
            <v>Heritage and cultural assets:</v>
          </cell>
        </row>
        <row r="772">
          <cell r="B772">
            <v>172320</v>
          </cell>
          <cell r="C772" t="str">
            <v>Child</v>
          </cell>
          <cell r="D772" t="str">
            <v>Heritage and cultural assets:Asset cost</v>
          </cell>
        </row>
        <row r="773">
          <cell r="B773">
            <v>172321</v>
          </cell>
          <cell r="C773" t="str">
            <v>Child</v>
          </cell>
          <cell r="D773" t="str">
            <v>Heritage and cultural assets:Asset clearing</v>
          </cell>
        </row>
        <row r="774">
          <cell r="B774">
            <v>172330</v>
          </cell>
          <cell r="C774" t="str">
            <v>Child</v>
          </cell>
          <cell r="D774" t="str">
            <v>Heritage and cultural assets:CIP cost</v>
          </cell>
        </row>
        <row r="775">
          <cell r="B775">
            <v>172331</v>
          </cell>
          <cell r="C775" t="str">
            <v>Child</v>
          </cell>
          <cell r="D775" t="str">
            <v>Heritage and cultural assets:CIP clearing</v>
          </cell>
        </row>
        <row r="776">
          <cell r="B776">
            <v>174600</v>
          </cell>
          <cell r="C776" t="str">
            <v>Parent</v>
          </cell>
          <cell r="D776" t="str">
            <v>Sea Ports:</v>
          </cell>
        </row>
        <row r="777">
          <cell r="B777">
            <v>172360</v>
          </cell>
          <cell r="C777" t="str">
            <v>Child</v>
          </cell>
          <cell r="D777" t="str">
            <v>Heritage and cultural assets:Accumulated depreciation/amortization (Provision)</v>
          </cell>
        </row>
        <row r="778">
          <cell r="B778">
            <v>211155</v>
          </cell>
          <cell r="C778" t="str">
            <v>Child</v>
          </cell>
          <cell r="D778" t="str">
            <v>Payable - Oman Pension Fund</v>
          </cell>
        </row>
        <row r="779">
          <cell r="B779">
            <v>172391</v>
          </cell>
          <cell r="C779" t="str">
            <v>Child</v>
          </cell>
          <cell r="D779" t="str">
            <v>Heritage and cultural assets:Investment in Fixed Assets (Fund/Clearing Account)</v>
          </cell>
        </row>
        <row r="780">
          <cell r="B780">
            <v>172400</v>
          </cell>
          <cell r="C780" t="str">
            <v>Parent</v>
          </cell>
          <cell r="D780" t="str">
            <v>Biological assets (includes commercial forests and natural resource reserves):</v>
          </cell>
        </row>
        <row r="781">
          <cell r="B781">
            <v>172420</v>
          </cell>
          <cell r="C781" t="str">
            <v>Child</v>
          </cell>
          <cell r="D781" t="str">
            <v>Biological Asset: Asset cost</v>
          </cell>
        </row>
        <row r="782">
          <cell r="B782">
            <v>172421</v>
          </cell>
          <cell r="C782" t="str">
            <v>Child</v>
          </cell>
          <cell r="D782" t="str">
            <v>Biological Asset: Asset clearing</v>
          </cell>
        </row>
        <row r="783">
          <cell r="B783">
            <v>172430</v>
          </cell>
          <cell r="C783" t="str">
            <v>Child</v>
          </cell>
          <cell r="D783" t="str">
            <v>Biological Asset: CIP cost</v>
          </cell>
        </row>
        <row r="784">
          <cell r="B784">
            <v>172431</v>
          </cell>
          <cell r="C784" t="str">
            <v>Child</v>
          </cell>
          <cell r="D784" t="str">
            <v>Biological Asset: CIP clearing</v>
          </cell>
        </row>
        <row r="785">
          <cell r="B785">
            <v>172460</v>
          </cell>
          <cell r="C785" t="str">
            <v>Child</v>
          </cell>
          <cell r="D785" t="str">
            <v>Accumulated Loss / Gain on Biological Asset  value</v>
          </cell>
        </row>
        <row r="786">
          <cell r="B786">
            <v>172491</v>
          </cell>
          <cell r="C786" t="str">
            <v>Child</v>
          </cell>
          <cell r="D786" t="str">
            <v>Biological Assets:Investment in Fixed Assets (Fund/Clearing Account)</v>
          </cell>
        </row>
        <row r="787">
          <cell r="B787">
            <v>172520</v>
          </cell>
          <cell r="C787" t="str">
            <v>Child</v>
          </cell>
          <cell r="D787" t="str">
            <v>Asset Cost - Service Concession Assets</v>
          </cell>
        </row>
        <row r="788">
          <cell r="B788">
            <v>172521</v>
          </cell>
          <cell r="C788" t="str">
            <v>Child</v>
          </cell>
          <cell r="D788" t="str">
            <v>Asset Clearing - Service Concession Assets</v>
          </cell>
        </row>
        <row r="789">
          <cell r="B789">
            <v>172530</v>
          </cell>
          <cell r="C789" t="str">
            <v>Child</v>
          </cell>
          <cell r="D789" t="str">
            <v>CIP Cost - Service Concession Assets</v>
          </cell>
        </row>
        <row r="790">
          <cell r="B790">
            <v>172531</v>
          </cell>
          <cell r="C790" t="str">
            <v>Child</v>
          </cell>
          <cell r="D790" t="str">
            <v>CIP Clearing -Service Concession Assets</v>
          </cell>
        </row>
        <row r="791">
          <cell r="B791">
            <v>172560</v>
          </cell>
          <cell r="C791" t="str">
            <v>Child</v>
          </cell>
          <cell r="D791" t="str">
            <v>Provision for accumulated depreciation - Service Concession Assets</v>
          </cell>
        </row>
        <row r="792">
          <cell r="B792">
            <v>172580</v>
          </cell>
          <cell r="C792" t="str">
            <v>Child</v>
          </cell>
          <cell r="D792" t="str">
            <v>Impairment (Provision)- Service Concession Assets</v>
          </cell>
        </row>
        <row r="793">
          <cell r="B793">
            <v>172600</v>
          </cell>
          <cell r="C793" t="str">
            <v>Parent</v>
          </cell>
          <cell r="D793" t="str">
            <v>Investment properties:</v>
          </cell>
        </row>
        <row r="794">
          <cell r="B794">
            <v>172620</v>
          </cell>
          <cell r="C794" t="str">
            <v>Child</v>
          </cell>
          <cell r="D794" t="str">
            <v>Investment properties:Asset Cost (wef 2012)</v>
          </cell>
        </row>
        <row r="795">
          <cell r="B795">
            <v>172621</v>
          </cell>
          <cell r="C795" t="str">
            <v>Child</v>
          </cell>
          <cell r="D795" t="str">
            <v>Investment propertie - Asset Clearing:</v>
          </cell>
        </row>
        <row r="796">
          <cell r="B796">
            <v>172660</v>
          </cell>
          <cell r="C796" t="str">
            <v>Child</v>
          </cell>
          <cell r="D796" t="str">
            <v>Investment properties:Provision for accumulated depreciation</v>
          </cell>
        </row>
        <row r="797">
          <cell r="B797">
            <v>172680</v>
          </cell>
          <cell r="C797" t="str">
            <v>Child</v>
          </cell>
          <cell r="D797" t="str">
            <v>Investment properties:Impairment (Provision)</v>
          </cell>
        </row>
        <row r="798">
          <cell r="B798">
            <v>172691</v>
          </cell>
          <cell r="C798" t="str">
            <v>Child</v>
          </cell>
          <cell r="D798" t="str">
            <v>Investment in Fixed Assets (Fund/Clearing Account)</v>
          </cell>
        </row>
        <row r="799">
          <cell r="B799">
            <v>172810</v>
          </cell>
          <cell r="C799" t="str">
            <v>Parent</v>
          </cell>
          <cell r="D799" t="str">
            <v>Leasehold land:</v>
          </cell>
        </row>
        <row r="800">
          <cell r="B800">
            <v>172811</v>
          </cell>
          <cell r="C800" t="str">
            <v>Child</v>
          </cell>
          <cell r="D800" t="str">
            <v>Leashold land: Cost of lease</v>
          </cell>
        </row>
        <row r="801">
          <cell r="B801">
            <v>172826</v>
          </cell>
          <cell r="C801" t="str">
            <v>Child</v>
          </cell>
          <cell r="D801" t="str">
            <v>Leasehold Bldgs-Improvements</v>
          </cell>
        </row>
        <row r="802">
          <cell r="B802">
            <v>172830</v>
          </cell>
          <cell r="C802" t="str">
            <v>Parent</v>
          </cell>
          <cell r="D802" t="str">
            <v>Leased plant, machinery &amp; equipment:</v>
          </cell>
        </row>
        <row r="803">
          <cell r="B803">
            <v>172831</v>
          </cell>
          <cell r="C803" t="str">
            <v>Child</v>
          </cell>
          <cell r="D803" t="str">
            <v>Leased plant, machinery &amp; equipment:  Cost of lease</v>
          </cell>
        </row>
        <row r="804">
          <cell r="B804">
            <v>172832</v>
          </cell>
          <cell r="C804" t="str">
            <v>Child</v>
          </cell>
          <cell r="D804" t="str">
            <v>Leased plant, machinery &amp; equipment:  Provision for accumulated depeciation/amortisation</v>
          </cell>
        </row>
        <row r="805">
          <cell r="B805">
            <v>172900</v>
          </cell>
          <cell r="C805" t="str">
            <v>Parent</v>
          </cell>
          <cell r="D805" t="str">
            <v>Other Assets not mentioned elsewhere</v>
          </cell>
        </row>
        <row r="806">
          <cell r="B806">
            <v>172920</v>
          </cell>
          <cell r="C806" t="str">
            <v>Child</v>
          </cell>
          <cell r="D806" t="str">
            <v>Other Assets: Asset cost</v>
          </cell>
        </row>
        <row r="807">
          <cell r="B807">
            <v>172921</v>
          </cell>
          <cell r="C807" t="str">
            <v>Child</v>
          </cell>
          <cell r="D807" t="str">
            <v>Other Assets: Asset clearing</v>
          </cell>
        </row>
        <row r="808">
          <cell r="B808">
            <v>172960</v>
          </cell>
          <cell r="C808" t="str">
            <v>Child</v>
          </cell>
          <cell r="D808" t="str">
            <v>Other Assets: Accumulated depreciation/amortization (Provision)</v>
          </cell>
        </row>
        <row r="809">
          <cell r="B809">
            <v>250000</v>
          </cell>
          <cell r="C809" t="str">
            <v>Parent</v>
          </cell>
          <cell r="D809" t="str">
            <v>Long-term  payables:</v>
          </cell>
        </row>
        <row r="810">
          <cell r="B810">
            <v>174000</v>
          </cell>
          <cell r="C810" t="str">
            <v>Parent</v>
          </cell>
          <cell r="D810" t="str">
            <v xml:space="preserve">Infrastructural assets: Unallocated Common group </v>
          </cell>
        </row>
        <row r="811">
          <cell r="B811">
            <v>174020</v>
          </cell>
          <cell r="C811" t="str">
            <v>Child</v>
          </cell>
          <cell r="D811" t="str">
            <v>Infrastructural Assets -  Asset</v>
          </cell>
        </row>
        <row r="812">
          <cell r="B812">
            <v>174021</v>
          </cell>
          <cell r="C812" t="str">
            <v>Child</v>
          </cell>
          <cell r="D812" t="str">
            <v>Infrastructural Assets -  Asset clearing</v>
          </cell>
        </row>
        <row r="813">
          <cell r="B813">
            <v>174030</v>
          </cell>
          <cell r="C813" t="str">
            <v>Child</v>
          </cell>
          <cell r="D813" t="str">
            <v>Infrastructural Assets CIP cost</v>
          </cell>
        </row>
        <row r="814">
          <cell r="B814">
            <v>174031</v>
          </cell>
          <cell r="C814" t="str">
            <v>Child</v>
          </cell>
          <cell r="D814" t="str">
            <v>Infrastructural Assets  -  CIP clearing</v>
          </cell>
        </row>
        <row r="815">
          <cell r="B815">
            <v>174060</v>
          </cell>
          <cell r="C815" t="str">
            <v>Child</v>
          </cell>
          <cell r="D815" t="str">
            <v>Depreciable Infrastructural Assets Accumulated depreciation/amortization (Provision)</v>
          </cell>
        </row>
        <row r="816">
          <cell r="B816">
            <v>174080</v>
          </cell>
          <cell r="C816" t="str">
            <v>Child</v>
          </cell>
          <cell r="D816" t="str">
            <v>Infrastructural Assets Impairment (Provision)</v>
          </cell>
        </row>
        <row r="817">
          <cell r="B817">
            <v>174100</v>
          </cell>
          <cell r="C817" t="str">
            <v>Parent</v>
          </cell>
          <cell r="D817" t="str">
            <v>Agricultural Farms:</v>
          </cell>
        </row>
        <row r="818">
          <cell r="B818">
            <v>174120</v>
          </cell>
          <cell r="C818" t="str">
            <v>Child</v>
          </cell>
          <cell r="D818" t="str">
            <v>Agri Farms-Asset cost</v>
          </cell>
        </row>
        <row r="819">
          <cell r="B819">
            <v>174121</v>
          </cell>
          <cell r="C819" t="str">
            <v>Child</v>
          </cell>
          <cell r="D819" t="str">
            <v>Agri Farms-Asset Clearing</v>
          </cell>
        </row>
        <row r="820">
          <cell r="B820">
            <v>174130</v>
          </cell>
          <cell r="C820" t="str">
            <v>Child</v>
          </cell>
          <cell r="D820" t="str">
            <v>Agri Farms:CIP Cost</v>
          </cell>
        </row>
        <row r="821">
          <cell r="B821">
            <v>174131</v>
          </cell>
          <cell r="C821" t="str">
            <v>Child</v>
          </cell>
          <cell r="D821" t="str">
            <v>Agri Farms-CIP Clearing</v>
          </cell>
        </row>
        <row r="822">
          <cell r="B822">
            <v>174180</v>
          </cell>
          <cell r="C822" t="str">
            <v>Child</v>
          </cell>
          <cell r="D822" t="str">
            <v>Agri Farms-Impairment(Provision)</v>
          </cell>
        </row>
        <row r="823">
          <cell r="B823">
            <v>174200</v>
          </cell>
          <cell r="C823" t="str">
            <v>Parent</v>
          </cell>
          <cell r="D823" t="str">
            <v>Marinas:</v>
          </cell>
        </row>
        <row r="824">
          <cell r="B824">
            <v>174220</v>
          </cell>
          <cell r="C824" t="str">
            <v>Child</v>
          </cell>
          <cell r="D824" t="str">
            <v>Marinas-Asset cost</v>
          </cell>
        </row>
        <row r="825">
          <cell r="B825">
            <v>174221</v>
          </cell>
          <cell r="C825" t="str">
            <v>Child</v>
          </cell>
          <cell r="D825" t="str">
            <v>Marinas-Asset Clearing</v>
          </cell>
        </row>
        <row r="826">
          <cell r="B826">
            <v>174230</v>
          </cell>
          <cell r="C826" t="str">
            <v>Child</v>
          </cell>
          <cell r="D826" t="str">
            <v>Marinas-CIP Cost</v>
          </cell>
        </row>
        <row r="827">
          <cell r="B827">
            <v>174231</v>
          </cell>
          <cell r="C827" t="str">
            <v>Child</v>
          </cell>
          <cell r="D827" t="str">
            <v>Marinas-CIP Clearing</v>
          </cell>
        </row>
        <row r="828">
          <cell r="B828">
            <v>174260</v>
          </cell>
          <cell r="C828" t="str">
            <v>Child</v>
          </cell>
          <cell r="D828" t="str">
            <v>Marinas-Depreciation (Provision)</v>
          </cell>
        </row>
        <row r="829">
          <cell r="B829">
            <v>174280</v>
          </cell>
          <cell r="C829" t="str">
            <v>Child</v>
          </cell>
          <cell r="D829" t="str">
            <v>Marinas-Impairment (Provision)</v>
          </cell>
        </row>
        <row r="830">
          <cell r="B830">
            <v>230210</v>
          </cell>
          <cell r="C830" t="str">
            <v>Child</v>
          </cell>
          <cell r="D830" t="str">
            <v xml:space="preserve">Contract retention </v>
          </cell>
        </row>
        <row r="831">
          <cell r="B831">
            <v>317356</v>
          </cell>
          <cell r="C831" t="str">
            <v>Child</v>
          </cell>
          <cell r="D831" t="str">
            <v>Demurrage</v>
          </cell>
        </row>
        <row r="832">
          <cell r="B832">
            <v>174300</v>
          </cell>
          <cell r="C832" t="str">
            <v>Parent</v>
          </cell>
          <cell r="D832" t="str">
            <v>Roads &amp; related infrastructures;</v>
          </cell>
        </row>
        <row r="833">
          <cell r="B833">
            <v>174320</v>
          </cell>
          <cell r="C833" t="str">
            <v>Child</v>
          </cell>
          <cell r="D833" t="str">
            <v>Roads-Asset cost</v>
          </cell>
        </row>
        <row r="834">
          <cell r="B834">
            <v>174331</v>
          </cell>
          <cell r="C834" t="str">
            <v>Child</v>
          </cell>
          <cell r="D834" t="str">
            <v>Roads-CIP Clearing</v>
          </cell>
        </row>
        <row r="835">
          <cell r="B835">
            <v>174360</v>
          </cell>
          <cell r="C835" t="str">
            <v>Child</v>
          </cell>
          <cell r="D835" t="str">
            <v>Roads-Depreciation (Provision)</v>
          </cell>
        </row>
        <row r="836">
          <cell r="B836">
            <v>174380</v>
          </cell>
          <cell r="C836" t="str">
            <v>Child</v>
          </cell>
          <cell r="D836" t="str">
            <v>Roads-Impairment(Provision)</v>
          </cell>
        </row>
        <row r="837">
          <cell r="B837">
            <v>174400</v>
          </cell>
          <cell r="C837" t="str">
            <v>Parent</v>
          </cell>
          <cell r="D837" t="str">
            <v>Rail network:</v>
          </cell>
        </row>
        <row r="838">
          <cell r="B838">
            <v>174420</v>
          </cell>
          <cell r="C838" t="str">
            <v>Child</v>
          </cell>
          <cell r="D838" t="str">
            <v>Rail network-Asset cost</v>
          </cell>
        </row>
        <row r="839">
          <cell r="B839">
            <v>174421</v>
          </cell>
          <cell r="C839" t="str">
            <v>Child</v>
          </cell>
          <cell r="D839" t="str">
            <v>Rail network-Asset Clearing</v>
          </cell>
        </row>
        <row r="840">
          <cell r="B840">
            <v>174430</v>
          </cell>
          <cell r="C840" t="str">
            <v>Child</v>
          </cell>
          <cell r="D840" t="str">
            <v>Rail network-CIP cost</v>
          </cell>
        </row>
        <row r="841">
          <cell r="B841">
            <v>174431</v>
          </cell>
          <cell r="C841" t="str">
            <v>Child</v>
          </cell>
          <cell r="D841" t="str">
            <v>Rail network-CIP Clearing</v>
          </cell>
        </row>
        <row r="842">
          <cell r="B842">
            <v>174460</v>
          </cell>
          <cell r="C842" t="str">
            <v>Child</v>
          </cell>
          <cell r="D842" t="str">
            <v>Rail network-Depreciation (Provision)</v>
          </cell>
        </row>
        <row r="843">
          <cell r="B843">
            <v>174480</v>
          </cell>
          <cell r="C843" t="str">
            <v>Child</v>
          </cell>
          <cell r="D843" t="str">
            <v>Rail network-Impairment(Provision)</v>
          </cell>
        </row>
        <row r="844">
          <cell r="B844">
            <v>174520</v>
          </cell>
          <cell r="C844" t="str">
            <v>Child</v>
          </cell>
          <cell r="D844" t="str">
            <v>Airports-Asset cost</v>
          </cell>
        </row>
        <row r="845">
          <cell r="B845">
            <v>174521</v>
          </cell>
          <cell r="C845" t="str">
            <v>Child</v>
          </cell>
          <cell r="D845" t="str">
            <v>Airports-Asset Clearing</v>
          </cell>
        </row>
        <row r="846">
          <cell r="B846">
            <v>174530</v>
          </cell>
          <cell r="C846" t="str">
            <v>Child</v>
          </cell>
          <cell r="D846" t="str">
            <v>Airports-CIP cost</v>
          </cell>
        </row>
        <row r="847">
          <cell r="B847">
            <v>174531</v>
          </cell>
          <cell r="C847" t="str">
            <v>Child</v>
          </cell>
          <cell r="D847" t="str">
            <v>Airports-CIP Clearing</v>
          </cell>
        </row>
        <row r="848">
          <cell r="B848">
            <v>174560</v>
          </cell>
          <cell r="C848" t="str">
            <v>Child</v>
          </cell>
          <cell r="D848" t="str">
            <v>Airports-Depreciation (Provision)</v>
          </cell>
        </row>
        <row r="849">
          <cell r="B849">
            <v>174580</v>
          </cell>
          <cell r="C849" t="str">
            <v>Child</v>
          </cell>
          <cell r="D849" t="str">
            <v>Airports-Impairment(Provision)</v>
          </cell>
        </row>
        <row r="850">
          <cell r="B850">
            <v>174621</v>
          </cell>
          <cell r="C850" t="str">
            <v>Child</v>
          </cell>
          <cell r="D850" t="str">
            <v>Sea Ports-Asset Clearing</v>
          </cell>
        </row>
        <row r="851">
          <cell r="B851">
            <v>174630</v>
          </cell>
          <cell r="C851" t="str">
            <v>Child</v>
          </cell>
          <cell r="D851" t="str">
            <v>Sea Ports-CIP cost</v>
          </cell>
        </row>
        <row r="852">
          <cell r="B852">
            <v>174631</v>
          </cell>
          <cell r="C852" t="str">
            <v>Child</v>
          </cell>
          <cell r="D852" t="str">
            <v>Sea Ports-CIP Clearing</v>
          </cell>
        </row>
        <row r="853">
          <cell r="B853">
            <v>174660</v>
          </cell>
          <cell r="C853" t="str">
            <v>Child</v>
          </cell>
          <cell r="D853" t="str">
            <v>Sea Ports-Depreciation (Provision)</v>
          </cell>
        </row>
        <row r="854">
          <cell r="B854">
            <v>174680</v>
          </cell>
          <cell r="C854" t="str">
            <v>Child</v>
          </cell>
          <cell r="D854" t="str">
            <v>Sea Ports-Impairment(Provision)</v>
          </cell>
        </row>
        <row r="855">
          <cell r="B855">
            <v>174700</v>
          </cell>
          <cell r="C855" t="str">
            <v>Parent</v>
          </cell>
          <cell r="D855" t="str">
            <v>Industrial and Free Trade Zones:</v>
          </cell>
        </row>
        <row r="856">
          <cell r="B856">
            <v>174720</v>
          </cell>
          <cell r="C856" t="str">
            <v>Child</v>
          </cell>
          <cell r="D856" t="str">
            <v>Industrial &amp; FTZ-Asset cost</v>
          </cell>
        </row>
        <row r="857">
          <cell r="B857">
            <v>174721</v>
          </cell>
          <cell r="C857" t="str">
            <v>Child</v>
          </cell>
          <cell r="D857" t="str">
            <v>Industrial &amp; FTZ-Asset Clearing</v>
          </cell>
        </row>
        <row r="858">
          <cell r="B858">
            <v>174731</v>
          </cell>
          <cell r="C858" t="str">
            <v>Child</v>
          </cell>
          <cell r="D858" t="str">
            <v>Industrial &amp; FTZ-CIP Clearing</v>
          </cell>
        </row>
        <row r="859">
          <cell r="B859">
            <v>174760</v>
          </cell>
          <cell r="C859" t="str">
            <v>Child</v>
          </cell>
          <cell r="D859" t="str">
            <v>Industrial &amp; FTZ-Depreciation (Provision)</v>
          </cell>
        </row>
        <row r="860">
          <cell r="B860">
            <v>174780</v>
          </cell>
          <cell r="C860" t="str">
            <v>Child</v>
          </cell>
          <cell r="D860" t="str">
            <v>Industrial &amp; FTZ-Impairment(Provision)</v>
          </cell>
        </row>
        <row r="861">
          <cell r="B861">
            <v>174800</v>
          </cell>
          <cell r="C861" t="str">
            <v>Parent</v>
          </cell>
          <cell r="D861" t="str">
            <v>Environmental Protection:</v>
          </cell>
        </row>
        <row r="862">
          <cell r="B862">
            <v>174820</v>
          </cell>
          <cell r="C862" t="str">
            <v>Child</v>
          </cell>
          <cell r="D862" t="str">
            <v>Environmental Protection-Asset cost</v>
          </cell>
        </row>
        <row r="863">
          <cell r="B863">
            <v>174821</v>
          </cell>
          <cell r="C863" t="str">
            <v>Child</v>
          </cell>
          <cell r="D863" t="str">
            <v>Environment Protection-Asset Clearing</v>
          </cell>
        </row>
        <row r="864">
          <cell r="B864">
            <v>174830</v>
          </cell>
          <cell r="C864" t="str">
            <v>Child</v>
          </cell>
          <cell r="D864" t="str">
            <v>Environmental Protection-CIP cost</v>
          </cell>
        </row>
        <row r="865">
          <cell r="B865">
            <v>174831</v>
          </cell>
          <cell r="C865" t="str">
            <v>Child</v>
          </cell>
          <cell r="D865" t="str">
            <v>Environment Protection-CIP Clearing</v>
          </cell>
        </row>
        <row r="866">
          <cell r="B866">
            <v>174860</v>
          </cell>
          <cell r="C866" t="str">
            <v>Child</v>
          </cell>
          <cell r="D866" t="str">
            <v>Environment Protection-Depreciation (Provision)</v>
          </cell>
        </row>
        <row r="867">
          <cell r="B867">
            <v>174880</v>
          </cell>
          <cell r="C867" t="str">
            <v>Child</v>
          </cell>
          <cell r="D867" t="str">
            <v>Environment Protection-Impairment(Provision)</v>
          </cell>
        </row>
        <row r="868">
          <cell r="B868">
            <v>174900</v>
          </cell>
          <cell r="C868" t="str">
            <v>Parent</v>
          </cell>
          <cell r="D868" t="str">
            <v>Recreation facilities:</v>
          </cell>
        </row>
        <row r="869">
          <cell r="B869">
            <v>174920</v>
          </cell>
          <cell r="C869" t="str">
            <v>Child</v>
          </cell>
          <cell r="D869" t="str">
            <v>Recreational facilities-Asset cost</v>
          </cell>
        </row>
        <row r="870">
          <cell r="B870">
            <v>174921</v>
          </cell>
          <cell r="C870" t="str">
            <v>Child</v>
          </cell>
          <cell r="D870" t="str">
            <v>Recreational facilities-Asset Clearing</v>
          </cell>
        </row>
        <row r="871">
          <cell r="B871">
            <v>174930</v>
          </cell>
          <cell r="C871" t="str">
            <v>Child</v>
          </cell>
          <cell r="D871" t="str">
            <v>Recreational facilities-CIP cost</v>
          </cell>
        </row>
        <row r="872">
          <cell r="B872">
            <v>174931</v>
          </cell>
          <cell r="C872" t="str">
            <v>Child</v>
          </cell>
          <cell r="D872" t="str">
            <v>Recreational facilities-CIP Clearing</v>
          </cell>
        </row>
        <row r="873">
          <cell r="B873">
            <v>174960</v>
          </cell>
          <cell r="C873" t="str">
            <v>Child</v>
          </cell>
          <cell r="D873" t="str">
            <v>Recreation facilities-Depreciation (Provision)</v>
          </cell>
        </row>
        <row r="874">
          <cell r="B874">
            <v>174980</v>
          </cell>
          <cell r="C874" t="str">
            <v>Child</v>
          </cell>
          <cell r="D874" t="str">
            <v>Recreation facilities-Impairment(Provision)</v>
          </cell>
        </row>
        <row r="875">
          <cell r="B875">
            <v>175021</v>
          </cell>
          <cell r="C875" t="str">
            <v>Child</v>
          </cell>
          <cell r="D875" t="str">
            <v>Utilities-Asset Clearing</v>
          </cell>
        </row>
        <row r="876">
          <cell r="B876">
            <v>175030</v>
          </cell>
          <cell r="C876" t="str">
            <v>Child</v>
          </cell>
          <cell r="D876" t="str">
            <v>Utilities-CIP cost</v>
          </cell>
        </row>
        <row r="877">
          <cell r="B877">
            <v>175031</v>
          </cell>
          <cell r="C877" t="str">
            <v>Child</v>
          </cell>
          <cell r="D877" t="str">
            <v>Utilities-CIP Clearing</v>
          </cell>
        </row>
        <row r="878">
          <cell r="B878">
            <v>175060</v>
          </cell>
          <cell r="C878" t="str">
            <v>Child</v>
          </cell>
          <cell r="D878" t="str">
            <v>Utilities-Depreciation (Provision)</v>
          </cell>
        </row>
        <row r="879">
          <cell r="B879">
            <v>175080</v>
          </cell>
          <cell r="C879" t="str">
            <v>Child</v>
          </cell>
          <cell r="D879" t="str">
            <v>Utilities-Impairment (Provision)</v>
          </cell>
        </row>
        <row r="880">
          <cell r="B880">
            <v>261110</v>
          </cell>
          <cell r="C880" t="str">
            <v>Child</v>
          </cell>
          <cell r="D880" t="str">
            <v>Wealth Funds</v>
          </cell>
        </row>
        <row r="881">
          <cell r="B881">
            <v>175120</v>
          </cell>
          <cell r="C881" t="str">
            <v>Child</v>
          </cell>
          <cell r="D881" t="str">
            <v>Health-Asset Cost</v>
          </cell>
        </row>
        <row r="882">
          <cell r="B882">
            <v>175121</v>
          </cell>
          <cell r="C882" t="str">
            <v>Child</v>
          </cell>
          <cell r="D882" t="str">
            <v>Health-Asset Clearing</v>
          </cell>
        </row>
        <row r="883">
          <cell r="B883">
            <v>175130</v>
          </cell>
          <cell r="C883" t="str">
            <v>Child</v>
          </cell>
          <cell r="D883" t="str">
            <v>Health-CIP Cost</v>
          </cell>
        </row>
        <row r="884">
          <cell r="B884">
            <v>175131</v>
          </cell>
          <cell r="C884" t="str">
            <v>Child</v>
          </cell>
          <cell r="D884" t="str">
            <v>Health-CIP Clearing</v>
          </cell>
        </row>
        <row r="885">
          <cell r="B885">
            <v>175160</v>
          </cell>
          <cell r="C885" t="str">
            <v>Child</v>
          </cell>
          <cell r="D885" t="str">
            <v>Health-Depreciation (Provision)</v>
          </cell>
        </row>
        <row r="886">
          <cell r="B886">
            <v>175180</v>
          </cell>
          <cell r="C886" t="str">
            <v>Child</v>
          </cell>
          <cell r="D886" t="str">
            <v>Health-Impairment (Provision)</v>
          </cell>
        </row>
        <row r="887">
          <cell r="B887">
            <v>176020</v>
          </cell>
          <cell r="C887" t="str">
            <v>Child</v>
          </cell>
          <cell r="D887" t="str">
            <v>Asset Cost - Other Infrastructural Assets</v>
          </cell>
        </row>
        <row r="888">
          <cell r="B888">
            <v>176021</v>
          </cell>
          <cell r="C888" t="str">
            <v>Child</v>
          </cell>
          <cell r="D888" t="str">
            <v>Asset Clearing - Other Infrastructural Assets</v>
          </cell>
        </row>
        <row r="889">
          <cell r="B889">
            <v>176030</v>
          </cell>
          <cell r="C889" t="str">
            <v>Child</v>
          </cell>
          <cell r="D889" t="str">
            <v>CIP Cost - Other Infrastructural Assets</v>
          </cell>
        </row>
        <row r="890">
          <cell r="B890">
            <v>176031</v>
          </cell>
          <cell r="C890" t="str">
            <v>Child</v>
          </cell>
          <cell r="D890" t="str">
            <v>CIP Clearing -Other Infrastructural Assets</v>
          </cell>
        </row>
        <row r="891">
          <cell r="B891">
            <v>213142</v>
          </cell>
          <cell r="C891" t="str">
            <v>Child</v>
          </cell>
          <cell r="D891" t="str">
            <v>Acct Payable-General Secretariat</v>
          </cell>
        </row>
        <row r="892">
          <cell r="B892">
            <v>176060</v>
          </cell>
          <cell r="C892" t="str">
            <v>Child</v>
          </cell>
          <cell r="D892" t="str">
            <v>Provision for accumulated depreciation - Other Infrastructural Assets</v>
          </cell>
        </row>
        <row r="893">
          <cell r="B893">
            <v>176080</v>
          </cell>
          <cell r="C893" t="str">
            <v>Child</v>
          </cell>
          <cell r="D893" t="str">
            <v>Impairment (Provision)- Other Infrastructural Assets</v>
          </cell>
        </row>
        <row r="894">
          <cell r="B894">
            <v>177000</v>
          </cell>
          <cell r="C894" t="str">
            <v>Parent</v>
          </cell>
          <cell r="D894" t="str">
            <v>Intangible assets:</v>
          </cell>
        </row>
        <row r="895">
          <cell r="B895">
            <v>177120</v>
          </cell>
          <cell r="C895" t="str">
            <v>Child</v>
          </cell>
          <cell r="D895" t="str">
            <v>Intangible Asset: Asset cost</v>
          </cell>
        </row>
        <row r="896">
          <cell r="B896">
            <v>177121</v>
          </cell>
          <cell r="C896" t="str">
            <v>Child</v>
          </cell>
          <cell r="D896" t="str">
            <v>Intangible Asset: Asset clearing</v>
          </cell>
        </row>
        <row r="897">
          <cell r="B897">
            <v>177130</v>
          </cell>
          <cell r="C897" t="str">
            <v>Child</v>
          </cell>
          <cell r="D897" t="str">
            <v>Intangible Asset: CIP cost</v>
          </cell>
        </row>
        <row r="898">
          <cell r="B898">
            <v>177131</v>
          </cell>
          <cell r="C898" t="str">
            <v>Child</v>
          </cell>
          <cell r="D898" t="str">
            <v>Intangible Asset: CIP clearing</v>
          </cell>
        </row>
        <row r="899">
          <cell r="B899">
            <v>177160</v>
          </cell>
          <cell r="C899" t="str">
            <v>Child</v>
          </cell>
          <cell r="D899" t="str">
            <v>Intangible Asset: Accumulated depreciation/amortization (Provision)</v>
          </cell>
        </row>
        <row r="900">
          <cell r="B900">
            <v>177180</v>
          </cell>
          <cell r="C900" t="str">
            <v>Child</v>
          </cell>
          <cell r="D900" t="str">
            <v>Intangible Asset: Impairment (Provision)</v>
          </cell>
        </row>
        <row r="901">
          <cell r="B901">
            <v>177191</v>
          </cell>
          <cell r="C901" t="str">
            <v>Child</v>
          </cell>
          <cell r="D901" t="str">
            <v>Intangible Asset: Investment in Fixed Assets (Fund/Clearing Account)                                          (*)</v>
          </cell>
        </row>
        <row r="902">
          <cell r="B902">
            <v>177200</v>
          </cell>
          <cell r="C902" t="str">
            <v>Parent</v>
          </cell>
          <cell r="D902" t="str">
            <v>Intangible Service Concession Assets - Parent</v>
          </cell>
        </row>
        <row r="903">
          <cell r="B903">
            <v>200111</v>
          </cell>
          <cell r="C903" t="str">
            <v>Child</v>
          </cell>
          <cell r="D903" t="str">
            <v>EBS to Fusion Migration contra account for A.P invoices (system setup)</v>
          </cell>
        </row>
        <row r="904">
          <cell r="B904">
            <v>210100</v>
          </cell>
          <cell r="C904" t="str">
            <v>Parent</v>
          </cell>
          <cell r="D904" t="str">
            <v>Payable to Vendors</v>
          </cell>
        </row>
        <row r="905">
          <cell r="B905">
            <v>210110</v>
          </cell>
          <cell r="C905" t="str">
            <v>Child</v>
          </cell>
          <cell r="D905" t="str">
            <v>Payable to Vendors against approved invoices</v>
          </cell>
        </row>
        <row r="906">
          <cell r="B906">
            <v>210120</v>
          </cell>
          <cell r="C906" t="str">
            <v>Child</v>
          </cell>
          <cell r="D906" t="str">
            <v>Payable to Vendors - Liability through non-AP transactions</v>
          </cell>
        </row>
        <row r="907">
          <cell r="B907">
            <v>210130</v>
          </cell>
          <cell r="C907" t="str">
            <v>Child</v>
          </cell>
          <cell r="D907" t="str">
            <v>Liability expenditure provision not yet settled</v>
          </cell>
        </row>
        <row r="908">
          <cell r="B908">
            <v>210210</v>
          </cell>
          <cell r="C908" t="str">
            <v>Child</v>
          </cell>
          <cell r="D908" t="str">
            <v>Court ordered deductions</v>
          </cell>
        </row>
        <row r="909">
          <cell r="B909">
            <v>210230</v>
          </cell>
          <cell r="C909" t="str">
            <v>Child</v>
          </cell>
          <cell r="D909" t="str">
            <v>Recoveries for payment to Consultants/third parties</v>
          </cell>
        </row>
        <row r="910">
          <cell r="B910">
            <v>211000</v>
          </cell>
          <cell r="C910" t="str">
            <v>Parent</v>
          </cell>
          <cell r="D910" t="str">
            <v>Payable to Employees / Employee Related Third Parties:</v>
          </cell>
        </row>
        <row r="911">
          <cell r="B911">
            <v>211011</v>
          </cell>
          <cell r="C911" t="str">
            <v>Child</v>
          </cell>
          <cell r="D911" t="str">
            <v>Liability towards deductions on advance salaries</v>
          </cell>
        </row>
        <row r="912">
          <cell r="B912">
            <v>211111</v>
          </cell>
          <cell r="C912" t="str">
            <v>Child</v>
          </cell>
          <cell r="D912" t="str">
            <v xml:space="preserve">Payable to Pension Fund - consolidated amount </v>
          </cell>
        </row>
        <row r="913">
          <cell r="B913">
            <v>211112</v>
          </cell>
          <cell r="C913" t="str">
            <v>Child</v>
          </cell>
          <cell r="D913" t="str">
            <v>AD Pension Fund - Employer's (Govt) share (15%)</v>
          </cell>
        </row>
        <row r="914">
          <cell r="B914">
            <v>211113</v>
          </cell>
          <cell r="C914" t="str">
            <v>Child</v>
          </cell>
          <cell r="D914" t="str">
            <v xml:space="preserve">AD Pension Fund - Employee's share </v>
          </cell>
        </row>
        <row r="915">
          <cell r="B915">
            <v>211114</v>
          </cell>
          <cell r="C915" t="str">
            <v>Child</v>
          </cell>
          <cell r="D915" t="str">
            <v>AD Pension Fund - Other deductions/dues</v>
          </cell>
        </row>
        <row r="916">
          <cell r="B916">
            <v>211115</v>
          </cell>
          <cell r="C916" t="str">
            <v>Child</v>
          </cell>
          <cell r="D916" t="str">
            <v>Pension payable on Monthly Stipend of Terminated employees</v>
          </cell>
        </row>
        <row r="917">
          <cell r="B917">
            <v>211130</v>
          </cell>
          <cell r="C917" t="str">
            <v>Parent</v>
          </cell>
          <cell r="D917" t="str">
            <v>Payable to UAE Pension Fund:</v>
          </cell>
        </row>
        <row r="918">
          <cell r="B918">
            <v>211131</v>
          </cell>
          <cell r="C918" t="str">
            <v>Child</v>
          </cell>
          <cell r="D918" t="str">
            <v>UAE Pension Fund - Employee's share</v>
          </cell>
        </row>
        <row r="919">
          <cell r="B919">
            <v>211132</v>
          </cell>
          <cell r="C919" t="str">
            <v>Child</v>
          </cell>
          <cell r="D919" t="str">
            <v>UAE Pension Fund - Employer's (Govt) share (15%)</v>
          </cell>
        </row>
        <row r="920">
          <cell r="B920">
            <v>211133</v>
          </cell>
          <cell r="C920" t="str">
            <v>Child</v>
          </cell>
          <cell r="D920" t="str">
            <v>UAE Pension Fund - Other deductions/dues</v>
          </cell>
        </row>
        <row r="921">
          <cell r="B921">
            <v>324157</v>
          </cell>
          <cell r="C921" t="str">
            <v>Child</v>
          </cell>
          <cell r="D921" t="str">
            <v>Toll Gate Revenues</v>
          </cell>
        </row>
        <row r="922">
          <cell r="B922">
            <v>211150</v>
          </cell>
          <cell r="C922" t="str">
            <v>Parent</v>
          </cell>
          <cell r="D922" t="str">
            <v>Payable to other GCC Pension Funds:</v>
          </cell>
        </row>
        <row r="923">
          <cell r="B923">
            <v>211151</v>
          </cell>
          <cell r="C923" t="str">
            <v>Child</v>
          </cell>
          <cell r="D923" t="str">
            <v>Payable - Bahrain Pension Fund</v>
          </cell>
        </row>
        <row r="924">
          <cell r="B924">
            <v>211152</v>
          </cell>
          <cell r="C924" t="str">
            <v>Child</v>
          </cell>
          <cell r="D924" t="str">
            <v>Payable - Saudi Arabia Pension Fund</v>
          </cell>
        </row>
        <row r="925">
          <cell r="B925">
            <v>211153</v>
          </cell>
          <cell r="C925" t="str">
            <v>Child</v>
          </cell>
          <cell r="D925" t="str">
            <v>Payable - Qatar Pension Fund</v>
          </cell>
        </row>
        <row r="926">
          <cell r="B926">
            <v>211154</v>
          </cell>
          <cell r="C926" t="str">
            <v>Child</v>
          </cell>
          <cell r="D926" t="str">
            <v>Payable - Kuwait Pension Fund</v>
          </cell>
        </row>
        <row r="927">
          <cell r="B927">
            <v>211200</v>
          </cell>
          <cell r="C927" t="str">
            <v>Parent</v>
          </cell>
          <cell r="D927" t="str">
            <v>Payable to other parties against employee related liabilities</v>
          </cell>
        </row>
        <row r="928">
          <cell r="B928">
            <v>211211</v>
          </cell>
          <cell r="C928" t="str">
            <v>Child</v>
          </cell>
          <cell r="D928" t="str">
            <v>Courts / Court-ordered beneficiaries</v>
          </cell>
        </row>
        <row r="929">
          <cell r="B929">
            <v>211212</v>
          </cell>
          <cell r="C929" t="str">
            <v>Child</v>
          </cell>
          <cell r="D929" t="str">
            <v>Nafaka beneficiaries</v>
          </cell>
        </row>
        <row r="930">
          <cell r="B930">
            <v>211213</v>
          </cell>
          <cell r="C930" t="str">
            <v>Child</v>
          </cell>
          <cell r="D930" t="str">
            <v>Employee related liabilities Payables to other parties not mentioned elsewhere</v>
          </cell>
        </row>
        <row r="931">
          <cell r="B931">
            <v>211214</v>
          </cell>
          <cell r="C931" t="str">
            <v>Child</v>
          </cell>
          <cell r="D931" t="str">
            <v>Liability towards Employee death compensation</v>
          </cell>
        </row>
        <row r="932">
          <cell r="B932">
            <v>211250</v>
          </cell>
          <cell r="C932" t="str">
            <v>Parent</v>
          </cell>
          <cell r="D932" t="str">
            <v>Employee related liabilities Payable to Housing Loan Financiers:</v>
          </cell>
        </row>
        <row r="933">
          <cell r="B933">
            <v>324514</v>
          </cell>
          <cell r="C933" t="str">
            <v>Child</v>
          </cell>
          <cell r="D933" t="str">
            <v>Sale-Meat</v>
          </cell>
        </row>
        <row r="934">
          <cell r="B934">
            <v>211251</v>
          </cell>
          <cell r="C934" t="str">
            <v>Child</v>
          </cell>
          <cell r="D934" t="str">
            <v>Payable to Loan Authority / First Gulf Bank</v>
          </cell>
        </row>
        <row r="935">
          <cell r="B935">
            <v>211252</v>
          </cell>
          <cell r="C935" t="str">
            <v>Child</v>
          </cell>
          <cell r="D935" t="str">
            <v>Payable to Mohd bin Rashed Housing Est Loans</v>
          </cell>
        </row>
        <row r="936">
          <cell r="B936">
            <v>211253</v>
          </cell>
          <cell r="C936" t="str">
            <v>Child</v>
          </cell>
          <cell r="D936" t="str">
            <v>Payable to UAE Real Estate Bank Loans</v>
          </cell>
        </row>
        <row r="937">
          <cell r="B937">
            <v>211254</v>
          </cell>
          <cell r="C937" t="str">
            <v>Child</v>
          </cell>
          <cell r="D937" t="str">
            <v>Sharjah Housing Dept Loans</v>
          </cell>
        </row>
        <row r="938">
          <cell r="B938">
            <v>211260</v>
          </cell>
          <cell r="C938" t="str">
            <v>Parent</v>
          </cell>
          <cell r="D938" t="str">
            <v>Employee related liabilities payable towards club membership</v>
          </cell>
        </row>
        <row r="939">
          <cell r="B939">
            <v>211261</v>
          </cell>
          <cell r="C939" t="str">
            <v>Child</v>
          </cell>
          <cell r="D939" t="str">
            <v>Payable to Armed Forces Officer's Clubs</v>
          </cell>
        </row>
        <row r="940">
          <cell r="B940">
            <v>211262</v>
          </cell>
          <cell r="C940" t="str">
            <v>Child</v>
          </cell>
          <cell r="D940" t="str">
            <v>Employee related liabilities payable to Other clubs / organisations</v>
          </cell>
        </row>
        <row r="941">
          <cell r="B941">
            <v>211500</v>
          </cell>
          <cell r="C941" t="str">
            <v>Parent</v>
          </cell>
          <cell r="D941" t="str">
            <v>Customer related liabilities</v>
          </cell>
        </row>
        <row r="942">
          <cell r="B942">
            <v>211511</v>
          </cell>
          <cell r="C942" t="str">
            <v>Child</v>
          </cell>
          <cell r="D942" t="str">
            <v>Liability towards Advances received from customers</v>
          </cell>
        </row>
        <row r="943">
          <cell r="B943">
            <v>211551</v>
          </cell>
          <cell r="C943" t="str">
            <v>Child</v>
          </cell>
          <cell r="D943" t="str">
            <v>Output VAT payable</v>
          </cell>
        </row>
        <row r="944">
          <cell r="B944">
            <v>211556</v>
          </cell>
          <cell r="C944" t="str">
            <v>Child</v>
          </cell>
          <cell r="D944" t="str">
            <v>Reverse Charge output VAT payable</v>
          </cell>
        </row>
        <row r="945">
          <cell r="B945">
            <v>211611</v>
          </cell>
          <cell r="C945" t="str">
            <v>Child</v>
          </cell>
          <cell r="D945" t="str">
            <v>Payable towards Collection Services</v>
          </cell>
        </row>
        <row r="946">
          <cell r="B946">
            <v>211612</v>
          </cell>
          <cell r="C946" t="str">
            <v>Child</v>
          </cell>
          <cell r="D946" t="str">
            <v>Payable to Vehicle Recovery Companies</v>
          </cell>
        </row>
        <row r="947">
          <cell r="B947">
            <v>213000</v>
          </cell>
          <cell r="C947" t="str">
            <v>Parent</v>
          </cell>
          <cell r="D947" t="str">
            <v>Intra-Government Payables:</v>
          </cell>
        </row>
        <row r="948">
          <cell r="B948">
            <v>213010</v>
          </cell>
          <cell r="C948" t="str">
            <v>Parent</v>
          </cell>
          <cell r="D948" t="str">
            <v>Intra Entity inter-ledger  payable account (For TDF use only)</v>
          </cell>
        </row>
        <row r="949">
          <cell r="B949">
            <v>213051</v>
          </cell>
          <cell r="C949" t="str">
            <v>Child</v>
          </cell>
          <cell r="D949" t="str">
            <v>Related party accounts for payables - DOF.  To be deactivated in Fusion</v>
          </cell>
        </row>
        <row r="950">
          <cell r="B950">
            <v>230220</v>
          </cell>
          <cell r="C950" t="str">
            <v>Child</v>
          </cell>
          <cell r="D950" t="str">
            <v>Rent deposits</v>
          </cell>
        </row>
        <row r="951">
          <cell r="B951">
            <v>333349</v>
          </cell>
          <cell r="C951" t="str">
            <v>Child</v>
          </cell>
          <cell r="D951" t="str">
            <v>Loan repyts-GBEs (SOEs) not mentioned elsewhere</v>
          </cell>
        </row>
        <row r="952">
          <cell r="B952">
            <v>213052</v>
          </cell>
          <cell r="C952" t="str">
            <v>Child</v>
          </cell>
          <cell r="D952" t="str">
            <v>Related party accounts for payables - Waste Mgt Centr. To be deactivated in Fusion</v>
          </cell>
        </row>
        <row r="953">
          <cell r="B953">
            <v>213053</v>
          </cell>
          <cell r="C953" t="str">
            <v>Child</v>
          </cell>
          <cell r="D953" t="str">
            <v>Related party accounts for payables - ADM. To be deactivated in Fusion</v>
          </cell>
        </row>
        <row r="954">
          <cell r="B954">
            <v>213101</v>
          </cell>
          <cell r="C954" t="str">
            <v>Child</v>
          </cell>
          <cell r="D954" t="str">
            <v>AP to GGS Entities - Other dues</v>
          </cell>
        </row>
        <row r="955">
          <cell r="B955">
            <v>213113</v>
          </cell>
          <cell r="C955" t="str">
            <v>Child</v>
          </cell>
          <cell r="D955" t="str">
            <v>Acct Payable-Presidential Flight</v>
          </cell>
        </row>
        <row r="956">
          <cell r="B956">
            <v>213132</v>
          </cell>
          <cell r="C956" t="str">
            <v>Child</v>
          </cell>
          <cell r="D956" t="str">
            <v>Acct Payable-Ruler's Rep - Eastern Region</v>
          </cell>
        </row>
        <row r="957">
          <cell r="B957">
            <v>213143</v>
          </cell>
          <cell r="C957" t="str">
            <v>Child</v>
          </cell>
          <cell r="D957" t="str">
            <v>Acct Payable-National Consultative Council</v>
          </cell>
        </row>
        <row r="958">
          <cell r="B958">
            <v>213201</v>
          </cell>
          <cell r="C958" t="str">
            <v>Child</v>
          </cell>
          <cell r="D958" t="str">
            <v>Acct Payable-DoF-Treasury</v>
          </cell>
        </row>
        <row r="959">
          <cell r="B959">
            <v>213211</v>
          </cell>
          <cell r="C959" t="str">
            <v>Child</v>
          </cell>
          <cell r="D959" t="str">
            <v>Acct Payable - DoF-Support Services</v>
          </cell>
        </row>
        <row r="960">
          <cell r="B960">
            <v>213244</v>
          </cell>
          <cell r="C960" t="str">
            <v>Child</v>
          </cell>
          <cell r="D960" t="str">
            <v>Acct Payable-AD Quality &amp; Conformity Council</v>
          </cell>
        </row>
        <row r="961">
          <cell r="B961">
            <v>213251</v>
          </cell>
          <cell r="C961" t="str">
            <v>Child</v>
          </cell>
          <cell r="D961" t="str">
            <v>Acct Payable - MUSANADA</v>
          </cell>
        </row>
        <row r="962">
          <cell r="B962">
            <v>266121</v>
          </cell>
          <cell r="C962" t="str">
            <v>Child</v>
          </cell>
          <cell r="D962" t="str">
            <v xml:space="preserve">Bonds 2024-29 </v>
          </cell>
        </row>
        <row r="963">
          <cell r="B963">
            <v>213278</v>
          </cell>
          <cell r="C963" t="str">
            <v>Child</v>
          </cell>
          <cell r="D963" t="str">
            <v>Acct Payable-UAE National Transport Authority</v>
          </cell>
        </row>
        <row r="964">
          <cell r="B964">
            <v>213361</v>
          </cell>
          <cell r="C964" t="str">
            <v>Child</v>
          </cell>
          <cell r="D964" t="str">
            <v>Acct Payable-Police</v>
          </cell>
        </row>
        <row r="965">
          <cell r="B965">
            <v>213362</v>
          </cell>
          <cell r="C965" t="str">
            <v>Child</v>
          </cell>
          <cell r="D965" t="str">
            <v>Acct Payable-AD Naturalization &amp; Residence Directorate</v>
          </cell>
        </row>
        <row r="966">
          <cell r="B966">
            <v>213381</v>
          </cell>
          <cell r="C966" t="str">
            <v>Child</v>
          </cell>
          <cell r="D966" t="str">
            <v>Acct Payable-Civil Defence</v>
          </cell>
        </row>
        <row r="967">
          <cell r="B967">
            <v>213398</v>
          </cell>
          <cell r="C967" t="str">
            <v>Child</v>
          </cell>
          <cell r="D967" t="str">
            <v>Acct Payable - Ministry of justice</v>
          </cell>
        </row>
        <row r="968">
          <cell r="B968">
            <v>213419</v>
          </cell>
          <cell r="C968" t="str">
            <v>Child</v>
          </cell>
          <cell r="D968" t="str">
            <v>Acct Payable- Ministry of Economy</v>
          </cell>
        </row>
        <row r="969">
          <cell r="B969">
            <v>213432</v>
          </cell>
          <cell r="C969" t="str">
            <v>Child</v>
          </cell>
          <cell r="D969" t="str">
            <v>Acct Payable-ADWEA</v>
          </cell>
        </row>
        <row r="970">
          <cell r="B970">
            <v>213441</v>
          </cell>
          <cell r="C970" t="str">
            <v>Child</v>
          </cell>
          <cell r="D970" t="str">
            <v>Acct Payable-Dept of Transport</v>
          </cell>
        </row>
        <row r="971">
          <cell r="B971">
            <v>321213</v>
          </cell>
          <cell r="C971" t="str">
            <v>Child</v>
          </cell>
          <cell r="D971" t="str">
            <v>Fishing boat license</v>
          </cell>
        </row>
        <row r="972">
          <cell r="B972">
            <v>213443</v>
          </cell>
          <cell r="C972" t="str">
            <v>Child</v>
          </cell>
          <cell r="D972" t="str">
            <v>Acct Payable-Civil Aviation/ADAC (for GGS functions)</v>
          </cell>
        </row>
        <row r="973">
          <cell r="B973">
            <v>213444</v>
          </cell>
          <cell r="C973" t="str">
            <v>Child</v>
          </cell>
          <cell r="D973" t="str">
            <v>Acct Payable-AD Ports Co (for GGS functions)</v>
          </cell>
        </row>
        <row r="974">
          <cell r="B974">
            <v>213445</v>
          </cell>
          <cell r="C974" t="str">
            <v>Child</v>
          </cell>
          <cell r="D974" t="str">
            <v>Acct Payable-Integrated Transport Centre</v>
          </cell>
        </row>
        <row r="975">
          <cell r="B975">
            <v>213452</v>
          </cell>
          <cell r="C975" t="str">
            <v>Child</v>
          </cell>
          <cell r="D975" t="str">
            <v>Acct Payable-Tourism Development &amp; Investment Company</v>
          </cell>
        </row>
        <row r="976">
          <cell r="B976">
            <v>213511</v>
          </cell>
          <cell r="C976" t="str">
            <v>Child</v>
          </cell>
          <cell r="D976" t="str">
            <v>Acct Payable-Environmental Agency, Abu Dhabi</v>
          </cell>
        </row>
        <row r="977">
          <cell r="B977">
            <v>213512</v>
          </cell>
          <cell r="C977" t="str">
            <v>Child</v>
          </cell>
          <cell r="D977" t="str">
            <v>Acct Payable-Center for Waste Management</v>
          </cell>
        </row>
        <row r="978">
          <cell r="B978">
            <v>213521</v>
          </cell>
          <cell r="C978" t="str">
            <v>Child</v>
          </cell>
          <cell r="D978" t="str">
            <v>Acct Payable-AD Sewerage Services Company</v>
          </cell>
        </row>
        <row r="979">
          <cell r="B979">
            <v>213617</v>
          </cell>
          <cell r="C979" t="str">
            <v>Child</v>
          </cell>
          <cell r="D979" t="str">
            <v>Acct Payable - Abrahamic Family House Center (AFHC)</v>
          </cell>
        </row>
        <row r="980">
          <cell r="B980">
            <v>213631</v>
          </cell>
          <cell r="C980" t="str">
            <v>Child</v>
          </cell>
          <cell r="D980" t="str">
            <v>Acct Payable - Abu Dhabi Municipality</v>
          </cell>
        </row>
        <row r="981">
          <cell r="B981">
            <v>225210</v>
          </cell>
          <cell r="C981" t="str">
            <v>Child</v>
          </cell>
          <cell r="D981" t="str">
            <v xml:space="preserve">Deferred Fees </v>
          </cell>
        </row>
        <row r="982">
          <cell r="B982">
            <v>213632</v>
          </cell>
          <cell r="C982" t="str">
            <v>Child</v>
          </cell>
          <cell r="D982" t="str">
            <v>Acct Payable-Al Ain Municipality</v>
          </cell>
        </row>
        <row r="983">
          <cell r="B983">
            <v>213633</v>
          </cell>
          <cell r="C983" t="str">
            <v>Child</v>
          </cell>
          <cell r="D983" t="str">
            <v>Acct Payable-W/Region Municipality</v>
          </cell>
        </row>
        <row r="984">
          <cell r="B984">
            <v>213635</v>
          </cell>
          <cell r="C984" t="str">
            <v>Child</v>
          </cell>
          <cell r="D984" t="str">
            <v>Acct Payable-Department of Municipalities and Transport (DMT)</v>
          </cell>
        </row>
        <row r="985">
          <cell r="B985">
            <v>213681</v>
          </cell>
          <cell r="C985" t="str">
            <v>Child</v>
          </cell>
          <cell r="D985" t="str">
            <v>Acct Payable-AD Food Control Authority</v>
          </cell>
        </row>
        <row r="986">
          <cell r="B986">
            <v>213721</v>
          </cell>
          <cell r="C986" t="str">
            <v>Child</v>
          </cell>
          <cell r="D986" t="str">
            <v>Acct Payable-AD Authority for Culture &amp; Heritage</v>
          </cell>
        </row>
        <row r="987">
          <cell r="B987">
            <v>213722</v>
          </cell>
          <cell r="C987" t="str">
            <v>Child</v>
          </cell>
          <cell r="D987" t="str">
            <v>Acct Payable-Culture, Youth and Community Dev.</v>
          </cell>
        </row>
        <row r="988">
          <cell r="B988">
            <v>213723</v>
          </cell>
          <cell r="C988" t="str">
            <v>Child</v>
          </cell>
          <cell r="D988" t="str">
            <v>Acct Payable-Gen Auth-Islamic Affrs &amp; Endownment</v>
          </cell>
        </row>
        <row r="989">
          <cell r="B989">
            <v>213811</v>
          </cell>
          <cell r="C989" t="str">
            <v>Child</v>
          </cell>
          <cell r="D989" t="str">
            <v>Acct Payable-AD Education Council</v>
          </cell>
        </row>
        <row r="990">
          <cell r="B990">
            <v>213911</v>
          </cell>
          <cell r="C990" t="str">
            <v>Child</v>
          </cell>
          <cell r="D990" t="str">
            <v>Acct Payable-Zayed Higher Org for Humanitarian Care/Special Needs</v>
          </cell>
        </row>
        <row r="991">
          <cell r="B991">
            <v>213921</v>
          </cell>
          <cell r="C991" t="str">
            <v>Child</v>
          </cell>
          <cell r="D991" t="str">
            <v>Acct Payable-AD Retirement Pensions  Fund</v>
          </cell>
        </row>
        <row r="992">
          <cell r="B992">
            <v>213943</v>
          </cell>
          <cell r="C992" t="str">
            <v>Child</v>
          </cell>
          <cell r="D992" t="str">
            <v>Acct Payable-Emirates Foundation</v>
          </cell>
        </row>
        <row r="993">
          <cell r="B993">
            <v>213995</v>
          </cell>
          <cell r="C993" t="str">
            <v>Child</v>
          </cell>
          <cell r="D993" t="str">
            <v>Un-allocated  Input VAT refund</v>
          </cell>
        </row>
        <row r="994">
          <cell r="B994">
            <v>214251</v>
          </cell>
          <cell r="C994" t="str">
            <v>Child</v>
          </cell>
          <cell r="D994" t="str">
            <v>Payable to-UAE MOF-Customs Duty</v>
          </cell>
        </row>
        <row r="995">
          <cell r="B995">
            <v>214252</v>
          </cell>
          <cell r="C995" t="str">
            <v>Child</v>
          </cell>
          <cell r="D995" t="str">
            <v>Payable to FTA – Other than VAT returns</v>
          </cell>
        </row>
        <row r="996">
          <cell r="B996">
            <v>214291</v>
          </cell>
          <cell r="C996" t="str">
            <v>Child</v>
          </cell>
          <cell r="D996" t="str">
            <v>Payable to entities external to Government</v>
          </cell>
        </row>
        <row r="997">
          <cell r="B997">
            <v>214351</v>
          </cell>
          <cell r="C997" t="str">
            <v>Child</v>
          </cell>
          <cell r="D997" t="str">
            <v>Payable to ADNOC - Not applicable for future transactions</v>
          </cell>
        </row>
        <row r="998">
          <cell r="B998">
            <v>214352</v>
          </cell>
          <cell r="C998" t="str">
            <v>Child</v>
          </cell>
          <cell r="D998" t="str">
            <v>Payable-Al Dar Properties - Not applicable for future transactions</v>
          </cell>
        </row>
        <row r="999">
          <cell r="B999">
            <v>215110</v>
          </cell>
          <cell r="C999" t="str">
            <v>Parent</v>
          </cell>
          <cell r="D999" t="str">
            <v>Customs duty payable to GCC countries</v>
          </cell>
        </row>
        <row r="1000">
          <cell r="B1000">
            <v>215111</v>
          </cell>
          <cell r="C1000" t="str">
            <v>Child</v>
          </cell>
          <cell r="D1000" t="str">
            <v>Customs duty payable - Bahrain</v>
          </cell>
        </row>
        <row r="1001">
          <cell r="B1001">
            <v>215112</v>
          </cell>
          <cell r="C1001" t="str">
            <v>Child</v>
          </cell>
          <cell r="D1001" t="str">
            <v>Customs duty payable - Saudi Arabia</v>
          </cell>
        </row>
        <row r="1002">
          <cell r="B1002">
            <v>215113</v>
          </cell>
          <cell r="C1002" t="str">
            <v>Child</v>
          </cell>
          <cell r="D1002" t="str">
            <v>Customs duty payable - Qatar</v>
          </cell>
        </row>
        <row r="1003">
          <cell r="B1003">
            <v>215114</v>
          </cell>
          <cell r="C1003" t="str">
            <v>Child</v>
          </cell>
          <cell r="D1003" t="str">
            <v>Customs duty payable - Kuwait</v>
          </cell>
        </row>
        <row r="1004">
          <cell r="B1004">
            <v>215115</v>
          </cell>
          <cell r="C1004" t="str">
            <v>Child</v>
          </cell>
          <cell r="D1004" t="str">
            <v>Customs duty payable - Oman</v>
          </cell>
        </row>
        <row r="1005">
          <cell r="B1005">
            <v>215116</v>
          </cell>
          <cell r="C1005" t="str">
            <v>Child</v>
          </cell>
          <cell r="D1005" t="str">
            <v>Customs Duty Payable – GCC Countries (Common Account)</v>
          </cell>
        </row>
        <row r="1006">
          <cell r="B1006">
            <v>221100</v>
          </cell>
          <cell r="C1006" t="str">
            <v>Parent</v>
          </cell>
          <cell r="D1006" t="str">
            <v>Expenses Accruals:</v>
          </cell>
        </row>
        <row r="1007">
          <cell r="B1007">
            <v>221110</v>
          </cell>
          <cell r="C1007" t="str">
            <v>Parent</v>
          </cell>
          <cell r="D1007" t="str">
            <v>Expense accruals - pending invoice matching:</v>
          </cell>
        </row>
        <row r="1008">
          <cell r="B1008">
            <v>221111</v>
          </cell>
          <cell r="C1008" t="str">
            <v>Child</v>
          </cell>
          <cell r="D1008" t="str">
            <v>Expense AP Accrual - Inventories in receiving area (pre-inspection)</v>
          </cell>
        </row>
        <row r="1009">
          <cell r="B1009">
            <v>221112</v>
          </cell>
          <cell r="C1009" t="str">
            <v>Child</v>
          </cell>
          <cell r="D1009" t="str">
            <v>Inventory AP Accrual - Inventories in store (post-inspection)</v>
          </cell>
        </row>
        <row r="1010">
          <cell r="B1010">
            <v>221113</v>
          </cell>
          <cell r="C1010" t="str">
            <v>Child</v>
          </cell>
          <cell r="D1010" t="str">
            <v>Contract  progress Payment Accruals</v>
          </cell>
        </row>
        <row r="1011">
          <cell r="B1011">
            <v>221120</v>
          </cell>
          <cell r="C1011" t="str">
            <v>Parent</v>
          </cell>
          <cell r="D1011" t="str">
            <v>Expense accruals - resulting from price variances:</v>
          </cell>
        </row>
        <row r="1012">
          <cell r="B1012">
            <v>221121</v>
          </cell>
          <cell r="C1012" t="str">
            <v>Child</v>
          </cell>
          <cell r="D1012" t="str">
            <v>Invoice Price variance (between Invoice price &amp; PO price)</v>
          </cell>
        </row>
        <row r="1013">
          <cell r="B1013">
            <v>221200</v>
          </cell>
          <cell r="C1013" t="str">
            <v>Parent</v>
          </cell>
          <cell r="D1013" t="str">
            <v>Interest accrued:</v>
          </cell>
        </row>
        <row r="1014">
          <cell r="B1014">
            <v>221210</v>
          </cell>
          <cell r="C1014" t="str">
            <v>Child</v>
          </cell>
          <cell r="D1014" t="str">
            <v>Bank interest (overdrafts)</v>
          </cell>
        </row>
        <row r="1015">
          <cell r="B1015">
            <v>221220</v>
          </cell>
          <cell r="C1015" t="str">
            <v>Child</v>
          </cell>
          <cell r="D1015" t="str">
            <v>Accrued interest on Bonds</v>
          </cell>
        </row>
        <row r="1016">
          <cell r="B1016">
            <v>221230</v>
          </cell>
          <cell r="C1016" t="str">
            <v>Child</v>
          </cell>
          <cell r="D1016" t="str">
            <v>Accrued interest on Treasury Notes</v>
          </cell>
        </row>
        <row r="1017">
          <cell r="B1017">
            <v>221240</v>
          </cell>
          <cell r="C1017" t="str">
            <v>Child</v>
          </cell>
          <cell r="D1017" t="str">
            <v>Accrued interest on Loans</v>
          </cell>
        </row>
        <row r="1018">
          <cell r="B1018">
            <v>221300</v>
          </cell>
          <cell r="C1018" t="str">
            <v>Parent</v>
          </cell>
          <cell r="D1018" t="str">
            <v>Other Non-employee related accruals:</v>
          </cell>
        </row>
        <row r="1019">
          <cell r="B1019">
            <v>221310</v>
          </cell>
          <cell r="C1019" t="str">
            <v>Child</v>
          </cell>
          <cell r="D1019" t="str">
            <v>Accrued rent</v>
          </cell>
        </row>
        <row r="1020">
          <cell r="B1020">
            <v>221320</v>
          </cell>
          <cell r="C1020" t="str">
            <v>Child</v>
          </cell>
          <cell r="D1020" t="str">
            <v>Board members' fees accrued</v>
          </cell>
        </row>
        <row r="1021">
          <cell r="B1021">
            <v>221330</v>
          </cell>
          <cell r="C1021" t="str">
            <v>Child</v>
          </cell>
          <cell r="D1021" t="str">
            <v>Accrued stipend/remuneration payable to students in Educational Institutes</v>
          </cell>
        </row>
        <row r="1022">
          <cell r="B1022">
            <v>221340</v>
          </cell>
          <cell r="C1022" t="str">
            <v>Child</v>
          </cell>
          <cell r="D1022" t="str">
            <v>Liability arising due to legal judgements including  Damages payable</v>
          </cell>
        </row>
        <row r="1023">
          <cell r="B1023">
            <v>221350</v>
          </cell>
          <cell r="C1023" t="str">
            <v>Child</v>
          </cell>
          <cell r="D1023" t="str">
            <v>Accrued grants &amp; other transfer payments</v>
          </cell>
        </row>
        <row r="1024">
          <cell r="B1024">
            <v>317100</v>
          </cell>
          <cell r="C1024" t="str">
            <v>Parent</v>
          </cell>
          <cell r="D1024" t="str">
            <v>VAT related Revenue</v>
          </cell>
        </row>
        <row r="1025">
          <cell r="B1025">
            <v>221390</v>
          </cell>
          <cell r="C1025" t="str">
            <v>Child</v>
          </cell>
          <cell r="D1025" t="str">
            <v>Other accrued expenses not mentioned elsewhere</v>
          </cell>
        </row>
        <row r="1026">
          <cell r="B1026">
            <v>221500</v>
          </cell>
          <cell r="C1026" t="str">
            <v>Parent</v>
          </cell>
          <cell r="D1026" t="str">
            <v>Employee related payables :</v>
          </cell>
        </row>
        <row r="1027">
          <cell r="B1027">
            <v>221501</v>
          </cell>
          <cell r="C1027" t="str">
            <v>Child</v>
          </cell>
          <cell r="D1027" t="str">
            <v>Expense payroll accrual - pending payment - System setup account</v>
          </cell>
        </row>
        <row r="1028">
          <cell r="B1028">
            <v>221511</v>
          </cell>
          <cell r="C1028" t="str">
            <v>Child</v>
          </cell>
          <cell r="D1028" t="str">
            <v>Accrual for Reimbursible payroll expenses</v>
          </cell>
        </row>
        <row r="1029">
          <cell r="B1029">
            <v>221512</v>
          </cell>
          <cell r="C1029" t="str">
            <v>Child</v>
          </cell>
          <cell r="D1029" t="str">
            <v>Accrued Salaries and wages</v>
          </cell>
        </row>
        <row r="1030">
          <cell r="B1030">
            <v>221513</v>
          </cell>
          <cell r="C1030" t="str">
            <v>Child</v>
          </cell>
          <cell r="D1030" t="str">
            <v>Accrued Vacation pay</v>
          </cell>
        </row>
        <row r="1031">
          <cell r="B1031">
            <v>266122</v>
          </cell>
          <cell r="C1031" t="str">
            <v>Child</v>
          </cell>
          <cell r="D1031" t="str">
            <v xml:space="preserve">Bonds 2024-34 </v>
          </cell>
        </row>
        <row r="1032">
          <cell r="B1032">
            <v>221530</v>
          </cell>
          <cell r="C1032" t="str">
            <v>Parent</v>
          </cell>
          <cell r="D1032" t="str">
            <v xml:space="preserve">Liability towards employee deductions / Unpaid salaries </v>
          </cell>
        </row>
        <row r="1033">
          <cell r="B1033">
            <v>221531</v>
          </cell>
          <cell r="C1033" t="str">
            <v>Child</v>
          </cell>
          <cell r="D1033" t="str">
            <v>Undisbursed salaries</v>
          </cell>
        </row>
        <row r="1034">
          <cell r="B1034">
            <v>221532</v>
          </cell>
          <cell r="C1034" t="str">
            <v>Child</v>
          </cell>
          <cell r="D1034" t="str">
            <v>Undisbursed wages</v>
          </cell>
        </row>
        <row r="1035">
          <cell r="B1035">
            <v>221533</v>
          </cell>
          <cell r="C1035" t="str">
            <v>Child</v>
          </cell>
          <cell r="D1035" t="str">
            <v>Retention (contracted employees)</v>
          </cell>
        </row>
        <row r="1036">
          <cell r="B1036">
            <v>425151</v>
          </cell>
          <cell r="C1036" t="str">
            <v>Child</v>
          </cell>
          <cell r="D1036" t="str">
            <v>Rental - Machinery</v>
          </cell>
        </row>
        <row r="1037">
          <cell r="B1037">
            <v>221550</v>
          </cell>
          <cell r="C1037" t="str">
            <v>Parent</v>
          </cell>
          <cell r="D1037" t="str">
            <v>Terminal benefits accrued:</v>
          </cell>
        </row>
        <row r="1038">
          <cell r="B1038">
            <v>221551</v>
          </cell>
          <cell r="C1038" t="str">
            <v>Child</v>
          </cell>
          <cell r="D1038" t="str">
            <v>End-of-service gratuity liability</v>
          </cell>
        </row>
        <row r="1039">
          <cell r="B1039">
            <v>221552</v>
          </cell>
          <cell r="C1039" t="str">
            <v>Child</v>
          </cell>
          <cell r="D1039" t="str">
            <v>End-of-service fares and baggage allowance liability</v>
          </cell>
        </row>
        <row r="1040">
          <cell r="B1040">
            <v>221553</v>
          </cell>
          <cell r="C1040" t="str">
            <v>Child</v>
          </cell>
          <cell r="D1040" t="str">
            <v>Death benefits payable</v>
          </cell>
        </row>
        <row r="1041">
          <cell r="B1041">
            <v>221554</v>
          </cell>
          <cell r="C1041" t="str">
            <v>Child</v>
          </cell>
          <cell r="D1041" t="str">
            <v>Severance pay payable</v>
          </cell>
        </row>
        <row r="1042">
          <cell r="B1042">
            <v>221691</v>
          </cell>
          <cell r="C1042" t="str">
            <v>Child</v>
          </cell>
          <cell r="D1042" t="str">
            <v>Incentives for Customs Seizures to employees</v>
          </cell>
        </row>
        <row r="1043">
          <cell r="B1043">
            <v>221699</v>
          </cell>
          <cell r="C1043" t="str">
            <v>Child</v>
          </cell>
          <cell r="D1043" t="str">
            <v>Other accrued employee benefits not mentioned elsewhere</v>
          </cell>
        </row>
        <row r="1044">
          <cell r="B1044">
            <v>222000</v>
          </cell>
          <cell r="C1044" t="str">
            <v>Parent</v>
          </cell>
          <cell r="D1044" t="str">
            <v>Short-term borrowings: Current debt.</v>
          </cell>
        </row>
        <row r="1045">
          <cell r="B1045">
            <v>222500</v>
          </cell>
          <cell r="C1045" t="str">
            <v>Parent</v>
          </cell>
          <cell r="D1045" t="str">
            <v>Short term Deposits from GBEs/SOEs</v>
          </cell>
        </row>
        <row r="1046">
          <cell r="B1046">
            <v>222690</v>
          </cell>
          <cell r="C1046" t="str">
            <v>Child</v>
          </cell>
          <cell r="D1046" t="str">
            <v>Fund Account – Short term Deposits from GBEs/SOEs</v>
          </cell>
        </row>
        <row r="1047">
          <cell r="B1047">
            <v>222710</v>
          </cell>
          <cell r="C1047" t="str">
            <v>Child</v>
          </cell>
          <cell r="D1047" t="str">
            <v xml:space="preserve"> Finance Lease Liability payable - Current</v>
          </cell>
        </row>
        <row r="1048">
          <cell r="B1048">
            <v>222800</v>
          </cell>
          <cell r="C1048" t="str">
            <v>Parent</v>
          </cell>
          <cell r="D1048" t="str">
            <v>Other financial instruments - Current</v>
          </cell>
        </row>
        <row r="1049">
          <cell r="B1049">
            <v>222810</v>
          </cell>
          <cell r="C1049" t="str">
            <v>Child</v>
          </cell>
          <cell r="D1049" t="str">
            <v>Corporate Credit Card Account</v>
          </cell>
        </row>
        <row r="1050">
          <cell r="B1050">
            <v>222820</v>
          </cell>
          <cell r="C1050" t="str">
            <v>Child</v>
          </cell>
          <cell r="D1050" t="str">
            <v>Credit card Settlement Transit Act for I.Expenses</v>
          </cell>
        </row>
        <row r="1051">
          <cell r="B1051">
            <v>222900</v>
          </cell>
          <cell r="C1051" t="str">
            <v>Parent</v>
          </cell>
          <cell r="D1051" t="str">
            <v>Derivatives: Current</v>
          </cell>
        </row>
        <row r="1052">
          <cell r="B1052">
            <v>225000</v>
          </cell>
          <cell r="C1052" t="str">
            <v>Parent</v>
          </cell>
          <cell r="D1052" t="str">
            <v>Deferred Revenues: Current</v>
          </cell>
        </row>
        <row r="1053">
          <cell r="B1053">
            <v>225110</v>
          </cell>
          <cell r="C1053" t="str">
            <v>Child</v>
          </cell>
          <cell r="D1053" t="str">
            <v>DeferredTax Revenue</v>
          </cell>
        </row>
        <row r="1054">
          <cell r="B1054">
            <v>225310</v>
          </cell>
          <cell r="C1054" t="str">
            <v>Child</v>
          </cell>
          <cell r="D1054" t="str">
            <v>Deferred Revenues - Rents</v>
          </cell>
        </row>
        <row r="1055">
          <cell r="B1055">
            <v>225410</v>
          </cell>
          <cell r="C1055" t="str">
            <v>Child</v>
          </cell>
          <cell r="D1055" t="str">
            <v>Deferred Revenues - Grants and other transfer receipts</v>
          </cell>
        </row>
        <row r="1056">
          <cell r="B1056">
            <v>225510</v>
          </cell>
          <cell r="C1056" t="str">
            <v>Child</v>
          </cell>
          <cell r="D1056" t="str">
            <v>Deferred Lease Revenue</v>
          </cell>
        </row>
        <row r="1057">
          <cell r="B1057">
            <v>225810</v>
          </cell>
          <cell r="C1057" t="str">
            <v>Child</v>
          </cell>
          <cell r="D1057" t="str">
            <v>Other deferred revenue not mentioned elsewhere</v>
          </cell>
        </row>
        <row r="1058">
          <cell r="B1058">
            <v>225910</v>
          </cell>
          <cell r="C1058" t="str">
            <v>Child</v>
          </cell>
          <cell r="D1058" t="str">
            <v>Deferred Revenues: Unearned Revenue</v>
          </cell>
        </row>
        <row r="1059">
          <cell r="B1059">
            <v>225920</v>
          </cell>
          <cell r="C1059" t="str">
            <v>Child</v>
          </cell>
          <cell r="D1059" t="str">
            <v>Deferred Revenues: Unbilled Receivables</v>
          </cell>
        </row>
        <row r="1060">
          <cell r="B1060">
            <v>230100</v>
          </cell>
          <cell r="C1060" t="str">
            <v>Parent</v>
          </cell>
          <cell r="D1060" t="str">
            <v>Regulatory deposits from Contractors</v>
          </cell>
        </row>
        <row r="1061">
          <cell r="B1061">
            <v>230111</v>
          </cell>
          <cell r="C1061" t="str">
            <v>Child</v>
          </cell>
          <cell r="D1061" t="str">
            <v>Regulatory deposits: Construction site clearance deposit</v>
          </cell>
        </row>
        <row r="1062">
          <cell r="B1062">
            <v>230112</v>
          </cell>
          <cell r="C1062" t="str">
            <v>Child</v>
          </cell>
          <cell r="D1062" t="str">
            <v>Regulatory deposits from Contractors as per the Contract clauses</v>
          </cell>
        </row>
        <row r="1063">
          <cell r="B1063">
            <v>230120</v>
          </cell>
          <cell r="C1063" t="str">
            <v>Child</v>
          </cell>
          <cell r="D1063" t="str">
            <v>Regulatory deposits: Customs law compliance</v>
          </cell>
        </row>
        <row r="1064">
          <cell r="B1064">
            <v>230130</v>
          </cell>
          <cell r="C1064" t="str">
            <v>Child</v>
          </cell>
          <cell r="D1064" t="str">
            <v>Regulatory deposits: Shop-keepers / Other Retail Businesses</v>
          </cell>
        </row>
        <row r="1065">
          <cell r="B1065">
            <v>230190</v>
          </cell>
          <cell r="C1065" t="str">
            <v>Child</v>
          </cell>
          <cell r="D1065" t="str">
            <v>Other regulatory deposits not mentioned elsewhere</v>
          </cell>
        </row>
        <row r="1066">
          <cell r="B1066">
            <v>230200</v>
          </cell>
          <cell r="C1066" t="str">
            <v>Parent</v>
          </cell>
          <cell r="D1066" t="str">
            <v>Vendor deposits</v>
          </cell>
        </row>
        <row r="1067">
          <cell r="B1067">
            <v>324156</v>
          </cell>
          <cell r="C1067" t="str">
            <v>Child</v>
          </cell>
          <cell r="D1067" t="str">
            <v>Fee for NOC-Right of Way</v>
          </cell>
        </row>
        <row r="1068">
          <cell r="B1068">
            <v>230230</v>
          </cell>
          <cell r="C1068" t="str">
            <v>Child</v>
          </cell>
          <cell r="D1068" t="str">
            <v>Deposit for performance/delivery execution</v>
          </cell>
        </row>
        <row r="1069">
          <cell r="B1069">
            <v>230300</v>
          </cell>
          <cell r="C1069" t="str">
            <v>Parent</v>
          </cell>
          <cell r="D1069" t="str">
            <v>Tenants for hired properties:</v>
          </cell>
        </row>
        <row r="1070">
          <cell r="B1070">
            <v>230310</v>
          </cell>
          <cell r="C1070" t="str">
            <v>Child</v>
          </cell>
          <cell r="D1070" t="str">
            <v>Deposits for hired residential properties</v>
          </cell>
        </row>
        <row r="1071">
          <cell r="B1071">
            <v>230320</v>
          </cell>
          <cell r="C1071" t="str">
            <v>Child</v>
          </cell>
          <cell r="D1071" t="str">
            <v>Deposits for hired non-residential properties</v>
          </cell>
        </row>
        <row r="1072">
          <cell r="B1072">
            <v>230400</v>
          </cell>
          <cell r="C1072" t="str">
            <v>Parent</v>
          </cell>
          <cell r="D1072" t="str">
            <v>Commercial Building Owners:</v>
          </cell>
        </row>
        <row r="1073">
          <cell r="B1073">
            <v>230410</v>
          </cell>
          <cell r="C1073" t="str">
            <v>Child</v>
          </cell>
          <cell r="D1073" t="str">
            <v>C B Property owner's dues (Liability Account)</v>
          </cell>
        </row>
        <row r="1074">
          <cell r="B1074">
            <v>230420</v>
          </cell>
          <cell r="C1074" t="str">
            <v>Child</v>
          </cell>
          <cell r="D1074" t="str">
            <v>Interest earned on C B owner's funds</v>
          </cell>
        </row>
        <row r="1075">
          <cell r="B1075">
            <v>230500</v>
          </cell>
          <cell r="C1075" t="str">
            <v>Parent</v>
          </cell>
          <cell r="D1075" t="str">
            <v>Unclaimed monies payable to beneficiaries:</v>
          </cell>
        </row>
        <row r="1076">
          <cell r="B1076">
            <v>230510</v>
          </cell>
          <cell r="C1076" t="str">
            <v>Child</v>
          </cell>
          <cell r="D1076" t="str">
            <v>Unpaid chqs &amp; voided pyts (other than AP/Payroll system-related)</v>
          </cell>
        </row>
        <row r="1077">
          <cell r="B1077">
            <v>230520</v>
          </cell>
          <cell r="C1077" t="str">
            <v>Child</v>
          </cell>
          <cell r="D1077" t="str">
            <v>Beneficiaries - Beneficiary system voided payments</v>
          </cell>
        </row>
        <row r="1078">
          <cell r="B1078">
            <v>230600</v>
          </cell>
          <cell r="C1078" t="str">
            <v>Parent</v>
          </cell>
          <cell r="D1078" t="str">
            <v>Customers Deposits-Revenue dues settlement settlement</v>
          </cell>
        </row>
        <row r="1079">
          <cell r="B1079">
            <v>230620</v>
          </cell>
          <cell r="C1079" t="str">
            <v>Child</v>
          </cell>
          <cell r="D1079" t="str">
            <v>Customs Deposits - Customs Deposit Dues settlement</v>
          </cell>
        </row>
        <row r="1080">
          <cell r="B1080">
            <v>230630</v>
          </cell>
          <cell r="C1080" t="str">
            <v>Child</v>
          </cell>
          <cell r="D1080" t="str">
            <v>Toll Gate Passage Fees Deposit</v>
          </cell>
        </row>
        <row r="1081">
          <cell r="B1081">
            <v>230640</v>
          </cell>
          <cell r="C1081" t="str">
            <v>Child</v>
          </cell>
          <cell r="D1081" t="str">
            <v>Inmates Deposits</v>
          </cell>
        </row>
        <row r="1082">
          <cell r="B1082">
            <v>230650</v>
          </cell>
          <cell r="C1082" t="str">
            <v>Child</v>
          </cell>
          <cell r="D1082" t="str">
            <v>Other Customer deposits not mentioned elsewhere</v>
          </cell>
        </row>
        <row r="1083">
          <cell r="B1083">
            <v>230700</v>
          </cell>
          <cell r="C1083" t="str">
            <v>Parent</v>
          </cell>
          <cell r="D1083" t="str">
            <v>AR-Related suspense receipts</v>
          </cell>
        </row>
        <row r="1084">
          <cell r="B1084">
            <v>230710</v>
          </cell>
          <cell r="C1084" t="str">
            <v>Child</v>
          </cell>
          <cell r="D1084" t="str">
            <v>Unidendified receipt (Customer not known)</v>
          </cell>
        </row>
        <row r="1085">
          <cell r="B1085">
            <v>230720</v>
          </cell>
          <cell r="C1085" t="str">
            <v>Child</v>
          </cell>
          <cell r="D1085" t="str">
            <v>Unapplied receipt (invoice unmatched)</v>
          </cell>
        </row>
        <row r="1086">
          <cell r="B1086">
            <v>230730</v>
          </cell>
          <cell r="C1086" t="str">
            <v>Child</v>
          </cell>
          <cell r="D1086" t="str">
            <v>Receipt on account (invoice not issued)</v>
          </cell>
        </row>
        <row r="1087">
          <cell r="B1087">
            <v>230800</v>
          </cell>
          <cell r="C1087" t="str">
            <v>Parent</v>
          </cell>
          <cell r="D1087" t="str">
            <v>Trust bank account liabilities</v>
          </cell>
        </row>
        <row r="1088">
          <cell r="B1088">
            <v>230810</v>
          </cell>
          <cell r="C1088" t="str">
            <v>Child</v>
          </cell>
          <cell r="D1088" t="str">
            <v>Liability towards receipts thropugh Trust bank accounts not mentioned elsewhere</v>
          </cell>
        </row>
        <row r="1089">
          <cell r="B1089">
            <v>231000</v>
          </cell>
          <cell r="C1089" t="str">
            <v>Parent</v>
          </cell>
          <cell r="D1089" t="str">
            <v>Other Liabilities (Excluding liabilities recorded against Trust bank account transactions)</v>
          </cell>
        </row>
        <row r="1090">
          <cell r="B1090">
            <v>231110</v>
          </cell>
          <cell r="C1090" t="str">
            <v>Child</v>
          </cell>
          <cell r="D1090" t="str">
            <v>Joint Public-Private Sector Project Fund</v>
          </cell>
        </row>
        <row r="1091">
          <cell r="B1091">
            <v>231120</v>
          </cell>
          <cell r="C1091" t="str">
            <v>Child</v>
          </cell>
          <cell r="D1091" t="str">
            <v>Donations-For prize re-distributions</v>
          </cell>
        </row>
        <row r="1092">
          <cell r="B1092">
            <v>231130</v>
          </cell>
          <cell r="C1092" t="str">
            <v>Child</v>
          </cell>
          <cell r="D1092" t="str">
            <v>Strategic commodity sale proceeds</v>
          </cell>
        </row>
        <row r="1093">
          <cell r="B1093">
            <v>222711</v>
          </cell>
          <cell r="C1093" t="str">
            <v>Child</v>
          </cell>
          <cell r="D1093" t="str">
            <v xml:space="preserve"> Finance Lease Liability payable - Current</v>
          </cell>
        </row>
        <row r="1094">
          <cell r="B1094">
            <v>426719</v>
          </cell>
          <cell r="C1094" t="str">
            <v>Child</v>
          </cell>
          <cell r="D1094" t="str">
            <v>Street lighting</v>
          </cell>
        </row>
        <row r="1095">
          <cell r="B1095">
            <v>333619</v>
          </cell>
          <cell r="C1095" t="str">
            <v>Child</v>
          </cell>
          <cell r="D1095" t="str">
            <v>Loan repyts-Other emirates pending allocation</v>
          </cell>
        </row>
        <row r="1096">
          <cell r="B1096">
            <v>231140</v>
          </cell>
          <cell r="C1096" t="str">
            <v>Child</v>
          </cell>
          <cell r="D1096" t="str">
            <v>General suspense accounts against non-AR receipts</v>
          </cell>
        </row>
        <row r="1097">
          <cell r="B1097">
            <v>231150</v>
          </cell>
          <cell r="C1097" t="str">
            <v>Child</v>
          </cell>
          <cell r="D1097" t="str">
            <v>Recovery of employee's pay pending redistribution to relevant accounts</v>
          </cell>
        </row>
        <row r="1098">
          <cell r="B1098">
            <v>231160</v>
          </cell>
          <cell r="C1098" t="str">
            <v>Child</v>
          </cell>
          <cell r="D1098" t="str">
            <v>UAE Development Bank - Current account</v>
          </cell>
        </row>
        <row r="1099">
          <cell r="B1099">
            <v>231170</v>
          </cell>
          <cell r="C1099" t="str">
            <v>Child</v>
          </cell>
          <cell r="D1099" t="str">
            <v>Sharjah office of Abu Dhabi Govt (no longer in operation)</v>
          </cell>
        </row>
        <row r="1100">
          <cell r="B1100">
            <v>231180</v>
          </cell>
          <cell r="C1100" t="str">
            <v>Child</v>
          </cell>
          <cell r="D1100" t="str">
            <v xml:space="preserve">Other suspense receipts </v>
          </cell>
        </row>
        <row r="1101">
          <cell r="B1101">
            <v>232110</v>
          </cell>
          <cell r="C1101" t="str">
            <v>Child</v>
          </cell>
          <cell r="D1101" t="str">
            <v>Other provisions payable within 12 months</v>
          </cell>
        </row>
        <row r="1102">
          <cell r="B1102">
            <v>250100</v>
          </cell>
          <cell r="C1102" t="str">
            <v>Parent</v>
          </cell>
          <cell r="D1102" t="str">
            <v>Terminal benefits accrued:</v>
          </cell>
        </row>
        <row r="1103">
          <cell r="B1103">
            <v>250110</v>
          </cell>
          <cell r="C1103" t="str">
            <v>Child</v>
          </cell>
          <cell r="D1103" t="str">
            <v>End-of-service gratuity - Non-current</v>
          </cell>
        </row>
        <row r="1104">
          <cell r="B1104">
            <v>269100</v>
          </cell>
          <cell r="C1104" t="str">
            <v>Parent</v>
          </cell>
          <cell r="D1104" t="str">
            <v>Treasury notes</v>
          </cell>
        </row>
        <row r="1105">
          <cell r="B1105">
            <v>250120</v>
          </cell>
          <cell r="C1105" t="str">
            <v>Child</v>
          </cell>
          <cell r="D1105" t="str">
            <v>End-of-service fares and baggage allowance - Non-current</v>
          </cell>
        </row>
        <row r="1106">
          <cell r="B1106">
            <v>250210</v>
          </cell>
          <cell r="C1106" t="str">
            <v>Child</v>
          </cell>
          <cell r="D1106" t="str">
            <v xml:space="preserve">Payable to General Vendors (Long-term) including </v>
          </cell>
        </row>
        <row r="1107">
          <cell r="B1107">
            <v>250300</v>
          </cell>
          <cell r="C1107" t="str">
            <v>Parent</v>
          </cell>
          <cell r="D1107" t="str">
            <v>Payable to Specific Vendors including GREs/SOEs and related parties</v>
          </cell>
        </row>
        <row r="1108">
          <cell r="B1108">
            <v>250310</v>
          </cell>
          <cell r="C1108" t="str">
            <v>Child</v>
          </cell>
          <cell r="D1108" t="str">
            <v>Grants and subsedies payable to  ADNOC</v>
          </cell>
        </row>
        <row r="1109">
          <cell r="B1109">
            <v>250320</v>
          </cell>
          <cell r="C1109" t="str">
            <v>Child</v>
          </cell>
          <cell r="D1109" t="str">
            <v>Payables other than grant and subsidies – Mubadala</v>
          </cell>
        </row>
        <row r="1110">
          <cell r="B1110">
            <v>250390</v>
          </cell>
          <cell r="C1110" t="str">
            <v>Child</v>
          </cell>
          <cell r="D1110" t="str">
            <v>Government Business Enterprises (SOEs) - other than grants/subsidies</v>
          </cell>
        </row>
        <row r="1111">
          <cell r="B1111">
            <v>250510</v>
          </cell>
          <cell r="C1111" t="str">
            <v>Child</v>
          </cell>
          <cell r="D1111" t="str">
            <v>Payable to Federal Government Entities not mentioned elsewhere.</v>
          </cell>
        </row>
        <row r="1112">
          <cell r="B1112">
            <v>251000</v>
          </cell>
          <cell r="C1112" t="str">
            <v>Parent</v>
          </cell>
          <cell r="D1112" t="str">
            <v>Intra-Government Payables: long term</v>
          </cell>
        </row>
        <row r="1113">
          <cell r="B1113">
            <v>251010</v>
          </cell>
          <cell r="C1113" t="str">
            <v>Child</v>
          </cell>
          <cell r="D1113" t="str">
            <v>Intra-entity Inter-ledger payables - Long term</v>
          </cell>
        </row>
        <row r="1114">
          <cell r="B1114">
            <v>251144</v>
          </cell>
          <cell r="C1114" t="str">
            <v>Child</v>
          </cell>
          <cell r="D1114" t="str">
            <v>Long-term Payable to ADEO</v>
          </cell>
        </row>
        <row r="1115">
          <cell r="B1115">
            <v>323721</v>
          </cell>
          <cell r="C1115" t="str">
            <v>Child</v>
          </cell>
          <cell r="D1115" t="str">
            <v>Sale of confiscated goods</v>
          </cell>
        </row>
        <row r="1116">
          <cell r="B1116">
            <v>251201</v>
          </cell>
          <cell r="C1116" t="str">
            <v>Child</v>
          </cell>
          <cell r="D1116" t="str">
            <v>Long-term Payable to Treasury Department of Finance</v>
          </cell>
        </row>
        <row r="1117">
          <cell r="B1117">
            <v>251411</v>
          </cell>
          <cell r="C1117" t="str">
            <v>Child</v>
          </cell>
          <cell r="D1117" t="str">
            <v>Long-term Payable to Treasury Department of Economic Development</v>
          </cell>
        </row>
        <row r="1118">
          <cell r="B1118">
            <v>251413</v>
          </cell>
          <cell r="C1118" t="str">
            <v>Child</v>
          </cell>
          <cell r="D1118" t="str">
            <v>Long-term Payable to Abu Dhabi Global Market</v>
          </cell>
        </row>
        <row r="1119">
          <cell r="B1119">
            <v>275135</v>
          </cell>
          <cell r="C1119" t="str">
            <v>Child</v>
          </cell>
          <cell r="D1119" t="str">
            <v>UAE Dev Bank - Equity Acct</v>
          </cell>
        </row>
        <row r="1120">
          <cell r="B1120">
            <v>251512</v>
          </cell>
          <cell r="C1120" t="str">
            <v>Child</v>
          </cell>
          <cell r="D1120" t="str">
            <v>Long-term Payable to Center of Waster Management</v>
          </cell>
        </row>
        <row r="1121">
          <cell r="B1121">
            <v>251621</v>
          </cell>
          <cell r="C1121" t="str">
            <v>Child</v>
          </cell>
          <cell r="D1121" t="str">
            <v>Long-term Payable to Department of Municipal Affairs (now merged with DMT)</v>
          </cell>
        </row>
        <row r="1122">
          <cell r="B1122">
            <v>251631</v>
          </cell>
          <cell r="C1122" t="str">
            <v>Child</v>
          </cell>
          <cell r="D1122" t="str">
            <v>Long-term Payable to Abu Dhabi Municipality</v>
          </cell>
        </row>
        <row r="1123">
          <cell r="B1123">
            <v>251632</v>
          </cell>
          <cell r="C1123" t="str">
            <v>Child</v>
          </cell>
          <cell r="D1123" t="str">
            <v>Long-term Payable to Al Ain Municipality</v>
          </cell>
        </row>
        <row r="1124">
          <cell r="B1124">
            <v>251633</v>
          </cell>
          <cell r="C1124" t="str">
            <v>Child</v>
          </cell>
          <cell r="D1124" t="str">
            <v>Long-term Payable to Western Region Municipality- WRM</v>
          </cell>
        </row>
        <row r="1125">
          <cell r="B1125">
            <v>251833</v>
          </cell>
          <cell r="C1125" t="str">
            <v>Child</v>
          </cell>
          <cell r="D1125" t="str">
            <v>Long-term Payable to ADVETI</v>
          </cell>
        </row>
        <row r="1126">
          <cell r="B1126">
            <v>321211</v>
          </cell>
          <cell r="C1126" t="str">
            <v>Child</v>
          </cell>
          <cell r="D1126" t="str">
            <v>License - fishing</v>
          </cell>
        </row>
        <row r="1127">
          <cell r="B1127">
            <v>251834</v>
          </cell>
          <cell r="C1127" t="str">
            <v>Child</v>
          </cell>
          <cell r="D1127" t="str">
            <v>Long-term Payable to IAT - Institute of Applied Tech.</v>
          </cell>
        </row>
        <row r="1128">
          <cell r="B1128">
            <v>275120</v>
          </cell>
          <cell r="C1128" t="str">
            <v>Parent</v>
          </cell>
          <cell r="D1128" t="str">
            <v>Sharia Court Trust Funds:</v>
          </cell>
        </row>
        <row r="1129">
          <cell r="B1129">
            <v>253010</v>
          </cell>
          <cell r="C1129" t="str">
            <v>Child</v>
          </cell>
          <cell r="D1129" t="str">
            <v>Provision for long-term payables to Vendors</v>
          </cell>
        </row>
        <row r="1130">
          <cell r="B1130">
            <v>253210</v>
          </cell>
          <cell r="C1130" t="str">
            <v>Child</v>
          </cell>
          <cell r="D1130" t="str">
            <v>Provision for Grants &amp; other transfer payments</v>
          </cell>
        </row>
        <row r="1131">
          <cell r="B1131">
            <v>253220</v>
          </cell>
          <cell r="C1131" t="str">
            <v>Child</v>
          </cell>
          <cell r="D1131" t="str">
            <v>Provision for Judgement debts and Damages</v>
          </cell>
        </row>
        <row r="1132">
          <cell r="B1132">
            <v>253280</v>
          </cell>
          <cell r="C1132" t="str">
            <v>Child</v>
          </cell>
          <cell r="D1132" t="str">
            <v>Provision for slow-moving inventory (BG-8 only)</v>
          </cell>
        </row>
        <row r="1133">
          <cell r="B1133">
            <v>253290</v>
          </cell>
          <cell r="C1133" t="str">
            <v>Child</v>
          </cell>
          <cell r="D1133" t="str">
            <v>Provision for Other expenses</v>
          </cell>
        </row>
        <row r="1134">
          <cell r="B1134">
            <v>253400</v>
          </cell>
          <cell r="C1134" t="str">
            <v>Parent</v>
          </cell>
          <cell r="D1134" t="str">
            <v>Unclaimed monies payable to beneficiaries: Long-term</v>
          </cell>
        </row>
        <row r="1135">
          <cell r="B1135">
            <v>253410</v>
          </cell>
          <cell r="C1135" t="str">
            <v>Child</v>
          </cell>
          <cell r="D1135" t="str">
            <v>Voided payments (not written back to AP/Payroll/Beneficiary) - Long-term liability</v>
          </cell>
        </row>
        <row r="1136">
          <cell r="B1136">
            <v>261000</v>
          </cell>
          <cell r="C1136" t="str">
            <v>Parent</v>
          </cell>
          <cell r="D1136" t="str">
            <v>Long-term Borrowings - Unfunded</v>
          </cell>
        </row>
        <row r="1137">
          <cell r="B1137">
            <v>261100</v>
          </cell>
          <cell r="C1137" t="str">
            <v>Parent</v>
          </cell>
          <cell r="D1137" t="str">
            <v>Interest bearing debt:  Unfunded Loans</v>
          </cell>
        </row>
        <row r="1138">
          <cell r="B1138">
            <v>262110</v>
          </cell>
          <cell r="C1138" t="str">
            <v>Child</v>
          </cell>
          <cell r="D1138" t="str">
            <v>Loan from Al Waha (Boeing)</v>
          </cell>
        </row>
        <row r="1139">
          <cell r="B1139">
            <v>262120</v>
          </cell>
          <cell r="C1139" t="str">
            <v>Child</v>
          </cell>
          <cell r="D1139" t="str">
            <v>Loan from Al Waha (Pilatus)</v>
          </cell>
        </row>
        <row r="1140">
          <cell r="B1140">
            <v>262130</v>
          </cell>
          <cell r="C1140" t="str">
            <v>Child</v>
          </cell>
          <cell r="D1140" t="str">
            <v>Loan from Al Waha (EADS - CASA)</v>
          </cell>
        </row>
        <row r="1141">
          <cell r="B1141">
            <v>263110</v>
          </cell>
          <cell r="C1141" t="str">
            <v>Child</v>
          </cell>
          <cell r="D1141" t="str">
            <v>Loans from ADIB Facility A 2024-26</v>
          </cell>
        </row>
        <row r="1142">
          <cell r="B1142">
            <v>263120</v>
          </cell>
          <cell r="C1142" t="str">
            <v>Child</v>
          </cell>
          <cell r="D1142" t="str">
            <v>Loans from ADIB Facility B 2024-30</v>
          </cell>
        </row>
        <row r="1143">
          <cell r="B1143">
            <v>263130</v>
          </cell>
          <cell r="C1143" t="str">
            <v>Child</v>
          </cell>
          <cell r="D1143" t="str">
            <v>Loans from ADIB Facility C 2024-30</v>
          </cell>
        </row>
        <row r="1144">
          <cell r="B1144">
            <v>264110</v>
          </cell>
          <cell r="C1144" t="str">
            <v>Child</v>
          </cell>
          <cell r="D1144" t="str">
            <v>Loan from FAB No. 1</v>
          </cell>
        </row>
        <row r="1145">
          <cell r="B1145">
            <v>264120</v>
          </cell>
          <cell r="C1145" t="str">
            <v>Child</v>
          </cell>
          <cell r="D1145" t="str">
            <v>Loan from FAB No. 2</v>
          </cell>
        </row>
        <row r="1146">
          <cell r="B1146">
            <v>264130</v>
          </cell>
          <cell r="C1146" t="str">
            <v>Child</v>
          </cell>
          <cell r="D1146" t="str">
            <v>Loan from FAB No. 3</v>
          </cell>
        </row>
        <row r="1147">
          <cell r="B1147">
            <v>264140</v>
          </cell>
          <cell r="C1147" t="str">
            <v>Child</v>
          </cell>
          <cell r="D1147" t="str">
            <v>Loan from FAB No. 4</v>
          </cell>
        </row>
        <row r="1148">
          <cell r="B1148">
            <v>266000</v>
          </cell>
          <cell r="C1148" t="str">
            <v>Parent</v>
          </cell>
          <cell r="D1148" t="str">
            <v>Bonds payable</v>
          </cell>
        </row>
        <row r="1149">
          <cell r="B1149">
            <v>266101</v>
          </cell>
          <cell r="C1149" t="str">
            <v>Child</v>
          </cell>
          <cell r="D1149" t="str">
            <v>Bonds 2007-2012 @5.50% p.a.</v>
          </cell>
        </row>
        <row r="1150">
          <cell r="B1150">
            <v>266102</v>
          </cell>
          <cell r="C1150" t="str">
            <v>Child</v>
          </cell>
          <cell r="D1150" t="str">
            <v>Bonds 2009-2014 @5.50% p.a.</v>
          </cell>
        </row>
        <row r="1151">
          <cell r="B1151">
            <v>266103</v>
          </cell>
          <cell r="C1151" t="str">
            <v>Child</v>
          </cell>
          <cell r="D1151" t="str">
            <v>Bonds 2009-2019 @6.75% p.a.</v>
          </cell>
        </row>
        <row r="1152">
          <cell r="B1152">
            <v>266104</v>
          </cell>
          <cell r="C1152" t="str">
            <v>Child</v>
          </cell>
          <cell r="D1152" t="str">
            <v>Bonds 2016-2021 @2.125% p.a.</v>
          </cell>
        </row>
        <row r="1153">
          <cell r="B1153">
            <v>266105</v>
          </cell>
          <cell r="C1153" t="str">
            <v>Child</v>
          </cell>
          <cell r="D1153" t="str">
            <v>Bonds 2016-2026 @3.125% p.a</v>
          </cell>
        </row>
        <row r="1154">
          <cell r="B1154">
            <v>266106</v>
          </cell>
          <cell r="C1154" t="str">
            <v>Child</v>
          </cell>
          <cell r="D1154" t="str">
            <v xml:space="preserve">Bonds 2017-2022 </v>
          </cell>
        </row>
        <row r="1155">
          <cell r="B1155">
            <v>266107</v>
          </cell>
          <cell r="C1155" t="str">
            <v>Child</v>
          </cell>
          <cell r="D1155" t="str">
            <v xml:space="preserve">Bonds 2017-2027 </v>
          </cell>
        </row>
        <row r="1156">
          <cell r="B1156">
            <v>266108</v>
          </cell>
          <cell r="C1156" t="str">
            <v>Child</v>
          </cell>
          <cell r="D1156" t="str">
            <v>Bonds 2017-2047</v>
          </cell>
        </row>
        <row r="1157">
          <cell r="B1157">
            <v>266109</v>
          </cell>
          <cell r="C1157" t="str">
            <v>Child</v>
          </cell>
          <cell r="D1157" t="str">
            <v xml:space="preserve">Bonds 2019-24 </v>
          </cell>
        </row>
        <row r="1158">
          <cell r="B1158">
            <v>266110</v>
          </cell>
          <cell r="C1158" t="str">
            <v>Child</v>
          </cell>
          <cell r="D1158" t="str">
            <v xml:space="preserve">Bonds 2019-29 </v>
          </cell>
        </row>
        <row r="1159">
          <cell r="B1159">
            <v>266111</v>
          </cell>
          <cell r="C1159" t="str">
            <v>Child</v>
          </cell>
          <cell r="D1159" t="str">
            <v xml:space="preserve">Bonds 2019-49 </v>
          </cell>
        </row>
        <row r="1160">
          <cell r="B1160">
            <v>266112</v>
          </cell>
          <cell r="C1160" t="str">
            <v>Child</v>
          </cell>
          <cell r="D1160" t="str">
            <v xml:space="preserve">Bonds 2020-2025 </v>
          </cell>
        </row>
        <row r="1161">
          <cell r="B1161">
            <v>266113</v>
          </cell>
          <cell r="C1161" t="str">
            <v>Child</v>
          </cell>
          <cell r="D1161" t="str">
            <v xml:space="preserve">Bonds 2020-2030 </v>
          </cell>
        </row>
        <row r="1162">
          <cell r="B1162">
            <v>266114</v>
          </cell>
          <cell r="C1162" t="str">
            <v>Child</v>
          </cell>
          <cell r="D1162" t="str">
            <v xml:space="preserve">Bonds 2020-2050 </v>
          </cell>
        </row>
        <row r="1163">
          <cell r="B1163">
            <v>266115</v>
          </cell>
          <cell r="C1163" t="str">
            <v>Child</v>
          </cell>
          <cell r="D1163" t="str">
            <v>Bonds 2020 – 2023 (Sept 20)</v>
          </cell>
        </row>
        <row r="1164">
          <cell r="B1164">
            <v>266116</v>
          </cell>
          <cell r="C1164" t="str">
            <v>Child</v>
          </cell>
          <cell r="D1164" t="str">
            <v>Bonds 2020 – 2031  (Sept 20)</v>
          </cell>
        </row>
        <row r="1165">
          <cell r="B1165">
            <v>266117</v>
          </cell>
          <cell r="C1165" t="str">
            <v>Child</v>
          </cell>
          <cell r="D1165" t="str">
            <v>Bonds 2020 – 2070 (Sept 20)</v>
          </cell>
        </row>
        <row r="1166">
          <cell r="B1166">
            <v>266118</v>
          </cell>
          <cell r="C1166" t="str">
            <v>Child</v>
          </cell>
          <cell r="D1166" t="str">
            <v xml:space="preserve">Bonds 2021 – 2028 </v>
          </cell>
        </row>
        <row r="1167">
          <cell r="B1167">
            <v>266119</v>
          </cell>
          <cell r="C1167" t="str">
            <v>Child</v>
          </cell>
          <cell r="D1167" t="str">
            <v xml:space="preserve">Bonds 2021 – 31 </v>
          </cell>
        </row>
        <row r="1168">
          <cell r="B1168">
            <v>266120</v>
          </cell>
          <cell r="C1168" t="str">
            <v>Child</v>
          </cell>
          <cell r="D1168" t="str">
            <v xml:space="preserve">Bonds 2021 – 51 </v>
          </cell>
        </row>
        <row r="1169">
          <cell r="B1169">
            <v>266123</v>
          </cell>
          <cell r="C1169" t="str">
            <v>Child</v>
          </cell>
          <cell r="D1169" t="str">
            <v xml:space="preserve">Bonds 2024-54 </v>
          </cell>
        </row>
        <row r="1170">
          <cell r="B1170">
            <v>266990</v>
          </cell>
          <cell r="C1170" t="str">
            <v>Child</v>
          </cell>
          <cell r="D1170" t="str">
            <v>Fund Account-Interest bearing Bonds</v>
          </cell>
        </row>
        <row r="1171">
          <cell r="B1171">
            <v>267400</v>
          </cell>
          <cell r="C1171" t="str">
            <v>Parent</v>
          </cell>
          <cell r="D1171" t="str">
            <v>Non-Interest bearing debt:</v>
          </cell>
        </row>
        <row r="1172">
          <cell r="B1172">
            <v>268100</v>
          </cell>
          <cell r="C1172" t="str">
            <v>Parent</v>
          </cell>
          <cell r="D1172" t="str">
            <v>Deposits from SWFs</v>
          </cell>
        </row>
        <row r="1173">
          <cell r="B1173">
            <v>268111</v>
          </cell>
          <cell r="C1173" t="str">
            <v>Child</v>
          </cell>
          <cell r="D1173" t="str">
            <v>ADIA – 5 year deposits</v>
          </cell>
        </row>
        <row r="1174">
          <cell r="B1174">
            <v>268112</v>
          </cell>
          <cell r="C1174" t="str">
            <v>Child</v>
          </cell>
          <cell r="D1174" t="str">
            <v>ADIA – 10 year deposits</v>
          </cell>
        </row>
        <row r="1175">
          <cell r="B1175">
            <v>268131</v>
          </cell>
          <cell r="C1175" t="str">
            <v>Child</v>
          </cell>
          <cell r="D1175" t="str">
            <v>Mubadala – 5 year deposits</v>
          </cell>
        </row>
        <row r="1176">
          <cell r="B1176">
            <v>268132</v>
          </cell>
          <cell r="C1176" t="str">
            <v>Child</v>
          </cell>
          <cell r="D1176" t="str">
            <v>Mubadala – 10 year deposits</v>
          </cell>
        </row>
        <row r="1177">
          <cell r="B1177">
            <v>268290</v>
          </cell>
          <cell r="C1177" t="str">
            <v>Child</v>
          </cell>
          <cell r="D1177" t="str">
            <v>Fund Account – Deposits from SWFs</v>
          </cell>
        </row>
        <row r="1178">
          <cell r="B1178">
            <v>269200</v>
          </cell>
          <cell r="C1178" t="str">
            <v>Parent</v>
          </cell>
          <cell r="D1178" t="str">
            <v>Finance Leases: Non-Current</v>
          </cell>
        </row>
        <row r="1179">
          <cell r="B1179">
            <v>269210</v>
          </cell>
          <cell r="C1179" t="str">
            <v>Child</v>
          </cell>
          <cell r="D1179" t="str">
            <v>Lease Liability - Non-current</v>
          </cell>
        </row>
        <row r="1180">
          <cell r="B1180">
            <v>269220</v>
          </cell>
          <cell r="C1180" t="str">
            <v>Child</v>
          </cell>
          <cell r="D1180" t="str">
            <v>New leases - Non-current</v>
          </cell>
        </row>
        <row r="1181">
          <cell r="B1181">
            <v>270000</v>
          </cell>
          <cell r="C1181" t="str">
            <v>Parent</v>
          </cell>
          <cell r="D1181" t="str">
            <v>Derivatives Financial Instruments: Non-current Liability</v>
          </cell>
        </row>
        <row r="1182">
          <cell r="B1182">
            <v>270100</v>
          </cell>
          <cell r="C1182" t="str">
            <v>Child</v>
          </cell>
          <cell r="D1182" t="str">
            <v>Hedged financial instruments:</v>
          </cell>
        </row>
        <row r="1183">
          <cell r="B1183">
            <v>270510</v>
          </cell>
          <cell r="C1183" t="str">
            <v>Child</v>
          </cell>
          <cell r="D1183" t="str">
            <v>Service Concession Liabilities</v>
          </cell>
        </row>
        <row r="1184">
          <cell r="B1184">
            <v>274000</v>
          </cell>
          <cell r="C1184" t="str">
            <v>Parent</v>
          </cell>
          <cell r="D1184" t="str">
            <v>Contingent Liabilities:</v>
          </cell>
        </row>
        <row r="1185">
          <cell r="B1185">
            <v>274100</v>
          </cell>
          <cell r="C1185" t="str">
            <v>Parent</v>
          </cell>
          <cell r="D1185" t="str">
            <v>Govt Guarantees-3rd parties:</v>
          </cell>
        </row>
        <row r="1186">
          <cell r="B1186">
            <v>274110</v>
          </cell>
          <cell r="C1186" t="str">
            <v>Child</v>
          </cell>
          <cell r="D1186" t="str">
            <v>Govt's contingent obligation</v>
          </cell>
        </row>
        <row r="1187">
          <cell r="B1187">
            <v>274210</v>
          </cell>
          <cell r="C1187" t="str">
            <v>Child</v>
          </cell>
          <cell r="D1187" t="str">
            <v>Financial Guarantees (non-current)</v>
          </cell>
        </row>
        <row r="1188">
          <cell r="B1188">
            <v>274490</v>
          </cell>
          <cell r="C1188" t="str">
            <v>Child</v>
          </cell>
          <cell r="D1188" t="str">
            <v>Other provisions payable later than 12 months</v>
          </cell>
        </row>
        <row r="1189">
          <cell r="B1189">
            <v>275000</v>
          </cell>
          <cell r="C1189" t="str">
            <v>Parent</v>
          </cell>
          <cell r="D1189" t="str">
            <v>Govt-managed Agency accounts:</v>
          </cell>
        </row>
        <row r="1190">
          <cell r="B1190">
            <v>463882</v>
          </cell>
          <cell r="C1190" t="str">
            <v>Child</v>
          </cell>
          <cell r="D1190" t="str">
            <v>Aid Grant - Samoa</v>
          </cell>
        </row>
        <row r="1191">
          <cell r="B1191">
            <v>275110</v>
          </cell>
          <cell r="C1191" t="str">
            <v>Parent</v>
          </cell>
          <cell r="D1191" t="str">
            <v>Zayed Charitable Foundation:</v>
          </cell>
        </row>
        <row r="1192">
          <cell r="B1192">
            <v>275113</v>
          </cell>
          <cell r="C1192" t="str">
            <v>Child</v>
          </cell>
          <cell r="D1192" t="str">
            <v>Zayed Charitable Foundation:Income</v>
          </cell>
        </row>
        <row r="1193">
          <cell r="B1193">
            <v>275121</v>
          </cell>
          <cell r="C1193" t="str">
            <v>Child</v>
          </cell>
          <cell r="D1193" t="str">
            <v>Sharia Court Trust Funds:Assets</v>
          </cell>
        </row>
        <row r="1194">
          <cell r="B1194">
            <v>275123</v>
          </cell>
          <cell r="C1194" t="str">
            <v>Child</v>
          </cell>
          <cell r="D1194" t="str">
            <v>Sharia Court Trust Funds:Income</v>
          </cell>
        </row>
        <row r="1195">
          <cell r="B1195">
            <v>275125</v>
          </cell>
          <cell r="C1195" t="str">
            <v>Child</v>
          </cell>
          <cell r="D1195" t="str">
            <v>Sharia Court Trust Funds:Equity Acct</v>
          </cell>
        </row>
        <row r="1196">
          <cell r="B1196">
            <v>275130</v>
          </cell>
          <cell r="C1196" t="str">
            <v>Parent</v>
          </cell>
          <cell r="D1196" t="str">
            <v>UAE Development Bank:</v>
          </cell>
        </row>
        <row r="1197">
          <cell r="B1197">
            <v>275131</v>
          </cell>
          <cell r="C1197" t="str">
            <v>Child</v>
          </cell>
          <cell r="D1197" t="str">
            <v>UAE Dev Bank - Assets</v>
          </cell>
        </row>
        <row r="1198">
          <cell r="B1198">
            <v>275132</v>
          </cell>
          <cell r="C1198" t="str">
            <v>Child</v>
          </cell>
          <cell r="D1198" t="str">
            <v>UAE Dev Bank -Liabilities</v>
          </cell>
        </row>
        <row r="1199">
          <cell r="B1199">
            <v>275510</v>
          </cell>
          <cell r="C1199" t="str">
            <v>Child</v>
          </cell>
          <cell r="D1199" t="str">
            <v>Replacement provision Liability towards Awqaf trust funds</v>
          </cell>
        </row>
        <row r="1200">
          <cell r="B1200">
            <v>275520</v>
          </cell>
          <cell r="C1200" t="str">
            <v>Child</v>
          </cell>
          <cell r="D1200" t="str">
            <v>Abandoned, Lost &amp; Dormant Funds Liability</v>
          </cell>
        </row>
        <row r="1201">
          <cell r="B1201">
            <v>300000</v>
          </cell>
          <cell r="C1201" t="str">
            <v>Parent</v>
          </cell>
          <cell r="D1201" t="str">
            <v>Revenues</v>
          </cell>
        </row>
        <row r="1202">
          <cell r="B1202">
            <v>310000</v>
          </cell>
          <cell r="C1202" t="str">
            <v>Parent</v>
          </cell>
          <cell r="D1202" t="str">
            <v>Hydrocarbon Revenue:</v>
          </cell>
        </row>
        <row r="1203">
          <cell r="B1203">
            <v>311000</v>
          </cell>
          <cell r="C1203" t="str">
            <v>Parent</v>
          </cell>
          <cell r="D1203" t="str">
            <v>Crude Oil - Royalty &amp; Tax</v>
          </cell>
        </row>
        <row r="1204">
          <cell r="B1204">
            <v>311011</v>
          </cell>
          <cell r="C1204" t="str">
            <v>Child</v>
          </cell>
          <cell r="D1204" t="str">
            <v>Consolidated Royalty and Tax</v>
          </cell>
        </row>
        <row r="1205">
          <cell r="B1205">
            <v>311110</v>
          </cell>
          <cell r="C1205" t="str">
            <v>Child</v>
          </cell>
          <cell r="D1205" t="str">
            <v>ADNOC - Royalty &amp; Tax</v>
          </cell>
        </row>
        <row r="1206">
          <cell r="B1206">
            <v>311210</v>
          </cell>
          <cell r="C1206" t="str">
            <v>Child</v>
          </cell>
          <cell r="D1206" t="str">
            <v>JODCO Onshore- Royalty &amp; Tax</v>
          </cell>
        </row>
        <row r="1207">
          <cell r="B1207">
            <v>311220</v>
          </cell>
          <cell r="C1207" t="str">
            <v>Child</v>
          </cell>
          <cell r="D1207" t="str">
            <v>JODCO (Upper Zakum) - Royalty &amp; Tax</v>
          </cell>
        </row>
        <row r="1208">
          <cell r="B1208">
            <v>463052</v>
          </cell>
          <cell r="C1208" t="str">
            <v>Child</v>
          </cell>
          <cell r="D1208" t="str">
            <v>Grant-Barbados</v>
          </cell>
        </row>
        <row r="1209">
          <cell r="B1209">
            <v>311230</v>
          </cell>
          <cell r="C1209" t="str">
            <v>Child</v>
          </cell>
          <cell r="D1209" t="str">
            <v>JODCO Lower Zakum Ltd - 2018 - Lower Zakum - Royalty &amp; Tax</v>
          </cell>
        </row>
        <row r="1210">
          <cell r="B1210">
            <v>311240</v>
          </cell>
          <cell r="C1210" t="str">
            <v>Child</v>
          </cell>
          <cell r="D1210" t="str">
            <v>JODCO LTD - 2018 - Satah &amp; Umm Al Dalkh- Royalty &amp; Tax</v>
          </cell>
        </row>
        <row r="1211">
          <cell r="B1211">
            <v>311250</v>
          </cell>
          <cell r="C1211" t="str">
            <v>Child</v>
          </cell>
          <cell r="D1211" t="str">
            <v>JODCO Expl Ltd – Onshore Block-4 - Royalty and Tax</v>
          </cell>
        </row>
        <row r="1212">
          <cell r="B1212">
            <v>311310</v>
          </cell>
          <cell r="C1212" t="str">
            <v>Child</v>
          </cell>
          <cell r="D1212" t="str">
            <v>Total E &amp; P- Royalty &amp; Tax</v>
          </cell>
        </row>
        <row r="1213">
          <cell r="B1213">
            <v>311320</v>
          </cell>
          <cell r="C1213" t="str">
            <v>Child</v>
          </cell>
          <cell r="D1213" t="str">
            <v>Total ABK - Royalty &amp; Tax</v>
          </cell>
        </row>
        <row r="1214">
          <cell r="B1214">
            <v>311330</v>
          </cell>
          <cell r="C1214" t="str">
            <v>Child</v>
          </cell>
          <cell r="D1214" t="str">
            <v>TOTAL - 2018 - Lower Zakum - Royalty &amp; Tax</v>
          </cell>
        </row>
        <row r="1215">
          <cell r="B1215">
            <v>322133</v>
          </cell>
          <cell r="C1215" t="str">
            <v>Child</v>
          </cell>
          <cell r="D1215" t="str">
            <v>Land rent: Industrial plots</v>
          </cell>
        </row>
        <row r="1216">
          <cell r="B1216">
            <v>311340</v>
          </cell>
          <cell r="C1216" t="str">
            <v>Child</v>
          </cell>
          <cell r="D1216" t="str">
            <v>TOTAL - 2018 - Umm Shaif &amp; Nasr- Royalty &amp; Tax</v>
          </cell>
        </row>
        <row r="1217">
          <cell r="B1217">
            <v>324616</v>
          </cell>
          <cell r="C1217" t="str">
            <v>Child</v>
          </cell>
          <cell r="D1217" t="str">
            <v>Student Transportation Charges</v>
          </cell>
        </row>
        <row r="1218">
          <cell r="B1218">
            <v>311350</v>
          </cell>
          <cell r="C1218" t="str">
            <v>Child</v>
          </cell>
          <cell r="D1218" t="str">
            <v>TotalEnergies EP Umm Lulu SARB – Royalty &amp; Tax</v>
          </cell>
        </row>
        <row r="1219">
          <cell r="B1219">
            <v>311410</v>
          </cell>
          <cell r="C1219" t="str">
            <v>Child</v>
          </cell>
          <cell r="D1219" t="str">
            <v>Korea GS E &amp; P- Royalty &amp; Tax</v>
          </cell>
        </row>
        <row r="1220">
          <cell r="B1220">
            <v>311420</v>
          </cell>
          <cell r="C1220" t="str">
            <v>Child</v>
          </cell>
          <cell r="D1220" t="str">
            <v>KADOC Al Dhafra Oil Company – Royalty and Tax</v>
          </cell>
        </row>
        <row r="1221">
          <cell r="B1221">
            <v>311510</v>
          </cell>
          <cell r="C1221" t="str">
            <v>Child</v>
          </cell>
          <cell r="D1221" t="str">
            <v>China National Petroleum Co (CNPC) - ADCO Areas - Royalty &amp; Tax</v>
          </cell>
        </row>
        <row r="1222">
          <cell r="B1222">
            <v>311520</v>
          </cell>
          <cell r="C1222" t="str">
            <v>Child</v>
          </cell>
          <cell r="D1222" t="str">
            <v>China National Petroleum Corp (CNPC) - 2018 - Lower Zakum- Royalty &amp; Tax</v>
          </cell>
        </row>
        <row r="1223">
          <cell r="B1223">
            <v>311530</v>
          </cell>
          <cell r="C1223" t="str">
            <v>Child</v>
          </cell>
          <cell r="D1223" t="str">
            <v>China Nat. Petroleum Corp (CNPC) - Umm Shaif and Nasr - Royalty &amp; Tax</v>
          </cell>
        </row>
        <row r="1224">
          <cell r="B1224">
            <v>311540</v>
          </cell>
          <cell r="C1224" t="str">
            <v>Child</v>
          </cell>
          <cell r="D1224" t="str">
            <v>CNPC Al Yasat Oil Company– Royalty and Tax</v>
          </cell>
        </row>
        <row r="1225">
          <cell r="B1225">
            <v>311550</v>
          </cell>
          <cell r="C1225" t="str">
            <v>Child</v>
          </cell>
          <cell r="D1225" t="str">
            <v>China Energy Foundation (CEFC) - ADCO Areas - Royalty &amp; Tax</v>
          </cell>
        </row>
        <row r="1226">
          <cell r="B1226">
            <v>311560</v>
          </cell>
          <cell r="C1226" t="str">
            <v>Child</v>
          </cell>
          <cell r="D1226" t="str">
            <v>International Co.(of China) - Royalty &amp; Tax</v>
          </cell>
        </row>
        <row r="1227">
          <cell r="B1227">
            <v>311810</v>
          </cell>
          <cell r="C1227" t="str">
            <v>Child</v>
          </cell>
          <cell r="D1227" t="str">
            <v>ENI - 2018 - Lower Zakum - Royalty &amp; Tax</v>
          </cell>
        </row>
        <row r="1228">
          <cell r="B1228">
            <v>311820</v>
          </cell>
          <cell r="C1228" t="str">
            <v>Child</v>
          </cell>
          <cell r="D1228" t="str">
            <v>ENI - 2018 - Umm Shaif &amp; Nasr - Royalty &amp; Tax</v>
          </cell>
        </row>
        <row r="1229">
          <cell r="B1229">
            <v>311910</v>
          </cell>
          <cell r="C1229" t="str">
            <v>Child</v>
          </cell>
          <cell r="D1229" t="str">
            <v>BP (Abu Dhabi) Ltd. - Royalty &amp; Tax</v>
          </cell>
        </row>
        <row r="1230">
          <cell r="B1230">
            <v>311920</v>
          </cell>
          <cell r="C1230" t="str">
            <v>Child</v>
          </cell>
          <cell r="D1230" t="str">
            <v>ADOC - Royalty &amp; Tax</v>
          </cell>
        </row>
        <row r="1231">
          <cell r="B1231">
            <v>311930</v>
          </cell>
          <cell r="C1231" t="str">
            <v>Child</v>
          </cell>
          <cell r="D1231" t="str">
            <v>Bunduq Co Ltd - 2018 - Bunduq - Royalty &amp; Tax</v>
          </cell>
        </row>
        <row r="1232">
          <cell r="B1232">
            <v>311940</v>
          </cell>
          <cell r="C1232" t="str">
            <v>Child</v>
          </cell>
          <cell r="D1232" t="str">
            <v>ExxonMobil (UZ) - Royalty &amp; Tax</v>
          </cell>
        </row>
        <row r="1233">
          <cell r="B1233">
            <v>311950</v>
          </cell>
          <cell r="C1233" t="str">
            <v>Child</v>
          </cell>
          <cell r="D1233" t="str">
            <v>Dubai Petroleum Authority-Gamma Oil Field - Royalty &amp; Tax</v>
          </cell>
        </row>
        <row r="1234">
          <cell r="B1234">
            <v>311960</v>
          </cell>
          <cell r="C1234" t="str">
            <v>Child</v>
          </cell>
          <cell r="D1234" t="str">
            <v>Falcon ONGC - 2018 - Lower Zakum - Royalty &amp; Tax</v>
          </cell>
        </row>
        <row r="1235">
          <cell r="B1235">
            <v>311970</v>
          </cell>
          <cell r="C1235" t="str">
            <v>Child</v>
          </cell>
          <cell r="D1235" t="str">
            <v>CEPSA - 2018 - Umm Lulu, Sarb, Bin Nasher &amp; Al Bateel - Royalty &amp; Tax</v>
          </cell>
        </row>
        <row r="1236">
          <cell r="B1236">
            <v>311980</v>
          </cell>
          <cell r="C1236" t="str">
            <v>Child</v>
          </cell>
          <cell r="D1236" t="str">
            <v>OMV  AD Prod GMBH – Umm Lulu, SARB, Bin Nasr &amp; Al Bateel – Royalty &amp; Tax</v>
          </cell>
        </row>
        <row r="1237">
          <cell r="B1237">
            <v>311990</v>
          </cell>
          <cell r="C1237" t="str">
            <v>Child</v>
          </cell>
          <cell r="D1237" t="str">
            <v>ADPC - Royalty &amp; Tax</v>
          </cell>
        </row>
        <row r="1238">
          <cell r="B1238">
            <v>312010</v>
          </cell>
          <cell r="C1238" t="str">
            <v>Child</v>
          </cell>
          <cell r="D1238" t="str">
            <v>Occidental – Onshore Block 3 – Royalty and Tax</v>
          </cell>
        </row>
        <row r="1239">
          <cell r="B1239">
            <v>314000</v>
          </cell>
          <cell r="C1239" t="str">
            <v>Parent</v>
          </cell>
          <cell r="D1239" t="str">
            <v>Natural Gas- Royalty &amp; Tax</v>
          </cell>
        </row>
        <row r="1240">
          <cell r="B1240">
            <v>314110</v>
          </cell>
          <cell r="C1240" t="str">
            <v>Child</v>
          </cell>
          <cell r="D1240" t="str">
            <v>Consolidated  tax on LPG</v>
          </cell>
        </row>
        <row r="1241">
          <cell r="B1241">
            <v>314210</v>
          </cell>
          <cell r="C1241" t="str">
            <v>Child</v>
          </cell>
          <cell r="D1241" t="str">
            <v>ADNOC (Gasco): Gas taxation</v>
          </cell>
        </row>
        <row r="1242">
          <cell r="B1242">
            <v>314220</v>
          </cell>
          <cell r="C1242" t="str">
            <v>Child</v>
          </cell>
          <cell r="D1242" t="str">
            <v>ADNOC Gas Facilities LLC – Gas taxation</v>
          </cell>
        </row>
        <row r="1243">
          <cell r="B1243">
            <v>314230</v>
          </cell>
          <cell r="C1243" t="str">
            <v>Child</v>
          </cell>
          <cell r="D1243" t="str">
            <v>ADNOC (Fertil): Gas taxation</v>
          </cell>
        </row>
        <row r="1244">
          <cell r="B1244">
            <v>314310</v>
          </cell>
          <cell r="C1244" t="str">
            <v>Child</v>
          </cell>
          <cell r="D1244" t="str">
            <v>ADGAS: Gas taxation</v>
          </cell>
        </row>
        <row r="1245">
          <cell r="B1245">
            <v>314320</v>
          </cell>
          <cell r="C1245" t="str">
            <v>Child</v>
          </cell>
          <cell r="D1245" t="str">
            <v>Shell (Gasco): Gas taxation</v>
          </cell>
        </row>
        <row r="1246">
          <cell r="B1246">
            <v>314330</v>
          </cell>
          <cell r="C1246" t="str">
            <v>Child</v>
          </cell>
          <cell r="D1246" t="str">
            <v>Total (Gasco): Gas taxation</v>
          </cell>
        </row>
        <row r="1247">
          <cell r="B1247">
            <v>314340</v>
          </cell>
          <cell r="C1247" t="str">
            <v>Child</v>
          </cell>
          <cell r="D1247" t="str">
            <v>Partex (Gasco): Gas taxation</v>
          </cell>
        </row>
        <row r="1248">
          <cell r="B1248">
            <v>314350</v>
          </cell>
          <cell r="C1248" t="str">
            <v>Child</v>
          </cell>
          <cell r="D1248" t="str">
            <v>Ruwais Fertilizer Industries (FERTIL) - New</v>
          </cell>
        </row>
        <row r="1249">
          <cell r="B1249">
            <v>315000</v>
          </cell>
          <cell r="C1249" t="str">
            <v>Parent</v>
          </cell>
          <cell r="D1249" t="str">
            <v>Income Tax from Non-Oil and Gas companies</v>
          </cell>
        </row>
        <row r="1250">
          <cell r="B1250">
            <v>315110</v>
          </cell>
          <cell r="C1250" t="str">
            <v>Child</v>
          </cell>
          <cell r="D1250" t="str">
            <v>Income Tax - AD Polymers Co (Borouge)</v>
          </cell>
        </row>
        <row r="1251">
          <cell r="B1251">
            <v>315120</v>
          </cell>
          <cell r="C1251" t="str">
            <v>Child</v>
          </cell>
          <cell r="D1251" t="str">
            <v>Income Tax - Magma Waste Treatment Services</v>
          </cell>
        </row>
        <row r="1252">
          <cell r="B1252">
            <v>315130</v>
          </cell>
          <cell r="C1252" t="str">
            <v>Child</v>
          </cell>
          <cell r="D1252" t="str">
            <v>Income Tax - ADNOC DRILLING COMPANY PJSC</v>
          </cell>
        </row>
        <row r="1253">
          <cell r="B1253">
            <v>315140</v>
          </cell>
          <cell r="C1253" t="str">
            <v>Child</v>
          </cell>
          <cell r="D1253" t="str">
            <v>Income Tax - ADNOC LOGISTICS &amp; SERVICES PLC</v>
          </cell>
        </row>
        <row r="1254">
          <cell r="B1254">
            <v>316000</v>
          </cell>
          <cell r="C1254" t="str">
            <v>Parent</v>
          </cell>
          <cell r="D1254" t="str">
            <v>Oil Concession Participation Fee:</v>
          </cell>
        </row>
        <row r="1255">
          <cell r="B1255">
            <v>316101</v>
          </cell>
          <cell r="C1255" t="str">
            <v>Child</v>
          </cell>
          <cell r="D1255" t="str">
            <v>ADOC - Oil Concession Participation Fee</v>
          </cell>
        </row>
        <row r="1256">
          <cell r="B1256">
            <v>316102</v>
          </cell>
          <cell r="C1256" t="str">
            <v>Child</v>
          </cell>
          <cell r="D1256" t="str">
            <v>Total E&amp;P - Oil Concession Participation Fee</v>
          </cell>
        </row>
        <row r="1257">
          <cell r="B1257">
            <v>411554</v>
          </cell>
          <cell r="C1257" t="str">
            <v>Child</v>
          </cell>
          <cell r="D1257" t="str">
            <v>Exceptional job allowance</v>
          </cell>
        </row>
        <row r="1258">
          <cell r="B1258">
            <v>316103</v>
          </cell>
          <cell r="C1258" t="str">
            <v>Child</v>
          </cell>
          <cell r="D1258" t="str">
            <v>TOTAL  – Lower Zakum - Oil Concession Participation Fee</v>
          </cell>
        </row>
        <row r="1259">
          <cell r="B1259">
            <v>316104</v>
          </cell>
          <cell r="C1259" t="str">
            <v>Child</v>
          </cell>
          <cell r="D1259" t="str">
            <v>TOTAL – Umm Shaif - Oil Concession Participation Fee</v>
          </cell>
        </row>
        <row r="1260">
          <cell r="B1260">
            <v>316105</v>
          </cell>
          <cell r="C1260" t="str">
            <v>Child</v>
          </cell>
          <cell r="D1260" t="str">
            <v>TotalEnergies EP Umm Lulu SARB – Oil Concession Participation Fee</v>
          </cell>
        </row>
        <row r="1261">
          <cell r="B1261">
            <v>316106</v>
          </cell>
          <cell r="C1261" t="str">
            <v>Child</v>
          </cell>
          <cell r="D1261" t="str">
            <v>JODCO Onshore Ltd - Oil Concession Participation Fee</v>
          </cell>
        </row>
        <row r="1262">
          <cell r="B1262">
            <v>316107</v>
          </cell>
          <cell r="C1262" t="str">
            <v>Child</v>
          </cell>
          <cell r="D1262" t="str">
            <v>JODCO Lower Zakum Ltd – Lower Zakum - Oil Concession Participation Fees</v>
          </cell>
        </row>
        <row r="1263">
          <cell r="B1263">
            <v>316108</v>
          </cell>
          <cell r="C1263" t="str">
            <v>Child</v>
          </cell>
          <cell r="D1263" t="str">
            <v>JODCO. Ltd – Satah &amp; Umm Al Dalkh - Oil Concession Participation Fees</v>
          </cell>
        </row>
        <row r="1264">
          <cell r="B1264">
            <v>321231</v>
          </cell>
          <cell r="C1264" t="str">
            <v>Child</v>
          </cell>
          <cell r="D1264" t="str">
            <v>Driver's License fee</v>
          </cell>
        </row>
        <row r="1265">
          <cell r="B1265">
            <v>316109</v>
          </cell>
          <cell r="C1265" t="str">
            <v>Child</v>
          </cell>
          <cell r="D1265" t="str">
            <v>JODCO Explo. Ltd – Onshore Block-4- Oil Concession Participation Fee</v>
          </cell>
        </row>
        <row r="1266">
          <cell r="B1266">
            <v>316110</v>
          </cell>
          <cell r="C1266" t="str">
            <v>Child</v>
          </cell>
          <cell r="D1266" t="str">
            <v>Korea GS E &amp; P - Oil Concession Participation Fee</v>
          </cell>
        </row>
        <row r="1267">
          <cell r="B1267">
            <v>321212</v>
          </cell>
          <cell r="C1267" t="str">
            <v>Child</v>
          </cell>
          <cell r="D1267" t="str">
            <v>Fishing equipment usage license</v>
          </cell>
        </row>
        <row r="1268">
          <cell r="B1268">
            <v>316111</v>
          </cell>
          <cell r="C1268" t="str">
            <v>Child</v>
          </cell>
          <cell r="D1268" t="str">
            <v>China National Pet. Co. - ADCO - Oil Concession Participation Fee</v>
          </cell>
        </row>
        <row r="1269">
          <cell r="B1269">
            <v>316112</v>
          </cell>
          <cell r="C1269" t="str">
            <v>Child</v>
          </cell>
          <cell r="D1269" t="str">
            <v>China National Pet. Co. – Lower Zakum - Oil Concession Participation Fee</v>
          </cell>
        </row>
        <row r="1270">
          <cell r="B1270">
            <v>316113</v>
          </cell>
          <cell r="C1270" t="str">
            <v>Child</v>
          </cell>
          <cell r="D1270" t="str">
            <v>China National Pet. Co. – Umm Shaif - Oil Concession Participation Fee</v>
          </cell>
        </row>
        <row r="1271">
          <cell r="B1271">
            <v>316114</v>
          </cell>
          <cell r="C1271" t="str">
            <v>Child</v>
          </cell>
          <cell r="D1271" t="str">
            <v>CNOOC – Lower Zakum – Oil Concession Participation Fee</v>
          </cell>
        </row>
        <row r="1272">
          <cell r="B1272">
            <v>316115</v>
          </cell>
          <cell r="C1272" t="str">
            <v>Child</v>
          </cell>
          <cell r="D1272" t="str">
            <v>CNOOC – Umm Shaif – Oil Concession Participation Fee</v>
          </cell>
        </row>
        <row r="1273">
          <cell r="B1273">
            <v>316116</v>
          </cell>
          <cell r="C1273" t="str">
            <v>Child</v>
          </cell>
          <cell r="D1273" t="str">
            <v>CEFC China Energy Co.  Ltd.  - ADCO - Oil Concession Participation Fee</v>
          </cell>
        </row>
        <row r="1274">
          <cell r="B1274">
            <v>316117</v>
          </cell>
          <cell r="C1274" t="str">
            <v>Child</v>
          </cell>
          <cell r="D1274" t="str">
            <v>Falcon ONGC – Lower Zakum - Oil Concession Participation Fee</v>
          </cell>
        </row>
        <row r="1275">
          <cell r="B1275">
            <v>316118</v>
          </cell>
          <cell r="C1275" t="str">
            <v>Child</v>
          </cell>
          <cell r="D1275" t="str">
            <v>CEPSA – Umm Lulu, SARB, BN &amp; Al Bateel - Oil Conces.  Participation Fee</v>
          </cell>
        </row>
        <row r="1276">
          <cell r="B1276">
            <v>316119</v>
          </cell>
          <cell r="C1276" t="str">
            <v>Child</v>
          </cell>
          <cell r="D1276" t="str">
            <v>ENI  – Lower Zakum - Oil Concession Participation Fee</v>
          </cell>
        </row>
        <row r="1277">
          <cell r="B1277">
            <v>324534</v>
          </cell>
          <cell r="C1277" t="str">
            <v>Child</v>
          </cell>
          <cell r="D1277" t="str">
            <v>Custom Inspection fees</v>
          </cell>
        </row>
        <row r="1278">
          <cell r="B1278">
            <v>316120</v>
          </cell>
          <cell r="C1278" t="str">
            <v>Child</v>
          </cell>
          <cell r="D1278" t="str">
            <v>ENI – Umm Shaif &amp; Nasr - Oil Concession Participation Fee</v>
          </cell>
        </row>
        <row r="1279">
          <cell r="B1279">
            <v>316121</v>
          </cell>
          <cell r="C1279" t="str">
            <v>Child</v>
          </cell>
          <cell r="D1279" t="str">
            <v>ENI-Offshore Block 2 –  Oil Concession Participation Fee</v>
          </cell>
        </row>
        <row r="1280">
          <cell r="B1280">
            <v>316122</v>
          </cell>
          <cell r="C1280" t="str">
            <v>Child</v>
          </cell>
          <cell r="D1280" t="str">
            <v>ENI-Offshore Block 3 –  Oil Concession Participation Fee</v>
          </cell>
        </row>
        <row r="1281">
          <cell r="B1281">
            <v>316123</v>
          </cell>
          <cell r="C1281" t="str">
            <v>Child</v>
          </cell>
          <cell r="D1281" t="str">
            <v>Bunduq Co Ltd. – Bunduq – Oil Concession Participation Fee</v>
          </cell>
        </row>
        <row r="1282">
          <cell r="B1282">
            <v>316124</v>
          </cell>
          <cell r="C1282" t="str">
            <v>Child</v>
          </cell>
          <cell r="D1282" t="str">
            <v>OMV  AD Prod GMBH – U L, SARB, BN &amp; A B – Oil Concession Participation Fee</v>
          </cell>
        </row>
        <row r="1283">
          <cell r="B1283">
            <v>316125</v>
          </cell>
          <cell r="C1283" t="str">
            <v>Child</v>
          </cell>
          <cell r="D1283" t="str">
            <v>PTTEP – Offshore Block 2 – Oil Concession Participation Fees</v>
          </cell>
        </row>
        <row r="1284">
          <cell r="B1284">
            <v>463776</v>
          </cell>
          <cell r="C1284" t="str">
            <v>Child</v>
          </cell>
          <cell r="D1284" t="str">
            <v>Grant-Tonga</v>
          </cell>
        </row>
        <row r="1285">
          <cell r="B1285">
            <v>316126</v>
          </cell>
          <cell r="C1285" t="str">
            <v>Child</v>
          </cell>
          <cell r="D1285" t="str">
            <v>PTTEP – Offshore Block 3 – Oil Concession Participation Fees</v>
          </cell>
        </row>
        <row r="1286">
          <cell r="B1286">
            <v>316127</v>
          </cell>
          <cell r="C1286" t="str">
            <v>Child</v>
          </cell>
          <cell r="D1286" t="str">
            <v>Occidental of Abu Dhabi Ltd – ADNOC Onshore Block – 3</v>
          </cell>
        </row>
        <row r="1287">
          <cell r="B1287">
            <v>316128</v>
          </cell>
          <cell r="C1287" t="str">
            <v>Child</v>
          </cell>
          <cell r="D1287" t="str">
            <v>Occidental of A D Ltd – Onshore Block-5 Oil Concession participation fee</v>
          </cell>
        </row>
        <row r="1288">
          <cell r="B1288">
            <v>316129</v>
          </cell>
          <cell r="C1288" t="str">
            <v>Child</v>
          </cell>
          <cell r="D1288" t="str">
            <v>Urja Bharat Pte. Ltd – Onshore Block-1- Oil Concession Participation Fee</v>
          </cell>
        </row>
        <row r="1289">
          <cell r="B1289">
            <v>316130</v>
          </cell>
          <cell r="C1289" t="str">
            <v>Child</v>
          </cell>
          <cell r="D1289" t="str">
            <v>Lukoil Upstream A.D GMBH - Oil Concession Participation Fee</v>
          </cell>
        </row>
        <row r="1290">
          <cell r="B1290">
            <v>316131</v>
          </cell>
          <cell r="C1290" t="str">
            <v>Child</v>
          </cell>
          <cell r="D1290" t="str">
            <v>Cosmo E&amp;P – Offshore Block-4 – Oil Concession Participation Fees</v>
          </cell>
        </row>
        <row r="1291">
          <cell r="B1291">
            <v>316132</v>
          </cell>
          <cell r="C1291" t="str">
            <v>Child</v>
          </cell>
          <cell r="D1291" t="str">
            <v>Pakistan Int. Oil Ltd – Offshore Bl 5 – Oil Concession Participation Fees</v>
          </cell>
        </row>
        <row r="1292">
          <cell r="B1292">
            <v>316133</v>
          </cell>
          <cell r="C1292" t="str">
            <v>Child</v>
          </cell>
          <cell r="D1292" t="str">
            <v>SOC of Azerbaijan Rep – UL, SARB, BN &amp; AB - Oil Conces. Participation Fee</v>
          </cell>
        </row>
        <row r="1293">
          <cell r="B1293">
            <v>317000</v>
          </cell>
          <cell r="C1293" t="str">
            <v>Parent</v>
          </cell>
          <cell r="D1293" t="str">
            <v>Revenue from  Indirect Taxes:</v>
          </cell>
        </row>
        <row r="1294">
          <cell r="B1294">
            <v>317110</v>
          </cell>
          <cell r="C1294" t="str">
            <v>Child</v>
          </cell>
          <cell r="D1294" t="str">
            <v>Value Added Tax (VAT) for TDF use only</v>
          </cell>
        </row>
        <row r="1295">
          <cell r="B1295">
            <v>317200</v>
          </cell>
          <cell r="C1295" t="str">
            <v>Parent</v>
          </cell>
          <cell r="D1295" t="str">
            <v>Revenue from Excises:</v>
          </cell>
        </row>
        <row r="1296">
          <cell r="B1296">
            <v>317210</v>
          </cell>
          <cell r="C1296" t="str">
            <v>Child</v>
          </cell>
          <cell r="D1296" t="str">
            <v>Excise duty on tobacco &amp; alcohol</v>
          </cell>
        </row>
        <row r="1297">
          <cell r="B1297">
            <v>317220</v>
          </cell>
          <cell r="C1297" t="str">
            <v>Child</v>
          </cell>
          <cell r="D1297" t="str">
            <v>Excise Tax (for TDF use only)</v>
          </cell>
        </row>
        <row r="1298">
          <cell r="B1298">
            <v>317300</v>
          </cell>
          <cell r="C1298" t="str">
            <v>Parent</v>
          </cell>
          <cell r="D1298" t="str">
            <v>Customs and Port charges</v>
          </cell>
        </row>
        <row r="1299">
          <cell r="B1299">
            <v>317310</v>
          </cell>
          <cell r="C1299" t="str">
            <v>Parent</v>
          </cell>
          <cell r="D1299" t="str">
            <v>Customs duty:</v>
          </cell>
        </row>
        <row r="1300">
          <cell r="B1300">
            <v>317311</v>
          </cell>
          <cell r="C1300" t="str">
            <v>Child</v>
          </cell>
          <cell r="D1300" t="str">
            <v>Import duty (unidentified category)</v>
          </cell>
        </row>
        <row r="1301">
          <cell r="B1301">
            <v>317312</v>
          </cell>
          <cell r="C1301" t="str">
            <v>Child</v>
          </cell>
          <cell r="D1301" t="str">
            <v>Import duty - immediate collection</v>
          </cell>
        </row>
        <row r="1302">
          <cell r="B1302">
            <v>317313</v>
          </cell>
          <cell r="C1302" t="str">
            <v>Child</v>
          </cell>
          <cell r="D1302" t="str">
            <v>Import duty - forfeited deposits</v>
          </cell>
        </row>
        <row r="1303">
          <cell r="B1303">
            <v>317314</v>
          </cell>
          <cell r="C1303" t="str">
            <v>Child</v>
          </cell>
          <cell r="D1303" t="str">
            <v>Anti-dumping duties</v>
          </cell>
        </row>
        <row r="1304">
          <cell r="B1304">
            <v>317315</v>
          </cell>
          <cell r="C1304" t="str">
            <v>Child</v>
          </cell>
          <cell r="D1304" t="str">
            <v>Export duty</v>
          </cell>
        </row>
        <row r="1305">
          <cell r="B1305">
            <v>317351</v>
          </cell>
          <cell r="C1305" t="str">
            <v>Child</v>
          </cell>
          <cell r="D1305" t="str">
            <v>Port dues on oil tankers lifting crude oil for export</v>
          </cell>
        </row>
        <row r="1306">
          <cell r="B1306">
            <v>317352</v>
          </cell>
          <cell r="C1306" t="str">
            <v>Child</v>
          </cell>
          <cell r="D1306" t="str">
            <v>Export Mainfest fee</v>
          </cell>
        </row>
        <row r="1307">
          <cell r="B1307">
            <v>317353</v>
          </cell>
          <cell r="C1307" t="str">
            <v>Child</v>
          </cell>
          <cell r="D1307" t="str">
            <v>Import Manifest fee</v>
          </cell>
        </row>
        <row r="1308">
          <cell r="B1308">
            <v>317354</v>
          </cell>
          <cell r="C1308" t="str">
            <v>Child</v>
          </cell>
          <cell r="D1308" t="str">
            <v>Registration fee-Freight transit vehicles</v>
          </cell>
        </row>
        <row r="1309">
          <cell r="B1309">
            <v>317355</v>
          </cell>
          <cell r="C1309" t="str">
            <v>Child</v>
          </cell>
          <cell r="D1309" t="str">
            <v>Cargo handling chgs</v>
          </cell>
        </row>
        <row r="1310">
          <cell r="B1310">
            <v>317357</v>
          </cell>
          <cell r="C1310" t="str">
            <v>Child</v>
          </cell>
          <cell r="D1310" t="str">
            <v>Other Customs related charges not mentioned elsewhere</v>
          </cell>
        </row>
        <row r="1311">
          <cell r="B1311">
            <v>318000</v>
          </cell>
          <cell r="C1311" t="str">
            <v>Parent</v>
          </cell>
          <cell r="D1311" t="str">
            <v>Revenue from  Direct Taxes:</v>
          </cell>
        </row>
        <row r="1312">
          <cell r="B1312">
            <v>320000</v>
          </cell>
          <cell r="C1312" t="str">
            <v>Parent</v>
          </cell>
          <cell r="D1312" t="str">
            <v>Charges Revenue:</v>
          </cell>
        </row>
        <row r="1313">
          <cell r="B1313">
            <v>321000</v>
          </cell>
          <cell r="C1313" t="str">
            <v>Parent</v>
          </cell>
          <cell r="D1313" t="str">
            <v>Licenses and permits</v>
          </cell>
        </row>
        <row r="1314">
          <cell r="B1314">
            <v>321110</v>
          </cell>
          <cell r="C1314" t="str">
            <v>Parent</v>
          </cell>
          <cell r="D1314" t="str">
            <v>General trade licenses:</v>
          </cell>
        </row>
        <row r="1315">
          <cell r="B1315">
            <v>321111</v>
          </cell>
          <cell r="C1315" t="str">
            <v>Child</v>
          </cell>
          <cell r="D1315" t="str">
            <v>Trade license  issue and Renewals</v>
          </cell>
        </row>
        <row r="1316">
          <cell r="B1316">
            <v>321112</v>
          </cell>
          <cell r="C1316" t="str">
            <v>Child</v>
          </cell>
          <cell r="D1316" t="str">
            <v>Trade license - Fee for amendments</v>
          </cell>
        </row>
        <row r="1317">
          <cell r="B1317">
            <v>321130</v>
          </cell>
          <cell r="C1317" t="str">
            <v>Parent</v>
          </cell>
          <cell r="D1317" t="str">
            <v>Operational licenses:</v>
          </cell>
        </row>
        <row r="1318">
          <cell r="B1318">
            <v>321131</v>
          </cell>
          <cell r="C1318" t="str">
            <v>Child</v>
          </cell>
          <cell r="D1318" t="str">
            <v>Operational Licenses for safety related activities</v>
          </cell>
        </row>
        <row r="1319">
          <cell r="B1319">
            <v>321132</v>
          </cell>
          <cell r="C1319" t="str">
            <v>Child</v>
          </cell>
          <cell r="D1319" t="str">
            <v>Operational License - Real Estate Developers</v>
          </cell>
        </row>
        <row r="1320">
          <cell r="B1320">
            <v>321133</v>
          </cell>
          <cell r="C1320" t="str">
            <v>Child</v>
          </cell>
          <cell r="D1320" t="str">
            <v>Municipalities fees for Engineers Professional Practice</v>
          </cell>
        </row>
        <row r="1321">
          <cell r="B1321">
            <v>321134</v>
          </cell>
          <cell r="C1321" t="str">
            <v>Child</v>
          </cell>
          <cell r="D1321" t="str">
            <v>Catering Vehicles/Food Trucks – Operating License (Recurrent)</v>
          </cell>
        </row>
        <row r="1322">
          <cell r="B1322">
            <v>321150</v>
          </cell>
          <cell r="C1322" t="str">
            <v>Parent</v>
          </cell>
          <cell r="D1322" t="str">
            <v>Medical practice licenses:</v>
          </cell>
        </row>
        <row r="1323">
          <cell r="B1323">
            <v>321151</v>
          </cell>
          <cell r="C1323" t="str">
            <v>Child</v>
          </cell>
          <cell r="D1323" t="str">
            <v>Medical practice licenses:Hospitals</v>
          </cell>
        </row>
        <row r="1324">
          <cell r="B1324">
            <v>321152</v>
          </cell>
          <cell r="C1324" t="str">
            <v>Child</v>
          </cell>
          <cell r="D1324" t="str">
            <v>Medical practice licenses:Clinics</v>
          </cell>
        </row>
        <row r="1325">
          <cell r="B1325">
            <v>321153</v>
          </cell>
          <cell r="C1325" t="str">
            <v>Child</v>
          </cell>
          <cell r="D1325" t="str">
            <v>Medical practice licenses:Pharmacies</v>
          </cell>
        </row>
        <row r="1326">
          <cell r="B1326">
            <v>321154</v>
          </cell>
          <cell r="C1326" t="str">
            <v>Child</v>
          </cell>
          <cell r="D1326" t="str">
            <v>Medical practice licenses:Medical professionals</v>
          </cell>
        </row>
        <row r="1327">
          <cell r="B1327">
            <v>321170</v>
          </cell>
          <cell r="C1327" t="str">
            <v>Parent</v>
          </cell>
          <cell r="D1327" t="str">
            <v>Education Service Providers Licenses:</v>
          </cell>
        </row>
        <row r="1328">
          <cell r="B1328">
            <v>321171</v>
          </cell>
          <cell r="C1328" t="str">
            <v>Child</v>
          </cell>
          <cell r="D1328" t="str">
            <v>Education Service Providers Licenses: Private Schools</v>
          </cell>
        </row>
        <row r="1329">
          <cell r="B1329">
            <v>321172</v>
          </cell>
          <cell r="C1329" t="str">
            <v>Child</v>
          </cell>
          <cell r="D1329" t="str">
            <v>Education Service Providers Licenses: Private Institutes</v>
          </cell>
        </row>
        <row r="1330">
          <cell r="B1330">
            <v>321173</v>
          </cell>
          <cell r="C1330" t="str">
            <v>Child</v>
          </cell>
          <cell r="D1330" t="str">
            <v>Education Service Providers Licenses: Private universities/colleges</v>
          </cell>
        </row>
        <row r="1331">
          <cell r="B1331">
            <v>321174</v>
          </cell>
          <cell r="C1331" t="str">
            <v>Child</v>
          </cell>
          <cell r="D1331" t="str">
            <v>Education Service Providers Licenses: Teachers</v>
          </cell>
        </row>
        <row r="1332">
          <cell r="B1332">
            <v>321191</v>
          </cell>
          <cell r="C1332" t="str">
            <v>Child</v>
          </cell>
          <cell r="D1332" t="str">
            <v>License - Int. Trade in Endangered Animals&amp;Plants</v>
          </cell>
        </row>
        <row r="1333">
          <cell r="B1333">
            <v>321210</v>
          </cell>
          <cell r="C1333" t="str">
            <v>Parent</v>
          </cell>
          <cell r="D1333" t="str">
            <v>Fishing Control Licenses:</v>
          </cell>
        </row>
        <row r="1334">
          <cell r="B1334">
            <v>321230</v>
          </cell>
          <cell r="C1334" t="str">
            <v>Parent</v>
          </cell>
          <cell r="D1334" t="str">
            <v>Motor vehicles related revenue</v>
          </cell>
        </row>
        <row r="1335">
          <cell r="B1335">
            <v>321251</v>
          </cell>
          <cell r="C1335" t="str">
            <v>Child</v>
          </cell>
          <cell r="D1335" t="str">
            <v>License - Preventive safety services</v>
          </cell>
        </row>
        <row r="1336">
          <cell r="B1336">
            <v>321451</v>
          </cell>
          <cell r="C1336" t="str">
            <v>Child</v>
          </cell>
          <cell r="D1336" t="str">
            <v>License Fees not mentioned elsewhere</v>
          </cell>
        </row>
        <row r="1337">
          <cell r="B1337">
            <v>321510</v>
          </cell>
          <cell r="C1337" t="str">
            <v>Parent</v>
          </cell>
          <cell r="D1337" t="str">
            <v>Restricted area entry permission fees:</v>
          </cell>
        </row>
        <row r="1338">
          <cell r="B1338">
            <v>321511</v>
          </cell>
          <cell r="C1338" t="str">
            <v>Child</v>
          </cell>
          <cell r="D1338" t="str">
            <v>Restricted area entry permits - Individuals</v>
          </cell>
        </row>
        <row r="1339">
          <cell r="B1339">
            <v>321512</v>
          </cell>
          <cell r="C1339" t="str">
            <v>Child</v>
          </cell>
          <cell r="D1339" t="str">
            <v>Restricted area entry permits - Vehicles</v>
          </cell>
        </row>
        <row r="1340">
          <cell r="B1340">
            <v>321513</v>
          </cell>
          <cell r="C1340" t="str">
            <v>Child</v>
          </cell>
          <cell r="D1340" t="str">
            <v>Restricted area entry permits - Organisations</v>
          </cell>
        </row>
        <row r="1341">
          <cell r="B1341">
            <v>321514</v>
          </cell>
          <cell r="C1341" t="str">
            <v>Child</v>
          </cell>
          <cell r="D1341" t="str">
            <v>Restricted area entry permits - General</v>
          </cell>
        </row>
        <row r="1342">
          <cell r="B1342">
            <v>321610</v>
          </cell>
          <cell r="C1342" t="str">
            <v>Child</v>
          </cell>
          <cell r="D1342" t="str">
            <v>Building construction permit</v>
          </cell>
        </row>
        <row r="1343">
          <cell r="B1343">
            <v>321620</v>
          </cell>
          <cell r="C1343" t="str">
            <v>Child</v>
          </cell>
          <cell r="D1343" t="str">
            <v>Industrial Construction Permit</v>
          </cell>
        </row>
        <row r="1344">
          <cell r="B1344">
            <v>321630</v>
          </cell>
          <cell r="C1344" t="str">
            <v>Child</v>
          </cell>
          <cell r="D1344" t="str">
            <v>Advertising Facilities Permits</v>
          </cell>
        </row>
        <row r="1345">
          <cell r="B1345">
            <v>321640</v>
          </cell>
          <cell r="C1345" t="str">
            <v>Child</v>
          </cell>
          <cell r="D1345" t="str">
            <v>Permit for Change of land usage</v>
          </cell>
        </row>
        <row r="1346">
          <cell r="B1346">
            <v>321650</v>
          </cell>
          <cell r="C1346" t="str">
            <v>Child</v>
          </cell>
          <cell r="D1346" t="str">
            <v>Alcohol permit</v>
          </cell>
        </row>
        <row r="1347">
          <cell r="B1347">
            <v>324562</v>
          </cell>
          <cell r="C1347" t="str">
            <v>Child</v>
          </cell>
          <cell r="D1347" t="str">
            <v>Museum entrance charge</v>
          </cell>
        </row>
        <row r="1348">
          <cell r="B1348">
            <v>321660</v>
          </cell>
          <cell r="C1348" t="str">
            <v>Child</v>
          </cell>
          <cell r="D1348" t="str">
            <v>Permission fees to operation private transportation</v>
          </cell>
        </row>
        <row r="1349">
          <cell r="B1349">
            <v>321710</v>
          </cell>
          <cell r="C1349" t="str">
            <v>Child</v>
          </cell>
          <cell r="D1349" t="str">
            <v>Other permits not mentioned elsewhere</v>
          </cell>
        </row>
        <row r="1350">
          <cell r="B1350">
            <v>322000</v>
          </cell>
          <cell r="C1350" t="str">
            <v>Parent</v>
          </cell>
          <cell r="D1350" t="str">
            <v>Rent:</v>
          </cell>
        </row>
        <row r="1351">
          <cell r="B1351">
            <v>322110</v>
          </cell>
          <cell r="C1351" t="str">
            <v>Parent</v>
          </cell>
          <cell r="D1351" t="str">
            <v>Building rent:</v>
          </cell>
        </row>
        <row r="1352">
          <cell r="B1352">
            <v>322111</v>
          </cell>
          <cell r="C1352" t="str">
            <v>Child</v>
          </cell>
          <cell r="D1352" t="str">
            <v>Building rent: Commercial properties (including shops)</v>
          </cell>
        </row>
        <row r="1353">
          <cell r="B1353">
            <v>322112</v>
          </cell>
          <cell r="C1353" t="str">
            <v>Child</v>
          </cell>
          <cell r="D1353" t="str">
            <v>Building rent: Residences</v>
          </cell>
        </row>
        <row r="1354">
          <cell r="B1354">
            <v>322113</v>
          </cell>
          <cell r="C1354" t="str">
            <v>Child</v>
          </cell>
          <cell r="D1354" t="str">
            <v>Building rent: Other buildings</v>
          </cell>
        </row>
        <row r="1355">
          <cell r="B1355">
            <v>322130</v>
          </cell>
          <cell r="C1355" t="str">
            <v>Parent</v>
          </cell>
          <cell r="D1355" t="str">
            <v>Land rent:</v>
          </cell>
        </row>
        <row r="1356">
          <cell r="B1356">
            <v>322131</v>
          </cell>
          <cell r="C1356" t="str">
            <v>Child</v>
          </cell>
          <cell r="D1356" t="str">
            <v>Public land leases</v>
          </cell>
        </row>
        <row r="1357">
          <cell r="B1357">
            <v>322132</v>
          </cell>
          <cell r="C1357" t="str">
            <v>Child</v>
          </cell>
          <cell r="D1357" t="str">
            <v>Land rent: Contractor's campsites</v>
          </cell>
        </row>
        <row r="1358">
          <cell r="B1358">
            <v>322134</v>
          </cell>
          <cell r="C1358" t="str">
            <v>Child</v>
          </cell>
          <cell r="D1358" t="str">
            <v>Land rent: Animal Farms</v>
          </cell>
        </row>
        <row r="1359">
          <cell r="B1359">
            <v>322135</v>
          </cell>
          <cell r="C1359" t="str">
            <v>Child</v>
          </cell>
          <cell r="D1359" t="str">
            <v>Land Rent : for usage of non-residential open space</v>
          </cell>
        </row>
        <row r="1360">
          <cell r="B1360">
            <v>322150</v>
          </cell>
          <cell r="C1360" t="str">
            <v>Parent</v>
          </cell>
          <cell r="D1360" t="str">
            <v>Rental of plant, machinery and equipment:</v>
          </cell>
        </row>
        <row r="1361">
          <cell r="B1361">
            <v>322151</v>
          </cell>
          <cell r="C1361" t="str">
            <v>Child</v>
          </cell>
          <cell r="D1361" t="str">
            <v>Hire of plant and machinery</v>
          </cell>
        </row>
        <row r="1362">
          <cell r="B1362">
            <v>322170</v>
          </cell>
          <cell r="C1362" t="str">
            <v>Parent</v>
          </cell>
          <cell r="D1362" t="str">
            <v>Hire of vehicles:</v>
          </cell>
        </row>
        <row r="1363">
          <cell r="B1363">
            <v>322172</v>
          </cell>
          <cell r="C1363" t="str">
            <v>Child</v>
          </cell>
          <cell r="D1363" t="str">
            <v>Hire of aircraft</v>
          </cell>
        </row>
        <row r="1364">
          <cell r="B1364">
            <v>322190</v>
          </cell>
          <cell r="C1364" t="str">
            <v>Parent</v>
          </cell>
          <cell r="D1364" t="str">
            <v>Other rental income from investments</v>
          </cell>
        </row>
        <row r="1365">
          <cell r="B1365">
            <v>322191</v>
          </cell>
          <cell r="C1365" t="str">
            <v>Child</v>
          </cell>
          <cell r="D1365" t="str">
            <v>Share of lesse's profit</v>
          </cell>
        </row>
        <row r="1366">
          <cell r="B1366">
            <v>322501</v>
          </cell>
          <cell r="C1366" t="str">
            <v>Parent</v>
          </cell>
          <cell r="D1366" t="str">
            <v>Public transport revenue:</v>
          </cell>
        </row>
        <row r="1367">
          <cell r="B1367">
            <v>322510</v>
          </cell>
          <cell r="C1367" t="str">
            <v>Parent</v>
          </cell>
          <cell r="D1367" t="str">
            <v>Land Transport revenue:</v>
          </cell>
        </row>
        <row r="1368">
          <cell r="B1368">
            <v>322511</v>
          </cell>
          <cell r="C1368" t="str">
            <v>Child</v>
          </cell>
          <cell r="D1368" t="str">
            <v>Bus fares - Passengers</v>
          </cell>
        </row>
        <row r="1369">
          <cell r="B1369">
            <v>322610</v>
          </cell>
          <cell r="C1369" t="str">
            <v>Parent</v>
          </cell>
          <cell r="D1369" t="str">
            <v>Water Transport revenue:</v>
          </cell>
        </row>
        <row r="1370">
          <cell r="B1370">
            <v>322611</v>
          </cell>
          <cell r="C1370" t="str">
            <v>Child</v>
          </cell>
          <cell r="D1370" t="str">
            <v>Water Ferry Fares - Passengers</v>
          </cell>
        </row>
        <row r="1371">
          <cell r="B1371">
            <v>322616</v>
          </cell>
          <cell r="C1371" t="str">
            <v>Child</v>
          </cell>
          <cell r="D1371" t="str">
            <v>Water Ferry Charges - Motor Vehicles</v>
          </cell>
        </row>
        <row r="1372">
          <cell r="B1372">
            <v>322811</v>
          </cell>
          <cell r="C1372" t="str">
            <v>Child</v>
          </cell>
          <cell r="D1372" t="str">
            <v>Regular Parking charges for Motor vehicles</v>
          </cell>
        </row>
        <row r="1373">
          <cell r="B1373">
            <v>323000</v>
          </cell>
          <cell r="C1373" t="str">
            <v>Parent</v>
          </cell>
          <cell r="D1373" t="str">
            <v>Fines and penalties and forfeits</v>
          </cell>
        </row>
        <row r="1374">
          <cell r="B1374">
            <v>323111</v>
          </cell>
          <cell r="C1374" t="str">
            <v>Child</v>
          </cell>
          <cell r="D1374" t="str">
            <v>Fines for business misconduct</v>
          </cell>
        </row>
        <row r="1375">
          <cell r="B1375">
            <v>323112</v>
          </cell>
          <cell r="C1375" t="str">
            <v>Child</v>
          </cell>
          <cell r="D1375" t="str">
            <v>Fines for economic offense</v>
          </cell>
        </row>
        <row r="1376">
          <cell r="B1376">
            <v>323113</v>
          </cell>
          <cell r="C1376" t="str">
            <v>Child</v>
          </cell>
          <cell r="D1376" t="str">
            <v>Fines for general trading/business conduct offense</v>
          </cell>
        </row>
        <row r="1377">
          <cell r="B1377">
            <v>323114</v>
          </cell>
          <cell r="C1377" t="str">
            <v>Child</v>
          </cell>
          <cell r="D1377" t="str">
            <v>Fines for misconduct in sales/promotional business</v>
          </cell>
        </row>
        <row r="1378">
          <cell r="B1378">
            <v>323115</v>
          </cell>
          <cell r="C1378" t="str">
            <v>Child</v>
          </cell>
          <cell r="D1378" t="str">
            <v>Fines formisuse of business premises</v>
          </cell>
        </row>
        <row r="1379">
          <cell r="B1379">
            <v>323116</v>
          </cell>
          <cell r="C1379" t="str">
            <v>Child</v>
          </cell>
          <cell r="D1379" t="str">
            <v>Fines for non-confirmatory name signs and hoardings</v>
          </cell>
        </row>
        <row r="1380">
          <cell r="B1380">
            <v>323117</v>
          </cell>
          <cell r="C1380" t="str">
            <v>Child</v>
          </cell>
          <cell r="D1380" t="str">
            <v>Fines for false information in business conduct</v>
          </cell>
        </row>
        <row r="1381">
          <cell r="B1381">
            <v>323118</v>
          </cell>
          <cell r="C1381" t="str">
            <v>Child</v>
          </cell>
          <cell r="D1381" t="str">
            <v>Fines fortrade license regulation non-compliance</v>
          </cell>
        </row>
        <row r="1382">
          <cell r="B1382">
            <v>323191</v>
          </cell>
          <cell r="C1382" t="str">
            <v>Child</v>
          </cell>
          <cell r="D1382" t="str">
            <v>Other Economic fines not mentioned elsewhee</v>
          </cell>
        </row>
        <row r="1383">
          <cell r="B1383">
            <v>323200</v>
          </cell>
          <cell r="C1383" t="str">
            <v>Parent</v>
          </cell>
          <cell r="D1383" t="str">
            <v>Public order fines:</v>
          </cell>
        </row>
        <row r="1384">
          <cell r="B1384">
            <v>323211</v>
          </cell>
          <cell r="C1384" t="str">
            <v>Child</v>
          </cell>
          <cell r="D1384" t="str">
            <v>Fines for general public offense</v>
          </cell>
        </row>
        <row r="1385">
          <cell r="B1385">
            <v>323212</v>
          </cell>
          <cell r="C1385" t="str">
            <v>Child</v>
          </cell>
          <cell r="D1385" t="str">
            <v>Fines for public facility abuse</v>
          </cell>
        </row>
        <row r="1386">
          <cell r="B1386">
            <v>323213</v>
          </cell>
          <cell r="C1386" t="str">
            <v>Child</v>
          </cell>
          <cell r="D1386" t="str">
            <v>Fines for public health offense</v>
          </cell>
        </row>
        <row r="1387">
          <cell r="B1387">
            <v>323214</v>
          </cell>
          <cell r="C1387" t="str">
            <v>Child</v>
          </cell>
          <cell r="D1387" t="str">
            <v>Fines for unauthorised / illegal construction</v>
          </cell>
        </row>
        <row r="1388">
          <cell r="B1388">
            <v>323215</v>
          </cell>
          <cell r="C1388" t="str">
            <v>Child</v>
          </cell>
          <cell r="D1388" t="str">
            <v>Fines for non-compliance of bldg/structure construction permit rules</v>
          </cell>
        </row>
        <row r="1389">
          <cell r="B1389">
            <v>323216</v>
          </cell>
          <cell r="C1389" t="str">
            <v>Child</v>
          </cell>
          <cell r="D1389" t="str">
            <v>Fines for non-compliance of safety regulation</v>
          </cell>
        </row>
        <row r="1390">
          <cell r="B1390">
            <v>323217</v>
          </cell>
          <cell r="C1390" t="str">
            <v>Child</v>
          </cell>
          <cell r="D1390" t="str">
            <v>NAFIS fines</v>
          </cell>
        </row>
        <row r="1391">
          <cell r="B1391">
            <v>323300</v>
          </cell>
          <cell r="C1391" t="str">
            <v>Parent</v>
          </cell>
          <cell r="D1391" t="str">
            <v>Traffic fines:</v>
          </cell>
        </row>
        <row r="1392">
          <cell r="B1392">
            <v>323311</v>
          </cell>
          <cell r="C1392" t="str">
            <v>Child</v>
          </cell>
          <cell r="D1392" t="str">
            <v>Fines for traffic violation</v>
          </cell>
        </row>
        <row r="1393">
          <cell r="B1393">
            <v>323313</v>
          </cell>
          <cell r="C1393" t="str">
            <v>Child</v>
          </cell>
          <cell r="D1393" t="str">
            <v>Fines for offence by transport operator</v>
          </cell>
        </row>
        <row r="1394">
          <cell r="B1394">
            <v>323314</v>
          </cell>
          <cell r="C1394" t="str">
            <v>Child</v>
          </cell>
          <cell r="D1394" t="str">
            <v>Toll Gate Fine</v>
          </cell>
        </row>
        <row r="1395">
          <cell r="B1395">
            <v>323315</v>
          </cell>
          <cell r="C1395" t="str">
            <v>Child</v>
          </cell>
          <cell r="D1395" t="str">
            <v>Violation of Traffic Detour Executive Regulations</v>
          </cell>
        </row>
        <row r="1396">
          <cell r="B1396">
            <v>323316</v>
          </cell>
          <cell r="C1396" t="str">
            <v>Child</v>
          </cell>
          <cell r="D1396" t="str">
            <v>Fines for traffic  Violation by minibus</v>
          </cell>
        </row>
        <row r="1397">
          <cell r="B1397">
            <v>323317</v>
          </cell>
          <cell r="C1397" t="str">
            <v>Child</v>
          </cell>
          <cell r="D1397" t="str">
            <v>Fines for traffic  Violation by Bicycles</v>
          </cell>
        </row>
        <row r="1398">
          <cell r="B1398">
            <v>323318</v>
          </cell>
          <cell r="C1398" t="str">
            <v>Child</v>
          </cell>
          <cell r="D1398" t="str">
            <v>Fines for traffic  Violation by Goods transport vehicles</v>
          </cell>
        </row>
        <row r="1399">
          <cell r="B1399">
            <v>323511</v>
          </cell>
          <cell r="C1399" t="str">
            <v>Child</v>
          </cell>
          <cell r="D1399" t="str">
            <v>Penalty for late renewal of driver's license</v>
          </cell>
        </row>
        <row r="1400">
          <cell r="B1400">
            <v>323512</v>
          </cell>
          <cell r="C1400" t="str">
            <v>Child</v>
          </cell>
          <cell r="D1400" t="str">
            <v>Penalty for late renewal of registration</v>
          </cell>
        </row>
        <row r="1401">
          <cell r="B1401">
            <v>323513</v>
          </cell>
          <cell r="C1401" t="str">
            <v>Child</v>
          </cell>
          <cell r="D1401" t="str">
            <v>Penalty or liquidated damages</v>
          </cell>
        </row>
        <row r="1402">
          <cell r="B1402">
            <v>323514</v>
          </cell>
          <cell r="C1402" t="str">
            <v>Child</v>
          </cell>
          <cell r="D1402" t="str">
            <v>Penalty/Administrative charge for default</v>
          </cell>
        </row>
        <row r="1403">
          <cell r="B1403">
            <v>323515</v>
          </cell>
          <cell r="C1403" t="str">
            <v>Child</v>
          </cell>
          <cell r="D1403" t="str">
            <v>Penalty for recovery of consultant/supervisor's charges</v>
          </cell>
        </row>
        <row r="1404">
          <cell r="B1404">
            <v>323591</v>
          </cell>
          <cell r="C1404" t="str">
            <v>Child</v>
          </cell>
          <cell r="D1404" t="str">
            <v>Other Penalties not mentioned elsewhere</v>
          </cell>
        </row>
        <row r="1405">
          <cell r="B1405">
            <v>323700</v>
          </cell>
          <cell r="C1405" t="str">
            <v>Parent</v>
          </cell>
          <cell r="D1405" t="str">
            <v>Forfeits:</v>
          </cell>
        </row>
        <row r="1406">
          <cell r="B1406">
            <v>323710</v>
          </cell>
          <cell r="C1406" t="str">
            <v>Parent</v>
          </cell>
          <cell r="D1406" t="str">
            <v>Forfeitures under contractual terms:</v>
          </cell>
        </row>
        <row r="1407">
          <cell r="B1407">
            <v>323711</v>
          </cell>
          <cell r="C1407" t="str">
            <v>Child</v>
          </cell>
          <cell r="D1407" t="str">
            <v>Performance bond call up</v>
          </cell>
        </row>
        <row r="1408">
          <cell r="B1408">
            <v>323712</v>
          </cell>
          <cell r="C1408" t="str">
            <v>Child</v>
          </cell>
          <cell r="D1408" t="str">
            <v>Tender bond call up</v>
          </cell>
        </row>
        <row r="1409">
          <cell r="B1409">
            <v>323713</v>
          </cell>
          <cell r="C1409" t="str">
            <v>Child</v>
          </cell>
          <cell r="D1409" t="str">
            <v>Guarantee call up</v>
          </cell>
        </row>
        <row r="1410">
          <cell r="B1410">
            <v>323720</v>
          </cell>
          <cell r="C1410" t="str">
            <v>Parent</v>
          </cell>
          <cell r="D1410" t="str">
            <v>Forfeiture of proceeds of sale:</v>
          </cell>
        </row>
        <row r="1411">
          <cell r="B1411">
            <v>323722</v>
          </cell>
          <cell r="C1411" t="str">
            <v>Child</v>
          </cell>
          <cell r="D1411" t="str">
            <v>Sale of confiscated motor vehicles</v>
          </cell>
        </row>
        <row r="1412">
          <cell r="B1412">
            <v>323723</v>
          </cell>
          <cell r="C1412" t="str">
            <v>Child</v>
          </cell>
          <cell r="D1412" t="str">
            <v>Sale of property of illegals</v>
          </cell>
        </row>
        <row r="1413">
          <cell r="B1413">
            <v>323724</v>
          </cell>
          <cell r="C1413" t="str">
            <v>Child</v>
          </cell>
          <cell r="D1413" t="str">
            <v>Sale of unclaimed goods</v>
          </cell>
        </row>
        <row r="1414">
          <cell r="B1414">
            <v>323730</v>
          </cell>
          <cell r="C1414" t="str">
            <v>Parent</v>
          </cell>
          <cell r="D1414" t="str">
            <v>Other forfeitures:</v>
          </cell>
        </row>
        <row r="1415">
          <cell r="B1415">
            <v>323731</v>
          </cell>
          <cell r="C1415" t="str">
            <v>Child</v>
          </cell>
          <cell r="D1415" t="str">
            <v>Forfeiture of deposit</v>
          </cell>
        </row>
        <row r="1416">
          <cell r="B1416">
            <v>324110</v>
          </cell>
          <cell r="C1416" t="str">
            <v>Parent</v>
          </cell>
          <cell r="D1416" t="str">
            <v>Administrative Fees on immovable property:</v>
          </cell>
        </row>
        <row r="1417">
          <cell r="B1417">
            <v>324111</v>
          </cell>
          <cell r="C1417" t="str">
            <v>Child</v>
          </cell>
          <cell r="D1417" t="str">
            <v>Real Estate Registration Fee</v>
          </cell>
        </row>
        <row r="1418">
          <cell r="B1418">
            <v>324112</v>
          </cell>
          <cell r="C1418" t="str">
            <v>Child</v>
          </cell>
          <cell r="D1418" t="str">
            <v xml:space="preserve"> Mortage registration fee</v>
          </cell>
        </row>
        <row r="1419">
          <cell r="B1419">
            <v>324113</v>
          </cell>
          <cell r="C1419" t="str">
            <v>Child</v>
          </cell>
          <cell r="D1419" t="str">
            <v>Land boundary extension</v>
          </cell>
        </row>
        <row r="1420">
          <cell r="B1420">
            <v>324114</v>
          </cell>
          <cell r="C1420" t="str">
            <v>Child</v>
          </cell>
          <cell r="D1420" t="str">
            <v>Real estate management fee (25% for management services)</v>
          </cell>
        </row>
        <row r="1421">
          <cell r="B1421">
            <v>324115</v>
          </cell>
          <cell r="C1421" t="str">
            <v>Child</v>
          </cell>
          <cell r="D1421" t="str">
            <v>Service charges to tenants</v>
          </cell>
        </row>
        <row r="1422">
          <cell r="B1422">
            <v>324116</v>
          </cell>
          <cell r="C1422" t="str">
            <v>Child</v>
          </cell>
          <cell r="D1422" t="str">
            <v>for registration of tenancy agreements by landlords</v>
          </cell>
        </row>
        <row r="1423">
          <cell r="B1423">
            <v>324117</v>
          </cell>
          <cell r="C1423" t="str">
            <v>Child</v>
          </cell>
          <cell r="D1423" t="str">
            <v>Charges for registration of tenancy agreements by Tenants</v>
          </cell>
        </row>
        <row r="1424">
          <cell r="B1424">
            <v>324130</v>
          </cell>
          <cell r="C1424" t="str">
            <v>Parent</v>
          </cell>
          <cell r="D1424" t="str">
            <v>Hospitality and Entertainment levies</v>
          </cell>
        </row>
        <row r="1425">
          <cell r="B1425">
            <v>324131</v>
          </cell>
          <cell r="C1425" t="str">
            <v>Child</v>
          </cell>
          <cell r="D1425" t="str">
            <v>Municipality Fees on Hotel Bills (4%)</v>
          </cell>
        </row>
        <row r="1426">
          <cell r="B1426">
            <v>324132</v>
          </cell>
          <cell r="C1426" t="str">
            <v>Child</v>
          </cell>
          <cell r="D1426" t="str">
            <v>Municipality Fees on Hotel Stay bills (15/day)</v>
          </cell>
        </row>
        <row r="1427">
          <cell r="B1427">
            <v>324133</v>
          </cell>
          <cell r="C1427" t="str">
            <v>Child</v>
          </cell>
          <cell r="D1427" t="str">
            <v>Fees on Cinema theatre operators (10%)</v>
          </cell>
        </row>
        <row r="1428">
          <cell r="B1428">
            <v>324151</v>
          </cell>
          <cell r="C1428" t="str">
            <v>Child</v>
          </cell>
          <cell r="D1428" t="str">
            <v>Trip Charges from Taxi operators</v>
          </cell>
        </row>
        <row r="1429">
          <cell r="B1429">
            <v>324152</v>
          </cell>
          <cell r="C1429" t="str">
            <v>Child</v>
          </cell>
          <cell r="D1429" t="str">
            <v>Charges on billed distance/KMs by Taxi Operators</v>
          </cell>
        </row>
        <row r="1430">
          <cell r="B1430">
            <v>324153</v>
          </cell>
          <cell r="C1430" t="str">
            <v>Child</v>
          </cell>
          <cell r="D1430" t="str">
            <v>Road-worthiness certification fee</v>
          </cell>
        </row>
        <row r="1431">
          <cell r="B1431">
            <v>324154</v>
          </cell>
          <cell r="C1431" t="str">
            <v>Child</v>
          </cell>
          <cell r="D1431" t="str">
            <v>Catering Vehicles/Food Trucks – Application Fees (one time)</v>
          </cell>
        </row>
        <row r="1432">
          <cell r="B1432">
            <v>324155</v>
          </cell>
          <cell r="C1432" t="str">
            <v>Child</v>
          </cell>
          <cell r="D1432" t="str">
            <v>Vehicle registration fee</v>
          </cell>
        </row>
        <row r="1433">
          <cell r="B1433">
            <v>324158</v>
          </cell>
          <cell r="C1433" t="str">
            <v>Child</v>
          </cell>
          <cell r="D1433" t="str">
            <v>Toll Gate user Registration Fee</v>
          </cell>
        </row>
        <row r="1434">
          <cell r="B1434">
            <v>324159</v>
          </cell>
          <cell r="C1434" t="str">
            <v>Child</v>
          </cell>
          <cell r="D1434" t="str">
            <v>Toll Gate Passage Fee</v>
          </cell>
        </row>
        <row r="1435">
          <cell r="B1435">
            <v>324161</v>
          </cell>
          <cell r="C1435" t="str">
            <v>Child</v>
          </cell>
          <cell r="D1435" t="str">
            <v>Fee for approval-new bldg parking facility</v>
          </cell>
        </row>
        <row r="1436">
          <cell r="B1436">
            <v>324162</v>
          </cell>
          <cell r="C1436" t="str">
            <v>Child</v>
          </cell>
          <cell r="D1436" t="str">
            <v>Road Maintenance Fee on Motor Vehicles</v>
          </cell>
        </row>
        <row r="1437">
          <cell r="B1437">
            <v>324163</v>
          </cell>
          <cell r="C1437" t="str">
            <v>Child</v>
          </cell>
          <cell r="D1437" t="str">
            <v>Infrastructure usage fees - Commercial establishments</v>
          </cell>
        </row>
        <row r="1438">
          <cell r="B1438">
            <v>461831</v>
          </cell>
          <cell r="C1438" t="str">
            <v>Child</v>
          </cell>
          <cell r="D1438" t="str">
            <v>AA Handicapped Club</v>
          </cell>
        </row>
        <row r="1439">
          <cell r="B1439">
            <v>324164</v>
          </cell>
          <cell r="C1439" t="str">
            <v>Child</v>
          </cell>
          <cell r="D1439" t="str">
            <v>Transport Infrastructure enhancement fees on new developers</v>
          </cell>
        </row>
        <row r="1440">
          <cell r="B1440">
            <v>324165</v>
          </cell>
          <cell r="C1440" t="str">
            <v>Child</v>
          </cell>
          <cell r="D1440" t="str">
            <v>public parking space for building use-Fee fror cancellation/reallocation</v>
          </cell>
        </row>
        <row r="1441">
          <cell r="B1441">
            <v>324166</v>
          </cell>
          <cell r="C1441" t="str">
            <v>Child</v>
          </cell>
          <cell r="D1441" t="str">
            <v>Driver's Eye test fee</v>
          </cell>
        </row>
        <row r="1442">
          <cell r="B1442">
            <v>324167</v>
          </cell>
          <cell r="C1442" t="str">
            <v>Child</v>
          </cell>
          <cell r="D1442" t="str">
            <v>Charges for Special Car Plate Numbers</v>
          </cell>
        </row>
        <row r="1443">
          <cell r="B1443">
            <v>324180</v>
          </cell>
          <cell r="C1443" t="str">
            <v>Parent</v>
          </cell>
          <cell r="D1443" t="str">
            <v>Educational services:</v>
          </cell>
        </row>
        <row r="1444">
          <cell r="B1444">
            <v>324181</v>
          </cell>
          <cell r="C1444" t="str">
            <v>Child</v>
          </cell>
          <cell r="D1444" t="str">
            <v>Educational Services-Student registration fee</v>
          </cell>
        </row>
        <row r="1445">
          <cell r="B1445">
            <v>324182</v>
          </cell>
          <cell r="C1445" t="str">
            <v>Child</v>
          </cell>
          <cell r="D1445" t="str">
            <v>Fees for approval of Educational Supplies/Services</v>
          </cell>
        </row>
        <row r="1446">
          <cell r="B1446">
            <v>324183</v>
          </cell>
          <cell r="C1446" t="str">
            <v>Child</v>
          </cell>
          <cell r="D1446" t="str">
            <v>Public school accreditation fee</v>
          </cell>
        </row>
        <row r="1447">
          <cell r="B1447">
            <v>324184</v>
          </cell>
          <cell r="C1447" t="str">
            <v>Child</v>
          </cell>
          <cell r="D1447" t="str">
            <v>Private school accreditation fee</v>
          </cell>
        </row>
        <row r="1448">
          <cell r="B1448">
            <v>324185</v>
          </cell>
          <cell r="C1448" t="str">
            <v>Child</v>
          </cell>
          <cell r="D1448" t="str">
            <v>Fee for Evaluation and Inspection of Educational Institutions</v>
          </cell>
        </row>
        <row r="1449">
          <cell r="B1449">
            <v>324186</v>
          </cell>
          <cell r="C1449" t="str">
            <v>Child</v>
          </cell>
          <cell r="D1449" t="str">
            <v>Educational Services-Teachers interview fee</v>
          </cell>
        </row>
        <row r="1450">
          <cell r="B1450">
            <v>324187</v>
          </cell>
          <cell r="C1450" t="str">
            <v>Child</v>
          </cell>
          <cell r="D1450" t="str">
            <v>Educational Services-Standardized exams fee</v>
          </cell>
        </row>
        <row r="1451">
          <cell r="B1451">
            <v>324210</v>
          </cell>
          <cell r="C1451" t="str">
            <v>Parent</v>
          </cell>
          <cell r="D1451" t="str">
            <v>Judiciary services income:</v>
          </cell>
        </row>
        <row r="1452">
          <cell r="B1452">
            <v>324211</v>
          </cell>
          <cell r="C1452" t="str">
            <v>Child</v>
          </cell>
          <cell r="D1452" t="str">
            <v>Court fees and costs</v>
          </cell>
        </row>
        <row r="1453">
          <cell r="B1453">
            <v>324212</v>
          </cell>
          <cell r="C1453" t="str">
            <v>Child</v>
          </cell>
          <cell r="D1453" t="str">
            <v>Judgement execution fee</v>
          </cell>
        </row>
        <row r="1454">
          <cell r="B1454">
            <v>324213</v>
          </cell>
          <cell r="C1454" t="str">
            <v>Child</v>
          </cell>
          <cell r="D1454" t="str">
            <v>Inheritance distribution fee</v>
          </cell>
        </row>
        <row r="1455">
          <cell r="B1455">
            <v>324214</v>
          </cell>
          <cell r="C1455" t="str">
            <v>Child</v>
          </cell>
          <cell r="D1455" t="str">
            <v>Marriage contract registration fee</v>
          </cell>
        </row>
        <row r="1456">
          <cell r="B1456">
            <v>324215</v>
          </cell>
          <cell r="C1456" t="str">
            <v>Child</v>
          </cell>
          <cell r="D1456" t="str">
            <v>Registration of WILL</v>
          </cell>
        </row>
        <row r="1457">
          <cell r="B1457">
            <v>328112</v>
          </cell>
          <cell r="C1457" t="str">
            <v>Child</v>
          </cell>
          <cell r="D1457" t="str">
            <v>Gross Proceeds from Buildings</v>
          </cell>
        </row>
        <row r="1458">
          <cell r="B1458">
            <v>324219</v>
          </cell>
          <cell r="C1458" t="str">
            <v>Child</v>
          </cell>
          <cell r="D1458" t="str">
            <v>Receipts for Services to Inmates not mentioned elsewhere</v>
          </cell>
        </row>
        <row r="1459">
          <cell r="B1459">
            <v>324231</v>
          </cell>
          <cell r="C1459" t="str">
            <v>Child</v>
          </cell>
          <cell r="D1459" t="str">
            <v>Attestation fee</v>
          </cell>
        </row>
        <row r="1460">
          <cell r="B1460">
            <v>463887</v>
          </cell>
          <cell r="C1460" t="str">
            <v>Child</v>
          </cell>
          <cell r="D1460" t="str">
            <v>Grant-Yemen</v>
          </cell>
        </row>
        <row r="1461">
          <cell r="B1461">
            <v>324232</v>
          </cell>
          <cell r="C1461" t="str">
            <v>Child</v>
          </cell>
          <cell r="D1461" t="str">
            <v>Certificate issuance fee</v>
          </cell>
        </row>
        <row r="1462">
          <cell r="B1462">
            <v>324233</v>
          </cell>
          <cell r="C1462" t="str">
            <v>Child</v>
          </cell>
          <cell r="D1462" t="str">
            <v>Identity card issuance fee</v>
          </cell>
        </row>
        <row r="1463">
          <cell r="B1463">
            <v>324234</v>
          </cell>
          <cell r="C1463" t="str">
            <v>Child</v>
          </cell>
          <cell r="D1463" t="str">
            <v>Publications and reports chgs</v>
          </cell>
        </row>
        <row r="1464">
          <cell r="B1464">
            <v>324235</v>
          </cell>
          <cell r="C1464" t="str">
            <v>Child</v>
          </cell>
          <cell r="D1464" t="str">
            <v>Replacement fee for lost document</v>
          </cell>
        </row>
        <row r="1465">
          <cell r="B1465">
            <v>324311</v>
          </cell>
          <cell r="C1465" t="str">
            <v>Child</v>
          </cell>
          <cell r="D1465" t="str">
            <v>Trade name - Registration fee</v>
          </cell>
        </row>
        <row r="1466">
          <cell r="B1466">
            <v>324312</v>
          </cell>
          <cell r="C1466" t="str">
            <v>Child</v>
          </cell>
          <cell r="D1466" t="str">
            <v>Agency registration fee</v>
          </cell>
        </row>
        <row r="1467">
          <cell r="B1467">
            <v>324313</v>
          </cell>
          <cell r="C1467" t="str">
            <v>Child</v>
          </cell>
          <cell r="D1467" t="str">
            <v>Patent &amp; copyright registration fee</v>
          </cell>
        </row>
        <row r="1468">
          <cell r="B1468">
            <v>324314</v>
          </cell>
          <cell r="C1468" t="str">
            <v>Child</v>
          </cell>
          <cell r="D1468" t="str">
            <v>Overhead recovery margin</v>
          </cell>
        </row>
        <row r="1469">
          <cell r="B1469">
            <v>324315</v>
          </cell>
          <cell r="C1469" t="str">
            <v>Child</v>
          </cell>
          <cell r="D1469" t="str">
            <v>Subscriptions to access Govt. services</v>
          </cell>
        </row>
        <row r="1470">
          <cell r="B1470">
            <v>324316</v>
          </cell>
          <cell r="C1470" t="str">
            <v>Child</v>
          </cell>
          <cell r="D1470" t="str">
            <v>Tender fees</v>
          </cell>
        </row>
        <row r="1471">
          <cell r="B1471">
            <v>324317</v>
          </cell>
          <cell r="C1471" t="str">
            <v>Child</v>
          </cell>
          <cell r="D1471" t="str">
            <v>Vendor listing fees</v>
          </cell>
        </row>
        <row r="1472">
          <cell r="B1472">
            <v>325230</v>
          </cell>
          <cell r="C1472" t="str">
            <v>Child</v>
          </cell>
          <cell r="D1472" t="str">
            <v>Insurance claim receipts</v>
          </cell>
        </row>
        <row r="1473">
          <cell r="B1473">
            <v>324318</v>
          </cell>
          <cell r="C1473" t="str">
            <v>Child</v>
          </cell>
          <cell r="D1473" t="str">
            <v>Quality Control Services:Metrology inspection/certification fees</v>
          </cell>
        </row>
        <row r="1474">
          <cell r="B1474">
            <v>324319</v>
          </cell>
          <cell r="C1474" t="str">
            <v>Child</v>
          </cell>
          <cell r="D1474" t="str">
            <v>Membership fee</v>
          </cell>
        </row>
        <row r="1475">
          <cell r="B1475">
            <v>324321</v>
          </cell>
          <cell r="C1475" t="str">
            <v>Child</v>
          </cell>
          <cell r="D1475" t="str">
            <v>Public health inspection fee</v>
          </cell>
        </row>
        <row r="1476">
          <cell r="B1476">
            <v>324510</v>
          </cell>
          <cell r="C1476" t="str">
            <v>Parent</v>
          </cell>
          <cell r="D1476" t="str">
            <v>Agricultural &amp; animal products sale:</v>
          </cell>
        </row>
        <row r="1477">
          <cell r="B1477">
            <v>324511</v>
          </cell>
          <cell r="C1477" t="str">
            <v>Child</v>
          </cell>
          <cell r="D1477" t="str">
            <v>Sale-Farm produce</v>
          </cell>
        </row>
        <row r="1478">
          <cell r="B1478">
            <v>324512</v>
          </cell>
          <cell r="C1478" t="str">
            <v>Child</v>
          </cell>
          <cell r="D1478" t="str">
            <v>Sale-Plants &amp; trees</v>
          </cell>
        </row>
        <row r="1479">
          <cell r="B1479">
            <v>324513</v>
          </cell>
          <cell r="C1479" t="str">
            <v>Child</v>
          </cell>
          <cell r="D1479" t="str">
            <v>Sale-Animal fodder</v>
          </cell>
        </row>
        <row r="1480">
          <cell r="B1480">
            <v>324515</v>
          </cell>
          <cell r="C1480" t="str">
            <v>Child</v>
          </cell>
          <cell r="D1480" t="str">
            <v>Marketing centres - Share from farmers sales</v>
          </cell>
        </row>
        <row r="1481">
          <cell r="B1481">
            <v>324516</v>
          </cell>
          <cell r="C1481" t="str">
            <v>Child</v>
          </cell>
          <cell r="D1481" t="str">
            <v>Sale of  Rice – Subsidized</v>
          </cell>
        </row>
        <row r="1482">
          <cell r="B1482">
            <v>324530</v>
          </cell>
          <cell r="C1482" t="str">
            <v>Parent</v>
          </cell>
          <cell r="D1482" t="str">
            <v>Administrative services revenue:</v>
          </cell>
        </row>
        <row r="1483">
          <cell r="B1483">
            <v>324531</v>
          </cell>
          <cell r="C1483" t="str">
            <v>Child</v>
          </cell>
          <cell r="D1483" t="str">
            <v>Chgs for services to other govt units</v>
          </cell>
        </row>
        <row r="1484">
          <cell r="B1484">
            <v>324532</v>
          </cell>
          <cell r="C1484" t="str">
            <v>Child</v>
          </cell>
          <cell r="D1484" t="str">
            <v>Radio messaging service chgs</v>
          </cell>
        </row>
        <row r="1485">
          <cell r="B1485">
            <v>324533</v>
          </cell>
          <cell r="C1485" t="str">
            <v>Child</v>
          </cell>
          <cell r="D1485" t="str">
            <v>Hazardous/dangerous materail handling</v>
          </cell>
        </row>
        <row r="1486">
          <cell r="B1486">
            <v>324560</v>
          </cell>
          <cell r="C1486" t="str">
            <v>Parent</v>
          </cell>
          <cell r="D1486" t="str">
            <v>Cultural services and Recreational Services:</v>
          </cell>
        </row>
        <row r="1487">
          <cell r="B1487">
            <v>324561</v>
          </cell>
          <cell r="C1487" t="str">
            <v>Child</v>
          </cell>
          <cell r="D1487" t="str">
            <v>Charges for Library Book lending</v>
          </cell>
        </row>
        <row r="1488">
          <cell r="B1488">
            <v>324563</v>
          </cell>
          <cell r="C1488" t="str">
            <v>Child</v>
          </cell>
          <cell r="D1488" t="str">
            <v>Entrance Charges for Cultural events</v>
          </cell>
        </row>
        <row r="1489">
          <cell r="B1489">
            <v>324564</v>
          </cell>
          <cell r="C1489" t="str">
            <v>Child</v>
          </cell>
          <cell r="D1489" t="str">
            <v xml:space="preserve">Charges for Falcon World Tour </v>
          </cell>
        </row>
        <row r="1490">
          <cell r="B1490">
            <v>324565</v>
          </cell>
          <cell r="C1490" t="str">
            <v>Child</v>
          </cell>
          <cell r="D1490" t="str">
            <v>Charges for Cultural Sites Tour fees</v>
          </cell>
        </row>
        <row r="1491">
          <cell r="B1491">
            <v>324566</v>
          </cell>
          <cell r="C1491" t="str">
            <v>Child</v>
          </cell>
          <cell r="D1491" t="str">
            <v>Retail Sales by DCT at cultural sites</v>
          </cell>
        </row>
        <row r="1492">
          <cell r="B1492">
            <v>324567</v>
          </cell>
          <cell r="C1492" t="str">
            <v>Child</v>
          </cell>
          <cell r="D1492" t="str">
            <v>Festival entrance charge &amp; other income</v>
          </cell>
        </row>
        <row r="1493">
          <cell r="B1493">
            <v>324568</v>
          </cell>
          <cell r="C1493" t="str">
            <v>Child</v>
          </cell>
          <cell r="D1493" t="str">
            <v>Ice skating</v>
          </cell>
        </row>
        <row r="1494">
          <cell r="B1494">
            <v>324569</v>
          </cell>
          <cell r="C1494" t="str">
            <v>Child</v>
          </cell>
          <cell r="D1494" t="str">
            <v>Parks &amp; gardens - Entrance charges</v>
          </cell>
        </row>
        <row r="1495">
          <cell r="B1495">
            <v>324571</v>
          </cell>
          <cell r="C1495" t="str">
            <v>Child</v>
          </cell>
          <cell r="D1495" t="str">
            <v>Parks &amp; gardens - Facility usage charges</v>
          </cell>
        </row>
        <row r="1496">
          <cell r="B1496">
            <v>324572</v>
          </cell>
          <cell r="C1496" t="str">
            <v>Child</v>
          </cell>
          <cell r="D1496" t="str">
            <v>Zoo - Entrance charges</v>
          </cell>
        </row>
        <row r="1497">
          <cell r="B1497">
            <v>324573</v>
          </cell>
          <cell r="C1497" t="str">
            <v>Child</v>
          </cell>
          <cell r="D1497" t="str">
            <v>Zoo &amp; Aquarium Shops-Sales</v>
          </cell>
        </row>
        <row r="1498">
          <cell r="B1498">
            <v>324574</v>
          </cell>
          <cell r="C1498" t="str">
            <v>Child</v>
          </cell>
          <cell r="D1498" t="str">
            <v>Awareness program for wildlife conservation</v>
          </cell>
        </row>
        <row r="1499">
          <cell r="B1499">
            <v>324590</v>
          </cell>
          <cell r="C1499" t="str">
            <v>Parent</v>
          </cell>
          <cell r="D1499" t="str">
            <v>Document processing:</v>
          </cell>
        </row>
        <row r="1500">
          <cell r="B1500">
            <v>324591</v>
          </cell>
          <cell r="C1500" t="str">
            <v>Child</v>
          </cell>
          <cell r="D1500" t="str">
            <v>Copying and printing documents</v>
          </cell>
        </row>
        <row r="1501">
          <cell r="B1501">
            <v>324592</v>
          </cell>
          <cell r="C1501" t="str">
            <v>Child</v>
          </cell>
          <cell r="D1501" t="str">
            <v>Courier &amp; postal service charge</v>
          </cell>
        </row>
        <row r="1502">
          <cell r="B1502">
            <v>324593</v>
          </cell>
          <cell r="C1502" t="str">
            <v>Child</v>
          </cell>
          <cell r="D1502" t="str">
            <v>Photographic film development and processing</v>
          </cell>
        </row>
        <row r="1503">
          <cell r="B1503">
            <v>324610</v>
          </cell>
          <cell r="C1503" t="str">
            <v>Parent</v>
          </cell>
          <cell r="D1503" t="str">
            <v>Charges for sale of Educational goods or Services</v>
          </cell>
        </row>
        <row r="1504">
          <cell r="B1504">
            <v>324611</v>
          </cell>
          <cell r="C1504" t="str">
            <v>Child</v>
          </cell>
          <cell r="D1504" t="str">
            <v>Charges for Seminar and conference participation</v>
          </cell>
        </row>
        <row r="1505">
          <cell r="B1505">
            <v>324612</v>
          </cell>
          <cell r="C1505" t="str">
            <v>Child</v>
          </cell>
          <cell r="D1505" t="str">
            <v>Charges for Training for public emergency handling</v>
          </cell>
        </row>
        <row r="1506">
          <cell r="B1506">
            <v>324613</v>
          </cell>
          <cell r="C1506" t="str">
            <v>Child</v>
          </cell>
          <cell r="D1506" t="str">
            <v>Charges for Training - General</v>
          </cell>
        </row>
        <row r="1507">
          <cell r="B1507">
            <v>324614</v>
          </cell>
          <cell r="C1507" t="str">
            <v>Child</v>
          </cell>
          <cell r="D1507" t="str">
            <v>Tuition fee</v>
          </cell>
        </row>
        <row r="1508">
          <cell r="B1508">
            <v>324615</v>
          </cell>
          <cell r="C1508" t="str">
            <v>Child</v>
          </cell>
          <cell r="D1508" t="str">
            <v>Sale of textbooks &amp; educational publication</v>
          </cell>
        </row>
        <row r="1509">
          <cell r="B1509">
            <v>324617</v>
          </cell>
          <cell r="C1509" t="str">
            <v>Child</v>
          </cell>
          <cell r="D1509" t="str">
            <v xml:space="preserve">Charges for Student accomodation </v>
          </cell>
        </row>
        <row r="1510">
          <cell r="B1510">
            <v>324618</v>
          </cell>
          <cell r="C1510" t="str">
            <v>Child</v>
          </cell>
          <cell r="D1510" t="str">
            <v>Charges for Educational Services-For individuals</v>
          </cell>
        </row>
        <row r="1511">
          <cell r="B1511">
            <v>324640</v>
          </cell>
          <cell r="C1511" t="str">
            <v>Parent</v>
          </cell>
          <cell r="D1511" t="str">
            <v>Engineering services:</v>
          </cell>
        </row>
        <row r="1512">
          <cell r="B1512">
            <v>324641</v>
          </cell>
          <cell r="C1512" t="str">
            <v>Child</v>
          </cell>
          <cell r="D1512" t="str">
            <v>Engineering laboratory services</v>
          </cell>
        </row>
        <row r="1513">
          <cell r="B1513">
            <v>324642</v>
          </cell>
          <cell r="C1513" t="str">
            <v>Child</v>
          </cell>
          <cell r="D1513" t="str">
            <v>Regulatory Engineering Services</v>
          </cell>
        </row>
        <row r="1514">
          <cell r="B1514">
            <v>324660</v>
          </cell>
          <cell r="C1514" t="str">
            <v>Parent</v>
          </cell>
          <cell r="D1514" t="str">
            <v>Hospitality services:</v>
          </cell>
        </row>
        <row r="1515">
          <cell r="B1515">
            <v>324661</v>
          </cell>
          <cell r="C1515" t="str">
            <v>Child</v>
          </cell>
          <cell r="D1515" t="str">
            <v>Food and beverage supply</v>
          </cell>
        </row>
        <row r="1516">
          <cell r="B1516">
            <v>324662</v>
          </cell>
          <cell r="C1516" t="str">
            <v>Child</v>
          </cell>
          <cell r="D1516" t="str">
            <v>Event Management Charges</v>
          </cell>
        </row>
        <row r="1517">
          <cell r="B1517">
            <v>324680</v>
          </cell>
          <cell r="C1517" t="str">
            <v>Parent</v>
          </cell>
          <cell r="D1517" t="str">
            <v>Human Resource Services</v>
          </cell>
        </row>
        <row r="1518">
          <cell r="B1518">
            <v>324681</v>
          </cell>
          <cell r="C1518" t="str">
            <v>Child</v>
          </cell>
          <cell r="D1518" t="str">
            <v>Charges for Seconded employees</v>
          </cell>
        </row>
        <row r="1519">
          <cell r="B1519">
            <v>324710</v>
          </cell>
          <cell r="C1519" t="str">
            <v>Parent</v>
          </cell>
          <cell r="D1519" t="str">
            <v>Medical services:</v>
          </cell>
        </row>
        <row r="1520">
          <cell r="B1520">
            <v>324711</v>
          </cell>
          <cell r="C1520" t="str">
            <v>Child</v>
          </cell>
          <cell r="D1520" t="str">
            <v>Charges for Ambulance service - Road transport</v>
          </cell>
        </row>
        <row r="1521">
          <cell r="B1521">
            <v>324712</v>
          </cell>
          <cell r="C1521" t="str">
            <v>Child</v>
          </cell>
          <cell r="D1521" t="str">
            <v>Charges for Ambulance service - Air transport</v>
          </cell>
        </row>
        <row r="1522">
          <cell r="B1522">
            <v>324713</v>
          </cell>
          <cell r="C1522" t="str">
            <v>Child</v>
          </cell>
          <cell r="D1522" t="str">
            <v>Charges for Medical laboratory services</v>
          </cell>
        </row>
        <row r="1523">
          <cell r="B1523">
            <v>324714</v>
          </cell>
          <cell r="C1523" t="str">
            <v>Child</v>
          </cell>
          <cell r="D1523" t="str">
            <v>Charges for General medical service</v>
          </cell>
        </row>
        <row r="1524">
          <cell r="B1524">
            <v>324715</v>
          </cell>
          <cell r="C1524" t="str">
            <v>Child</v>
          </cell>
          <cell r="D1524" t="str">
            <v>Charges for Veterinary services</v>
          </cell>
        </row>
        <row r="1525">
          <cell r="B1525">
            <v>324730</v>
          </cell>
          <cell r="C1525" t="str">
            <v>Parent</v>
          </cell>
          <cell r="D1525" t="str">
            <v>Professional services:</v>
          </cell>
        </row>
        <row r="1526">
          <cell r="B1526">
            <v>324731</v>
          </cell>
          <cell r="C1526" t="str">
            <v>Child</v>
          </cell>
          <cell r="D1526" t="str">
            <v>Charges for Financial audit service</v>
          </cell>
        </row>
        <row r="1527">
          <cell r="B1527">
            <v>324732</v>
          </cell>
          <cell r="C1527" t="str">
            <v>Child</v>
          </cell>
          <cell r="D1527" t="str">
            <v>Charges for Performance and risk assurance service</v>
          </cell>
        </row>
        <row r="1528">
          <cell r="B1528">
            <v>324733</v>
          </cell>
          <cell r="C1528" t="str">
            <v>Child</v>
          </cell>
          <cell r="D1528" t="str">
            <v>Charges for Professional regulation service</v>
          </cell>
        </row>
        <row r="1529">
          <cell r="B1529">
            <v>324734</v>
          </cell>
          <cell r="C1529" t="str">
            <v>Child</v>
          </cell>
          <cell r="D1529" t="str">
            <v>Charges for Translation Services Fees</v>
          </cell>
        </row>
        <row r="1530">
          <cell r="B1530">
            <v>324735</v>
          </cell>
          <cell r="C1530" t="str">
            <v>Child</v>
          </cell>
          <cell r="D1530" t="str">
            <v>Charges for Laboratory Testing Services fees</v>
          </cell>
        </row>
        <row r="1531">
          <cell r="B1531">
            <v>324736</v>
          </cell>
          <cell r="C1531" t="str">
            <v>Child</v>
          </cell>
          <cell r="D1531" t="str">
            <v>Charges for Auctioneering services</v>
          </cell>
        </row>
        <row r="1532">
          <cell r="B1532">
            <v>324750</v>
          </cell>
          <cell r="C1532" t="str">
            <v>Parent</v>
          </cell>
          <cell r="D1532" t="str">
            <v>Public health services:</v>
          </cell>
        </row>
        <row r="1533">
          <cell r="B1533">
            <v>324751</v>
          </cell>
          <cell r="C1533" t="str">
            <v>Child</v>
          </cell>
          <cell r="D1533" t="str">
            <v>Sewerage facility service charge</v>
          </cell>
        </row>
        <row r="1534">
          <cell r="B1534">
            <v>324752</v>
          </cell>
          <cell r="C1534" t="str">
            <v>Child</v>
          </cell>
          <cell r="D1534" t="str">
            <v>Charges for usage of Slaughthouse service</v>
          </cell>
        </row>
        <row r="1535">
          <cell r="B1535">
            <v>324771</v>
          </cell>
          <cell r="C1535" t="str">
            <v>Child</v>
          </cell>
          <cell r="D1535" t="str">
            <v>Charges for Vehicle towing</v>
          </cell>
        </row>
        <row r="1536">
          <cell r="B1536">
            <v>324772</v>
          </cell>
          <cell r="C1536" t="str">
            <v>Child</v>
          </cell>
          <cell r="D1536" t="str">
            <v>Sale of Gift items</v>
          </cell>
        </row>
        <row r="1537">
          <cell r="B1537">
            <v>324773</v>
          </cell>
          <cell r="C1537" t="str">
            <v>Child</v>
          </cell>
          <cell r="D1537" t="str">
            <v>Advertising revenue</v>
          </cell>
        </row>
        <row r="1538">
          <cell r="B1538">
            <v>324774</v>
          </cell>
          <cell r="C1538" t="str">
            <v>Child</v>
          </cell>
          <cell r="D1538" t="str">
            <v>Charges for  Advance Passenger Information</v>
          </cell>
        </row>
        <row r="1539">
          <cell r="B1539">
            <v>324775</v>
          </cell>
          <cell r="C1539" t="str">
            <v>Child</v>
          </cell>
          <cell r="D1539" t="str">
            <v>Air Passenger Departure Service Charge</v>
          </cell>
        </row>
        <row r="1540">
          <cell r="B1540">
            <v>324776</v>
          </cell>
          <cell r="C1540" t="str">
            <v>Child</v>
          </cell>
          <cell r="D1540" t="str">
            <v>Sale of booklets and statistical information</v>
          </cell>
        </row>
        <row r="1541">
          <cell r="B1541">
            <v>324791</v>
          </cell>
          <cell r="C1541" t="str">
            <v>Child</v>
          </cell>
          <cell r="D1541" t="str">
            <v>Chrgs for Other service not specifically mentioned elsewhere</v>
          </cell>
        </row>
        <row r="1542">
          <cell r="B1542">
            <v>325100</v>
          </cell>
          <cell r="C1542" t="str">
            <v>Parent</v>
          </cell>
          <cell r="D1542" t="str">
            <v>Legal Compensation receipts</v>
          </cell>
        </row>
        <row r="1543">
          <cell r="B1543">
            <v>325110</v>
          </cell>
          <cell r="C1543" t="str">
            <v>Parent</v>
          </cell>
          <cell r="D1543" t="str">
            <v>Concession Agreement Exit Fees</v>
          </cell>
        </row>
        <row r="1544">
          <cell r="B1544">
            <v>325111</v>
          </cell>
          <cell r="C1544" t="str">
            <v>Child</v>
          </cell>
          <cell r="D1544" t="str">
            <v>Concession Agreement Exit Fee – CEPSA EP Abu Dhabi S.L.U.</v>
          </cell>
        </row>
        <row r="1545">
          <cell r="B1545">
            <v>325112</v>
          </cell>
          <cell r="C1545" t="str">
            <v>Child</v>
          </cell>
          <cell r="D1545" t="str">
            <v>Concession Agreement Exit Fee - Wintershall Dea Middle East GmbH</v>
          </cell>
        </row>
        <row r="1546">
          <cell r="B1546">
            <v>325151</v>
          </cell>
          <cell r="C1546" t="str">
            <v>Child</v>
          </cell>
          <cell r="D1546" t="str">
            <v>Receipts towards Legal compensation</v>
          </cell>
        </row>
        <row r="1547">
          <cell r="B1547">
            <v>325220</v>
          </cell>
          <cell r="C1547" t="str">
            <v>Child</v>
          </cell>
          <cell r="D1547" t="str">
            <v>Receipts towards Property damage</v>
          </cell>
        </row>
        <row r="1548">
          <cell r="B1548">
            <v>325240</v>
          </cell>
          <cell r="C1548" t="str">
            <v>Child</v>
          </cell>
          <cell r="D1548" t="str">
            <v>Receipts towards No Claim Bonus from Insurance companies</v>
          </cell>
        </row>
        <row r="1549">
          <cell r="B1549">
            <v>326812</v>
          </cell>
          <cell r="C1549" t="str">
            <v>Child</v>
          </cell>
          <cell r="D1549" t="str">
            <v>Revenue Transfers Received from -AD Educational Zone</v>
          </cell>
        </row>
        <row r="1550">
          <cell r="B1550">
            <v>325250</v>
          </cell>
          <cell r="C1550" t="str">
            <v>Child</v>
          </cell>
          <cell r="D1550" t="str">
            <v>Receipts towards Profit Sharing on GWA Health Insurance Master Plan</v>
          </cell>
        </row>
        <row r="1551">
          <cell r="B1551">
            <v>325260</v>
          </cell>
          <cell r="C1551" t="str">
            <v>Child</v>
          </cell>
          <cell r="D1551" t="str">
            <v>Gain  on derivatives related transactions</v>
          </cell>
        </row>
        <row r="1552">
          <cell r="B1552">
            <v>325270</v>
          </cell>
          <cell r="C1552" t="str">
            <v>Child</v>
          </cell>
          <cell r="D1552" t="str">
            <v>Compensatory Discount received(Early settlement, etc)</v>
          </cell>
        </row>
        <row r="1553">
          <cell r="B1553">
            <v>326011</v>
          </cell>
          <cell r="C1553" t="str">
            <v>Child</v>
          </cell>
          <cell r="D1553" t="str">
            <v>Transfers from GRF - Other than deficit funding</v>
          </cell>
        </row>
        <row r="1554">
          <cell r="B1554">
            <v>326012</v>
          </cell>
          <cell r="C1554" t="str">
            <v>Child</v>
          </cell>
          <cell r="D1554" t="str">
            <v>Transfers received from  Reserve Fund - CTL</v>
          </cell>
        </row>
        <row r="1555">
          <cell r="B1555">
            <v>326013</v>
          </cell>
          <cell r="C1555" t="str">
            <v>Child</v>
          </cell>
          <cell r="D1555" t="str">
            <v>Transfers received from IBL</v>
          </cell>
        </row>
        <row r="1556">
          <cell r="B1556">
            <v>326014</v>
          </cell>
          <cell r="C1556" t="str">
            <v>Child</v>
          </cell>
          <cell r="D1556" t="str">
            <v>Transfers received from EBL</v>
          </cell>
        </row>
        <row r="1557">
          <cell r="B1557">
            <v>326015</v>
          </cell>
          <cell r="C1557" t="str">
            <v>Child</v>
          </cell>
          <cell r="D1557" t="str">
            <v>Non-TSA Transfers received from DoF Treasury</v>
          </cell>
        </row>
        <row r="1558">
          <cell r="B1558">
            <v>326110</v>
          </cell>
          <cell r="C1558" t="str">
            <v>Parent</v>
          </cell>
          <cell r="D1558" t="str">
            <v>Revenue Transfers Received from Government Entities:</v>
          </cell>
        </row>
        <row r="1559">
          <cell r="B1559">
            <v>326111</v>
          </cell>
          <cell r="C1559" t="str">
            <v>Child</v>
          </cell>
          <cell r="D1559" t="str">
            <v>Revenue Transfers Received from -Presidential Affairs</v>
          </cell>
        </row>
        <row r="1560">
          <cell r="B1560">
            <v>326112</v>
          </cell>
          <cell r="C1560" t="str">
            <v>Child</v>
          </cell>
          <cell r="D1560" t="str">
            <v>Revenue Transfers Received from -Private Dept of HH Ruler</v>
          </cell>
        </row>
        <row r="1561">
          <cell r="B1561">
            <v>326113</v>
          </cell>
          <cell r="C1561" t="str">
            <v>Child</v>
          </cell>
          <cell r="D1561" t="str">
            <v>Revenue Transfers Received from -Presidential Flight</v>
          </cell>
        </row>
        <row r="1562">
          <cell r="B1562">
            <v>326115</v>
          </cell>
          <cell r="C1562" t="str">
            <v>Child</v>
          </cell>
          <cell r="D1562" t="str">
            <v>Revenue Transf from - The Emirati Talent Competitiveness Council (NAFIS)</v>
          </cell>
        </row>
        <row r="1563">
          <cell r="B1563">
            <v>326121</v>
          </cell>
          <cell r="C1563" t="str">
            <v>Child</v>
          </cell>
          <cell r="D1563" t="str">
            <v>Revenue Transfers Received from -Crown Prince Court</v>
          </cell>
        </row>
        <row r="1564">
          <cell r="B1564">
            <v>326122</v>
          </cell>
          <cell r="C1564" t="str">
            <v>Child</v>
          </cell>
          <cell r="D1564" t="str">
            <v>Revenue Transfers Received from -Executive Affairs Authority</v>
          </cell>
        </row>
        <row r="1565">
          <cell r="B1565">
            <v>326123</v>
          </cell>
          <cell r="C1565" t="str">
            <v>Child</v>
          </cell>
          <cell r="D1565" t="str">
            <v>Revenue Transfers Received from -AD Accountability Authority</v>
          </cell>
        </row>
        <row r="1566">
          <cell r="B1566">
            <v>326131</v>
          </cell>
          <cell r="C1566" t="str">
            <v>Child</v>
          </cell>
          <cell r="D1566" t="str">
            <v>Revenue Transfers Received from -Sh. Sultan bin Zayed Al Nahyan-Diwan</v>
          </cell>
        </row>
        <row r="1567">
          <cell r="B1567">
            <v>326132</v>
          </cell>
          <cell r="C1567" t="str">
            <v>Child</v>
          </cell>
          <cell r="D1567" t="str">
            <v>Revenue Transfers Received from -Ruler's Rep - Eastern Region</v>
          </cell>
        </row>
        <row r="1568">
          <cell r="B1568">
            <v>326133</v>
          </cell>
          <cell r="C1568" t="str">
            <v>Child</v>
          </cell>
          <cell r="D1568" t="str">
            <v>Revenue Transfers Received from -Ruler's Rep - Western Region</v>
          </cell>
        </row>
        <row r="1569">
          <cell r="B1569">
            <v>414460</v>
          </cell>
          <cell r="C1569" t="str">
            <v>Child</v>
          </cell>
          <cell r="D1569" t="str">
            <v>Car Loans</v>
          </cell>
        </row>
        <row r="1570">
          <cell r="B1570">
            <v>326134</v>
          </cell>
          <cell r="C1570" t="str">
            <v>Child</v>
          </cell>
          <cell r="D1570" t="str">
            <v>Revenue Transfers Received from -Dy PM-Sh. Saif bin Zayed Al Nahyan</v>
          </cell>
        </row>
        <row r="1571">
          <cell r="B1571">
            <v>326135</v>
          </cell>
          <cell r="C1571" t="str">
            <v>Child</v>
          </cell>
          <cell r="D1571" t="str">
            <v>Revenue Transfers Received from -Dy PM-Sh. Mansour bin Zayed Al Nahyan</v>
          </cell>
        </row>
        <row r="1572">
          <cell r="B1572">
            <v>326141</v>
          </cell>
          <cell r="C1572" t="str">
            <v>Child</v>
          </cell>
          <cell r="D1572" t="str">
            <v>Revenue Transfers Received from -Executive Council</v>
          </cell>
        </row>
        <row r="1573">
          <cell r="B1573">
            <v>326142</v>
          </cell>
          <cell r="C1573" t="str">
            <v>Child</v>
          </cell>
          <cell r="D1573" t="str">
            <v>Revenue Transfers Received from -General Secretariat</v>
          </cell>
        </row>
        <row r="1574">
          <cell r="B1574">
            <v>326143</v>
          </cell>
          <cell r="C1574" t="str">
            <v>Child</v>
          </cell>
          <cell r="D1574" t="str">
            <v>Revenue Transfers Received from -National Consultative Council</v>
          </cell>
        </row>
        <row r="1575">
          <cell r="B1575">
            <v>326144</v>
          </cell>
          <cell r="C1575" t="str">
            <v>Child</v>
          </cell>
          <cell r="D1575" t="str">
            <v>Revenue Transfers Received from -Abu Dhabi Executive Office</v>
          </cell>
        </row>
        <row r="1576">
          <cell r="B1576">
            <v>421113</v>
          </cell>
          <cell r="C1576" t="str">
            <v>Child</v>
          </cell>
          <cell r="D1576" t="str">
            <v>External Audit service</v>
          </cell>
        </row>
        <row r="1577">
          <cell r="B1577">
            <v>326145</v>
          </cell>
          <cell r="C1577" t="str">
            <v>Child</v>
          </cell>
          <cell r="D1577" t="str">
            <v>Revenue Transfer received from – Abu Dhabi Media Office</v>
          </cell>
        </row>
        <row r="1578">
          <cell r="B1578">
            <v>326191</v>
          </cell>
          <cell r="C1578" t="str">
            <v>Child</v>
          </cell>
          <cell r="D1578" t="str">
            <v>Revenue Transfers Received from -Ministry of Foreign Affairs</v>
          </cell>
        </row>
        <row r="1579">
          <cell r="B1579">
            <v>326201</v>
          </cell>
          <cell r="C1579" t="str">
            <v>Child</v>
          </cell>
          <cell r="D1579" t="str">
            <v>Revenue Transfers Received from -DoF-Treasury</v>
          </cell>
        </row>
        <row r="1580">
          <cell r="B1580">
            <v>326211</v>
          </cell>
          <cell r="C1580" t="str">
            <v>Child</v>
          </cell>
          <cell r="D1580" t="str">
            <v>Revenue Transfers Received from -DoF-Support Services</v>
          </cell>
        </row>
        <row r="1581">
          <cell r="B1581">
            <v>326213</v>
          </cell>
          <cell r="C1581" t="str">
            <v>Child</v>
          </cell>
          <cell r="D1581" t="str">
            <v>Revenue Transfers Received from -Customs Administration/Department</v>
          </cell>
        </row>
        <row r="1582">
          <cell r="B1582">
            <v>326222</v>
          </cell>
          <cell r="C1582" t="str">
            <v>Child</v>
          </cell>
          <cell r="D1582" t="str">
            <v>Revenue Transfers Received from -AD Tawteen Council</v>
          </cell>
        </row>
        <row r="1583">
          <cell r="B1583">
            <v>326223</v>
          </cell>
          <cell r="C1583" t="str">
            <v>Child</v>
          </cell>
          <cell r="D1583" t="str">
            <v>Revenue Transfers Received from -Human Resource Authority</v>
          </cell>
        </row>
        <row r="1584">
          <cell r="B1584">
            <v>326231</v>
          </cell>
          <cell r="C1584" t="str">
            <v>Child</v>
          </cell>
          <cell r="D1584" t="str">
            <v>Revenue Transfers Received from -AD Council for Economic Development</v>
          </cell>
        </row>
        <row r="1585">
          <cell r="B1585">
            <v>326232</v>
          </cell>
          <cell r="C1585" t="str">
            <v>Child</v>
          </cell>
          <cell r="D1585" t="str">
            <v>Revenue Transfers Received from -AD Urban Planning Council</v>
          </cell>
        </row>
        <row r="1586">
          <cell r="B1586">
            <v>326233</v>
          </cell>
          <cell r="C1586" t="str">
            <v>Child</v>
          </cell>
          <cell r="D1586" t="str">
            <v>Revenue Transfers Received from -AD Technology Development Committee</v>
          </cell>
        </row>
        <row r="1587">
          <cell r="B1587">
            <v>326234</v>
          </cell>
          <cell r="C1587" t="str">
            <v>Child</v>
          </cell>
          <cell r="D1587" t="str">
            <v>Revenue Transf from - ATRC - Advanced Technology Research Council</v>
          </cell>
        </row>
        <row r="1588">
          <cell r="B1588">
            <v>326241</v>
          </cell>
          <cell r="C1588" t="str">
            <v>Child</v>
          </cell>
          <cell r="D1588" t="str">
            <v>Revenue Transfers Received from -AD Statistics Center</v>
          </cell>
        </row>
        <row r="1589">
          <cell r="B1589">
            <v>326242</v>
          </cell>
          <cell r="C1589" t="str">
            <v>Child</v>
          </cell>
          <cell r="D1589" t="str">
            <v>Revenue Transfers Received from -Abu Dhabi Digital Authority (ADDA)</v>
          </cell>
        </row>
        <row r="1590">
          <cell r="B1590">
            <v>326243</v>
          </cell>
          <cell r="C1590" t="str">
            <v>Child</v>
          </cell>
          <cell r="D1590" t="str">
            <v>Revenue Transfers Received from -Strategic Studies/Research Ctr</v>
          </cell>
        </row>
        <row r="1591">
          <cell r="B1591">
            <v>326244</v>
          </cell>
          <cell r="C1591" t="str">
            <v>Child</v>
          </cell>
          <cell r="D1591" t="str">
            <v>Revenue Transfers Received from -AD Quality &amp; Conformity Council</v>
          </cell>
        </row>
        <row r="1592">
          <cell r="B1592">
            <v>326245</v>
          </cell>
          <cell r="C1592" t="str">
            <v>Child</v>
          </cell>
          <cell r="D1592" t="str">
            <v>Revenue Transfers Received from -Department of Government Support</v>
          </cell>
        </row>
        <row r="1593">
          <cell r="B1593">
            <v>326246</v>
          </cell>
          <cell r="C1593" t="str">
            <v>Child</v>
          </cell>
          <cell r="D1593" t="str">
            <v>Revenue Transf from - Department of Government Enablement (DGE)</v>
          </cell>
        </row>
        <row r="1594">
          <cell r="B1594">
            <v>326251</v>
          </cell>
          <cell r="C1594" t="str">
            <v>Child</v>
          </cell>
          <cell r="D1594" t="str">
            <v>Revenue Transfers Received from -Musanada (GGS)</v>
          </cell>
        </row>
        <row r="1595">
          <cell r="B1595">
            <v>326275</v>
          </cell>
          <cell r="C1595" t="str">
            <v>Child</v>
          </cell>
          <cell r="D1595" t="str">
            <v>Revenue Transfers Received from -Zayed Charitable Foundation</v>
          </cell>
        </row>
        <row r="1596">
          <cell r="B1596">
            <v>326281</v>
          </cell>
          <cell r="C1596" t="str">
            <v>Child</v>
          </cell>
          <cell r="D1596" t="str">
            <v>Revenue Transfers Received from -Khalifa Bin Zayed Al Nahyan Foundation</v>
          </cell>
        </row>
        <row r="1597">
          <cell r="B1597">
            <v>326311</v>
          </cell>
          <cell r="C1597" t="str">
            <v>Child</v>
          </cell>
          <cell r="D1597" t="str">
            <v>Revenue Transfers Received from -Armed Forces</v>
          </cell>
        </row>
        <row r="1598">
          <cell r="B1598">
            <v>326312</v>
          </cell>
          <cell r="C1598" t="str">
            <v>Child</v>
          </cell>
          <cell r="D1598" t="str">
            <v>Revenue Transfers Received from -Tawazun Economic Council</v>
          </cell>
        </row>
        <row r="1599">
          <cell r="B1599">
            <v>326313</v>
          </cell>
          <cell r="C1599" t="str">
            <v>Child</v>
          </cell>
          <cell r="D1599" t="str">
            <v>Revenue Transfers Received from -Presidential Guard</v>
          </cell>
        </row>
        <row r="1600">
          <cell r="B1600">
            <v>326318</v>
          </cell>
          <cell r="C1600" t="str">
            <v>Child</v>
          </cell>
          <cell r="D1600" t="str">
            <v>Revenue Transfers Received from - Ministry of Defense</v>
          </cell>
        </row>
        <row r="1601">
          <cell r="B1601">
            <v>326321</v>
          </cell>
          <cell r="C1601" t="str">
            <v>Child</v>
          </cell>
          <cell r="D1601" t="str">
            <v>Revenue Transfers Received from -Supreme Council for National Security</v>
          </cell>
        </row>
        <row r="1602">
          <cell r="B1602">
            <v>326322</v>
          </cell>
          <cell r="C1602" t="str">
            <v>Child</v>
          </cell>
          <cell r="D1602" t="str">
            <v>Revenue Transf from -Critical National Infrastructure Authority</v>
          </cell>
        </row>
        <row r="1603">
          <cell r="B1603">
            <v>326323</v>
          </cell>
          <cell r="C1603" t="str">
            <v>Child</v>
          </cell>
          <cell r="D1603" t="str">
            <v>Revenue Transf from - National Crisis and Emergency Authority</v>
          </cell>
        </row>
        <row r="1604">
          <cell r="B1604">
            <v>326325</v>
          </cell>
          <cell r="C1604" t="str">
            <v>Child</v>
          </cell>
          <cell r="D1604" t="str">
            <v>Revenue Transfers Received from -Monitoring Control Center</v>
          </cell>
        </row>
        <row r="1605">
          <cell r="B1605">
            <v>326326</v>
          </cell>
          <cell r="C1605" t="str">
            <v>Child</v>
          </cell>
          <cell r="D1605" t="str">
            <v>Revenue Transfers Received from -National Electronic Security Authority</v>
          </cell>
        </row>
        <row r="1606">
          <cell r="B1606">
            <v>326327</v>
          </cell>
          <cell r="C1606" t="str">
            <v>Child</v>
          </cell>
          <cell r="D1606" t="str">
            <v>Revenue Transf from -AD Emergencies, Crisis and Disaster Mgt Center</v>
          </cell>
        </row>
        <row r="1607">
          <cell r="B1607">
            <v>326361</v>
          </cell>
          <cell r="C1607" t="str">
            <v>Child</v>
          </cell>
          <cell r="D1607" t="str">
            <v>Revenue Transfers Received from -AD Police</v>
          </cell>
        </row>
        <row r="1608">
          <cell r="B1608">
            <v>326362</v>
          </cell>
          <cell r="C1608" t="str">
            <v>Child</v>
          </cell>
          <cell r="D1608" t="str">
            <v>Revenue Transf from -AD Naturalization &amp; Residence Directorate</v>
          </cell>
        </row>
        <row r="1609">
          <cell r="B1609">
            <v>326371</v>
          </cell>
          <cell r="C1609" t="str">
            <v>Child</v>
          </cell>
          <cell r="D1609" t="str">
            <v>Revenue Transfers Received from - State Security Department</v>
          </cell>
        </row>
        <row r="1610">
          <cell r="B1610">
            <v>326373</v>
          </cell>
          <cell r="C1610" t="str">
            <v>Child</v>
          </cell>
          <cell r="D1610" t="str">
            <v>Revenue Transfers Received from -Boundary Affairs Council</v>
          </cell>
        </row>
        <row r="1611">
          <cell r="B1611">
            <v>326374</v>
          </cell>
          <cell r="C1611" t="str">
            <v>Child</v>
          </cell>
          <cell r="D1611" t="str">
            <v>Revenue Transfers Received from - National Intelligence Service</v>
          </cell>
        </row>
        <row r="1612">
          <cell r="B1612">
            <v>326381</v>
          </cell>
          <cell r="C1612" t="str">
            <v>Child</v>
          </cell>
          <cell r="D1612" t="str">
            <v>Revenue Transfers Received from -Civil Defence</v>
          </cell>
        </row>
        <row r="1613">
          <cell r="B1613">
            <v>326391</v>
          </cell>
          <cell r="C1613" t="str">
            <v>Child</v>
          </cell>
          <cell r="D1613" t="str">
            <v>Revenue Transfers Received from -AD Judicial Dept</v>
          </cell>
        </row>
        <row r="1614">
          <cell r="B1614">
            <v>326392</v>
          </cell>
          <cell r="C1614" t="str">
            <v>Child</v>
          </cell>
          <cell r="D1614" t="str">
            <v>Revenue Transfers Received from -Attorney General's  Office</v>
          </cell>
        </row>
        <row r="1615">
          <cell r="B1615">
            <v>326411</v>
          </cell>
          <cell r="C1615" t="str">
            <v>Child</v>
          </cell>
          <cell r="D1615" t="str">
            <v>Revenue Transfers Received from -Dept of Economic Development</v>
          </cell>
        </row>
        <row r="1616">
          <cell r="B1616">
            <v>326412</v>
          </cell>
          <cell r="C1616" t="str">
            <v>Child</v>
          </cell>
          <cell r="D1616" t="str">
            <v>Revenue Transfers Received from -AD Nat'l Exhibitions Co (GGS)</v>
          </cell>
        </row>
        <row r="1617">
          <cell r="B1617">
            <v>326414</v>
          </cell>
          <cell r="C1617" t="str">
            <v>Child</v>
          </cell>
          <cell r="D1617" t="str">
            <v>Revenue Transfers Received from -Abu Dhabi Investment Office (ADIO)</v>
          </cell>
        </row>
        <row r="1618">
          <cell r="B1618">
            <v>326421</v>
          </cell>
          <cell r="C1618" t="str">
            <v>Child</v>
          </cell>
          <cell r="D1618" t="str">
            <v>Revenue Transfers Received from -Agriculture (AD Food Control)</v>
          </cell>
        </row>
        <row r="1619">
          <cell r="B1619">
            <v>326422</v>
          </cell>
          <cell r="C1619" t="str">
            <v>Child</v>
          </cell>
          <cell r="D1619" t="str">
            <v>Revenue Transfers Received from -AD Farmers Services Centre</v>
          </cell>
        </row>
        <row r="1620">
          <cell r="B1620">
            <v>326423</v>
          </cell>
          <cell r="C1620" t="str">
            <v>Child</v>
          </cell>
          <cell r="D1620" t="str">
            <v>Revenue Transfers Received from - Al Foah Palm Sector Dev. Co. (GGS)</v>
          </cell>
        </row>
        <row r="1621">
          <cell r="B1621">
            <v>326425</v>
          </cell>
          <cell r="C1621" t="str">
            <v>Child</v>
          </cell>
          <cell r="D1621" t="str">
            <v>Revenue Transfers Received from -AD Farmers Financial Support Fund</v>
          </cell>
        </row>
        <row r="1622">
          <cell r="B1622">
            <v>326431</v>
          </cell>
          <cell r="C1622" t="str">
            <v>Child</v>
          </cell>
          <cell r="D1622" t="str">
            <v>Revenue Transfers Received from -Supreme Petroleum Council (GGS)</v>
          </cell>
        </row>
        <row r="1623">
          <cell r="B1623">
            <v>326432</v>
          </cell>
          <cell r="C1623" t="str">
            <v>Child</v>
          </cell>
          <cell r="D1623" t="str">
            <v>Revenue Transfers Received from -AD Water &amp; Electricity Auth(GGS)</v>
          </cell>
        </row>
        <row r="1624">
          <cell r="B1624">
            <v>326436</v>
          </cell>
          <cell r="C1624" t="str">
            <v>Child</v>
          </cell>
          <cell r="D1624" t="str">
            <v>Revenue Transfers Received from -Energy Authority</v>
          </cell>
        </row>
        <row r="1625">
          <cell r="B1625">
            <v>326441</v>
          </cell>
          <cell r="C1625" t="str">
            <v>Child</v>
          </cell>
          <cell r="D1625" t="str">
            <v>Revenue Transfers Received from -Dept of Transport</v>
          </cell>
        </row>
        <row r="1626">
          <cell r="B1626">
            <v>326444</v>
          </cell>
          <cell r="C1626" t="str">
            <v>Child</v>
          </cell>
          <cell r="D1626" t="str">
            <v>Revenue Transfers Received from - AD Ports Co (GGS)</v>
          </cell>
        </row>
        <row r="1627">
          <cell r="B1627">
            <v>326445</v>
          </cell>
          <cell r="C1627" t="str">
            <v>Child</v>
          </cell>
          <cell r="D1627" t="str">
            <v>Revenue Transf from - Centre for Regulation of Transport by Hire Cars</v>
          </cell>
        </row>
        <row r="1628">
          <cell r="B1628">
            <v>326451</v>
          </cell>
          <cell r="C1628" t="str">
            <v>Child</v>
          </cell>
          <cell r="D1628" t="str">
            <v>Revenue Transfers Received from -AD Tourism &amp; Culture Authority</v>
          </cell>
        </row>
        <row r="1629">
          <cell r="B1629">
            <v>326511</v>
          </cell>
          <cell r="C1629" t="str">
            <v>Child</v>
          </cell>
          <cell r="D1629" t="str">
            <v>Revenue Transfers Received from -Environmental Agency, Abu Dhabi</v>
          </cell>
        </row>
        <row r="1630">
          <cell r="B1630">
            <v>326512</v>
          </cell>
          <cell r="C1630" t="str">
            <v>Child</v>
          </cell>
          <cell r="D1630" t="str">
            <v>Revenue Transfers Received from -Center for Waste Management</v>
          </cell>
        </row>
        <row r="1631">
          <cell r="B1631">
            <v>326513</v>
          </cell>
          <cell r="C1631" t="str">
            <v>Child</v>
          </cell>
          <cell r="D1631" t="str">
            <v>Revenue Transf from -The Mohamed bin Zayed Species Conservation Fund</v>
          </cell>
        </row>
        <row r="1632">
          <cell r="B1632">
            <v>326514</v>
          </cell>
          <cell r="C1632" t="str">
            <v>Child</v>
          </cell>
          <cell r="D1632" t="str">
            <v>Revenue Transfers Received from - Int'l Fund for Houbara Conservation</v>
          </cell>
        </row>
        <row r="1633">
          <cell r="B1633">
            <v>326521</v>
          </cell>
          <cell r="C1633" t="str">
            <v>Child</v>
          </cell>
          <cell r="D1633" t="str">
            <v>Revenue Transfers Received from -AD Sewerage Services Co (GGS)</v>
          </cell>
        </row>
        <row r="1634">
          <cell r="B1634">
            <v>326612</v>
          </cell>
          <cell r="C1634" t="str">
            <v>Child</v>
          </cell>
          <cell r="D1634" t="str">
            <v>Revenue Transfers Received from -AD Housing Authority</v>
          </cell>
        </row>
        <row r="1635">
          <cell r="B1635">
            <v>326621</v>
          </cell>
          <cell r="C1635" t="str">
            <v>Child</v>
          </cell>
          <cell r="D1635" t="str">
            <v>Revenue Transfers Received from -Dept of Municipal Affairs</v>
          </cell>
        </row>
        <row r="1636">
          <cell r="B1636">
            <v>327018</v>
          </cell>
          <cell r="C1636" t="str">
            <v>Child</v>
          </cell>
          <cell r="D1636" t="str">
            <v>Treasury contributions towards Strategic Initiatives</v>
          </cell>
        </row>
        <row r="1637">
          <cell r="B1637">
            <v>326622</v>
          </cell>
          <cell r="C1637" t="str">
            <v>Child</v>
          </cell>
          <cell r="D1637" t="str">
            <v>Revenue Transfers Received from -Eastern Region Development Council</v>
          </cell>
        </row>
        <row r="1638">
          <cell r="B1638">
            <v>326623</v>
          </cell>
          <cell r="C1638" t="str">
            <v>Child</v>
          </cell>
          <cell r="D1638" t="str">
            <v>Revenue Transfers Received from -Western Region Development Council</v>
          </cell>
        </row>
        <row r="1639">
          <cell r="B1639">
            <v>326624</v>
          </cell>
          <cell r="C1639" t="str">
            <v>Child</v>
          </cell>
          <cell r="D1639" t="str">
            <v>Revenue Transfers Received from -Rural Area Development Committee</v>
          </cell>
        </row>
        <row r="1640">
          <cell r="B1640">
            <v>326625</v>
          </cell>
          <cell r="C1640" t="str">
            <v>Child</v>
          </cell>
          <cell r="D1640" t="str">
            <v>Revenue Transfers Received from - Department of Community Development</v>
          </cell>
        </row>
        <row r="1641">
          <cell r="B1641">
            <v>326626</v>
          </cell>
          <cell r="C1641" t="str">
            <v>Child</v>
          </cell>
          <cell r="D1641" t="str">
            <v>Revenue Transfers Received from -Social Support Authority</v>
          </cell>
        </row>
        <row r="1642">
          <cell r="B1642">
            <v>326627</v>
          </cell>
          <cell r="C1642" t="str">
            <v>Child</v>
          </cell>
          <cell r="D1642" t="str">
            <v>Revenue Transfers Received from - MAAN Authority</v>
          </cell>
        </row>
        <row r="1643">
          <cell r="B1643">
            <v>326631</v>
          </cell>
          <cell r="C1643" t="str">
            <v>Child</v>
          </cell>
          <cell r="D1643" t="str">
            <v>Revenue Transfers Received from -AD Municipality</v>
          </cell>
        </row>
        <row r="1644">
          <cell r="B1644">
            <v>326632</v>
          </cell>
          <cell r="C1644" t="str">
            <v>Child</v>
          </cell>
          <cell r="D1644" t="str">
            <v>Revenue Transfers Received from -Al Ain Municipality</v>
          </cell>
        </row>
        <row r="1645">
          <cell r="B1645">
            <v>326633</v>
          </cell>
          <cell r="C1645" t="str">
            <v>Child</v>
          </cell>
          <cell r="D1645" t="str">
            <v>Revenue Transfers Received from -West Region Municipality</v>
          </cell>
        </row>
        <row r="1646">
          <cell r="B1646">
            <v>326635</v>
          </cell>
          <cell r="C1646" t="str">
            <v>Child</v>
          </cell>
          <cell r="D1646" t="str">
            <v>Revenue Transf from -Department of Municipalities and Transport (DMT)</v>
          </cell>
        </row>
        <row r="1647">
          <cell r="B1647">
            <v>326636</v>
          </cell>
          <cell r="C1647" t="str">
            <v>Child</v>
          </cell>
          <cell r="D1647" t="str">
            <v>Revenue Transf from -AD Projects and Infrastructure Centre (ADPIC)</v>
          </cell>
        </row>
        <row r="1648">
          <cell r="B1648">
            <v>326651</v>
          </cell>
          <cell r="C1648" t="str">
            <v>Child</v>
          </cell>
          <cell r="D1648" t="str">
            <v>Revenue Transfers Received from -AD Health Authority (HAAD)</v>
          </cell>
        </row>
        <row r="1649">
          <cell r="B1649">
            <v>326656</v>
          </cell>
          <cell r="C1649" t="str">
            <v>Child</v>
          </cell>
          <cell r="D1649" t="str">
            <v>Revenue Transfers Received from - Abu Dhabi Public Health Center</v>
          </cell>
        </row>
        <row r="1650">
          <cell r="B1650">
            <v>326671</v>
          </cell>
          <cell r="C1650" t="str">
            <v>Child</v>
          </cell>
          <cell r="D1650" t="str">
            <v>Revenue Transfers Received from -AD Health Services Co - SEHA(GGS)</v>
          </cell>
        </row>
        <row r="1651">
          <cell r="B1651">
            <v>326672</v>
          </cell>
          <cell r="C1651" t="str">
            <v>Child</v>
          </cell>
          <cell r="D1651" t="str">
            <v>Revenue Transfers Received from -National Rehabilitation Centre</v>
          </cell>
        </row>
        <row r="1652">
          <cell r="B1652">
            <v>326681</v>
          </cell>
          <cell r="C1652" t="str">
            <v>Child</v>
          </cell>
          <cell r="D1652" t="str">
            <v>Revenue Transfers Received from -AD Food Control Authority</v>
          </cell>
        </row>
        <row r="1653">
          <cell r="B1653">
            <v>326682</v>
          </cell>
          <cell r="C1653" t="str">
            <v>Child</v>
          </cell>
          <cell r="D1653" t="str">
            <v>Revenue Transfers Received from -Food Security Centre</v>
          </cell>
        </row>
        <row r="1654">
          <cell r="B1654">
            <v>326711</v>
          </cell>
          <cell r="C1654" t="str">
            <v>Child</v>
          </cell>
          <cell r="D1654" t="str">
            <v>Revenue Transfers Received from -Zoo &amp; Aquarium</v>
          </cell>
        </row>
        <row r="1655">
          <cell r="B1655">
            <v>326712</v>
          </cell>
          <cell r="C1655" t="str">
            <v>Child</v>
          </cell>
          <cell r="D1655" t="str">
            <v>Revenue Transfers Received from -AD Sports Council</v>
          </cell>
        </row>
        <row r="1656">
          <cell r="B1656">
            <v>326721</v>
          </cell>
          <cell r="C1656" t="str">
            <v>Child</v>
          </cell>
          <cell r="D1656" t="str">
            <v>Revenue Transfers Received from -AD Authority for Culture &amp; Heritage</v>
          </cell>
        </row>
        <row r="1657">
          <cell r="B1657">
            <v>326722</v>
          </cell>
          <cell r="C1657" t="str">
            <v>Child</v>
          </cell>
          <cell r="D1657" t="str">
            <v>Revenue Transf from -Min of Culture, Youth and Community Development</v>
          </cell>
        </row>
        <row r="1658">
          <cell r="B1658">
            <v>326723</v>
          </cell>
          <cell r="C1658" t="str">
            <v>Child</v>
          </cell>
          <cell r="D1658" t="str">
            <v>Revenue Transfers Received from -Gen Auth-Islamic Affrs &amp; Endownment</v>
          </cell>
        </row>
        <row r="1659">
          <cell r="B1659">
            <v>326724</v>
          </cell>
          <cell r="C1659" t="str">
            <v>Child</v>
          </cell>
          <cell r="D1659" t="str">
            <v>Revenue Transfers Received from -Zayed House for Islamic Culture</v>
          </cell>
        </row>
        <row r="1660">
          <cell r="B1660">
            <v>326725</v>
          </cell>
          <cell r="C1660" t="str">
            <v>Child</v>
          </cell>
          <cell r="D1660" t="str">
            <v>Revenue Transfers Received from - Emirates Heritage Club</v>
          </cell>
        </row>
        <row r="1661">
          <cell r="B1661">
            <v>326726</v>
          </cell>
          <cell r="C1661" t="str">
            <v>Child</v>
          </cell>
          <cell r="D1661" t="str">
            <v>Revenue Transfers Received from - Arabic Language Center</v>
          </cell>
        </row>
        <row r="1662">
          <cell r="B1662">
            <v>326731</v>
          </cell>
          <cell r="C1662" t="str">
            <v>Child</v>
          </cell>
          <cell r="D1662" t="str">
            <v>Revenue Transfers Received from -National Ctr-Documents/Research</v>
          </cell>
        </row>
        <row r="1663">
          <cell r="B1663">
            <v>326742</v>
          </cell>
          <cell r="C1663" t="str">
            <v>Child</v>
          </cell>
          <cell r="D1663" t="str">
            <v>Revenue Transfers Received from -Media Zone Authority</v>
          </cell>
        </row>
        <row r="1664">
          <cell r="B1664">
            <v>326743</v>
          </cell>
          <cell r="C1664" t="str">
            <v>Child</v>
          </cell>
          <cell r="D1664" t="str">
            <v>Revenue Transfers Received from -UAE National Media Council</v>
          </cell>
        </row>
        <row r="1665">
          <cell r="B1665">
            <v>326811</v>
          </cell>
          <cell r="C1665" t="str">
            <v>Child</v>
          </cell>
          <cell r="D1665" t="str">
            <v>Revenue Transfers Received from -AD Education Council</v>
          </cell>
        </row>
        <row r="1666">
          <cell r="B1666">
            <v>326832</v>
          </cell>
          <cell r="C1666" t="str">
            <v>Child</v>
          </cell>
          <cell r="D1666" t="str">
            <v>Revenue Transfers Received from -ACTVET - Tecnical/Vocational Education</v>
          </cell>
        </row>
        <row r="1667">
          <cell r="B1667">
            <v>326833</v>
          </cell>
          <cell r="C1667" t="str">
            <v>Child</v>
          </cell>
          <cell r="D1667" t="str">
            <v>Revenue Transf from -AD Vocational Education and Trg Inst. (ADVETI)</v>
          </cell>
        </row>
        <row r="1668">
          <cell r="B1668">
            <v>326834</v>
          </cell>
          <cell r="C1668" t="str">
            <v>Child</v>
          </cell>
          <cell r="D1668" t="str">
            <v>Revenue Transfers Received from -Institute of Applied Technology (IAT)</v>
          </cell>
        </row>
        <row r="1669">
          <cell r="B1669">
            <v>326841</v>
          </cell>
          <cell r="C1669" t="str">
            <v>Child</v>
          </cell>
          <cell r="D1669" t="str">
            <v>Revenue Transfers Received from -Paris-Sorbonne University, Abu Dhabi</v>
          </cell>
        </row>
        <row r="1670">
          <cell r="B1670">
            <v>326843</v>
          </cell>
          <cell r="C1670" t="str">
            <v>Child</v>
          </cell>
          <cell r="D1670" t="str">
            <v>Revenue Transfers Received from -Khalifa University</v>
          </cell>
        </row>
        <row r="1671">
          <cell r="B1671">
            <v>411167</v>
          </cell>
          <cell r="C1671" t="str">
            <v>Child</v>
          </cell>
          <cell r="D1671" t="str">
            <v>Volunteer's pay</v>
          </cell>
        </row>
        <row r="1672">
          <cell r="B1672">
            <v>326844</v>
          </cell>
          <cell r="C1672" t="str">
            <v>Child</v>
          </cell>
          <cell r="D1672" t="str">
            <v>Revenue Transfers Received from -Masdar Institute</v>
          </cell>
        </row>
        <row r="1673">
          <cell r="B1673">
            <v>326845</v>
          </cell>
          <cell r="C1673" t="str">
            <v>Child</v>
          </cell>
          <cell r="D1673" t="str">
            <v>Revenue Transfers Received from -Emirates College for Advanced Education</v>
          </cell>
        </row>
        <row r="1674">
          <cell r="B1674">
            <v>326846</v>
          </cell>
          <cell r="C1674" t="str">
            <v>Child</v>
          </cell>
          <cell r="D1674" t="str">
            <v>Revenue Transfers Received from -Mohammed V University, Abu Dhabi</v>
          </cell>
        </row>
        <row r="1675">
          <cell r="B1675">
            <v>326847</v>
          </cell>
          <cell r="C1675" t="str">
            <v>Child</v>
          </cell>
          <cell r="D1675" t="str">
            <v>Revenue Transf from -Khalifa University of Science &amp; Technology (KUST)</v>
          </cell>
        </row>
        <row r="1676">
          <cell r="B1676">
            <v>326848</v>
          </cell>
          <cell r="C1676" t="str">
            <v>Child</v>
          </cell>
          <cell r="D1676" t="str">
            <v>Revenue Transf from - Mohd Bin Zayed University of Arti. Intell. (MBZUAI)</v>
          </cell>
        </row>
        <row r="1677">
          <cell r="B1677">
            <v>326871</v>
          </cell>
          <cell r="C1677" t="str">
            <v>Child</v>
          </cell>
          <cell r="D1677" t="str">
            <v>Revenue Transfers Received from -Rabdan Academy</v>
          </cell>
        </row>
        <row r="1678">
          <cell r="B1678">
            <v>326872</v>
          </cell>
          <cell r="C1678" t="str">
            <v>Child</v>
          </cell>
          <cell r="D1678" t="str">
            <v>Revenue Transfers Received from -Abu Dhabi School of Government</v>
          </cell>
        </row>
        <row r="1679">
          <cell r="B1679">
            <v>326911</v>
          </cell>
          <cell r="C1679" t="str">
            <v>Child</v>
          </cell>
          <cell r="D1679" t="str">
            <v>Revenue Transf from -Zayed Higher Org for Humanitarian Care/Spl Needs</v>
          </cell>
        </row>
        <row r="1680">
          <cell r="B1680">
            <v>326921</v>
          </cell>
          <cell r="C1680" t="str">
            <v>Child</v>
          </cell>
          <cell r="D1680" t="str">
            <v>Revenue Transfers Received from -AD Retirement Pensions  Fund</v>
          </cell>
        </row>
        <row r="1681">
          <cell r="B1681">
            <v>326922</v>
          </cell>
          <cell r="C1681" t="str">
            <v>Child</v>
          </cell>
          <cell r="D1681" t="str">
            <v>Revenue Transfers Received from -Pension Fund - Armed Forces</v>
          </cell>
        </row>
        <row r="1682">
          <cell r="B1682">
            <v>326923</v>
          </cell>
          <cell r="C1682" t="str">
            <v>Child</v>
          </cell>
          <cell r="D1682" t="str">
            <v>Revenue Transfers Received from -Pension Fund - Police</v>
          </cell>
        </row>
        <row r="1683">
          <cell r="B1683">
            <v>326924</v>
          </cell>
          <cell r="C1683" t="str">
            <v>Child</v>
          </cell>
          <cell r="D1683" t="str">
            <v>Revenue Transfers Received from -Pension Fund - Civil Defence</v>
          </cell>
        </row>
        <row r="1684">
          <cell r="B1684">
            <v>326925</v>
          </cell>
          <cell r="C1684" t="str">
            <v>Child</v>
          </cell>
          <cell r="D1684" t="str">
            <v>Revenue Transfers Received from -Pension Fund - ADNRD</v>
          </cell>
        </row>
        <row r="1685">
          <cell r="B1685">
            <v>326931</v>
          </cell>
          <cell r="C1685" t="str">
            <v>Child</v>
          </cell>
          <cell r="D1685" t="str">
            <v>Revenue Transfers Received from -Family Development Foundation</v>
          </cell>
        </row>
        <row r="1686">
          <cell r="B1686">
            <v>326932</v>
          </cell>
          <cell r="C1686" t="str">
            <v>Child</v>
          </cell>
          <cell r="D1686" t="str">
            <v>Revenue Transfers Received from -General Women's Union</v>
          </cell>
        </row>
        <row r="1687">
          <cell r="B1687">
            <v>326933</v>
          </cell>
          <cell r="C1687" t="str">
            <v>Child</v>
          </cell>
          <cell r="D1687" t="str">
            <v>Revenue Transfers Received from -Social Care&amp;Minors Affairs Foundation</v>
          </cell>
        </row>
        <row r="1688">
          <cell r="B1688">
            <v>326934</v>
          </cell>
          <cell r="C1688" t="str">
            <v>Child</v>
          </cell>
          <cell r="D1688" t="str">
            <v>Revenue Transfers Received from -Dar Zayed for Family Care</v>
          </cell>
        </row>
        <row r="1689">
          <cell r="B1689">
            <v>326935</v>
          </cell>
          <cell r="C1689" t="str">
            <v>Child</v>
          </cell>
          <cell r="D1689" t="str">
            <v>Revenue Transfers Received from - Family Care authority – FCA</v>
          </cell>
        </row>
        <row r="1690">
          <cell r="B1690">
            <v>326943</v>
          </cell>
          <cell r="C1690" t="str">
            <v>Child</v>
          </cell>
          <cell r="D1690" t="str">
            <v>Revenue Transf from -Emirates Foundation For Youth Development</v>
          </cell>
        </row>
        <row r="1691">
          <cell r="B1691">
            <v>327011</v>
          </cell>
          <cell r="C1691" t="str">
            <v>Child</v>
          </cell>
          <cell r="D1691" t="str">
            <v>Treasury Contribution towards Chapter-1</v>
          </cell>
        </row>
        <row r="1692">
          <cell r="B1692">
            <v>327012</v>
          </cell>
          <cell r="C1692" t="str">
            <v>Child</v>
          </cell>
          <cell r="D1692" t="str">
            <v>Treasury Contribution towards Chapter-2</v>
          </cell>
        </row>
        <row r="1693">
          <cell r="B1693">
            <v>327013</v>
          </cell>
          <cell r="C1693" t="str">
            <v>Child</v>
          </cell>
          <cell r="D1693" t="str">
            <v>Treasury Contribution towards Chapter-3</v>
          </cell>
        </row>
        <row r="1694">
          <cell r="B1694">
            <v>327014</v>
          </cell>
          <cell r="C1694" t="str">
            <v>Child</v>
          </cell>
          <cell r="D1694" t="str">
            <v>Treasury Contribution towards Chapter-4</v>
          </cell>
        </row>
        <row r="1695">
          <cell r="B1695">
            <v>327015</v>
          </cell>
          <cell r="C1695" t="str">
            <v>Child</v>
          </cell>
          <cell r="D1695" t="str">
            <v>Treasury Contribution towards Chapter-5</v>
          </cell>
        </row>
        <row r="1696">
          <cell r="B1696">
            <v>327016</v>
          </cell>
          <cell r="C1696" t="str">
            <v>Child</v>
          </cell>
          <cell r="D1696" t="str">
            <v>Treasury Contribution towards Chapter-6</v>
          </cell>
        </row>
        <row r="1697">
          <cell r="B1697">
            <v>327017</v>
          </cell>
          <cell r="C1697" t="str">
            <v>Child</v>
          </cell>
          <cell r="D1697" t="str">
            <v>Treasury Contribution towards Ghadan-21</v>
          </cell>
        </row>
        <row r="1698">
          <cell r="B1698">
            <v>327021</v>
          </cell>
          <cell r="C1698" t="str">
            <v>Child</v>
          </cell>
          <cell r="D1698" t="str">
            <v>TSA Transfers Received from DoF Treasury</v>
          </cell>
        </row>
        <row r="1699">
          <cell r="B1699">
            <v>327051</v>
          </cell>
          <cell r="C1699" t="str">
            <v>Child</v>
          </cell>
          <cell r="D1699" t="str">
            <v>Unidentified inter-entity reciepts -1</v>
          </cell>
        </row>
        <row r="1700">
          <cell r="B1700">
            <v>327052</v>
          </cell>
          <cell r="C1700" t="str">
            <v>Child</v>
          </cell>
          <cell r="D1700" t="str">
            <v>Unidentified inter-entity reciepts -2</v>
          </cell>
        </row>
        <row r="1701">
          <cell r="B1701">
            <v>327231</v>
          </cell>
          <cell r="C1701" t="str">
            <v>Child</v>
          </cell>
          <cell r="D1701" t="str">
            <v>Transfers Received from AD Council Econ Dev</v>
          </cell>
        </row>
        <row r="1702">
          <cell r="B1702">
            <v>327251</v>
          </cell>
          <cell r="C1702" t="str">
            <v>Child</v>
          </cell>
          <cell r="D1702" t="str">
            <v>Transfers Received from Musanada</v>
          </cell>
        </row>
        <row r="1703">
          <cell r="B1703">
            <v>327391</v>
          </cell>
          <cell r="C1703" t="str">
            <v>Child</v>
          </cell>
          <cell r="D1703" t="str">
            <v>Transfers Received from Judicial Dept.</v>
          </cell>
        </row>
        <row r="1704">
          <cell r="B1704">
            <v>327411</v>
          </cell>
          <cell r="C1704" t="str">
            <v>Child</v>
          </cell>
          <cell r="D1704" t="str">
            <v>Transfers Received from Department of Economic Development - Abu Dhabi</v>
          </cell>
        </row>
        <row r="1705">
          <cell r="B1705">
            <v>327631</v>
          </cell>
          <cell r="C1705" t="str">
            <v>Child</v>
          </cell>
          <cell r="D1705" t="str">
            <v>Transfers Received from AD Municipality</v>
          </cell>
        </row>
        <row r="1706">
          <cell r="B1706">
            <v>463951</v>
          </cell>
          <cell r="C1706" t="str">
            <v>Child</v>
          </cell>
          <cell r="D1706" t="str">
            <v>Grant-Chechnya</v>
          </cell>
        </row>
        <row r="1707">
          <cell r="B1707">
            <v>327681</v>
          </cell>
          <cell r="C1707" t="str">
            <v>Child</v>
          </cell>
          <cell r="D1707" t="str">
            <v>Transfers Received from AD Food Control Authority</v>
          </cell>
        </row>
        <row r="1708">
          <cell r="B1708">
            <v>327711</v>
          </cell>
          <cell r="C1708" t="str">
            <v>Child</v>
          </cell>
          <cell r="D1708" t="str">
            <v>Transfers Received from Al Ain Zoo</v>
          </cell>
        </row>
        <row r="1709">
          <cell r="B1709">
            <v>327811</v>
          </cell>
          <cell r="C1709" t="str">
            <v>Child</v>
          </cell>
          <cell r="D1709" t="str">
            <v>Transfers Received from AD Education Council</v>
          </cell>
        </row>
        <row r="1710">
          <cell r="B1710">
            <v>328111</v>
          </cell>
          <cell r="C1710" t="str">
            <v>Child</v>
          </cell>
          <cell r="D1710" t="str">
            <v>Unallocated Gross proceeds from disposal of physical assets</v>
          </cell>
        </row>
        <row r="1711">
          <cell r="B1711">
            <v>328113</v>
          </cell>
          <cell r="C1711" t="str">
            <v>Child</v>
          </cell>
          <cell r="D1711" t="str">
            <v>Gross Proceeds from Plant, machinery and equipment</v>
          </cell>
        </row>
        <row r="1712">
          <cell r="B1712">
            <v>328114</v>
          </cell>
          <cell r="C1712" t="str">
            <v>Child</v>
          </cell>
          <cell r="D1712" t="str">
            <v>Gross Proceeds from Property plant and equipment held for sale</v>
          </cell>
        </row>
        <row r="1713">
          <cell r="B1713">
            <v>328115</v>
          </cell>
          <cell r="C1713" t="str">
            <v>Child</v>
          </cell>
          <cell r="D1713" t="str">
            <v>Gross Proceeds from Disposal of physical assets: Motor vehicles</v>
          </cell>
        </row>
        <row r="1714">
          <cell r="B1714">
            <v>328116</v>
          </cell>
          <cell r="C1714" t="str">
            <v>Child</v>
          </cell>
          <cell r="D1714" t="str">
            <v>Gross Proceeds from Furniture and fixtures</v>
          </cell>
        </row>
        <row r="1715">
          <cell r="B1715">
            <v>328117</v>
          </cell>
          <cell r="C1715" t="str">
            <v>Child</v>
          </cell>
          <cell r="D1715" t="str">
            <v>Gross Proceeds from Other assets</v>
          </cell>
        </row>
        <row r="1716">
          <cell r="B1716">
            <v>328118</v>
          </cell>
          <cell r="C1716" t="str">
            <v>Child</v>
          </cell>
          <cell r="D1716" t="str">
            <v>Gross Proceeds from Scrap Items</v>
          </cell>
        </row>
        <row r="1717">
          <cell r="B1717">
            <v>328141</v>
          </cell>
          <cell r="C1717" t="str">
            <v>Child</v>
          </cell>
          <cell r="D1717" t="str">
            <v>Unallocated Net book value of assets sold/(disposed):</v>
          </cell>
        </row>
        <row r="1718">
          <cell r="B1718">
            <v>328142</v>
          </cell>
          <cell r="C1718" t="str">
            <v>Child</v>
          </cell>
          <cell r="D1718" t="str">
            <v>Vehicles</v>
          </cell>
        </row>
        <row r="1719">
          <cell r="B1719">
            <v>328143</v>
          </cell>
          <cell r="C1719" t="str">
            <v>Child</v>
          </cell>
          <cell r="D1719" t="str">
            <v>Written down value of assets Sold/Disposed-Furniture and fixtures</v>
          </cell>
        </row>
        <row r="1720">
          <cell r="B1720">
            <v>328144</v>
          </cell>
          <cell r="C1720" t="str">
            <v>Child</v>
          </cell>
          <cell r="D1720" t="str">
            <v>Infrastructure - Other than Roads</v>
          </cell>
        </row>
        <row r="1721">
          <cell r="B1721">
            <v>328171</v>
          </cell>
          <cell r="C1721" t="str">
            <v>Child</v>
          </cell>
          <cell r="D1721" t="str">
            <v>Unallocated Cost of removal of assets sold/(disposed):</v>
          </cell>
        </row>
        <row r="1722">
          <cell r="B1722">
            <v>328191</v>
          </cell>
          <cell r="C1722" t="str">
            <v>Child</v>
          </cell>
          <cell r="D1722" t="str">
            <v>Unallocated Gain/(loss) on disposal of physical assets</v>
          </cell>
        </row>
        <row r="1723">
          <cell r="B1723">
            <v>328200</v>
          </cell>
          <cell r="C1723" t="str">
            <v>Parent</v>
          </cell>
          <cell r="D1723" t="str">
            <v>Other revenues including revaluation of assets</v>
          </cell>
        </row>
        <row r="1724">
          <cell r="B1724">
            <v>328210</v>
          </cell>
          <cell r="C1724" t="str">
            <v>Child</v>
          </cell>
          <cell r="D1724" t="str">
            <v>Revaluation reserve retired - Gain/(loss) - Setup Account</v>
          </cell>
        </row>
        <row r="1725">
          <cell r="B1725">
            <v>328250</v>
          </cell>
          <cell r="C1725" t="str">
            <v>Parent</v>
          </cell>
          <cell r="D1725" t="str">
            <v>Net gain/(loss) from revaluation:</v>
          </cell>
        </row>
        <row r="1726">
          <cell r="B1726">
            <v>328251</v>
          </cell>
          <cell r="C1726" t="str">
            <v>Child</v>
          </cell>
          <cell r="D1726" t="str">
            <v>Gain / loss on Fair value of investment properties</v>
          </cell>
        </row>
        <row r="1727">
          <cell r="B1727">
            <v>411160</v>
          </cell>
          <cell r="C1727" t="str">
            <v>Child</v>
          </cell>
          <cell r="D1727" t="str">
            <v>Occassional pay:</v>
          </cell>
        </row>
        <row r="1728">
          <cell r="B1728">
            <v>328300</v>
          </cell>
          <cell r="C1728" t="str">
            <v>Parent</v>
          </cell>
          <cell r="D1728" t="str">
            <v>Fair value of assets received free of charge or for nominal consideration:</v>
          </cell>
        </row>
        <row r="1729">
          <cell r="B1729">
            <v>328311</v>
          </cell>
          <cell r="C1729" t="str">
            <v>Child</v>
          </cell>
          <cell r="D1729" t="str">
            <v>Buildings</v>
          </cell>
        </row>
        <row r="1730">
          <cell r="B1730">
            <v>328312</v>
          </cell>
          <cell r="C1730" t="str">
            <v>Child</v>
          </cell>
          <cell r="D1730" t="str">
            <v>Plant, machinery and equipment</v>
          </cell>
        </row>
        <row r="1731">
          <cell r="B1731">
            <v>328510</v>
          </cell>
          <cell r="C1731" t="str">
            <v>Child</v>
          </cell>
          <cell r="D1731" t="str">
            <v>Sales account (for Oracle system setup)</v>
          </cell>
        </row>
        <row r="1732">
          <cell r="B1732">
            <v>328520</v>
          </cell>
          <cell r="C1732" t="str">
            <v>Child</v>
          </cell>
          <cell r="D1732" t="str">
            <v>A R related receipts pending allocation to relevant accounts</v>
          </cell>
        </row>
        <row r="1733">
          <cell r="B1733">
            <v>328530</v>
          </cell>
          <cell r="C1733" t="str">
            <v>Child</v>
          </cell>
          <cell r="D1733" t="str">
            <v>Receipts pending allocation to relevant accounts (For TDF use only)</v>
          </cell>
        </row>
        <row r="1734">
          <cell r="B1734">
            <v>328610</v>
          </cell>
          <cell r="C1734" t="str">
            <v>Child</v>
          </cell>
          <cell r="D1734" t="str">
            <v>Recovery of Bad and Doubtful Debts ( B-8 only )</v>
          </cell>
        </row>
        <row r="1735">
          <cell r="B1735">
            <v>328620</v>
          </cell>
          <cell r="C1735" t="str">
            <v>Child</v>
          </cell>
          <cell r="D1735" t="str">
            <v>Reversal of Impairment Losses</v>
          </cell>
        </row>
        <row r="1736">
          <cell r="B1736">
            <v>328990</v>
          </cell>
          <cell r="C1736" t="str">
            <v>Child</v>
          </cell>
          <cell r="D1736" t="str">
            <v>Sundry receipts  not mentioned elsewhere</v>
          </cell>
        </row>
        <row r="1737">
          <cell r="B1737">
            <v>331000</v>
          </cell>
          <cell r="C1737" t="str">
            <v>Parent</v>
          </cell>
          <cell r="D1737" t="str">
            <v>Dividends:</v>
          </cell>
        </row>
        <row r="1738">
          <cell r="B1738">
            <v>331111</v>
          </cell>
          <cell r="C1738" t="str">
            <v>Child</v>
          </cell>
          <cell r="D1738" t="str">
            <v>ADNOC dividends(received directly from ADNOC)</v>
          </cell>
        </row>
        <row r="1739">
          <cell r="B1739">
            <v>331119</v>
          </cell>
          <cell r="C1739" t="str">
            <v>Child</v>
          </cell>
          <cell r="D1739" t="str">
            <v>Consolidated ADNOC dividends</v>
          </cell>
        </row>
        <row r="1740">
          <cell r="B1740">
            <v>331120</v>
          </cell>
          <cell r="C1740" t="str">
            <v>Parent</v>
          </cell>
          <cell r="D1740" t="str">
            <v>Dividends from Wealth Funds:</v>
          </cell>
        </row>
        <row r="1741">
          <cell r="B1741">
            <v>331121</v>
          </cell>
          <cell r="C1741" t="str">
            <v>Child</v>
          </cell>
          <cell r="D1741" t="str">
            <v>ADIA - ADIA dividends</v>
          </cell>
        </row>
        <row r="1742">
          <cell r="B1742">
            <v>331122</v>
          </cell>
          <cell r="C1742" t="str">
            <v>Child</v>
          </cell>
          <cell r="D1742" t="str">
            <v>Mubadala  – Dividends/Return on Investment</v>
          </cell>
        </row>
        <row r="1743">
          <cell r="B1743">
            <v>331123</v>
          </cell>
          <cell r="C1743" t="str">
            <v>Child</v>
          </cell>
          <cell r="D1743" t="str">
            <v>A D Holding Co. – Dividends/Return on Investment</v>
          </cell>
        </row>
        <row r="1744">
          <cell r="B1744">
            <v>331151</v>
          </cell>
          <cell r="C1744" t="str">
            <v>Child</v>
          </cell>
          <cell r="D1744" t="str">
            <v>Dividends from Govt business ent. other than ADNOC and Wealth Funds</v>
          </cell>
        </row>
        <row r="1745">
          <cell r="B1745">
            <v>331170</v>
          </cell>
          <cell r="C1745" t="str">
            <v>Parent</v>
          </cell>
          <cell r="D1745" t="str">
            <v>Other investment income / Bonus shares</v>
          </cell>
        </row>
        <row r="1746">
          <cell r="B1746">
            <v>331171</v>
          </cell>
          <cell r="C1746" t="str">
            <v>Child</v>
          </cell>
          <cell r="D1746" t="str">
            <v>Bonus shares</v>
          </cell>
        </row>
        <row r="1747">
          <cell r="B1747">
            <v>331210</v>
          </cell>
          <cell r="C1747" t="str">
            <v>Child</v>
          </cell>
          <cell r="D1747" t="str">
            <v>Interest - Capital notes</v>
          </cell>
        </row>
        <row r="1748">
          <cell r="B1748">
            <v>332000</v>
          </cell>
          <cell r="C1748" t="str">
            <v>Parent</v>
          </cell>
          <cell r="D1748" t="str">
            <v>Interest Income</v>
          </cell>
        </row>
        <row r="1749">
          <cell r="B1749">
            <v>332100</v>
          </cell>
          <cell r="C1749" t="str">
            <v>Parent</v>
          </cell>
          <cell r="D1749" t="str">
            <v>Interest - Cash deposits:</v>
          </cell>
        </row>
        <row r="1750">
          <cell r="B1750">
            <v>332110</v>
          </cell>
          <cell r="C1750" t="str">
            <v>Child</v>
          </cell>
          <cell r="D1750" t="str">
            <v>Interest - Call deposits</v>
          </cell>
        </row>
        <row r="1751">
          <cell r="B1751">
            <v>332120</v>
          </cell>
          <cell r="C1751" t="str">
            <v>Child</v>
          </cell>
          <cell r="D1751" t="str">
            <v>Interest - Term deposits</v>
          </cell>
        </row>
        <row r="1752">
          <cell r="B1752">
            <v>332179</v>
          </cell>
          <cell r="C1752" t="str">
            <v>Child</v>
          </cell>
          <cell r="D1752" t="str">
            <v>Income - Other investments</v>
          </cell>
        </row>
        <row r="1753">
          <cell r="B1753">
            <v>332200</v>
          </cell>
          <cell r="C1753" t="str">
            <v>Parent</v>
          </cell>
          <cell r="D1753" t="str">
            <v>Interest on Loans:</v>
          </cell>
        </row>
        <row r="1754">
          <cell r="B1754">
            <v>332210</v>
          </cell>
          <cell r="C1754" t="str">
            <v>Child</v>
          </cell>
          <cell r="D1754" t="str">
            <v>Interest - Bldg finance loans</v>
          </cell>
        </row>
        <row r="1755">
          <cell r="B1755">
            <v>332220</v>
          </cell>
          <cell r="C1755" t="str">
            <v>Child</v>
          </cell>
          <cell r="D1755" t="str">
            <v>Interest - Foreign Govt loans</v>
          </cell>
        </row>
        <row r="1756">
          <cell r="B1756">
            <v>332230</v>
          </cell>
          <cell r="C1756" t="str">
            <v>Child</v>
          </cell>
          <cell r="D1756" t="str">
            <v>Interest - Emirate Govt loans</v>
          </cell>
        </row>
        <row r="1757">
          <cell r="B1757">
            <v>332240</v>
          </cell>
          <cell r="C1757" t="str">
            <v>Child</v>
          </cell>
          <cell r="D1757" t="str">
            <v>Interest – Lease finances</v>
          </cell>
        </row>
        <row r="1758">
          <cell r="B1758">
            <v>332290</v>
          </cell>
          <cell r="C1758" t="str">
            <v>Child</v>
          </cell>
          <cell r="D1758" t="str">
            <v>Interest - Other loans not mentioned elsewhere</v>
          </cell>
        </row>
        <row r="1759">
          <cell r="B1759">
            <v>332310</v>
          </cell>
          <cell r="C1759" t="str">
            <v>Child</v>
          </cell>
          <cell r="D1759" t="str">
            <v>Interest - Long term Foreign Central Bank Deposits</v>
          </cell>
        </row>
        <row r="1760">
          <cell r="B1760">
            <v>332320</v>
          </cell>
          <cell r="C1760" t="str">
            <v>Child</v>
          </cell>
          <cell r="D1760" t="str">
            <v>Interest on Foreign Government Bonds</v>
          </cell>
        </row>
        <row r="1761">
          <cell r="B1761">
            <v>332500</v>
          </cell>
          <cell r="C1761" t="str">
            <v>Parent</v>
          </cell>
          <cell r="D1761" t="str">
            <v>Interest on “available for sale” investments</v>
          </cell>
        </row>
        <row r="1762">
          <cell r="B1762">
            <v>333100</v>
          </cell>
          <cell r="C1762" t="str">
            <v>Parent</v>
          </cell>
          <cell r="D1762" t="str">
            <v>Receipts against Realisation of Equity Investments</v>
          </cell>
        </row>
        <row r="1763">
          <cell r="B1763">
            <v>333200</v>
          </cell>
          <cell r="C1763" t="str">
            <v>Parent</v>
          </cell>
          <cell r="D1763" t="str">
            <v>Realization of Long-term Deposits</v>
          </cell>
        </row>
        <row r="1764">
          <cell r="B1764">
            <v>333210</v>
          </cell>
          <cell r="C1764" t="str">
            <v>Child</v>
          </cell>
          <cell r="D1764" t="str">
            <v>Realization of Long-term Domestic Deposits</v>
          </cell>
        </row>
        <row r="1765">
          <cell r="B1765">
            <v>333220</v>
          </cell>
          <cell r="C1765" t="str">
            <v>Child</v>
          </cell>
          <cell r="D1765" t="str">
            <v>Realization of Long-term Foreign Deposits</v>
          </cell>
        </row>
        <row r="1766">
          <cell r="B1766">
            <v>333251</v>
          </cell>
          <cell r="C1766" t="str">
            <v>Child</v>
          </cell>
          <cell r="D1766" t="str">
            <v>Realization of Derivatives investments</v>
          </cell>
        </row>
        <row r="1767">
          <cell r="B1767">
            <v>333300</v>
          </cell>
          <cell r="C1767" t="str">
            <v>Parent</v>
          </cell>
          <cell r="D1767" t="str">
            <v>Repayment of loans by borrowers:</v>
          </cell>
        </row>
        <row r="1768">
          <cell r="B1768">
            <v>333411</v>
          </cell>
          <cell r="C1768" t="str">
            <v>Child</v>
          </cell>
          <cell r="D1768" t="str">
            <v>Loan Repyts - Aabar Investments</v>
          </cell>
        </row>
        <row r="1769">
          <cell r="B1769">
            <v>333412</v>
          </cell>
          <cell r="C1769" t="str">
            <v>Child</v>
          </cell>
          <cell r="D1769" t="str">
            <v>Loan Repyts - Abu Dhabi Commercial Bank</v>
          </cell>
        </row>
        <row r="1770">
          <cell r="B1770">
            <v>333413</v>
          </cell>
          <cell r="C1770" t="str">
            <v>Child</v>
          </cell>
          <cell r="D1770" t="str">
            <v>Loan Repyts-National Corpn for Tourism &amp; Hotels</v>
          </cell>
        </row>
        <row r="1771">
          <cell r="B1771">
            <v>333414</v>
          </cell>
          <cell r="C1771" t="str">
            <v>Child</v>
          </cell>
          <cell r="D1771" t="str">
            <v>Loan Repyts - National Investment Corporation</v>
          </cell>
        </row>
        <row r="1772">
          <cell r="B1772">
            <v>333415</v>
          </cell>
          <cell r="C1772" t="str">
            <v>Child</v>
          </cell>
          <cell r="D1772" t="str">
            <v>Loan Repyts - Oman &amp; Emirates Investment Co</v>
          </cell>
        </row>
        <row r="1773">
          <cell r="B1773">
            <v>333416</v>
          </cell>
          <cell r="C1773" t="str">
            <v>Child</v>
          </cell>
          <cell r="D1773" t="str">
            <v>Loan Repayments - The British School - Al Khubairat</v>
          </cell>
        </row>
        <row r="1774">
          <cell r="B1774">
            <v>333511</v>
          </cell>
          <cell r="C1774" t="str">
            <v>Child</v>
          </cell>
          <cell r="D1774" t="str">
            <v>Loan Repayments - UAE Ministry of Foreign Affairs</v>
          </cell>
        </row>
        <row r="1775">
          <cell r="B1775">
            <v>333512</v>
          </cell>
          <cell r="C1775" t="str">
            <v>Child</v>
          </cell>
          <cell r="D1775" t="str">
            <v>Loan repayments – Ministry of Finance</v>
          </cell>
        </row>
        <row r="1776">
          <cell r="B1776">
            <v>333611</v>
          </cell>
          <cell r="C1776" t="str">
            <v>Child</v>
          </cell>
          <cell r="D1776" t="str">
            <v>Loan Repayments from Dubai</v>
          </cell>
        </row>
        <row r="1777">
          <cell r="B1777">
            <v>333711</v>
          </cell>
          <cell r="C1777" t="str">
            <v>Child</v>
          </cell>
          <cell r="D1777" t="str">
            <v>Loan Repayments from Bangladesh</v>
          </cell>
        </row>
        <row r="1778">
          <cell r="B1778">
            <v>333712</v>
          </cell>
          <cell r="C1778" t="str">
            <v>Child</v>
          </cell>
          <cell r="D1778" t="str">
            <v>Loan Repayments from Lebanon</v>
          </cell>
        </row>
        <row r="1779">
          <cell r="B1779">
            <v>333713</v>
          </cell>
          <cell r="C1779" t="str">
            <v>Child</v>
          </cell>
          <cell r="D1779" t="str">
            <v>Loan Repayments from Pakistan</v>
          </cell>
        </row>
        <row r="1780">
          <cell r="B1780">
            <v>333714</v>
          </cell>
          <cell r="C1780" t="str">
            <v>Child</v>
          </cell>
          <cell r="D1780" t="str">
            <v>Loan Repayments from Senegal</v>
          </cell>
        </row>
        <row r="1781">
          <cell r="B1781">
            <v>333715</v>
          </cell>
          <cell r="C1781" t="str">
            <v>Child</v>
          </cell>
          <cell r="D1781" t="str">
            <v>Loan Repayments from Seychelles</v>
          </cell>
        </row>
        <row r="1782">
          <cell r="B1782">
            <v>333716</v>
          </cell>
          <cell r="C1782" t="str">
            <v>Child</v>
          </cell>
          <cell r="D1782" t="str">
            <v>Loan Repayments from Egypt</v>
          </cell>
        </row>
        <row r="1783">
          <cell r="B1783">
            <v>333791</v>
          </cell>
          <cell r="C1783" t="str">
            <v>Child</v>
          </cell>
          <cell r="D1783" t="str">
            <v>Repayment of Foreign loans and deposits pending allocation  (TDF only)</v>
          </cell>
        </row>
        <row r="1784">
          <cell r="B1784">
            <v>340100</v>
          </cell>
          <cell r="C1784" t="str">
            <v>Parent</v>
          </cell>
          <cell r="D1784" t="str">
            <v>Grants from UAE Government:</v>
          </cell>
        </row>
        <row r="1785">
          <cell r="B1785">
            <v>340110</v>
          </cell>
          <cell r="C1785" t="str">
            <v>Child</v>
          </cell>
          <cell r="D1785" t="str">
            <v>Grants from UAE Government:Current</v>
          </cell>
        </row>
        <row r="1786">
          <cell r="B1786">
            <v>340120</v>
          </cell>
          <cell r="C1786" t="str">
            <v>Child</v>
          </cell>
          <cell r="D1786" t="str">
            <v>Grants from UAE Government:Capital</v>
          </cell>
        </row>
        <row r="1787">
          <cell r="B1787">
            <v>411120</v>
          </cell>
          <cell r="C1787" t="str">
            <v>Parent</v>
          </cell>
          <cell r="D1787" t="str">
            <v>Standard pay:</v>
          </cell>
        </row>
        <row r="1788">
          <cell r="B1788">
            <v>340200</v>
          </cell>
          <cell r="C1788" t="str">
            <v>Parent</v>
          </cell>
          <cell r="D1788" t="str">
            <v>Other grants from General Government Entities:</v>
          </cell>
        </row>
        <row r="1789">
          <cell r="B1789">
            <v>340210</v>
          </cell>
          <cell r="C1789" t="str">
            <v>Child</v>
          </cell>
          <cell r="D1789" t="str">
            <v>Other grants from General Government Entities: Current</v>
          </cell>
        </row>
        <row r="1790">
          <cell r="B1790">
            <v>340220</v>
          </cell>
          <cell r="C1790" t="str">
            <v>Child</v>
          </cell>
          <cell r="D1790" t="str">
            <v>Other grants from General Government Entities: Capital</v>
          </cell>
        </row>
        <row r="1791">
          <cell r="B1791">
            <v>340300</v>
          </cell>
          <cell r="C1791" t="str">
            <v>Parent</v>
          </cell>
          <cell r="D1791" t="str">
            <v>Grants from FederalGovernment Entities</v>
          </cell>
        </row>
        <row r="1792">
          <cell r="B1792">
            <v>340310</v>
          </cell>
          <cell r="C1792" t="str">
            <v>Child</v>
          </cell>
          <cell r="D1792" t="str">
            <v>Grants from FederalGovernment Entities8/30/2024: Current</v>
          </cell>
        </row>
        <row r="1793">
          <cell r="B1793">
            <v>340320</v>
          </cell>
          <cell r="C1793" t="str">
            <v>Child</v>
          </cell>
          <cell r="D1793" t="str">
            <v>Grants from FederalGovernment Entities: Capital</v>
          </cell>
        </row>
        <row r="1794">
          <cell r="B1794">
            <v>340400</v>
          </cell>
          <cell r="C1794" t="str">
            <v>Parent</v>
          </cell>
          <cell r="D1794" t="str">
            <v>Grants, contributions and donations from private sector:</v>
          </cell>
        </row>
        <row r="1795">
          <cell r="B1795">
            <v>340410</v>
          </cell>
          <cell r="C1795" t="str">
            <v>Child</v>
          </cell>
          <cell r="D1795" t="str">
            <v>Grants, contributions and donations from private sector: - Current</v>
          </cell>
        </row>
        <row r="1796">
          <cell r="B1796">
            <v>333717</v>
          </cell>
          <cell r="C1796" t="str">
            <v>Child</v>
          </cell>
          <cell r="D1796" t="str">
            <v>Loan Repayments from Belarus</v>
          </cell>
        </row>
        <row r="1797">
          <cell r="B1797">
            <v>340420</v>
          </cell>
          <cell r="C1797" t="str">
            <v>Child</v>
          </cell>
          <cell r="D1797" t="str">
            <v>Grants, contributions and donations from private sector:Capital</v>
          </cell>
        </row>
        <row r="1798">
          <cell r="B1798">
            <v>340500</v>
          </cell>
          <cell r="C1798" t="str">
            <v>Parent</v>
          </cell>
          <cell r="D1798" t="str">
            <v>Grants from Foreign Governments:</v>
          </cell>
        </row>
        <row r="1799">
          <cell r="B1799">
            <v>340510</v>
          </cell>
          <cell r="C1799" t="str">
            <v>Child</v>
          </cell>
          <cell r="D1799" t="str">
            <v>Grants from Foreign Governments: Current</v>
          </cell>
        </row>
        <row r="1800">
          <cell r="B1800">
            <v>340520</v>
          </cell>
          <cell r="C1800" t="str">
            <v>Child</v>
          </cell>
          <cell r="D1800" t="str">
            <v>Grants from Foreign Governments:Capital</v>
          </cell>
        </row>
        <row r="1801">
          <cell r="B1801">
            <v>340600</v>
          </cell>
          <cell r="C1801" t="str">
            <v>Parent</v>
          </cell>
          <cell r="D1801" t="str">
            <v>Grants from International Organisations:</v>
          </cell>
        </row>
        <row r="1802">
          <cell r="B1802">
            <v>413531</v>
          </cell>
          <cell r="C1802" t="str">
            <v>Child</v>
          </cell>
          <cell r="D1802" t="str">
            <v>Govt contr - Bahrain Pension</v>
          </cell>
        </row>
        <row r="1803">
          <cell r="B1803">
            <v>340610</v>
          </cell>
          <cell r="C1803" t="str">
            <v>Child</v>
          </cell>
          <cell r="D1803" t="str">
            <v>Grants from International Organisations:Current</v>
          </cell>
        </row>
        <row r="1804">
          <cell r="B1804">
            <v>340620</v>
          </cell>
          <cell r="C1804" t="str">
            <v>Child</v>
          </cell>
          <cell r="D1804" t="str">
            <v>Grants from International Organisations:Capital</v>
          </cell>
        </row>
        <row r="1805">
          <cell r="B1805">
            <v>340710</v>
          </cell>
          <cell r="C1805" t="str">
            <v>Child</v>
          </cell>
          <cell r="D1805" t="str">
            <v>Educational Services-Sponsorship Income</v>
          </cell>
        </row>
        <row r="1806">
          <cell r="B1806">
            <v>340720</v>
          </cell>
          <cell r="C1806" t="str">
            <v>Child</v>
          </cell>
          <cell r="D1806" t="str">
            <v>Other Sponsorship income</v>
          </cell>
        </row>
        <row r="1807">
          <cell r="B1807">
            <v>350000</v>
          </cell>
          <cell r="C1807" t="str">
            <v>Parent</v>
          </cell>
          <cell r="D1807" t="str">
            <v>Longterm borrowings and deposits:</v>
          </cell>
        </row>
        <row r="1808">
          <cell r="B1808">
            <v>351000</v>
          </cell>
          <cell r="C1808" t="str">
            <v>Parent</v>
          </cell>
          <cell r="D1808" t="str">
            <v>Bond proceeds:</v>
          </cell>
        </row>
        <row r="1809">
          <cell r="B1809">
            <v>352111</v>
          </cell>
          <cell r="C1809" t="str">
            <v>Child</v>
          </cell>
          <cell r="D1809" t="str">
            <v>FAB loan No. 1 Proceeds</v>
          </cell>
        </row>
        <row r="1810">
          <cell r="B1810">
            <v>352112</v>
          </cell>
          <cell r="C1810" t="str">
            <v>Child</v>
          </cell>
          <cell r="D1810" t="str">
            <v>FAB Loan No. 3 proceeds</v>
          </cell>
        </row>
        <row r="1811">
          <cell r="B1811">
            <v>352151</v>
          </cell>
          <cell r="C1811" t="str">
            <v>Child</v>
          </cell>
          <cell r="D1811" t="str">
            <v>Receipts from FAB Revolving credit facility</v>
          </cell>
        </row>
        <row r="1812">
          <cell r="B1812">
            <v>352211</v>
          </cell>
          <cell r="C1812" t="str">
            <v>Child</v>
          </cell>
          <cell r="D1812" t="str">
            <v>Receipts from ADCB Extendable term loan</v>
          </cell>
        </row>
        <row r="1813">
          <cell r="B1813">
            <v>352351</v>
          </cell>
          <cell r="C1813" t="str">
            <v>Child</v>
          </cell>
          <cell r="D1813" t="str">
            <v>Receipts form ADIB Facility A 2024-26</v>
          </cell>
        </row>
        <row r="1814">
          <cell r="B1814">
            <v>352352</v>
          </cell>
          <cell r="C1814" t="str">
            <v>Child</v>
          </cell>
          <cell r="D1814" t="str">
            <v>Receipts form ADIB Facility B 2024-30</v>
          </cell>
        </row>
        <row r="1815">
          <cell r="B1815">
            <v>352353</v>
          </cell>
          <cell r="C1815" t="str">
            <v>Child</v>
          </cell>
          <cell r="D1815" t="str">
            <v>Receipts form ADIB Facility C 2024-30</v>
          </cell>
        </row>
        <row r="1816">
          <cell r="B1816">
            <v>353000</v>
          </cell>
          <cell r="C1816" t="str">
            <v>Parent</v>
          </cell>
          <cell r="D1816" t="str">
            <v>Deposit receipts from SWFs</v>
          </cell>
        </row>
        <row r="1817">
          <cell r="B1817">
            <v>353011</v>
          </cell>
          <cell r="C1817" t="str">
            <v>Child</v>
          </cell>
          <cell r="D1817" t="str">
            <v>Receipts from ADIA – 5 year deposits</v>
          </cell>
        </row>
        <row r="1818">
          <cell r="B1818">
            <v>353012</v>
          </cell>
          <cell r="C1818" t="str">
            <v>Child</v>
          </cell>
          <cell r="D1818" t="str">
            <v>Receipts from ADIA – 10 year deposits</v>
          </cell>
        </row>
        <row r="1819">
          <cell r="B1819">
            <v>462313</v>
          </cell>
          <cell r="C1819" t="str">
            <v>Child</v>
          </cell>
          <cell r="D1819" t="str">
            <v>Grant - ADNEC</v>
          </cell>
        </row>
        <row r="1820">
          <cell r="B1820">
            <v>353111</v>
          </cell>
          <cell r="C1820" t="str">
            <v>Child</v>
          </cell>
          <cell r="D1820" t="str">
            <v>Receipts from Mubadala – 5 year deposits</v>
          </cell>
        </row>
        <row r="1821">
          <cell r="B1821">
            <v>426717</v>
          </cell>
          <cell r="C1821" t="str">
            <v>Child</v>
          </cell>
          <cell r="D1821" t="str">
            <v>Roads and bridges</v>
          </cell>
        </row>
        <row r="1822">
          <cell r="B1822">
            <v>353112</v>
          </cell>
          <cell r="C1822" t="str">
            <v>Child</v>
          </cell>
          <cell r="D1822" t="str">
            <v>Receipts from Mubadala – 10 year deposits</v>
          </cell>
        </row>
        <row r="1823">
          <cell r="B1823">
            <v>355000</v>
          </cell>
          <cell r="C1823" t="str">
            <v>Parent</v>
          </cell>
          <cell r="D1823" t="str">
            <v>Deposits from SOEs/GREs</v>
          </cell>
        </row>
        <row r="1824">
          <cell r="B1824">
            <v>355110</v>
          </cell>
          <cell r="C1824" t="str">
            <v>Child</v>
          </cell>
          <cell r="D1824" t="str">
            <v>Receipts from ADNOC deposit</v>
          </cell>
        </row>
        <row r="1825">
          <cell r="B1825">
            <v>360100</v>
          </cell>
          <cell r="C1825" t="str">
            <v>Parent</v>
          </cell>
          <cell r="D1825" t="str">
            <v>Social security contributions:</v>
          </cell>
        </row>
        <row r="1826">
          <cell r="B1826">
            <v>360110</v>
          </cell>
          <cell r="C1826" t="str">
            <v>Child</v>
          </cell>
          <cell r="D1826" t="str">
            <v>Employee contributions</v>
          </cell>
        </row>
        <row r="1827">
          <cell r="B1827">
            <v>360120</v>
          </cell>
          <cell r="C1827" t="str">
            <v>Child</v>
          </cell>
          <cell r="D1827" t="str">
            <v>Employer contributions</v>
          </cell>
        </row>
        <row r="1828">
          <cell r="B1828">
            <v>360210</v>
          </cell>
          <cell r="C1828" t="str">
            <v>Child</v>
          </cell>
          <cell r="D1828" t="str">
            <v>Surplus Cash Received from Government Entities</v>
          </cell>
        </row>
        <row r="1829">
          <cell r="B1829">
            <v>411575</v>
          </cell>
          <cell r="C1829" t="str">
            <v>Child</v>
          </cell>
          <cell r="D1829" t="str">
            <v>Shift Allowance</v>
          </cell>
        </row>
        <row r="1830">
          <cell r="B1830">
            <v>360220</v>
          </cell>
          <cell r="C1830" t="str">
            <v>Child</v>
          </cell>
          <cell r="D1830" t="str">
            <v>Surplus cash from Trust accounts received from entities – (TDF only)</v>
          </cell>
        </row>
        <row r="1831">
          <cell r="B1831">
            <v>360310</v>
          </cell>
          <cell r="C1831" t="str">
            <v>Child</v>
          </cell>
          <cell r="D1831" t="str">
            <v>VAT refund from FTA received on behalf group entities</v>
          </cell>
        </row>
        <row r="1832">
          <cell r="B1832">
            <v>360320</v>
          </cell>
          <cell r="C1832" t="str">
            <v>Child</v>
          </cell>
          <cell r="D1832" t="str">
            <v>VAT Refund received from non-group entities</v>
          </cell>
        </row>
        <row r="1833">
          <cell r="B1833">
            <v>360410</v>
          </cell>
          <cell r="C1833" t="str">
            <v>Child</v>
          </cell>
          <cell r="D1833" t="str">
            <v>Gain / (loss) on disposal of financial investments - through P&amp;L</v>
          </cell>
        </row>
        <row r="1834">
          <cell r="B1834">
            <v>360420</v>
          </cell>
          <cell r="C1834" t="str">
            <v>Child</v>
          </cell>
          <cell r="D1834" t="str">
            <v>Holding Gain/(Loss) on Financial Investments - through P&amp;L</v>
          </cell>
        </row>
        <row r="1835">
          <cell r="B1835">
            <v>360430</v>
          </cell>
          <cell r="C1835" t="str">
            <v>Child</v>
          </cell>
          <cell r="D1835" t="str">
            <v>Realised gain / (loss) on available for sale financial investments</v>
          </cell>
        </row>
        <row r="1836">
          <cell r="B1836">
            <v>360510</v>
          </cell>
          <cell r="C1836" t="str">
            <v>Child</v>
          </cell>
          <cell r="D1836" t="str">
            <v> Share of profit (excluding dividends) of JVs using the equity method</v>
          </cell>
        </row>
        <row r="1837">
          <cell r="B1837">
            <v>360600</v>
          </cell>
          <cell r="C1837" t="str">
            <v>Parent</v>
          </cell>
          <cell r="D1837" t="str">
            <v>Gain/loss on foreign currency translation:</v>
          </cell>
        </row>
        <row r="1838">
          <cell r="B1838">
            <v>360610</v>
          </cell>
          <cell r="C1838" t="str">
            <v>Child</v>
          </cell>
          <cell r="D1838" t="str">
            <v>FX translation gain(loss)-Balances</v>
          </cell>
        </row>
        <row r="1839">
          <cell r="B1839">
            <v>360620</v>
          </cell>
          <cell r="C1839" t="str">
            <v>Child</v>
          </cell>
          <cell r="D1839" t="str">
            <v>FX translation gain(loss)-Transactions</v>
          </cell>
        </row>
        <row r="1840">
          <cell r="B1840">
            <v>360710</v>
          </cell>
          <cell r="C1840" t="str">
            <v>Child</v>
          </cell>
          <cell r="D1840" t="str">
            <v>Refund of Current Year Expenditure</v>
          </cell>
        </row>
        <row r="1841">
          <cell r="B1841">
            <v>360720</v>
          </cell>
          <cell r="C1841" t="str">
            <v>Child</v>
          </cell>
          <cell r="D1841" t="str">
            <v>Refund of prior year expenditure</v>
          </cell>
        </row>
        <row r="1842">
          <cell r="B1842">
            <v>360911</v>
          </cell>
          <cell r="C1842" t="str">
            <v>Child</v>
          </cell>
          <cell r="D1842" t="str">
            <v>Miscellaneous receipts from students which are not mentioned elsewhere</v>
          </cell>
        </row>
        <row r="1843">
          <cell r="B1843">
            <v>360912</v>
          </cell>
          <cell r="C1843" t="str">
            <v>Child</v>
          </cell>
          <cell r="D1843" t="str">
            <v>Contract retention deposits</v>
          </cell>
        </row>
        <row r="1844">
          <cell r="B1844">
            <v>399510</v>
          </cell>
          <cell r="C1844" t="str">
            <v>Child</v>
          </cell>
          <cell r="D1844" t="str">
            <v>Deficit Finance funding  received from Reserve Fund -GRF</v>
          </cell>
        </row>
        <row r="1845">
          <cell r="B1845">
            <v>399520</v>
          </cell>
          <cell r="C1845" t="str">
            <v>Child</v>
          </cell>
          <cell r="D1845" t="str">
            <v>Deficit Finance funding  received from Reserve Fund -CTL</v>
          </cell>
        </row>
        <row r="1846">
          <cell r="B1846">
            <v>399999</v>
          </cell>
          <cell r="C1846" t="str">
            <v>Child</v>
          </cell>
          <cell r="D1846" t="str">
            <v>Adjustments - prior years revenue</v>
          </cell>
        </row>
        <row r="1847">
          <cell r="B1847">
            <v>400000</v>
          </cell>
          <cell r="C1847" t="str">
            <v>Parent</v>
          </cell>
          <cell r="D1847" t="str">
            <v>EXPENDITURE:</v>
          </cell>
        </row>
        <row r="1848">
          <cell r="B1848">
            <v>401010</v>
          </cell>
          <cell r="C1848" t="str">
            <v>Child</v>
          </cell>
          <cell r="D1848" t="str">
            <v>Common Account for Ghadan 21 (For TDF use only)</v>
          </cell>
        </row>
        <row r="1849">
          <cell r="B1849">
            <v>401020</v>
          </cell>
          <cell r="C1849" t="str">
            <v>Child</v>
          </cell>
          <cell r="D1849" t="str">
            <v>Common Account for Strategic Initiatives (For TDF use only)</v>
          </cell>
        </row>
        <row r="1850">
          <cell r="B1850">
            <v>410000</v>
          </cell>
          <cell r="C1850" t="str">
            <v>Parent</v>
          </cell>
          <cell r="D1850" t="str">
            <v>PERSONNEL COSTS:</v>
          </cell>
        </row>
        <row r="1851">
          <cell r="B1851">
            <v>410010</v>
          </cell>
          <cell r="C1851" t="str">
            <v>Child</v>
          </cell>
          <cell r="D1851" t="str">
            <v>Consolidated Personnel Expenditure (For TDF use only)</v>
          </cell>
        </row>
        <row r="1852">
          <cell r="B1852">
            <v>410011</v>
          </cell>
          <cell r="C1852" t="str">
            <v>Child</v>
          </cell>
          <cell r="D1852" t="str">
            <v>Consolidated Personnel Expenditure (For Self Ledgers use only)</v>
          </cell>
        </row>
        <row r="1853">
          <cell r="B1853">
            <v>411000</v>
          </cell>
          <cell r="C1853" t="str">
            <v>Parent</v>
          </cell>
          <cell r="D1853" t="str">
            <v>Salaries, wages and allowances - Regular Employees</v>
          </cell>
        </row>
        <row r="1854">
          <cell r="B1854">
            <v>411100</v>
          </cell>
          <cell r="C1854" t="str">
            <v>Parent</v>
          </cell>
          <cell r="D1854" t="str">
            <v>Salaries and Wages - regular employees</v>
          </cell>
        </row>
        <row r="1855">
          <cell r="B1855">
            <v>411111</v>
          </cell>
          <cell r="C1855" t="str">
            <v>Child</v>
          </cell>
          <cell r="D1855" t="str">
            <v>Consolidated pay - Regular employees(combined salaries and allowances)</v>
          </cell>
        </row>
        <row r="1856">
          <cell r="B1856">
            <v>411121</v>
          </cell>
          <cell r="C1856" t="str">
            <v>Child</v>
          </cell>
          <cell r="D1856" t="str">
            <v>Basic salary - Regular employees</v>
          </cell>
        </row>
        <row r="1857">
          <cell r="B1857">
            <v>411122</v>
          </cell>
          <cell r="C1857" t="str">
            <v>Child</v>
          </cell>
          <cell r="D1857" t="str">
            <v>Union pay</v>
          </cell>
        </row>
        <row r="1858">
          <cell r="B1858">
            <v>411123</v>
          </cell>
          <cell r="C1858" t="str">
            <v>Child</v>
          </cell>
          <cell r="D1858" t="str">
            <v>Nationality allowance - Regular situation</v>
          </cell>
        </row>
        <row r="1859">
          <cell r="B1859">
            <v>411124</v>
          </cell>
          <cell r="C1859" t="str">
            <v>Child</v>
          </cell>
          <cell r="D1859" t="str">
            <v>Nationality allowance - Exceptional situation</v>
          </cell>
        </row>
        <row r="1860">
          <cell r="B1860">
            <v>411125</v>
          </cell>
          <cell r="C1860" t="str">
            <v>Child</v>
          </cell>
          <cell r="D1860" t="str">
            <v>Cost of living adjustment pay (COLA)</v>
          </cell>
        </row>
        <row r="1861">
          <cell r="B1861">
            <v>411126</v>
          </cell>
          <cell r="C1861" t="str">
            <v>Child</v>
          </cell>
          <cell r="D1861" t="str">
            <v>Etihad Allowance</v>
          </cell>
        </row>
        <row r="1862">
          <cell r="B1862">
            <v>411150</v>
          </cell>
          <cell r="C1862" t="str">
            <v>Parent</v>
          </cell>
          <cell r="D1862" t="str">
            <v>Special pay:</v>
          </cell>
        </row>
        <row r="1863">
          <cell r="B1863">
            <v>422131</v>
          </cell>
          <cell r="C1863" t="str">
            <v>Child</v>
          </cell>
          <cell r="D1863" t="str">
            <v>Plant operations</v>
          </cell>
        </row>
        <row r="1864">
          <cell r="B1864">
            <v>411151</v>
          </cell>
          <cell r="C1864" t="str">
            <v>Child</v>
          </cell>
          <cell r="D1864" t="str">
            <v>Committee pay / Board Member/Board of Trustees fee</v>
          </cell>
        </row>
        <row r="1865">
          <cell r="B1865">
            <v>411152</v>
          </cell>
          <cell r="C1865" t="str">
            <v>Child</v>
          </cell>
          <cell r="D1865" t="str">
            <v>Regular trainee's pay</v>
          </cell>
        </row>
        <row r="1866">
          <cell r="B1866">
            <v>411161</v>
          </cell>
          <cell r="C1866" t="str">
            <v>Child</v>
          </cell>
          <cell r="D1866" t="str">
            <v>Acting pay</v>
          </cell>
        </row>
        <row r="1867">
          <cell r="B1867">
            <v>411162</v>
          </cell>
          <cell r="C1867" t="str">
            <v>Child</v>
          </cell>
          <cell r="D1867" t="str">
            <v>Bonus and exgratia payments</v>
          </cell>
        </row>
        <row r="1868">
          <cell r="B1868">
            <v>411163</v>
          </cell>
          <cell r="C1868" t="str">
            <v>Child</v>
          </cell>
          <cell r="D1868" t="str">
            <v>Emergency assignment pay</v>
          </cell>
        </row>
        <row r="1869">
          <cell r="B1869">
            <v>411164</v>
          </cell>
          <cell r="C1869" t="str">
            <v>Child</v>
          </cell>
          <cell r="D1869" t="str">
            <v>Overtime pay</v>
          </cell>
        </row>
        <row r="1870">
          <cell r="B1870">
            <v>411165</v>
          </cell>
          <cell r="C1870" t="str">
            <v>Child</v>
          </cell>
          <cell r="D1870" t="str">
            <v>Part time trainee's pay</v>
          </cell>
        </row>
        <row r="1871">
          <cell r="B1871">
            <v>411166</v>
          </cell>
          <cell r="C1871" t="str">
            <v>Child</v>
          </cell>
          <cell r="D1871" t="str">
            <v>Severance pay (contractual)</v>
          </cell>
        </row>
        <row r="1872">
          <cell r="B1872">
            <v>411168</v>
          </cell>
          <cell r="C1872" t="str">
            <v>Child</v>
          </cell>
          <cell r="D1872" t="str">
            <v>Year of Zayed 2018 Bonus payments</v>
          </cell>
        </row>
        <row r="1873">
          <cell r="B1873">
            <v>411180</v>
          </cell>
          <cell r="C1873" t="str">
            <v>Parent</v>
          </cell>
          <cell r="D1873" t="str">
            <v>Leave pay:</v>
          </cell>
        </row>
        <row r="1874">
          <cell r="B1874">
            <v>411181</v>
          </cell>
          <cell r="C1874" t="str">
            <v>Child</v>
          </cell>
          <cell r="D1874" t="str">
            <v>Vacation pay (including cash in lieu payment)</v>
          </cell>
        </row>
        <row r="1875">
          <cell r="B1875">
            <v>411500</v>
          </cell>
          <cell r="C1875" t="str">
            <v>Parent</v>
          </cell>
          <cell r="D1875" t="str">
            <v>Regular Allowances - Regular employees</v>
          </cell>
        </row>
        <row r="1876">
          <cell r="B1876">
            <v>411510</v>
          </cell>
          <cell r="C1876" t="str">
            <v>Parent</v>
          </cell>
          <cell r="D1876" t="str">
            <v>Standard allowances:Regular employees</v>
          </cell>
        </row>
        <row r="1877">
          <cell r="B1877">
            <v>411511</v>
          </cell>
          <cell r="C1877" t="str">
            <v>Child</v>
          </cell>
          <cell r="D1877" t="str">
            <v>Consolidated allowances: Emirati employees</v>
          </cell>
        </row>
        <row r="1878">
          <cell r="B1878">
            <v>411512</v>
          </cell>
          <cell r="C1878" t="str">
            <v>Child</v>
          </cell>
          <cell r="D1878" t="str">
            <v>Consolidated allowances: Expatriate employees</v>
          </cell>
        </row>
        <row r="1879">
          <cell r="B1879">
            <v>411513</v>
          </cell>
          <cell r="C1879" t="str">
            <v>Child</v>
          </cell>
          <cell r="D1879" t="str">
            <v>Taskeen Allowance</v>
          </cell>
        </row>
        <row r="1880">
          <cell r="B1880">
            <v>411515</v>
          </cell>
          <cell r="C1880" t="str">
            <v>Child</v>
          </cell>
          <cell r="D1880" t="str">
            <v>Consolidated allowances: Emirati / Expatriate employees</v>
          </cell>
        </row>
        <row r="1881">
          <cell r="B1881">
            <v>411519</v>
          </cell>
          <cell r="C1881" t="str">
            <v>Child</v>
          </cell>
          <cell r="D1881" t="str">
            <v>Combined Allowances for transferred employees pending regularisation</v>
          </cell>
        </row>
        <row r="1882">
          <cell r="B1882">
            <v>411550</v>
          </cell>
          <cell r="C1882" t="str">
            <v>Parent</v>
          </cell>
          <cell r="D1882" t="str">
            <v>Special allowances: Regular employees</v>
          </cell>
        </row>
        <row r="1883">
          <cell r="B1883">
            <v>411551</v>
          </cell>
          <cell r="C1883" t="str">
            <v>Child</v>
          </cell>
          <cell r="D1883" t="str">
            <v>Administration allowance (including Mansab)</v>
          </cell>
        </row>
        <row r="1884">
          <cell r="B1884">
            <v>411552</v>
          </cell>
          <cell r="C1884" t="str">
            <v>Child</v>
          </cell>
          <cell r="D1884" t="str">
            <v>Car allowance</v>
          </cell>
        </row>
        <row r="1885">
          <cell r="B1885">
            <v>411553</v>
          </cell>
          <cell r="C1885" t="str">
            <v>Child</v>
          </cell>
          <cell r="D1885" t="str">
            <v>Child allowance</v>
          </cell>
        </row>
        <row r="1886">
          <cell r="B1886">
            <v>411555</v>
          </cell>
          <cell r="C1886" t="str">
            <v>Child</v>
          </cell>
          <cell r="D1886" t="str">
            <v>Foreign posting allowance (Diplomatic allowance)</v>
          </cell>
        </row>
        <row r="1887">
          <cell r="B1887">
            <v>411557</v>
          </cell>
          <cell r="C1887" t="str">
            <v>Child</v>
          </cell>
          <cell r="D1887" t="str">
            <v>Incentive allowance - Regular</v>
          </cell>
        </row>
        <row r="1888">
          <cell r="B1888">
            <v>411558</v>
          </cell>
          <cell r="C1888" t="str">
            <v>Child</v>
          </cell>
          <cell r="D1888" t="str">
            <v>Incentive allowance - Special</v>
          </cell>
        </row>
        <row r="1889">
          <cell r="B1889">
            <v>411559</v>
          </cell>
          <cell r="C1889" t="str">
            <v>Child</v>
          </cell>
          <cell r="D1889" t="str">
            <v>Incentive grant</v>
          </cell>
        </row>
        <row r="1890">
          <cell r="B1890">
            <v>411560</v>
          </cell>
          <cell r="C1890" t="str">
            <v>Child</v>
          </cell>
          <cell r="D1890" t="str">
            <v>Remote area posting allowance</v>
          </cell>
        </row>
        <row r="1891">
          <cell r="B1891">
            <v>411561</v>
          </cell>
          <cell r="C1891" t="str">
            <v>Child</v>
          </cell>
          <cell r="D1891" t="str">
            <v>Representation allowance</v>
          </cell>
        </row>
        <row r="1892">
          <cell r="B1892">
            <v>411562</v>
          </cell>
          <cell r="C1892" t="str">
            <v>Child</v>
          </cell>
          <cell r="D1892" t="str">
            <v>Risk allowance or danger pay</v>
          </cell>
        </row>
        <row r="1893">
          <cell r="B1893">
            <v>411563</v>
          </cell>
          <cell r="C1893" t="str">
            <v>Child</v>
          </cell>
          <cell r="D1893" t="str">
            <v>School fee reimbursements</v>
          </cell>
        </row>
        <row r="1894">
          <cell r="B1894">
            <v>411564</v>
          </cell>
          <cell r="C1894" t="str">
            <v>Child</v>
          </cell>
          <cell r="D1894" t="str">
            <v>Service allowance (includes haircutting, uniform upkeep)</v>
          </cell>
        </row>
        <row r="1895">
          <cell r="B1895">
            <v>411565</v>
          </cell>
          <cell r="C1895" t="str">
            <v>Child</v>
          </cell>
          <cell r="D1895" t="str">
            <v>Specialised nature of work allowance</v>
          </cell>
        </row>
        <row r="1896">
          <cell r="B1896">
            <v>411566</v>
          </cell>
          <cell r="C1896" t="str">
            <v>Child</v>
          </cell>
          <cell r="D1896" t="str">
            <v>Specialist allowance</v>
          </cell>
        </row>
        <row r="1897">
          <cell r="B1897">
            <v>411568</v>
          </cell>
          <cell r="C1897" t="str">
            <v>Child</v>
          </cell>
          <cell r="D1897" t="str">
            <v>Telephone allowance</v>
          </cell>
        </row>
        <row r="1898">
          <cell r="B1898">
            <v>411569</v>
          </cell>
          <cell r="C1898" t="str">
            <v>Child</v>
          </cell>
          <cell r="D1898" t="str">
            <v>Other allowances (miscellaneous)</v>
          </cell>
        </row>
        <row r="1899">
          <cell r="B1899">
            <v>411570</v>
          </cell>
          <cell r="C1899" t="str">
            <v>Child</v>
          </cell>
          <cell r="D1899" t="str">
            <v>Mawaqif parking chgs relief allwce</v>
          </cell>
        </row>
        <row r="1900">
          <cell r="B1900">
            <v>411571</v>
          </cell>
          <cell r="C1900" t="str">
            <v>Child</v>
          </cell>
          <cell r="D1900" t="str">
            <v>Social allowance</v>
          </cell>
        </row>
        <row r="1901">
          <cell r="B1901">
            <v>411572</v>
          </cell>
          <cell r="C1901" t="str">
            <v>Child</v>
          </cell>
          <cell r="D1901" t="str">
            <v>Recreation allowance</v>
          </cell>
        </row>
        <row r="1902">
          <cell r="B1902">
            <v>411573</v>
          </cell>
          <cell r="C1902" t="str">
            <v>Child</v>
          </cell>
          <cell r="D1902" t="str">
            <v>Travel allowance</v>
          </cell>
        </row>
        <row r="1903">
          <cell r="B1903">
            <v>411574</v>
          </cell>
          <cell r="C1903" t="str">
            <v>Child</v>
          </cell>
          <cell r="D1903" t="str">
            <v>Airline Crew Special Allowance</v>
          </cell>
        </row>
        <row r="1904">
          <cell r="B1904">
            <v>411576</v>
          </cell>
          <cell r="C1904" t="str">
            <v>Child</v>
          </cell>
          <cell r="D1904" t="str">
            <v>Higher Qualification Allowance</v>
          </cell>
        </row>
        <row r="1905">
          <cell r="B1905">
            <v>411577</v>
          </cell>
          <cell r="C1905" t="str">
            <v>Child</v>
          </cell>
          <cell r="D1905" t="str">
            <v>Excellence / Performance Allowance</v>
          </cell>
        </row>
        <row r="1906">
          <cell r="B1906">
            <v>411650</v>
          </cell>
          <cell r="C1906" t="str">
            <v>Parent</v>
          </cell>
          <cell r="D1906" t="str">
            <v>Occassional allowances:</v>
          </cell>
        </row>
        <row r="1907">
          <cell r="B1907">
            <v>411651</v>
          </cell>
          <cell r="C1907" t="str">
            <v>Child</v>
          </cell>
          <cell r="D1907" t="str">
            <v>Furniture grant</v>
          </cell>
        </row>
        <row r="1908">
          <cell r="B1908">
            <v>411652</v>
          </cell>
          <cell r="C1908" t="str">
            <v>Child</v>
          </cell>
          <cell r="D1908" t="str">
            <v>Furniture maintenance allowance</v>
          </cell>
        </row>
        <row r="1909">
          <cell r="B1909">
            <v>411653</v>
          </cell>
          <cell r="C1909" t="str">
            <v>Child</v>
          </cell>
          <cell r="D1909" t="str">
            <v>Motor Vehicle Purchase Grant</v>
          </cell>
        </row>
        <row r="1910">
          <cell r="B1910">
            <v>411654</v>
          </cell>
          <cell r="C1910" t="str">
            <v>Child</v>
          </cell>
          <cell r="D1910" t="str">
            <v>Rounding up cost of net pay</v>
          </cell>
        </row>
        <row r="1911">
          <cell r="B1911">
            <v>412000</v>
          </cell>
          <cell r="C1911" t="str">
            <v>Parent</v>
          </cell>
          <cell r="D1911" t="str">
            <v>Salaries and Wages - Other than regular employees</v>
          </cell>
        </row>
        <row r="1912">
          <cell r="B1912">
            <v>412100</v>
          </cell>
          <cell r="C1912" t="str">
            <v>Parent</v>
          </cell>
          <cell r="D1912" t="str">
            <v>Salaries, wages and other pay - Daily rated and casual employees</v>
          </cell>
        </row>
        <row r="1913">
          <cell r="B1913">
            <v>426423</v>
          </cell>
          <cell r="C1913" t="str">
            <v>Child</v>
          </cell>
          <cell r="D1913" t="str">
            <v>Slaughterhouse equipment</v>
          </cell>
        </row>
        <row r="1914">
          <cell r="B1914">
            <v>412111</v>
          </cell>
          <cell r="C1914" t="str">
            <v>Child</v>
          </cell>
          <cell r="D1914" t="str">
            <v>Consolidated pay - Daily-rated personnel and casual employees</v>
          </cell>
        </row>
        <row r="1915">
          <cell r="B1915">
            <v>412120</v>
          </cell>
          <cell r="C1915" t="str">
            <v>Parent</v>
          </cell>
          <cell r="D1915" t="str">
            <v>Standard pay  - Daily rated and casual employees</v>
          </cell>
        </row>
        <row r="1916">
          <cell r="B1916">
            <v>412121</v>
          </cell>
          <cell r="C1916" t="str">
            <v>Child</v>
          </cell>
          <cell r="D1916" t="str">
            <v>Basic salary - Daily-rated personnel and casual employees</v>
          </cell>
        </row>
        <row r="1917">
          <cell r="B1917">
            <v>412300</v>
          </cell>
          <cell r="C1917" t="str">
            <v>Parent</v>
          </cell>
          <cell r="D1917" t="str">
            <v>Cost of Seconded employees:</v>
          </cell>
        </row>
        <row r="1918">
          <cell r="B1918">
            <v>412310</v>
          </cell>
          <cell r="C1918" t="str">
            <v>Child</v>
          </cell>
          <cell r="D1918" t="str">
            <v>Consolidated pay - Seconded employees (salary and allowances combined)</v>
          </cell>
        </row>
        <row r="1919">
          <cell r="B1919">
            <v>412320</v>
          </cell>
          <cell r="C1919" t="str">
            <v>Child</v>
          </cell>
          <cell r="D1919" t="str">
            <v>Basic salary - Seconded employees</v>
          </cell>
        </row>
        <row r="1920">
          <cell r="B1920">
            <v>412330</v>
          </cell>
          <cell r="C1920" t="str">
            <v>Child</v>
          </cell>
          <cell r="D1920" t="str">
            <v>Allowances - Seconded employees</v>
          </cell>
        </row>
        <row r="1921">
          <cell r="B1921">
            <v>412410</v>
          </cell>
          <cell r="C1921" t="str">
            <v>Child</v>
          </cell>
          <cell r="D1921" t="str">
            <v>Consolidated Pay/Reward to Military pensioners</v>
          </cell>
        </row>
        <row r="1922">
          <cell r="B1922">
            <v>412420</v>
          </cell>
          <cell r="C1922" t="str">
            <v>Child</v>
          </cell>
          <cell r="D1922" t="str">
            <v>Lumpsum Monthly Stipend for Retired &amp; Terminated Employees</v>
          </cell>
        </row>
        <row r="1923">
          <cell r="B1923">
            <v>412510</v>
          </cell>
          <cell r="C1923" t="str">
            <v>Child</v>
          </cell>
          <cell r="D1923" t="str">
            <v>Stipend – Graduate Trainees</v>
          </cell>
        </row>
        <row r="1924">
          <cell r="B1924">
            <v>412600</v>
          </cell>
          <cell r="C1924" t="str">
            <v>Parent</v>
          </cell>
          <cell r="D1924" t="str">
            <v>Cost of Outsourced Employees</v>
          </cell>
        </row>
        <row r="1925">
          <cell r="B1925">
            <v>412611</v>
          </cell>
          <cell r="C1925" t="str">
            <v>Child</v>
          </cell>
          <cell r="D1925" t="str">
            <v>Consolidated cost of outsourced Resources</v>
          </cell>
        </row>
        <row r="1926">
          <cell r="B1926">
            <v>412621</v>
          </cell>
          <cell r="C1926" t="str">
            <v>Child</v>
          </cell>
          <cell r="D1926" t="str">
            <v>IT Manpower supply-Software Development resources</v>
          </cell>
        </row>
        <row r="1927">
          <cell r="B1927">
            <v>412622</v>
          </cell>
          <cell r="C1927" t="str">
            <v>Child</v>
          </cell>
          <cell r="D1927" t="str">
            <v>IT Manpower supply-Project Management resources</v>
          </cell>
        </row>
        <row r="1928">
          <cell r="B1928">
            <v>412623</v>
          </cell>
          <cell r="C1928" t="str">
            <v>Child</v>
          </cell>
          <cell r="D1928" t="str">
            <v>IT Manpower supply-Database specialized resources</v>
          </cell>
        </row>
        <row r="1929">
          <cell r="B1929">
            <v>412624</v>
          </cell>
          <cell r="C1929" t="str">
            <v>Child</v>
          </cell>
          <cell r="D1929" t="str">
            <v>IT Manpower supply-Network specialized resources</v>
          </cell>
        </row>
        <row r="1930">
          <cell r="B1930">
            <v>412625</v>
          </cell>
          <cell r="C1930" t="str">
            <v>Child</v>
          </cell>
          <cell r="D1930" t="str">
            <v>IT Manpower supply-Security specialized resources</v>
          </cell>
        </row>
        <row r="1931">
          <cell r="B1931">
            <v>412627</v>
          </cell>
          <cell r="C1931" t="str">
            <v>Child</v>
          </cell>
          <cell r="D1931" t="str">
            <v>IT Manpower supply-ICT Specialized resources</v>
          </cell>
        </row>
        <row r="1932">
          <cell r="B1932">
            <v>412628</v>
          </cell>
          <cell r="C1932" t="str">
            <v>Child</v>
          </cell>
          <cell r="D1932" t="str">
            <v>IT Manpower supply-IT Support resources</v>
          </cell>
        </row>
        <row r="1933">
          <cell r="B1933">
            <v>412629</v>
          </cell>
          <cell r="C1933" t="str">
            <v>Child</v>
          </cell>
          <cell r="D1933" t="str">
            <v>IT Manpower supply-IT Analysis resources</v>
          </cell>
        </row>
        <row r="1934">
          <cell r="B1934">
            <v>413000</v>
          </cell>
          <cell r="C1934" t="str">
            <v>Parent</v>
          </cell>
          <cell r="D1934" t="str">
            <v>END-OF-SERVICE  BENEFITS:</v>
          </cell>
        </row>
        <row r="1935">
          <cell r="B1935">
            <v>413100</v>
          </cell>
          <cell r="C1935" t="str">
            <v>Parent</v>
          </cell>
          <cell r="D1935" t="str">
            <v>Gratuity:</v>
          </cell>
        </row>
        <row r="1936">
          <cell r="B1936">
            <v>413110</v>
          </cell>
          <cell r="C1936" t="str">
            <v>Child</v>
          </cell>
          <cell r="D1936" t="str">
            <v>Gratuity - Pensionable employees</v>
          </cell>
        </row>
        <row r="1937">
          <cell r="B1937">
            <v>413120</v>
          </cell>
          <cell r="C1937" t="str">
            <v>Child</v>
          </cell>
          <cell r="D1937" t="str">
            <v>Gratuity - Non-pensionable employees</v>
          </cell>
        </row>
        <row r="1938">
          <cell r="B1938">
            <v>413200</v>
          </cell>
          <cell r="C1938" t="str">
            <v>Parent</v>
          </cell>
          <cell r="D1938" t="str">
            <v>Pension payments processed through Government  pension payroll</v>
          </cell>
        </row>
        <row r="1939">
          <cell r="B1939">
            <v>413210</v>
          </cell>
          <cell r="C1939" t="str">
            <v>Child</v>
          </cell>
          <cell r="D1939" t="str">
            <v>Monthly pension payment to pensioners</v>
          </cell>
        </row>
        <row r="1940">
          <cell r="B1940">
            <v>413220</v>
          </cell>
          <cell r="C1940" t="str">
            <v>Child</v>
          </cell>
          <cell r="D1940" t="str">
            <v>Compensation payments to pensioners</v>
          </cell>
        </row>
        <row r="1941">
          <cell r="B1941">
            <v>413300</v>
          </cell>
          <cell r="C1941" t="str">
            <v>Parent</v>
          </cell>
          <cell r="D1941" t="str">
            <v>Compensation payment upon death or injury:</v>
          </cell>
        </row>
        <row r="1942">
          <cell r="B1942">
            <v>413310</v>
          </cell>
          <cell r="C1942" t="str">
            <v>Child</v>
          </cell>
          <cell r="D1942" t="str">
            <v>Death compensation</v>
          </cell>
        </row>
        <row r="1943">
          <cell r="B1943">
            <v>413320</v>
          </cell>
          <cell r="C1943" t="str">
            <v>Child</v>
          </cell>
          <cell r="D1943" t="str">
            <v>Injury compensation</v>
          </cell>
        </row>
        <row r="1944">
          <cell r="B1944">
            <v>413410</v>
          </cell>
          <cell r="C1944" t="str">
            <v>Child</v>
          </cell>
          <cell r="D1944" t="str">
            <v>One Time payment of  Long Service Award</v>
          </cell>
        </row>
        <row r="1945">
          <cell r="B1945">
            <v>413420</v>
          </cell>
          <cell r="C1945" t="str">
            <v>Child</v>
          </cell>
          <cell r="D1945" t="str">
            <v>Severance Pay - As per terms of employment</v>
          </cell>
        </row>
        <row r="1946">
          <cell r="B1946">
            <v>413500</v>
          </cell>
          <cell r="C1946" t="str">
            <v>Parent</v>
          </cell>
          <cell r="D1946" t="str">
            <v>Employer's pension contributions:</v>
          </cell>
        </row>
        <row r="1947">
          <cell r="B1947">
            <v>413511</v>
          </cell>
          <cell r="C1947" t="str">
            <v>Child</v>
          </cell>
          <cell r="D1947" t="str">
            <v>Govt contribution to  Abu Dhabi Pension Fund</v>
          </cell>
        </row>
        <row r="1948">
          <cell r="B1948">
            <v>413512</v>
          </cell>
          <cell r="C1948" t="str">
            <v>Child</v>
          </cell>
          <cell r="D1948" t="str">
            <v>Govt contribution to  UAE Pension Fund</v>
          </cell>
        </row>
        <row r="1949">
          <cell r="B1949">
            <v>413513</v>
          </cell>
          <cell r="C1949" t="str">
            <v>Child</v>
          </cell>
          <cell r="D1949" t="str">
            <v>Govt Support towards Exceptional Pension Costs</v>
          </cell>
        </row>
        <row r="1950">
          <cell r="B1950">
            <v>413530</v>
          </cell>
          <cell r="C1950" t="str">
            <v>Parent</v>
          </cell>
          <cell r="D1950" t="str">
            <v>Employers pension contribution to GCC pension funds</v>
          </cell>
        </row>
        <row r="1951">
          <cell r="B1951">
            <v>413532</v>
          </cell>
          <cell r="C1951" t="str">
            <v>Child</v>
          </cell>
          <cell r="D1951" t="str">
            <v>Govt contr - Saudi Pension</v>
          </cell>
        </row>
        <row r="1952">
          <cell r="B1952">
            <v>413533</v>
          </cell>
          <cell r="C1952" t="str">
            <v>Child</v>
          </cell>
          <cell r="D1952" t="str">
            <v>Govt contr - Qatar Pension</v>
          </cell>
        </row>
        <row r="1953">
          <cell r="B1953">
            <v>413534</v>
          </cell>
          <cell r="C1953" t="str">
            <v>Child</v>
          </cell>
          <cell r="D1953" t="str">
            <v>Govt contr - Kuwait Pension</v>
          </cell>
        </row>
        <row r="1954">
          <cell r="B1954">
            <v>413535</v>
          </cell>
          <cell r="C1954" t="str">
            <v>Child</v>
          </cell>
          <cell r="D1954" t="str">
            <v>Govt contr - Oman Pension</v>
          </cell>
        </row>
        <row r="1955">
          <cell r="B1955">
            <v>413601</v>
          </cell>
          <cell r="C1955" t="str">
            <v>Parent</v>
          </cell>
          <cell r="D1955" t="str">
            <v>Employee Recruitment costs:</v>
          </cell>
        </row>
        <row r="1956">
          <cell r="B1956">
            <v>413620</v>
          </cell>
          <cell r="C1956" t="str">
            <v>Child</v>
          </cell>
          <cell r="D1956" t="str">
            <v>UAE visa requirement costs</v>
          </cell>
        </row>
        <row r="1957">
          <cell r="B1957">
            <v>413630</v>
          </cell>
          <cell r="C1957" t="str">
            <v>Child</v>
          </cell>
          <cell r="D1957" t="str">
            <v>Relocation expenses</v>
          </cell>
        </row>
        <row r="1958">
          <cell r="B1958">
            <v>413640</v>
          </cell>
          <cell r="C1958" t="str">
            <v>Child</v>
          </cell>
          <cell r="D1958" t="str">
            <v>Signing Bonus</v>
          </cell>
        </row>
        <row r="1959">
          <cell r="B1959">
            <v>413700</v>
          </cell>
          <cell r="C1959" t="str">
            <v>Parent</v>
          </cell>
          <cell r="D1959" t="str">
            <v>Employee training costs:</v>
          </cell>
        </row>
        <row r="1960">
          <cell r="B1960">
            <v>413710</v>
          </cell>
          <cell r="C1960" t="str">
            <v>Child</v>
          </cell>
          <cell r="D1960" t="str">
            <v>Tuition fees "Other Than IT Related"</v>
          </cell>
        </row>
        <row r="1961">
          <cell r="B1961">
            <v>422600</v>
          </cell>
          <cell r="C1961" t="str">
            <v>Parent</v>
          </cell>
          <cell r="D1961" t="str">
            <v>Education Services:</v>
          </cell>
        </row>
        <row r="1962">
          <cell r="B1962">
            <v>413720</v>
          </cell>
          <cell r="C1962" t="str">
            <v>Child</v>
          </cell>
          <cell r="D1962" t="str">
            <v>Employee Training costs - Travel and Accommodation - Per Diem</v>
          </cell>
        </row>
        <row r="1963">
          <cell r="B1963">
            <v>413800</v>
          </cell>
          <cell r="C1963" t="str">
            <v>Parent</v>
          </cell>
          <cell r="D1963" t="str">
            <v>Skill development costs:</v>
          </cell>
        </row>
        <row r="1964">
          <cell r="B1964">
            <v>413810</v>
          </cell>
          <cell r="C1964" t="str">
            <v>Child</v>
          </cell>
          <cell r="D1964" t="str">
            <v>Incentive pay for higher education</v>
          </cell>
        </row>
        <row r="1965">
          <cell r="B1965">
            <v>413820</v>
          </cell>
          <cell r="C1965" t="str">
            <v>Child</v>
          </cell>
          <cell r="D1965" t="str">
            <v>Leadership training and development programme</v>
          </cell>
        </row>
        <row r="1966">
          <cell r="B1966">
            <v>413830</v>
          </cell>
          <cell r="C1966" t="str">
            <v>Child</v>
          </cell>
          <cell r="D1966" t="str">
            <v>Other  expenses related to employee skill development</v>
          </cell>
        </row>
        <row r="1967">
          <cell r="B1967">
            <v>413900</v>
          </cell>
          <cell r="C1967" t="str">
            <v>Parent</v>
          </cell>
          <cell r="D1967" t="str">
            <v>Other personnel costs:</v>
          </cell>
        </row>
        <row r="1968">
          <cell r="B1968">
            <v>413910</v>
          </cell>
          <cell r="C1968" t="str">
            <v>Child</v>
          </cell>
          <cell r="D1968" t="str">
            <v>Staff welfare, sports and recreation expenses</v>
          </cell>
        </row>
        <row r="1969">
          <cell r="B1969">
            <v>413920</v>
          </cell>
          <cell r="C1969" t="str">
            <v>Child</v>
          </cell>
          <cell r="D1969" t="str">
            <v>Staff uniform and accessories</v>
          </cell>
        </row>
        <row r="1970">
          <cell r="B1970">
            <v>414000</v>
          </cell>
          <cell r="C1970" t="str">
            <v>Parent</v>
          </cell>
          <cell r="D1970" t="str">
            <v>EMPLOYEE  BENEFITS:</v>
          </cell>
        </row>
        <row r="1971">
          <cell r="B1971">
            <v>414100</v>
          </cell>
          <cell r="C1971" t="str">
            <v>Parent</v>
          </cell>
          <cell r="D1971" t="str">
            <v>Employee travel costs (under terms of appointment):</v>
          </cell>
        </row>
        <row r="1972">
          <cell r="B1972">
            <v>414110</v>
          </cell>
          <cell r="C1972" t="str">
            <v>Child</v>
          </cell>
          <cell r="D1972" t="str">
            <v>Employee travel costs - Fares</v>
          </cell>
        </row>
        <row r="1973">
          <cell r="B1973">
            <v>414200</v>
          </cell>
          <cell r="C1973" t="str">
            <v>Parent</v>
          </cell>
          <cell r="D1973" t="str">
            <v>Employee accommodation costs:</v>
          </cell>
        </row>
        <row r="1974">
          <cell r="B1974">
            <v>414210</v>
          </cell>
          <cell r="C1974" t="str">
            <v>Child</v>
          </cell>
          <cell r="D1974" t="str">
            <v>Rent for staff residences</v>
          </cell>
        </row>
        <row r="1975">
          <cell r="B1975">
            <v>414220</v>
          </cell>
          <cell r="C1975" t="str">
            <v>Child</v>
          </cell>
          <cell r="D1975" t="str">
            <v>Water and electricity charges</v>
          </cell>
        </row>
        <row r="1976">
          <cell r="B1976">
            <v>414300</v>
          </cell>
          <cell r="C1976" t="str">
            <v>Parent</v>
          </cell>
          <cell r="D1976" t="str">
            <v>Employee medical benefits costs:</v>
          </cell>
        </row>
        <row r="1977">
          <cell r="B1977">
            <v>414310</v>
          </cell>
          <cell r="C1977" t="str">
            <v>Child</v>
          </cell>
          <cell r="D1977" t="str">
            <v>Medical insurance premium</v>
          </cell>
        </row>
        <row r="1978">
          <cell r="B1978">
            <v>414320</v>
          </cell>
          <cell r="C1978" t="str">
            <v>Child</v>
          </cell>
          <cell r="D1978" t="str">
            <v>Vaccinations and other preventive measures</v>
          </cell>
        </row>
        <row r="1979">
          <cell r="B1979">
            <v>414400</v>
          </cell>
          <cell r="C1979" t="str">
            <v>Parent</v>
          </cell>
          <cell r="D1979" t="str">
            <v>Other employee benefits:</v>
          </cell>
        </row>
        <row r="1980">
          <cell r="B1980">
            <v>414410</v>
          </cell>
          <cell r="C1980" t="str">
            <v>Child</v>
          </cell>
          <cell r="D1980" t="str">
            <v>Food and catering costs</v>
          </cell>
        </row>
        <row r="1981">
          <cell r="B1981">
            <v>414420</v>
          </cell>
          <cell r="C1981" t="str">
            <v>Child</v>
          </cell>
          <cell r="D1981" t="str">
            <v>Life insurance premiums</v>
          </cell>
        </row>
        <row r="1982">
          <cell r="B1982">
            <v>414430</v>
          </cell>
          <cell r="C1982" t="str">
            <v>Child</v>
          </cell>
          <cell r="D1982" t="str">
            <v>Professional Membership expenses for employees</v>
          </cell>
        </row>
        <row r="1983">
          <cell r="B1983">
            <v>414450</v>
          </cell>
          <cell r="C1983" t="str">
            <v>Child</v>
          </cell>
          <cell r="D1983" t="str">
            <v>Exgratia / Bonus to Retired Employees</v>
          </cell>
        </row>
        <row r="1984">
          <cell r="B1984">
            <v>420000</v>
          </cell>
          <cell r="C1984" t="str">
            <v>Parent</v>
          </cell>
          <cell r="D1984" t="str">
            <v>Operating Expenses</v>
          </cell>
        </row>
        <row r="1985">
          <cell r="B1985">
            <v>422812</v>
          </cell>
          <cell r="C1985" t="str">
            <v>Child</v>
          </cell>
          <cell r="D1985" t="str">
            <v>Flight planning costs</v>
          </cell>
        </row>
        <row r="1986">
          <cell r="B1986">
            <v>420010</v>
          </cell>
          <cell r="C1986" t="str">
            <v>Child</v>
          </cell>
          <cell r="D1986" t="str">
            <v>Consolidated Operational Expenditure (For TDF use only)</v>
          </cell>
        </row>
        <row r="1987">
          <cell r="B1987">
            <v>420011</v>
          </cell>
          <cell r="C1987" t="str">
            <v>Child</v>
          </cell>
          <cell r="D1987" t="str">
            <v>Consolidated Operational Expenditure (For Self Ledgers use only)</v>
          </cell>
        </row>
        <row r="1988">
          <cell r="B1988">
            <v>420090</v>
          </cell>
          <cell r="C1988" t="str">
            <v>Child</v>
          </cell>
          <cell r="D1988" t="str">
            <v>VAT on purchase of goods and Services (Exp acct for budget deficit)</v>
          </cell>
        </row>
        <row r="1989">
          <cell r="B1989">
            <v>421100</v>
          </cell>
          <cell r="C1989" t="str">
            <v>Parent</v>
          </cell>
          <cell r="D1989" t="str">
            <v>Consultancy and Professional Services</v>
          </cell>
        </row>
        <row r="1990">
          <cell r="B1990">
            <v>421111</v>
          </cell>
          <cell r="C1990" t="str">
            <v>Child</v>
          </cell>
          <cell r="D1990" t="str">
            <v>Accounting service</v>
          </cell>
        </row>
        <row r="1991">
          <cell r="B1991">
            <v>421112</v>
          </cell>
          <cell r="C1991" t="str">
            <v>Child</v>
          </cell>
          <cell r="D1991" t="str">
            <v>Internal Audit service</v>
          </cell>
        </row>
        <row r="1992">
          <cell r="B1992">
            <v>421114</v>
          </cell>
          <cell r="C1992" t="str">
            <v>Child</v>
          </cell>
          <cell r="D1992" t="str">
            <v>Engineering advisory service</v>
          </cell>
        </row>
        <row r="1993">
          <cell r="B1993">
            <v>421115</v>
          </cell>
          <cell r="C1993" t="str">
            <v>Child</v>
          </cell>
          <cell r="D1993" t="str">
            <v>Academic Advisory Service</v>
          </cell>
        </row>
        <row r="1994">
          <cell r="B1994">
            <v>421116</v>
          </cell>
          <cell r="C1994" t="str">
            <v>Child</v>
          </cell>
          <cell r="D1994" t="str">
            <v>Academic Collaborative Partnership Services</v>
          </cell>
        </row>
        <row r="1995">
          <cell r="B1995">
            <v>421118</v>
          </cell>
          <cell r="C1995" t="str">
            <v>Child</v>
          </cell>
          <cell r="D1995" t="str">
            <v>HR planning and management consultancy</v>
          </cell>
        </row>
        <row r="1996">
          <cell r="B1996">
            <v>421119</v>
          </cell>
          <cell r="C1996" t="str">
            <v>Child</v>
          </cell>
          <cell r="D1996" t="str">
            <v>IT consultancy, other than software development</v>
          </cell>
        </row>
        <row r="1997">
          <cell r="B1997">
            <v>421121</v>
          </cell>
          <cell r="C1997" t="str">
            <v>Child</v>
          </cell>
          <cell r="D1997" t="str">
            <v xml:space="preserve">Legal services </v>
          </cell>
        </row>
        <row r="1998">
          <cell r="B1998">
            <v>421122</v>
          </cell>
          <cell r="C1998" t="str">
            <v>Child</v>
          </cell>
          <cell r="D1998" t="str">
            <v>Management consultancy</v>
          </cell>
        </row>
        <row r="1999">
          <cell r="B1999">
            <v>421123</v>
          </cell>
          <cell r="C1999" t="str">
            <v>Child</v>
          </cell>
          <cell r="D1999" t="str">
            <v>Strategic planning consultancy</v>
          </cell>
        </row>
        <row r="2000">
          <cell r="B2000">
            <v>421124</v>
          </cell>
          <cell r="C2000" t="str">
            <v>Child</v>
          </cell>
          <cell r="D2000" t="str">
            <v>Specialized Operational Services</v>
          </cell>
        </row>
        <row r="2001">
          <cell r="B2001">
            <v>421125</v>
          </cell>
          <cell r="C2001" t="str">
            <v>Child</v>
          </cell>
          <cell r="D2001" t="str">
            <v>Professional Operational Service</v>
          </cell>
        </row>
        <row r="2002">
          <cell r="B2002">
            <v>421191</v>
          </cell>
          <cell r="C2002" t="str">
            <v>Child</v>
          </cell>
          <cell r="D2002" t="str">
            <v>Other specialised professional services, not mentioned elsewhere</v>
          </cell>
        </row>
        <row r="2003">
          <cell r="B2003">
            <v>422111</v>
          </cell>
          <cell r="C2003" t="str">
            <v>Child</v>
          </cell>
          <cell r="D2003" t="str">
            <v>Public Facility operations</v>
          </cell>
        </row>
        <row r="2004">
          <cell r="B2004">
            <v>422121</v>
          </cell>
          <cell r="C2004" t="str">
            <v>Child</v>
          </cell>
          <cell r="D2004" t="str">
            <v>Capital Projects Supervision Fees</v>
          </cell>
        </row>
        <row r="2005">
          <cell r="B2005">
            <v>422191</v>
          </cell>
          <cell r="C2005" t="str">
            <v>Child</v>
          </cell>
          <cell r="D2005" t="str">
            <v>Operations management expenses not mentioned elsewhere</v>
          </cell>
        </row>
        <row r="2006">
          <cell r="B2006">
            <v>422211</v>
          </cell>
          <cell r="C2006" t="str">
            <v>Child</v>
          </cell>
          <cell r="D2006" t="str">
            <v xml:space="preserve"> IT Systems &amp; Support expenses:Maintenance</v>
          </cell>
        </row>
        <row r="2007">
          <cell r="B2007">
            <v>422212</v>
          </cell>
          <cell r="C2007" t="str">
            <v>Child</v>
          </cell>
          <cell r="D2007" t="str">
            <v>IT Systems &amp; Support expenses-Application/Systems Operation</v>
          </cell>
        </row>
        <row r="2008">
          <cell r="B2008">
            <v>422213</v>
          </cell>
          <cell r="C2008" t="str">
            <v>Child</v>
          </cell>
          <cell r="D2008" t="str">
            <v>IT Systems &amp; Support expenses-Security Services Operation</v>
          </cell>
        </row>
        <row r="2009">
          <cell r="B2009">
            <v>463188</v>
          </cell>
          <cell r="C2009" t="str">
            <v>Child</v>
          </cell>
          <cell r="D2009" t="str">
            <v>Grants to Costa Rica</v>
          </cell>
        </row>
        <row r="2010">
          <cell r="B2010">
            <v>422214</v>
          </cell>
          <cell r="C2010" t="str">
            <v>Child</v>
          </cell>
          <cell r="D2010" t="str">
            <v>IT Systems &amp; Support expenses-Network Services Operation</v>
          </cell>
        </row>
        <row r="2011">
          <cell r="B2011">
            <v>422215</v>
          </cell>
          <cell r="C2011" t="str">
            <v>Child</v>
          </cell>
          <cell r="D2011" t="str">
            <v>IT Systems &amp; Support expenses-Data Analytics, BI &amp;  AI</v>
          </cell>
        </row>
        <row r="2012">
          <cell r="B2012">
            <v>422216</v>
          </cell>
          <cell r="C2012" t="str">
            <v>Child</v>
          </cell>
          <cell r="D2012" t="str">
            <v>IT Systems &amp; Support expenses-Geographical Information system Operation</v>
          </cell>
        </row>
        <row r="2013">
          <cell r="B2013">
            <v>422217</v>
          </cell>
          <cell r="C2013" t="str">
            <v>Child</v>
          </cell>
          <cell r="D2013" t="str">
            <v>IT Systems &amp; Support expenses-IT Help desk operations</v>
          </cell>
        </row>
        <row r="2014">
          <cell r="B2014">
            <v>422251</v>
          </cell>
          <cell r="C2014" t="str">
            <v>Child</v>
          </cell>
          <cell r="D2014" t="str">
            <v>Data Center Operations (OPEX)-Data Center, Hardware Operations</v>
          </cell>
        </row>
        <row r="2015">
          <cell r="B2015">
            <v>422300</v>
          </cell>
          <cell r="C2015" t="str">
            <v>Parent</v>
          </cell>
          <cell r="D2015" t="str">
            <v xml:space="preserve">Cleaning Services  </v>
          </cell>
        </row>
        <row r="2016">
          <cell r="B2016">
            <v>422311</v>
          </cell>
          <cell r="C2016" t="str">
            <v>Child</v>
          </cell>
          <cell r="D2016" t="str">
            <v>Cleaning Services: Business premises</v>
          </cell>
        </row>
        <row r="2017">
          <cell r="B2017">
            <v>422321</v>
          </cell>
          <cell r="C2017" t="str">
            <v>Child</v>
          </cell>
          <cell r="D2017" t="str">
            <v>Cleaning and Pest control Services (Public places)</v>
          </cell>
        </row>
        <row r="2018">
          <cell r="B2018">
            <v>422331</v>
          </cell>
          <cell r="C2018" t="str">
            <v>Child</v>
          </cell>
          <cell r="D2018" t="str">
            <v>Streets Cleaning services</v>
          </cell>
        </row>
        <row r="2019">
          <cell r="B2019">
            <v>422401</v>
          </cell>
          <cell r="C2019" t="str">
            <v>Child</v>
          </cell>
          <cell r="D2019" t="str">
            <v>Conferences, seminars and exhibitions and other events: -deactivate</v>
          </cell>
        </row>
        <row r="2020">
          <cell r="B2020">
            <v>422411</v>
          </cell>
          <cell r="C2020" t="str">
            <v>Child</v>
          </cell>
          <cell r="D2020" t="str">
            <v>Conferences, seminars and exhibitions and other events: - Local Events</v>
          </cell>
        </row>
        <row r="2021">
          <cell r="B2021">
            <v>422451</v>
          </cell>
          <cell r="C2021" t="str">
            <v>Child</v>
          </cell>
          <cell r="D2021" t="str">
            <v>Conferences, seminars and exhibitions and other events: - Overseas event</v>
          </cell>
        </row>
        <row r="2022">
          <cell r="B2022">
            <v>422511</v>
          </cell>
          <cell r="C2022" t="str">
            <v>Child</v>
          </cell>
          <cell r="D2022" t="str">
            <v>Advertising Services (General)</v>
          </cell>
        </row>
        <row r="2023">
          <cell r="B2023">
            <v>432613</v>
          </cell>
          <cell r="C2023" t="str">
            <v>Child</v>
          </cell>
          <cell r="D2023" t="str">
            <v>Fire fighting</v>
          </cell>
        </row>
        <row r="2024">
          <cell r="B2024">
            <v>422521</v>
          </cell>
          <cell r="C2024" t="str">
            <v>Child</v>
          </cell>
          <cell r="D2024" t="str">
            <v>Advertising-thru TV &amp; Radio Media</v>
          </cell>
        </row>
        <row r="2025">
          <cell r="B2025">
            <v>422531</v>
          </cell>
          <cell r="C2025" t="str">
            <v>Child</v>
          </cell>
          <cell r="D2025" t="str">
            <v>Advertising-thru Newspapers &amp; Other Print Media</v>
          </cell>
        </row>
        <row r="2026">
          <cell r="B2026">
            <v>422611</v>
          </cell>
          <cell r="C2026" t="str">
            <v>Child</v>
          </cell>
          <cell r="D2026" t="str">
            <v>Academic Missions - Combined expenses</v>
          </cell>
        </row>
        <row r="2027">
          <cell r="B2027">
            <v>422612</v>
          </cell>
          <cell r="C2027" t="str">
            <v>Child</v>
          </cell>
          <cell r="D2027" t="str">
            <v>Education-Outsourced training service</v>
          </cell>
        </row>
        <row r="2028">
          <cell r="B2028">
            <v>422613</v>
          </cell>
          <cell r="C2028" t="str">
            <v>Child</v>
          </cell>
          <cell r="D2028" t="str">
            <v>Enrollment expenses</v>
          </cell>
        </row>
        <row r="2029">
          <cell r="B2029">
            <v>422614</v>
          </cell>
          <cell r="C2029" t="str">
            <v>Child</v>
          </cell>
          <cell r="D2029" t="str">
            <v>Evaluation and Inspection of Educational Institutions</v>
          </cell>
        </row>
        <row r="2030">
          <cell r="B2030">
            <v>426100</v>
          </cell>
          <cell r="C2030" t="str">
            <v>Parent</v>
          </cell>
          <cell r="D2030" t="str">
            <v>Land maintenance:</v>
          </cell>
        </row>
        <row r="2031">
          <cell r="B2031">
            <v>422615</v>
          </cell>
          <cell r="C2031" t="str">
            <v>Child</v>
          </cell>
          <cell r="D2031" t="str">
            <v>Govt School Operation and Management Exp (combined)</v>
          </cell>
        </row>
        <row r="2032">
          <cell r="B2032">
            <v>422616</v>
          </cell>
          <cell r="C2032" t="str">
            <v>Child</v>
          </cell>
          <cell r="D2032" t="str">
            <v>Other Educational Supplies</v>
          </cell>
        </row>
        <row r="2033">
          <cell r="B2033">
            <v>422617</v>
          </cell>
          <cell r="C2033" t="str">
            <v>Child</v>
          </cell>
          <cell r="D2033" t="str">
            <v>Education: Overseas training costs</v>
          </cell>
        </row>
        <row r="2034">
          <cell r="B2034">
            <v>422618</v>
          </cell>
          <cell r="C2034" t="str">
            <v>Child</v>
          </cell>
          <cell r="D2034" t="str">
            <v>Postgraduate Student Salaries</v>
          </cell>
        </row>
        <row r="2035">
          <cell r="B2035">
            <v>422619</v>
          </cell>
          <cell r="C2035" t="str">
            <v>Child</v>
          </cell>
          <cell r="D2035" t="str">
            <v>Scholarships &amp; other financial aid</v>
          </cell>
        </row>
        <row r="2036">
          <cell r="B2036">
            <v>422621</v>
          </cell>
          <cell r="C2036" t="str">
            <v>Child</v>
          </cell>
          <cell r="D2036" t="str">
            <v>Higher education and specialisation incentives</v>
          </cell>
        </row>
        <row r="2037">
          <cell r="B2037">
            <v>422622</v>
          </cell>
          <cell r="C2037" t="str">
            <v>Child</v>
          </cell>
          <cell r="D2037" t="str">
            <v>Graduation rewards</v>
          </cell>
        </row>
        <row r="2038">
          <cell r="B2038">
            <v>422623</v>
          </cell>
          <cell r="C2038" t="str">
            <v>Child</v>
          </cell>
          <cell r="D2038" t="str">
            <v>Skill assessment service</v>
          </cell>
        </row>
        <row r="2039">
          <cell r="B2039">
            <v>422651</v>
          </cell>
          <cell r="C2039" t="str">
            <v>Child</v>
          </cell>
          <cell r="D2039" t="str">
            <v>Student Accommodation</v>
          </cell>
        </row>
        <row r="2040">
          <cell r="B2040">
            <v>422652</v>
          </cell>
          <cell r="C2040" t="str">
            <v>Child</v>
          </cell>
          <cell r="D2040" t="str">
            <v>Student activities &amp; field trip expenses</v>
          </cell>
        </row>
        <row r="2041">
          <cell r="B2041">
            <v>422653</v>
          </cell>
          <cell r="C2041" t="str">
            <v>Child</v>
          </cell>
          <cell r="D2041" t="str">
            <v>Student Field trips</v>
          </cell>
        </row>
        <row r="2042">
          <cell r="B2042">
            <v>422654</v>
          </cell>
          <cell r="C2042" t="str">
            <v>Child</v>
          </cell>
          <cell r="D2042" t="str">
            <v>Student Internship</v>
          </cell>
        </row>
        <row r="2043">
          <cell r="B2043">
            <v>422655</v>
          </cell>
          <cell r="C2043" t="str">
            <v>Child</v>
          </cell>
          <cell r="D2043" t="str">
            <v>Student medical insurance</v>
          </cell>
        </row>
        <row r="2044">
          <cell r="B2044">
            <v>422656</v>
          </cell>
          <cell r="C2044" t="str">
            <v>Child</v>
          </cell>
          <cell r="D2044" t="str">
            <v>Student Project Expenses</v>
          </cell>
        </row>
        <row r="2045">
          <cell r="B2045">
            <v>422657</v>
          </cell>
          <cell r="C2045" t="str">
            <v>Child</v>
          </cell>
          <cell r="D2045" t="str">
            <v>Student relocation &amp; travel exps</v>
          </cell>
        </row>
        <row r="2046">
          <cell r="B2046">
            <v>422658</v>
          </cell>
          <cell r="C2046" t="str">
            <v>Child</v>
          </cell>
          <cell r="D2046" t="str">
            <v>Student stipend</v>
          </cell>
        </row>
        <row r="2047">
          <cell r="B2047">
            <v>422659</v>
          </cell>
          <cell r="C2047" t="str">
            <v>Child</v>
          </cell>
          <cell r="D2047" t="str">
            <v>Student Transport</v>
          </cell>
        </row>
        <row r="2048">
          <cell r="B2048">
            <v>422700</v>
          </cell>
          <cell r="C2048" t="str">
            <v>Parent</v>
          </cell>
          <cell r="D2048" t="str">
            <v>Insurance:</v>
          </cell>
        </row>
        <row r="2049">
          <cell r="B2049">
            <v>422711</v>
          </cell>
          <cell r="C2049" t="str">
            <v>Child</v>
          </cell>
          <cell r="D2049" t="str">
            <v>Insurance - Cash and fidelity</v>
          </cell>
        </row>
        <row r="2050">
          <cell r="B2050">
            <v>422712</v>
          </cell>
          <cell r="C2050" t="str">
            <v>Child</v>
          </cell>
          <cell r="D2050" t="str">
            <v>Insurance - Fire and allied perils</v>
          </cell>
        </row>
        <row r="2051">
          <cell r="B2051">
            <v>422713</v>
          </cell>
          <cell r="C2051" t="str">
            <v>Child</v>
          </cell>
          <cell r="D2051" t="str">
            <v>Insurance - Machinery breakdown</v>
          </cell>
        </row>
        <row r="2052">
          <cell r="B2052">
            <v>422714</v>
          </cell>
          <cell r="C2052" t="str">
            <v>Child</v>
          </cell>
          <cell r="D2052" t="str">
            <v>Insurance - Marine and Aviation</v>
          </cell>
        </row>
        <row r="2053">
          <cell r="B2053">
            <v>422715</v>
          </cell>
          <cell r="C2053" t="str">
            <v>Child</v>
          </cell>
          <cell r="D2053" t="str">
            <v>Insurance - Motor vehicles</v>
          </cell>
        </row>
        <row r="2054">
          <cell r="B2054">
            <v>422716</v>
          </cell>
          <cell r="C2054" t="str">
            <v>Child</v>
          </cell>
          <cell r="D2054" t="str">
            <v>Insurance - Workman's compensation</v>
          </cell>
        </row>
        <row r="2055">
          <cell r="B2055">
            <v>422717</v>
          </cell>
          <cell r="C2055" t="str">
            <v>Child</v>
          </cell>
          <cell r="D2055" t="str">
            <v>Insurance - Works / services</v>
          </cell>
        </row>
        <row r="2056">
          <cell r="B2056">
            <v>422718</v>
          </cell>
          <cell r="C2056" t="str">
            <v>Child</v>
          </cell>
          <cell r="D2056" t="str">
            <v>Insurance - Fixed Assets</v>
          </cell>
        </row>
        <row r="2057">
          <cell r="B2057">
            <v>422749</v>
          </cell>
          <cell r="C2057" t="str">
            <v>Child</v>
          </cell>
          <cell r="D2057" t="str">
            <v>Insurance - Other</v>
          </cell>
        </row>
        <row r="2058">
          <cell r="B2058">
            <v>422800</v>
          </cell>
          <cell r="C2058" t="str">
            <v>Parent</v>
          </cell>
          <cell r="D2058" t="str">
            <v>Landing,docking, layover, overflying chgs</v>
          </cell>
        </row>
        <row r="2059">
          <cell r="B2059">
            <v>422811</v>
          </cell>
          <cell r="C2059" t="str">
            <v>Child</v>
          </cell>
          <cell r="D2059" t="str">
            <v>Overflying permission costs</v>
          </cell>
        </row>
        <row r="2060">
          <cell r="B2060">
            <v>426424</v>
          </cell>
          <cell r="C2060" t="str">
            <v>Child</v>
          </cell>
          <cell r="D2060" t="str">
            <v>Sports equipment</v>
          </cell>
        </row>
        <row r="2061">
          <cell r="B2061">
            <v>422813</v>
          </cell>
          <cell r="C2061" t="str">
            <v>Child</v>
          </cell>
          <cell r="D2061" t="str">
            <v>Landing, parking &amp; ground handling costs</v>
          </cell>
        </row>
        <row r="2062">
          <cell r="B2062">
            <v>422814</v>
          </cell>
          <cell r="C2062" t="str">
            <v>Child</v>
          </cell>
          <cell r="D2062" t="str">
            <v>Layover Accommodation expenses</v>
          </cell>
        </row>
        <row r="2063">
          <cell r="B2063">
            <v>426414</v>
          </cell>
          <cell r="C2063" t="str">
            <v>Child</v>
          </cell>
          <cell r="D2063" t="str">
            <v>Farming equipment</v>
          </cell>
        </row>
        <row r="2064">
          <cell r="B2064">
            <v>422815</v>
          </cell>
          <cell r="C2064" t="str">
            <v>Child</v>
          </cell>
          <cell r="D2064" t="str">
            <v>Layover Allowances and other expenses</v>
          </cell>
        </row>
        <row r="2065">
          <cell r="B2065">
            <v>422900</v>
          </cell>
          <cell r="C2065" t="str">
            <v>Parent</v>
          </cell>
          <cell r="D2065" t="str">
            <v>License fees:</v>
          </cell>
        </row>
        <row r="2066">
          <cell r="B2066">
            <v>422911</v>
          </cell>
          <cell r="C2066" t="str">
            <v>Child</v>
          </cell>
          <cell r="D2066" t="str">
            <v>Computer software licenses-Software License Renewal</v>
          </cell>
        </row>
        <row r="2067">
          <cell r="B2067">
            <v>422951</v>
          </cell>
          <cell r="C2067" t="str">
            <v>Child</v>
          </cell>
          <cell r="D2067" t="str">
            <v>Other licenses, not mentioned elsewhere</v>
          </cell>
        </row>
        <row r="2068">
          <cell r="B2068">
            <v>423100</v>
          </cell>
          <cell r="C2068" t="str">
            <v>Parent</v>
          </cell>
          <cell r="D2068" t="str">
            <v>Government Health Insurance Plan: (TIQA)</v>
          </cell>
        </row>
        <row r="2069">
          <cell r="B2069">
            <v>423111</v>
          </cell>
          <cell r="C2069" t="str">
            <v>Child</v>
          </cell>
          <cell r="D2069" t="str">
            <v>Treatment costs payable by the Government</v>
          </cell>
        </row>
        <row r="2070">
          <cell r="B2070">
            <v>423151</v>
          </cell>
          <cell r="C2070" t="str">
            <v>Child</v>
          </cell>
          <cell r="D2070" t="str">
            <v>Plan manager's fees and costs</v>
          </cell>
        </row>
        <row r="2071">
          <cell r="B2071">
            <v>423211</v>
          </cell>
          <cell r="C2071" t="str">
            <v>Child</v>
          </cell>
          <cell r="D2071" t="str">
            <v>Overseas  medical treatment expenses</v>
          </cell>
        </row>
        <row r="2072">
          <cell r="B2072">
            <v>423251</v>
          </cell>
          <cell r="C2072" t="str">
            <v>Child</v>
          </cell>
          <cell r="D2072" t="str">
            <v>Operating expenditure of foreign IPC offices</v>
          </cell>
        </row>
        <row r="2073">
          <cell r="B2073">
            <v>423311</v>
          </cell>
          <cell r="C2073" t="str">
            <v>Child</v>
          </cell>
          <cell r="D2073" t="str">
            <v>Local Medical treatment expenses including preventive testing</v>
          </cell>
        </row>
        <row r="2074">
          <cell r="B2074">
            <v>423351</v>
          </cell>
          <cell r="C2074" t="str">
            <v>Child</v>
          </cell>
          <cell r="D2074" t="str">
            <v>Medical services provided at workplace</v>
          </cell>
        </row>
        <row r="2075">
          <cell r="B2075">
            <v>423400</v>
          </cell>
          <cell r="C2075" t="str">
            <v>Parent</v>
          </cell>
          <cell r="D2075" t="str">
            <v>Research and Development expenses:</v>
          </cell>
        </row>
        <row r="2076">
          <cell r="B2076">
            <v>423411</v>
          </cell>
          <cell r="C2076" t="str">
            <v>Child</v>
          </cell>
          <cell r="D2076" t="str">
            <v>General research</v>
          </cell>
        </row>
        <row r="2077">
          <cell r="B2077">
            <v>423421</v>
          </cell>
          <cell r="C2077" t="str">
            <v>Child</v>
          </cell>
          <cell r="D2077" t="str">
            <v>Historical research</v>
          </cell>
        </row>
        <row r="2078">
          <cell r="B2078">
            <v>423431</v>
          </cell>
          <cell r="C2078" t="str">
            <v>Child</v>
          </cell>
          <cell r="D2078" t="str">
            <v>Medical research</v>
          </cell>
        </row>
        <row r="2079">
          <cell r="B2079">
            <v>423441</v>
          </cell>
          <cell r="C2079" t="str">
            <v>Child</v>
          </cell>
          <cell r="D2079" t="str">
            <v>Scientific &amp; Technology research</v>
          </cell>
        </row>
        <row r="2080">
          <cell r="B2080">
            <v>423511</v>
          </cell>
          <cell r="C2080" t="str">
            <v>Child</v>
          </cell>
          <cell r="D2080" t="str">
            <v>Sports promotion programme</v>
          </cell>
        </row>
        <row r="2081">
          <cell r="B2081">
            <v>423521</v>
          </cell>
          <cell r="C2081" t="str">
            <v>Child</v>
          </cell>
          <cell r="D2081" t="str">
            <v>Domestic Sports Promotion / Events</v>
          </cell>
        </row>
        <row r="2082">
          <cell r="B2082">
            <v>423531</v>
          </cell>
          <cell r="C2082" t="str">
            <v>Child</v>
          </cell>
          <cell r="D2082" t="str">
            <v>International sports Events</v>
          </cell>
        </row>
        <row r="2083">
          <cell r="B2083">
            <v>423541</v>
          </cell>
          <cell r="C2083" t="str">
            <v>Child</v>
          </cell>
          <cell r="D2083" t="str">
            <v>Liwa Festival</v>
          </cell>
        </row>
        <row r="2084">
          <cell r="B2084">
            <v>423551</v>
          </cell>
          <cell r="C2084" t="str">
            <v>Child</v>
          </cell>
          <cell r="D2084" t="str">
            <v>Sports Clubs Development Program</v>
          </cell>
        </row>
        <row r="2085">
          <cell r="B2085">
            <v>423600</v>
          </cell>
          <cell r="C2085" t="str">
            <v>Parent</v>
          </cell>
          <cell r="D2085" t="str">
            <v>Subscriptions and membership fees:</v>
          </cell>
        </row>
        <row r="2086">
          <cell r="B2086">
            <v>423611</v>
          </cell>
          <cell r="C2086" t="str">
            <v>Child</v>
          </cell>
          <cell r="D2086" t="str">
            <v>Subscriptions and membership fees: Trade organisations</v>
          </cell>
        </row>
        <row r="2087">
          <cell r="B2087">
            <v>423621</v>
          </cell>
          <cell r="C2087" t="str">
            <v>Child</v>
          </cell>
          <cell r="D2087" t="str">
            <v>Recreational facilities, including club memberships</v>
          </cell>
        </row>
        <row r="2088">
          <cell r="B2088">
            <v>423631</v>
          </cell>
          <cell r="C2088" t="str">
            <v>Child</v>
          </cell>
          <cell r="D2088" t="str">
            <v>Online subscriptions</v>
          </cell>
        </row>
        <row r="2089">
          <cell r="B2089">
            <v>423700</v>
          </cell>
          <cell r="C2089" t="str">
            <v>Parent</v>
          </cell>
          <cell r="D2089" t="str">
            <v>Telecommunication service:</v>
          </cell>
        </row>
        <row r="2090">
          <cell r="B2090">
            <v>423711</v>
          </cell>
          <cell r="C2090" t="str">
            <v>Child</v>
          </cell>
          <cell r="D2090" t="str">
            <v>Telephone and telefax charges-Telecommunication, Satellite  services</v>
          </cell>
        </row>
        <row r="2091">
          <cell r="B2091">
            <v>423721</v>
          </cell>
          <cell r="C2091" t="str">
            <v>Child</v>
          </cell>
          <cell r="D2091" t="str">
            <v>Telephone leased line rental</v>
          </cell>
        </row>
        <row r="2092">
          <cell r="B2092">
            <v>423731</v>
          </cell>
          <cell r="C2092" t="str">
            <v>Child</v>
          </cell>
          <cell r="D2092" t="str">
            <v>Toll-free telephone service hire charges</v>
          </cell>
        </row>
        <row r="2093">
          <cell r="B2093">
            <v>423741</v>
          </cell>
          <cell r="C2093" t="str">
            <v>Child</v>
          </cell>
          <cell r="D2093" t="str">
            <v>Data Transmission charges-Data Transmission charges</v>
          </cell>
        </row>
        <row r="2094">
          <cell r="B2094">
            <v>423751</v>
          </cell>
          <cell r="C2094" t="str">
            <v>Child</v>
          </cell>
          <cell r="D2094" t="str">
            <v>Aircraft communication costs</v>
          </cell>
        </row>
        <row r="2095">
          <cell r="B2095">
            <v>423811</v>
          </cell>
          <cell r="C2095" t="str">
            <v>Child</v>
          </cell>
          <cell r="D2095" t="str">
            <v>Business Travel - Fares</v>
          </cell>
        </row>
        <row r="2096">
          <cell r="B2096">
            <v>423821</v>
          </cell>
          <cell r="C2096" t="str">
            <v>Child</v>
          </cell>
          <cell r="D2096" t="str">
            <v>Business Travel - Per Diem Allowances</v>
          </cell>
        </row>
        <row r="2097">
          <cell r="B2097">
            <v>423831</v>
          </cell>
          <cell r="C2097" t="str">
            <v>Child</v>
          </cell>
          <cell r="D2097" t="str">
            <v>Business Travel - Accommodation expenses</v>
          </cell>
        </row>
        <row r="2098">
          <cell r="B2098">
            <v>423841</v>
          </cell>
          <cell r="C2098" t="str">
            <v>Child</v>
          </cell>
          <cell r="D2098" t="str">
            <v>Business Travel - Field Trip expenses</v>
          </cell>
        </row>
        <row r="2099">
          <cell r="B2099">
            <v>423851</v>
          </cell>
          <cell r="C2099" t="str">
            <v>Child</v>
          </cell>
          <cell r="D2099" t="str">
            <v>Business Travel - Other incidentals</v>
          </cell>
        </row>
        <row r="2100">
          <cell r="B2100">
            <v>423891</v>
          </cell>
          <cell r="C2100" t="str">
            <v>Child</v>
          </cell>
          <cell r="D2100" t="str">
            <v>Business Travel - Combined expenses</v>
          </cell>
        </row>
        <row r="2101">
          <cell r="B2101">
            <v>430000</v>
          </cell>
          <cell r="C2101" t="str">
            <v>Parent</v>
          </cell>
          <cell r="D2101" t="str">
            <v>SUPPLIES:</v>
          </cell>
        </row>
        <row r="2102">
          <cell r="B2102">
            <v>423901</v>
          </cell>
          <cell r="C2102" t="str">
            <v>Child</v>
          </cell>
          <cell r="D2102" t="str">
            <v>Water and Electricity charges - Business premises</v>
          </cell>
        </row>
        <row r="2103">
          <cell r="B2103">
            <v>423911</v>
          </cell>
          <cell r="C2103" t="str">
            <v>Child</v>
          </cell>
          <cell r="D2103" t="str">
            <v>Electricity consumption charges</v>
          </cell>
        </row>
        <row r="2104">
          <cell r="B2104">
            <v>423921</v>
          </cell>
          <cell r="C2104" t="str">
            <v>Child</v>
          </cell>
          <cell r="D2104" t="str">
            <v>Water consumption charges</v>
          </cell>
        </row>
        <row r="2105">
          <cell r="B2105">
            <v>423931</v>
          </cell>
          <cell r="C2105" t="str">
            <v>Child</v>
          </cell>
          <cell r="D2105" t="str">
            <v>Consumption charges-Water &amp; Electricity combined</v>
          </cell>
        </row>
        <row r="2106">
          <cell r="B2106">
            <v>424100</v>
          </cell>
          <cell r="C2106" t="str">
            <v>Parent</v>
          </cell>
          <cell r="D2106" t="str">
            <v>Business  promotion &amp; related expenses</v>
          </cell>
        </row>
        <row r="2107">
          <cell r="B2107">
            <v>424111</v>
          </cell>
          <cell r="C2107" t="str">
            <v>Child</v>
          </cell>
          <cell r="D2107" t="str">
            <v>Promotion announcement/advertisement exps</v>
          </cell>
        </row>
        <row r="2108">
          <cell r="B2108">
            <v>424121</v>
          </cell>
          <cell r="C2108" t="str">
            <v>Child</v>
          </cell>
          <cell r="D2108" t="str">
            <v>Rent support - Related business</v>
          </cell>
        </row>
        <row r="2109">
          <cell r="B2109">
            <v>424131</v>
          </cell>
          <cell r="C2109" t="str">
            <v>Child</v>
          </cell>
          <cell r="D2109" t="str">
            <v>License Fee support - Related business</v>
          </cell>
        </row>
        <row r="2110">
          <cell r="B2110">
            <v>424141</v>
          </cell>
          <cell r="C2110" t="str">
            <v>Child</v>
          </cell>
          <cell r="D2110" t="str">
            <v>Other Sales expenditure not mentioned elsewhere</v>
          </cell>
        </row>
        <row r="2111">
          <cell r="B2111">
            <v>424151</v>
          </cell>
          <cell r="C2111" t="str">
            <v>Child</v>
          </cell>
          <cell r="D2111" t="str">
            <v>Other Marketing expenditure not mentioned elsewhere</v>
          </cell>
        </row>
        <row r="2112">
          <cell r="B2112">
            <v>424200</v>
          </cell>
          <cell r="C2112" t="str">
            <v>Parent</v>
          </cell>
          <cell r="D2112" t="str">
            <v>Events &amp; Festivals organisation costs:</v>
          </cell>
        </row>
        <row r="2113">
          <cell r="B2113">
            <v>424211</v>
          </cell>
          <cell r="C2113" t="str">
            <v>Child</v>
          </cell>
          <cell r="D2113" t="str">
            <v>Events - Site preparation costs</v>
          </cell>
        </row>
        <row r="2114">
          <cell r="B2114">
            <v>424221</v>
          </cell>
          <cell r="C2114" t="str">
            <v>Child</v>
          </cell>
          <cell r="D2114" t="str">
            <v>Events - Production costs</v>
          </cell>
        </row>
        <row r="2115">
          <cell r="B2115">
            <v>424231</v>
          </cell>
          <cell r="C2115" t="str">
            <v>Child</v>
          </cell>
          <cell r="D2115" t="str">
            <v>Events - Awards, prizes &amp; gifts</v>
          </cell>
        </row>
        <row r="2116">
          <cell r="B2116">
            <v>424241</v>
          </cell>
          <cell r="C2116" t="str">
            <v>Child</v>
          </cell>
          <cell r="D2116" t="str">
            <v>Events - Announcements &amp; Publicity costs</v>
          </cell>
        </row>
        <row r="2117">
          <cell r="B2117">
            <v>424251</v>
          </cell>
          <cell r="C2117" t="str">
            <v>Child</v>
          </cell>
          <cell r="D2117" t="str">
            <v>Tourism Promotion (include site improvements)</v>
          </cell>
        </row>
        <row r="2118">
          <cell r="B2118">
            <v>424300</v>
          </cell>
          <cell r="C2118" t="str">
            <v>Parent</v>
          </cell>
          <cell r="D2118" t="str">
            <v>Charges for delayed payments/Penalties</v>
          </cell>
        </row>
        <row r="2119">
          <cell r="B2119">
            <v>424311</v>
          </cell>
          <cell r="C2119" t="str">
            <v>Child</v>
          </cell>
          <cell r="D2119" t="str">
            <v>Charges for delayed statutory payments / fines</v>
          </cell>
        </row>
        <row r="2120">
          <cell r="B2120">
            <v>424321</v>
          </cell>
          <cell r="C2120" t="str">
            <v>Child</v>
          </cell>
          <cell r="D2120" t="str">
            <v>Contractual fines / Penalties not mentioned elsewhere.</v>
          </cell>
        </row>
        <row r="2121">
          <cell r="B2121">
            <v>424500</v>
          </cell>
          <cell r="C2121" t="str">
            <v>Parent</v>
          </cell>
          <cell r="D2121" t="str">
            <v>Outsourced services not mentioned elsewhere</v>
          </cell>
        </row>
        <row r="2122">
          <cell r="B2122">
            <v>424511</v>
          </cell>
          <cell r="C2122" t="str">
            <v>Child</v>
          </cell>
          <cell r="D2122" t="str">
            <v>Catering service</v>
          </cell>
        </row>
        <row r="2123">
          <cell r="B2123">
            <v>424521</v>
          </cell>
          <cell r="C2123" t="str">
            <v>Child</v>
          </cell>
          <cell r="D2123" t="str">
            <v>Manpower supply "Other Than IT Related"</v>
          </cell>
        </row>
        <row r="2124">
          <cell r="B2124">
            <v>424531</v>
          </cell>
          <cell r="C2124" t="str">
            <v>Child</v>
          </cell>
          <cell r="D2124" t="str">
            <v>Agents Services fees &amp; chgs (incl procurement-related services)</v>
          </cell>
        </row>
        <row r="2125">
          <cell r="B2125">
            <v>424541</v>
          </cell>
          <cell r="C2125" t="str">
            <v>Child</v>
          </cell>
          <cell r="D2125" t="str">
            <v>Search and rescue service</v>
          </cell>
        </row>
        <row r="2126">
          <cell r="B2126">
            <v>424551</v>
          </cell>
          <cell r="C2126" t="str">
            <v>Child</v>
          </cell>
          <cell r="D2126" t="str">
            <v>Security service</v>
          </cell>
        </row>
        <row r="2127">
          <cell r="B2127">
            <v>424561</v>
          </cell>
          <cell r="C2127" t="str">
            <v>Child</v>
          </cell>
          <cell r="D2127" t="str">
            <v>Standards Certification Services (e.g. ISO)</v>
          </cell>
        </row>
        <row r="2128">
          <cell r="B2128">
            <v>424571</v>
          </cell>
          <cell r="C2128" t="str">
            <v>Child</v>
          </cell>
          <cell r="D2128" t="str">
            <v>Vehicle towing service</v>
          </cell>
        </row>
        <row r="2129">
          <cell r="B2129">
            <v>424581</v>
          </cell>
          <cell r="C2129" t="str">
            <v>Child</v>
          </cell>
          <cell r="D2129" t="str">
            <v>Veterinary service</v>
          </cell>
        </row>
        <row r="2130">
          <cell r="B2130">
            <v>424591</v>
          </cell>
          <cell r="C2130" t="str">
            <v>Child</v>
          </cell>
          <cell r="D2130" t="str">
            <v>Waste management service</v>
          </cell>
        </row>
        <row r="2131">
          <cell r="B2131">
            <v>424601</v>
          </cell>
          <cell r="C2131" t="str">
            <v>Child</v>
          </cell>
          <cell r="D2131" t="str">
            <v>Satelite tracking service</v>
          </cell>
        </row>
        <row r="2132">
          <cell r="B2132">
            <v>426415</v>
          </cell>
          <cell r="C2132" t="str">
            <v>Child</v>
          </cell>
          <cell r="D2132" t="str">
            <v>Kitchen equipment</v>
          </cell>
        </row>
        <row r="2133">
          <cell r="B2133">
            <v>424611</v>
          </cell>
          <cell r="C2133" t="str">
            <v>Child</v>
          </cell>
          <cell r="D2133" t="str">
            <v>Biological &amp; Chemical Analysis Laboratory Service</v>
          </cell>
        </row>
        <row r="2134">
          <cell r="B2134">
            <v>424621</v>
          </cell>
          <cell r="C2134" t="str">
            <v>Child</v>
          </cell>
          <cell r="D2134" t="str">
            <v>Internal training Services for non-employees</v>
          </cell>
        </row>
        <row r="2135">
          <cell r="B2135">
            <v>424631</v>
          </cell>
          <cell r="C2135" t="str">
            <v>Child</v>
          </cell>
          <cell r="D2135" t="str">
            <v>Airconditioning Services</v>
          </cell>
        </row>
        <row r="2136">
          <cell r="B2136">
            <v>424641</v>
          </cell>
          <cell r="C2136" t="str">
            <v>Child</v>
          </cell>
          <cell r="D2136" t="str">
            <v>Celebration and festivals</v>
          </cell>
        </row>
        <row r="2137">
          <cell r="B2137">
            <v>424651</v>
          </cell>
          <cell r="C2137" t="str">
            <v>Child</v>
          </cell>
          <cell r="D2137" t="str">
            <v>Emergencies Services</v>
          </cell>
        </row>
        <row r="2138">
          <cell r="B2138">
            <v>424661</v>
          </cell>
          <cell r="C2138" t="str">
            <v>Child</v>
          </cell>
          <cell r="D2138" t="str">
            <v>Emergency, Crisis and Disaster Management</v>
          </cell>
        </row>
        <row r="2139">
          <cell r="B2139">
            <v>424671</v>
          </cell>
          <cell r="C2139" t="str">
            <v>Child</v>
          </cell>
          <cell r="D2139" t="str">
            <v>Freight and shipping costs, not included elsewhere under purchase costs</v>
          </cell>
        </row>
        <row r="2140">
          <cell r="B2140">
            <v>424681</v>
          </cell>
          <cell r="C2140" t="str">
            <v>Child</v>
          </cell>
          <cell r="D2140" t="str">
            <v>Postal, courier and other document delivery expenses</v>
          </cell>
        </row>
        <row r="2141">
          <cell r="B2141">
            <v>424691</v>
          </cell>
          <cell r="C2141" t="str">
            <v>Child</v>
          </cell>
          <cell r="D2141" t="str">
            <v>Public Transport operating service</v>
          </cell>
        </row>
        <row r="2142">
          <cell r="B2142">
            <v>424701</v>
          </cell>
          <cell r="C2142" t="str">
            <v>Child</v>
          </cell>
          <cell r="D2142" t="str">
            <v>Translation and interpretation service</v>
          </cell>
        </row>
        <row r="2143">
          <cell r="B2143">
            <v>463728</v>
          </cell>
          <cell r="C2143" t="str">
            <v>Child</v>
          </cell>
          <cell r="D2143" t="str">
            <v>Grant-South Sudan</v>
          </cell>
        </row>
        <row r="2144">
          <cell r="B2144">
            <v>424721</v>
          </cell>
          <cell r="C2144" t="str">
            <v>Child</v>
          </cell>
          <cell r="D2144" t="str">
            <v>Health,safety&amp;environment awareness</v>
          </cell>
        </row>
        <row r="2145">
          <cell r="B2145">
            <v>424731</v>
          </cell>
          <cell r="C2145" t="str">
            <v>Child</v>
          </cell>
          <cell r="D2145" t="str">
            <v>Occupational Health and Safety (OHS)</v>
          </cell>
        </row>
        <row r="2146">
          <cell r="B2146">
            <v>491312</v>
          </cell>
          <cell r="C2146" t="str">
            <v>Child</v>
          </cell>
          <cell r="D2146" t="str">
            <v>Airport equipment</v>
          </cell>
        </row>
        <row r="2147">
          <cell r="B2147">
            <v>426611</v>
          </cell>
          <cell r="C2147" t="str">
            <v>Child</v>
          </cell>
          <cell r="D2147" t="str">
            <v>Aircraft</v>
          </cell>
        </row>
        <row r="2148">
          <cell r="B2148">
            <v>424751</v>
          </cell>
          <cell r="C2148" t="str">
            <v>Child</v>
          </cell>
          <cell r="D2148" t="str">
            <v>Fostering – beneficiaries operational Expenses</v>
          </cell>
        </row>
        <row r="2149">
          <cell r="B2149">
            <v>424760</v>
          </cell>
          <cell r="C2149" t="str">
            <v>Child</v>
          </cell>
          <cell r="D2149" t="str">
            <v>Entertainment and hospitality expenses</v>
          </cell>
        </row>
        <row r="2150">
          <cell r="B2150">
            <v>424761</v>
          </cell>
          <cell r="C2150" t="str">
            <v>Child</v>
          </cell>
          <cell r="D2150" t="str">
            <v>Entertainment and hospitality</v>
          </cell>
        </row>
        <row r="2151">
          <cell r="B2151">
            <v>424770</v>
          </cell>
          <cell r="C2151" t="str">
            <v>Child</v>
          </cell>
          <cell r="D2151" t="str">
            <v>Motor vehicle registration and inspection charges</v>
          </cell>
        </row>
        <row r="2152">
          <cell r="B2152">
            <v>424771</v>
          </cell>
          <cell r="C2152" t="str">
            <v>Child</v>
          </cell>
          <cell r="D2152" t="str">
            <v>Motor vehicle registration and inspection charges</v>
          </cell>
        </row>
        <row r="2153">
          <cell r="B2153">
            <v>424780</v>
          </cell>
          <cell r="C2153" t="str">
            <v>Child</v>
          </cell>
          <cell r="D2153" t="str">
            <v>Public relations</v>
          </cell>
        </row>
        <row r="2154">
          <cell r="B2154">
            <v>424781</v>
          </cell>
          <cell r="C2154" t="str">
            <v>Child</v>
          </cell>
          <cell r="D2154" t="str">
            <v>Public relations</v>
          </cell>
        </row>
        <row r="2155">
          <cell r="B2155">
            <v>424790</v>
          </cell>
          <cell r="C2155" t="str">
            <v>Child</v>
          </cell>
          <cell r="D2155" t="str">
            <v>Printing and publishing</v>
          </cell>
        </row>
        <row r="2156">
          <cell r="B2156">
            <v>424791</v>
          </cell>
          <cell r="C2156" t="str">
            <v>Child</v>
          </cell>
          <cell r="D2156" t="str">
            <v>Printing and publishing</v>
          </cell>
        </row>
        <row r="2157">
          <cell r="B2157">
            <v>424810</v>
          </cell>
          <cell r="C2157" t="str">
            <v>Child</v>
          </cell>
          <cell r="D2157" t="str">
            <v>Sponsorship expenses/contributions</v>
          </cell>
        </row>
        <row r="2158">
          <cell r="B2158">
            <v>424811</v>
          </cell>
          <cell r="C2158" t="str">
            <v>Child</v>
          </cell>
          <cell r="D2158" t="str">
            <v>Sponsorship expenses/contributions</v>
          </cell>
        </row>
        <row r="2159">
          <cell r="B2159">
            <v>424820</v>
          </cell>
          <cell r="C2159" t="str">
            <v>Child</v>
          </cell>
          <cell r="D2159" t="str">
            <v>Road toll charges</v>
          </cell>
        </row>
        <row r="2160">
          <cell r="B2160">
            <v>424821</v>
          </cell>
          <cell r="C2160" t="str">
            <v>Child</v>
          </cell>
          <cell r="D2160" t="str">
            <v>Road toll charges</v>
          </cell>
        </row>
        <row r="2161">
          <cell r="B2161">
            <v>424830</v>
          </cell>
          <cell r="C2161" t="str">
            <v>Child</v>
          </cell>
          <cell r="D2161" t="str">
            <v>Parking Expenses</v>
          </cell>
        </row>
        <row r="2162">
          <cell r="B2162">
            <v>424831</v>
          </cell>
          <cell r="C2162" t="str">
            <v>Child</v>
          </cell>
          <cell r="D2162" t="str">
            <v>Parking Expenses</v>
          </cell>
        </row>
        <row r="2163">
          <cell r="B2163">
            <v>424840</v>
          </cell>
          <cell r="C2163" t="str">
            <v>Child</v>
          </cell>
          <cell r="D2163" t="str">
            <v>Laundry Charges</v>
          </cell>
        </row>
        <row r="2164">
          <cell r="B2164">
            <v>424841</v>
          </cell>
          <cell r="C2164" t="str">
            <v>Child</v>
          </cell>
          <cell r="D2164" t="str">
            <v>Laundry charges</v>
          </cell>
        </row>
        <row r="2165">
          <cell r="B2165">
            <v>424951</v>
          </cell>
          <cell r="C2165" t="str">
            <v>Child</v>
          </cell>
          <cell r="D2165" t="str">
            <v>Extra-ordinary expenses (includes social allowances)</v>
          </cell>
        </row>
        <row r="2166">
          <cell r="B2166">
            <v>424971</v>
          </cell>
          <cell r="C2166" t="str">
            <v>Child</v>
          </cell>
          <cell r="D2166" t="str">
            <v>Payments to other Government Units towards Goods / Services</v>
          </cell>
        </row>
        <row r="2167">
          <cell r="B2167">
            <v>424991</v>
          </cell>
          <cell r="C2167" t="str">
            <v>Child</v>
          </cell>
          <cell r="D2167" t="str">
            <v>Other services, not specifically mentioned elsewhere</v>
          </cell>
        </row>
        <row r="2168">
          <cell r="B2168">
            <v>425000</v>
          </cell>
          <cell r="C2168" t="str">
            <v>Parent</v>
          </cell>
          <cell r="D2168" t="str">
            <v>RENTALS:</v>
          </cell>
        </row>
        <row r="2169">
          <cell r="B2169">
            <v>425110</v>
          </cell>
          <cell r="C2169" t="str">
            <v>Parent</v>
          </cell>
          <cell r="D2169" t="str">
            <v>Rental - Land and Buildings:</v>
          </cell>
        </row>
        <row r="2170">
          <cell r="B2170">
            <v>425111</v>
          </cell>
          <cell r="C2170" t="str">
            <v>Child</v>
          </cell>
          <cell r="D2170" t="str">
            <v>Rental - Land</v>
          </cell>
        </row>
        <row r="2171">
          <cell r="B2171">
            <v>425112</v>
          </cell>
          <cell r="C2171" t="str">
            <v>Child</v>
          </cell>
          <cell r="D2171" t="str">
            <v>Rental - Buildings, other than staff residences</v>
          </cell>
        </row>
        <row r="2172">
          <cell r="B2172">
            <v>425113</v>
          </cell>
          <cell r="C2172" t="str">
            <v>Child</v>
          </cell>
          <cell r="D2172" t="str">
            <v>Rental - Accommodation for sublet</v>
          </cell>
        </row>
        <row r="2173">
          <cell r="B2173">
            <v>425150</v>
          </cell>
          <cell r="C2173" t="str">
            <v>Parent</v>
          </cell>
          <cell r="D2173" t="str">
            <v>Rental - Plant, Machinery and Equipment:</v>
          </cell>
        </row>
        <row r="2174">
          <cell r="B2174">
            <v>425153</v>
          </cell>
          <cell r="C2174" t="str">
            <v>Child</v>
          </cell>
          <cell r="D2174" t="str">
            <v>Rental - Computer hardware-Rental/Subscription - Computer hardware</v>
          </cell>
        </row>
        <row r="2175">
          <cell r="B2175">
            <v>425200</v>
          </cell>
          <cell r="C2175" t="str">
            <v>Parent</v>
          </cell>
          <cell r="D2175" t="str">
            <v>Rental - Vehicles:</v>
          </cell>
        </row>
        <row r="2176">
          <cell r="B2176">
            <v>425201</v>
          </cell>
          <cell r="C2176" t="str">
            <v>Child</v>
          </cell>
          <cell r="D2176" t="str">
            <v>Rental - Aircraft</v>
          </cell>
        </row>
        <row r="2177">
          <cell r="B2177">
            <v>425203</v>
          </cell>
          <cell r="C2177" t="str">
            <v>Child</v>
          </cell>
          <cell r="D2177" t="str">
            <v>Rental - Motor vehicles</v>
          </cell>
        </row>
        <row r="2178">
          <cell r="B2178">
            <v>425204</v>
          </cell>
          <cell r="C2178" t="str">
            <v>Child</v>
          </cell>
          <cell r="D2178" t="str">
            <v>Rental - Vehicles for hire</v>
          </cell>
        </row>
        <row r="2179">
          <cell r="B2179">
            <v>425250</v>
          </cell>
          <cell r="C2179" t="str">
            <v>Parent</v>
          </cell>
          <cell r="D2179" t="str">
            <v>Rental - Other:</v>
          </cell>
        </row>
        <row r="2180">
          <cell r="B2180">
            <v>425251</v>
          </cell>
          <cell r="C2180" t="str">
            <v>Child</v>
          </cell>
          <cell r="D2180" t="str">
            <v>Rental - Furniture and fixtures</v>
          </cell>
        </row>
        <row r="2181">
          <cell r="B2181">
            <v>425252</v>
          </cell>
          <cell r="C2181" t="str">
            <v>Child</v>
          </cell>
          <cell r="D2181" t="str">
            <v>Rental - Computer software-Rental/Subscription - Computer software</v>
          </cell>
        </row>
        <row r="2182">
          <cell r="B2182">
            <v>425253</v>
          </cell>
          <cell r="C2182" t="str">
            <v>Child</v>
          </cell>
          <cell r="D2182" t="str">
            <v>Rental - Computer software-Rental/Subscription - Computer Platform</v>
          </cell>
        </row>
        <row r="2183">
          <cell r="B2183">
            <v>431311</v>
          </cell>
          <cell r="C2183" t="str">
            <v>Child</v>
          </cell>
          <cell r="D2183" t="str">
            <v>Catering supplies: Offices</v>
          </cell>
        </row>
        <row r="2184">
          <cell r="B2184">
            <v>425254</v>
          </cell>
          <cell r="C2184" t="str">
            <v>Child</v>
          </cell>
          <cell r="D2184" t="str">
            <v>Rental - Training facilities (includes premises, equipment, catering, Laboratory,etc)</v>
          </cell>
        </row>
        <row r="2185">
          <cell r="B2185">
            <v>426000</v>
          </cell>
          <cell r="C2185" t="str">
            <v>Parent</v>
          </cell>
          <cell r="D2185" t="str">
            <v>MAINTENANCE  AND  REPAIRS:</v>
          </cell>
        </row>
        <row r="2186">
          <cell r="B2186">
            <v>426111</v>
          </cell>
          <cell r="C2186" t="str">
            <v>Child</v>
          </cell>
          <cell r="D2186" t="str">
            <v>Archaeological sites</v>
          </cell>
        </row>
        <row r="2187">
          <cell r="B2187">
            <v>426112</v>
          </cell>
          <cell r="C2187" t="str">
            <v>Child</v>
          </cell>
          <cell r="D2187" t="str">
            <v>Maintenance of Residential Land</v>
          </cell>
        </row>
        <row r="2188">
          <cell r="B2188">
            <v>426200</v>
          </cell>
          <cell r="C2188" t="str">
            <v>Parent</v>
          </cell>
          <cell r="D2188" t="str">
            <v>Bldg maintenance, repairs &amp; minor improvements:</v>
          </cell>
        </row>
        <row r="2189">
          <cell r="B2189">
            <v>426211</v>
          </cell>
          <cell r="C2189" t="str">
            <v>Child</v>
          </cell>
          <cell r="D2189" t="str">
            <v>Animal pounds and slaughterhouses</v>
          </cell>
        </row>
        <row r="2190">
          <cell r="B2190">
            <v>426212</v>
          </cell>
          <cell r="C2190" t="str">
            <v>Child</v>
          </cell>
          <cell r="D2190" t="str">
            <v>Bldg maintenance-Business premises</v>
          </cell>
        </row>
        <row r="2191">
          <cell r="B2191">
            <v>426213</v>
          </cell>
          <cell r="C2191" t="str">
            <v>Child</v>
          </cell>
          <cell r="D2191" t="str">
            <v>Mosques and other praying facilities</v>
          </cell>
        </row>
        <row r="2192">
          <cell r="B2192">
            <v>426214</v>
          </cell>
          <cell r="C2192" t="str">
            <v>Child</v>
          </cell>
          <cell r="D2192" t="str">
            <v>Public buildings</v>
          </cell>
        </row>
        <row r="2193">
          <cell r="B2193">
            <v>426216</v>
          </cell>
          <cell r="C2193" t="str">
            <v>Child</v>
          </cell>
          <cell r="D2193" t="str">
            <v>Bldg decoration &amp; minor improvements</v>
          </cell>
        </row>
        <row r="2194">
          <cell r="B2194">
            <v>426217</v>
          </cell>
          <cell r="C2194" t="str">
            <v>Child</v>
          </cell>
          <cell r="D2194" t="str">
            <v>Bldg maintenance-Commercial properties</v>
          </cell>
        </row>
        <row r="2195">
          <cell r="B2195">
            <v>426218</v>
          </cell>
          <cell r="C2195" t="str">
            <v>Child</v>
          </cell>
          <cell r="D2195" t="str">
            <v>Sports &amp; recreational facilities Maintenance</v>
          </cell>
        </row>
        <row r="2196">
          <cell r="B2196">
            <v>426300</v>
          </cell>
          <cell r="C2196" t="str">
            <v>Parent</v>
          </cell>
          <cell r="D2196" t="str">
            <v>Plant, machinery and heavy equipment maintenance:</v>
          </cell>
        </row>
        <row r="2197">
          <cell r="B2197">
            <v>426311</v>
          </cell>
          <cell r="C2197" t="str">
            <v>Child</v>
          </cell>
          <cell r="D2197" t="str">
            <v>Maintenance: Power generation/water desalination plant - Heavy</v>
          </cell>
        </row>
        <row r="2198">
          <cell r="B2198">
            <v>426312</v>
          </cell>
          <cell r="C2198" t="str">
            <v>Child</v>
          </cell>
          <cell r="D2198" t="str">
            <v>Power generators - Standby</v>
          </cell>
        </row>
        <row r="2199">
          <cell r="B2199">
            <v>426313</v>
          </cell>
          <cell r="C2199" t="str">
            <v>Child</v>
          </cell>
          <cell r="D2199" t="str">
            <v>Pumps and associated equipment</v>
          </cell>
        </row>
        <row r="2200">
          <cell r="B2200">
            <v>426314</v>
          </cell>
          <cell r="C2200" t="str">
            <v>Child</v>
          </cell>
          <cell r="D2200" t="str">
            <v>Sewerage treatment plant</v>
          </cell>
        </row>
        <row r="2201">
          <cell r="B2201">
            <v>426319</v>
          </cell>
          <cell r="C2201" t="str">
            <v>Child</v>
          </cell>
          <cell r="D2201" t="str">
            <v>Maintenance : Plant, machinery and heavy equipment, nme</v>
          </cell>
        </row>
        <row r="2202">
          <cell r="B2202">
            <v>426400</v>
          </cell>
          <cell r="C2202" t="str">
            <v>Parent</v>
          </cell>
          <cell r="D2202" t="str">
            <v>Other Equipment maintenance and repairs:</v>
          </cell>
        </row>
        <row r="2203">
          <cell r="B2203">
            <v>426411</v>
          </cell>
          <cell r="C2203" t="str">
            <v>Child</v>
          </cell>
          <cell r="D2203" t="str">
            <v>Communications equipment</v>
          </cell>
        </row>
        <row r="2204">
          <cell r="B2204">
            <v>426412</v>
          </cell>
          <cell r="C2204" t="str">
            <v>Child</v>
          </cell>
          <cell r="D2204" t="str">
            <v>Maintenance: Computers and peripherals- incl End user support</v>
          </cell>
        </row>
        <row r="2205">
          <cell r="B2205">
            <v>426413</v>
          </cell>
          <cell r="C2205" t="str">
            <v>Child</v>
          </cell>
          <cell r="D2205" t="str">
            <v>Custom inspection equipment</v>
          </cell>
        </row>
        <row r="2206">
          <cell r="B2206">
            <v>426416</v>
          </cell>
          <cell r="C2206" t="str">
            <v>Child</v>
          </cell>
          <cell r="D2206" t="str">
            <v>Laboratory Equipment maintenance</v>
          </cell>
        </row>
        <row r="2207">
          <cell r="B2207">
            <v>426417</v>
          </cell>
          <cell r="C2207" t="str">
            <v>Child</v>
          </cell>
          <cell r="D2207" t="str">
            <v>Medical equipment maintenance</v>
          </cell>
        </row>
        <row r="2208">
          <cell r="B2208">
            <v>426418</v>
          </cell>
          <cell r="C2208" t="str">
            <v>Child</v>
          </cell>
          <cell r="D2208" t="str">
            <v>Meterological equipment</v>
          </cell>
        </row>
        <row r="2209">
          <cell r="B2209">
            <v>426419</v>
          </cell>
          <cell r="C2209" t="str">
            <v>Child</v>
          </cell>
          <cell r="D2209" t="str">
            <v>Office equipment maintenance</v>
          </cell>
        </row>
        <row r="2210">
          <cell r="B2210">
            <v>426421</v>
          </cell>
          <cell r="C2210" t="str">
            <v>Child</v>
          </cell>
          <cell r="D2210" t="str">
            <v>Printing press equipment</v>
          </cell>
        </row>
        <row r="2211">
          <cell r="B2211">
            <v>426422</v>
          </cell>
          <cell r="C2211" t="str">
            <v>Child</v>
          </cell>
          <cell r="D2211" t="str">
            <v>Maintenance: Equip maint and repairs -Security equipment</v>
          </cell>
        </row>
        <row r="2212">
          <cell r="B2212">
            <v>426425</v>
          </cell>
          <cell r="C2212" t="str">
            <v>Child</v>
          </cell>
          <cell r="D2212" t="str">
            <v>Weapon system equipment</v>
          </cell>
        </row>
        <row r="2213">
          <cell r="B2213">
            <v>426426</v>
          </cell>
          <cell r="C2213" t="str">
            <v>Child</v>
          </cell>
          <cell r="D2213" t="str">
            <v>Maint.&amp;Repair - Workshop equipment</v>
          </cell>
        </row>
        <row r="2214">
          <cell r="B2214">
            <v>426427</v>
          </cell>
          <cell r="C2214" t="str">
            <v>Child</v>
          </cell>
          <cell r="D2214" t="str">
            <v>Maintenance &amp; repair-Exhibition Stands, etc</v>
          </cell>
        </row>
        <row r="2215">
          <cell r="B2215">
            <v>426428</v>
          </cell>
          <cell r="C2215" t="str">
            <v>Child</v>
          </cell>
          <cell r="D2215" t="str">
            <v>Computers and peripherals-Printers maintenance and support</v>
          </cell>
        </row>
        <row r="2216">
          <cell r="B2216">
            <v>426429</v>
          </cell>
          <cell r="C2216" t="str">
            <v>Child</v>
          </cell>
          <cell r="D2216" t="str">
            <v>Computers and peripherals-Network devices maintenance and support</v>
          </cell>
        </row>
        <row r="2217">
          <cell r="B2217">
            <v>426431</v>
          </cell>
          <cell r="C2217" t="str">
            <v>Child</v>
          </cell>
          <cell r="D2217" t="str">
            <v>Computers and peripherals-Security devices maintenance and support</v>
          </cell>
        </row>
        <row r="2218">
          <cell r="B2218">
            <v>426500</v>
          </cell>
          <cell r="C2218" t="str">
            <v>Parent</v>
          </cell>
          <cell r="D2218" t="str">
            <v>Furniture and fixture maintenance:</v>
          </cell>
        </row>
        <row r="2219">
          <cell r="B2219">
            <v>426511</v>
          </cell>
          <cell r="C2219" t="str">
            <v>Child</v>
          </cell>
          <cell r="D2219" t="str">
            <v>Office Furniture and fixtures maintenance</v>
          </cell>
        </row>
        <row r="2220">
          <cell r="B2220">
            <v>426512</v>
          </cell>
          <cell r="C2220" t="str">
            <v>Child</v>
          </cell>
          <cell r="D2220" t="str">
            <v>Residential Furniture and fixtures Maintenance</v>
          </cell>
        </row>
        <row r="2221">
          <cell r="B2221">
            <v>426600</v>
          </cell>
          <cell r="C2221" t="str">
            <v>Parent</v>
          </cell>
          <cell r="D2221" t="str">
            <v>Vehicle maintenance:</v>
          </cell>
        </row>
        <row r="2222">
          <cell r="B2222">
            <v>426612</v>
          </cell>
          <cell r="C2222" t="str">
            <v>Child</v>
          </cell>
          <cell r="D2222" t="str">
            <v>Marine craft</v>
          </cell>
        </row>
        <row r="2223">
          <cell r="B2223">
            <v>426613</v>
          </cell>
          <cell r="C2223" t="str">
            <v>Child</v>
          </cell>
          <cell r="D2223" t="str">
            <v>Military vehicles</v>
          </cell>
        </row>
        <row r="2224">
          <cell r="B2224">
            <v>426614</v>
          </cell>
          <cell r="C2224" t="str">
            <v>Child</v>
          </cell>
          <cell r="D2224" t="str">
            <v>Motor vehicles (non-military)</v>
          </cell>
        </row>
        <row r="2225">
          <cell r="B2225">
            <v>426615</v>
          </cell>
          <cell r="C2225" t="str">
            <v>Child</v>
          </cell>
          <cell r="D2225" t="str">
            <v>Water tankers/drainage vehicles</v>
          </cell>
        </row>
        <row r="2226">
          <cell r="B2226">
            <v>426700</v>
          </cell>
          <cell r="C2226" t="str">
            <v>Parent</v>
          </cell>
          <cell r="D2226" t="str">
            <v>Infrastructure maintenance:</v>
          </cell>
        </row>
        <row r="2227">
          <cell r="B2227">
            <v>426711</v>
          </cell>
          <cell r="C2227" t="str">
            <v>Child</v>
          </cell>
          <cell r="D2227" t="str">
            <v>Electricity distribution network</v>
          </cell>
        </row>
        <row r="2228">
          <cell r="B2228">
            <v>426712</v>
          </cell>
          <cell r="C2228" t="str">
            <v>Child</v>
          </cell>
          <cell r="D2228" t="str">
            <v>Falages (canals)</v>
          </cell>
        </row>
        <row r="2229">
          <cell r="B2229">
            <v>426713</v>
          </cell>
          <cell r="C2229" t="str">
            <v>Child</v>
          </cell>
          <cell r="D2229" t="str">
            <v>Fences and boundary walls</v>
          </cell>
        </row>
        <row r="2230">
          <cell r="B2230">
            <v>426715</v>
          </cell>
          <cell r="C2230" t="str">
            <v>Child</v>
          </cell>
          <cell r="D2230" t="str">
            <v>Graveyards and burial expenses</v>
          </cell>
        </row>
        <row r="2231">
          <cell r="B2231">
            <v>426716</v>
          </cell>
          <cell r="C2231" t="str">
            <v>Child</v>
          </cell>
          <cell r="D2231" t="str">
            <v>Irrigation network maintenance</v>
          </cell>
        </row>
        <row r="2232">
          <cell r="B2232">
            <v>426718</v>
          </cell>
          <cell r="C2232" t="str">
            <v>Child</v>
          </cell>
          <cell r="D2232" t="str">
            <v>Maintenance : Sewerage network</v>
          </cell>
        </row>
        <row r="2233">
          <cell r="B2233">
            <v>426721</v>
          </cell>
          <cell r="C2233" t="str">
            <v>Child</v>
          </cell>
          <cell r="D2233" t="str">
            <v>Water distribution network</v>
          </cell>
        </row>
        <row r="2234">
          <cell r="B2234">
            <v>426722</v>
          </cell>
          <cell r="C2234" t="str">
            <v>Child</v>
          </cell>
          <cell r="D2234" t="str">
            <v>Water wells</v>
          </cell>
        </row>
        <row r="2235">
          <cell r="B2235">
            <v>462316</v>
          </cell>
          <cell r="C2235" t="str">
            <v>Child</v>
          </cell>
          <cell r="D2235" t="str">
            <v>Grant - MIZA </v>
          </cell>
        </row>
        <row r="2236">
          <cell r="B2236">
            <v>426723</v>
          </cell>
          <cell r="C2236" t="str">
            <v>Child</v>
          </cell>
          <cell r="D2236" t="str">
            <v>Rain water/surface water drainage network maintenance</v>
          </cell>
        </row>
        <row r="2237">
          <cell r="B2237">
            <v>430011</v>
          </cell>
          <cell r="C2237" t="str">
            <v>Child</v>
          </cell>
          <cell r="D2237" t="str">
            <v>Cost of goods sold</v>
          </cell>
        </row>
        <row r="2238">
          <cell r="B2238">
            <v>430012</v>
          </cell>
          <cell r="C2238" t="str">
            <v>Child</v>
          </cell>
          <cell r="D2238" t="str">
            <v>Expensed inventory (with no value in Inventory Asset acct)</v>
          </cell>
        </row>
        <row r="2239">
          <cell r="B2239">
            <v>431100</v>
          </cell>
          <cell r="C2239" t="str">
            <v>Parent</v>
          </cell>
          <cell r="D2239" t="str">
            <v>Books and publications:</v>
          </cell>
        </row>
        <row r="2240">
          <cell r="B2240">
            <v>431111</v>
          </cell>
          <cell r="C2240" t="str">
            <v>Child</v>
          </cell>
          <cell r="D2240" t="str">
            <v>Newspapers, magazines, journals, etc</v>
          </cell>
        </row>
        <row r="2241">
          <cell r="B2241">
            <v>431112</v>
          </cell>
          <cell r="C2241" t="str">
            <v>Child</v>
          </cell>
          <cell r="D2241" t="str">
            <v>Historical and cultural books</v>
          </cell>
        </row>
        <row r="2242">
          <cell r="B2242">
            <v>431113</v>
          </cell>
          <cell r="C2242" t="str">
            <v>Child</v>
          </cell>
          <cell r="D2242" t="str">
            <v>Library books supplies</v>
          </cell>
        </row>
        <row r="2243">
          <cell r="B2243">
            <v>431114</v>
          </cell>
          <cell r="C2243" t="str">
            <v>Child</v>
          </cell>
          <cell r="D2243" t="str">
            <v>Text books and library books</v>
          </cell>
        </row>
        <row r="2244">
          <cell r="B2244">
            <v>431115</v>
          </cell>
          <cell r="C2244" t="str">
            <v>Child</v>
          </cell>
          <cell r="D2244" t="str">
            <v>Academic Publications</v>
          </cell>
        </row>
        <row r="2245">
          <cell r="B2245">
            <v>431116</v>
          </cell>
          <cell r="C2245" t="str">
            <v>Child</v>
          </cell>
          <cell r="D2245" t="str">
            <v>School consumables, not specifically mentioned elsewhere</v>
          </cell>
        </row>
        <row r="2246">
          <cell r="B2246">
            <v>431200</v>
          </cell>
          <cell r="C2246" t="str">
            <v>Parent</v>
          </cell>
          <cell r="D2246" t="str">
            <v>Medical and Hospital supplies:</v>
          </cell>
        </row>
        <row r="2247">
          <cell r="B2247">
            <v>431211</v>
          </cell>
          <cell r="C2247" t="str">
            <v>Child</v>
          </cell>
          <cell r="D2247" t="str">
            <v>Pharmaceutical and other medicinal products</v>
          </cell>
        </row>
        <row r="2248">
          <cell r="B2248">
            <v>431212</v>
          </cell>
          <cell r="C2248" t="str">
            <v>Child</v>
          </cell>
          <cell r="D2248" t="str">
            <v>Test kits and non-pharmaceutical supplies</v>
          </cell>
        </row>
        <row r="2249">
          <cell r="B2249">
            <v>431213</v>
          </cell>
          <cell r="C2249" t="str">
            <v>Child</v>
          </cell>
          <cell r="D2249" t="str">
            <v>Vaccines</v>
          </cell>
        </row>
        <row r="2250">
          <cell r="B2250">
            <v>431214</v>
          </cell>
          <cell r="C2250" t="str">
            <v>Child</v>
          </cell>
          <cell r="D2250" t="str">
            <v>Veterinary Medical Supplies</v>
          </cell>
        </row>
        <row r="2251">
          <cell r="B2251">
            <v>431215</v>
          </cell>
          <cell r="C2251" t="str">
            <v>Child</v>
          </cell>
          <cell r="D2251" t="str">
            <v>Consolidated COVID related Expenditure</v>
          </cell>
        </row>
        <row r="2252">
          <cell r="B2252">
            <v>431300</v>
          </cell>
          <cell r="C2252" t="str">
            <v>Parent</v>
          </cell>
          <cell r="D2252" t="str">
            <v>Catering supplies:</v>
          </cell>
        </row>
        <row r="2253">
          <cell r="B2253">
            <v>461857</v>
          </cell>
          <cell r="C2253" t="str">
            <v>Child</v>
          </cell>
          <cell r="D2253" t="str">
            <v>UAE Chess Federation</v>
          </cell>
        </row>
        <row r="2254">
          <cell r="B2254">
            <v>431312</v>
          </cell>
          <cell r="C2254" t="str">
            <v>Child</v>
          </cell>
          <cell r="D2254" t="str">
            <v>Catering supplies:Hospitals</v>
          </cell>
        </row>
        <row r="2255">
          <cell r="B2255">
            <v>431313</v>
          </cell>
          <cell r="C2255" t="str">
            <v>Child</v>
          </cell>
          <cell r="D2255" t="str">
            <v>Catering supplies:Prisons</v>
          </cell>
        </row>
        <row r="2256">
          <cell r="B2256">
            <v>431314</v>
          </cell>
          <cell r="C2256" t="str">
            <v>Child</v>
          </cell>
          <cell r="D2256" t="str">
            <v>Catering supplies:Schools</v>
          </cell>
        </row>
        <row r="2257">
          <cell r="B2257">
            <v>431319</v>
          </cell>
          <cell r="C2257" t="str">
            <v>Child</v>
          </cell>
          <cell r="D2257" t="str">
            <v>Other Catering supplies not stated elsewhere</v>
          </cell>
        </row>
        <row r="2258">
          <cell r="B2258">
            <v>431411</v>
          </cell>
          <cell r="C2258" t="str">
            <v>Child</v>
          </cell>
          <cell r="D2258" t="str">
            <v>Laboratory - Public health (Food control)</v>
          </cell>
        </row>
        <row r="2259">
          <cell r="B2259">
            <v>431412</v>
          </cell>
          <cell r="C2259" t="str">
            <v>Child</v>
          </cell>
          <cell r="D2259" t="str">
            <v>Laboratory - Medical</v>
          </cell>
        </row>
        <row r="2260">
          <cell r="B2260">
            <v>431413</v>
          </cell>
          <cell r="C2260" t="str">
            <v>Child</v>
          </cell>
          <cell r="D2260" t="str">
            <v>Laboratory - Scientific</v>
          </cell>
        </row>
        <row r="2261">
          <cell r="B2261">
            <v>431414</v>
          </cell>
          <cell r="C2261" t="str">
            <v>Child</v>
          </cell>
          <cell r="D2261" t="str">
            <v>Laboratory - Veterinary</v>
          </cell>
        </row>
        <row r="2262">
          <cell r="B2262">
            <v>431500</v>
          </cell>
          <cell r="C2262" t="str">
            <v>Parent</v>
          </cell>
          <cell r="D2262" t="str">
            <v>Research and development:</v>
          </cell>
        </row>
        <row r="2263">
          <cell r="B2263">
            <v>431511</v>
          </cell>
          <cell r="C2263" t="str">
            <v>Child</v>
          </cell>
          <cell r="D2263" t="str">
            <v>Research &amp; Development - Agriculture</v>
          </cell>
        </row>
        <row r="2264">
          <cell r="B2264">
            <v>431512</v>
          </cell>
          <cell r="C2264" t="str">
            <v>Child</v>
          </cell>
          <cell r="D2264" t="str">
            <v>Heritage and historical</v>
          </cell>
        </row>
        <row r="2265">
          <cell r="B2265">
            <v>431600</v>
          </cell>
          <cell r="C2265" t="str">
            <v>Parent</v>
          </cell>
          <cell r="D2265" t="str">
            <v>Fuel, oil and lubricants:</v>
          </cell>
        </row>
        <row r="2266">
          <cell r="B2266">
            <v>431611</v>
          </cell>
          <cell r="C2266" t="str">
            <v>Child</v>
          </cell>
          <cell r="D2266" t="str">
            <v>Fuel, oil and lubricants: Aircraft</v>
          </cell>
        </row>
        <row r="2267">
          <cell r="B2267">
            <v>431612</v>
          </cell>
          <cell r="C2267" t="str">
            <v>Child</v>
          </cell>
          <cell r="D2267" t="str">
            <v>Fuel, oil and lubricants: Kitchen (including cooking gas)</v>
          </cell>
        </row>
        <row r="2268">
          <cell r="B2268">
            <v>431613</v>
          </cell>
          <cell r="C2268" t="str">
            <v>Child</v>
          </cell>
          <cell r="D2268" t="str">
            <v>Fuel, oil and lubricants: Marine craft</v>
          </cell>
        </row>
        <row r="2269">
          <cell r="B2269">
            <v>431614</v>
          </cell>
          <cell r="C2269" t="str">
            <v>Child</v>
          </cell>
          <cell r="D2269" t="str">
            <v>Fuel, oil and lubricants: Motor vehicles</v>
          </cell>
        </row>
        <row r="2270">
          <cell r="B2270">
            <v>431615</v>
          </cell>
          <cell r="C2270" t="str">
            <v>Child</v>
          </cell>
          <cell r="D2270" t="str">
            <v>Fuel, oil and lubricants: Plant and machinery</v>
          </cell>
        </row>
        <row r="2271">
          <cell r="B2271">
            <v>431616</v>
          </cell>
          <cell r="C2271" t="str">
            <v>Child</v>
          </cell>
          <cell r="D2271" t="str">
            <v>Fuel, oil and lubricants: Power generators</v>
          </cell>
        </row>
        <row r="2272">
          <cell r="B2272">
            <v>431617</v>
          </cell>
          <cell r="C2272" t="str">
            <v>Child</v>
          </cell>
          <cell r="D2272" t="str">
            <v>Fuel, oil and lubricants: Water pumps and engines</v>
          </cell>
        </row>
        <row r="2273">
          <cell r="B2273">
            <v>431619</v>
          </cell>
          <cell r="C2273" t="str">
            <v>Child</v>
          </cell>
          <cell r="D2273" t="str">
            <v>Fuel, oil and lubricants: Other equipment, not specified elsewhere</v>
          </cell>
        </row>
        <row r="2274">
          <cell r="B2274">
            <v>431711</v>
          </cell>
          <cell r="C2274" t="str">
            <v>Child</v>
          </cell>
          <cell r="D2274" t="str">
            <v>Cost of purchase of animals, birds, etc for zoos, aquariums, etc</v>
          </cell>
        </row>
        <row r="2275">
          <cell r="B2275">
            <v>431713</v>
          </cell>
          <cell r="C2275" t="str">
            <v>Child</v>
          </cell>
          <cell r="D2275" t="str">
            <v>Animals and birds upkeep</v>
          </cell>
        </row>
        <row r="2276">
          <cell r="B2276">
            <v>431800</v>
          </cell>
          <cell r="C2276" t="str">
            <v>Parent</v>
          </cell>
          <cell r="D2276" t="str">
            <v>Printing and stationery:</v>
          </cell>
        </row>
        <row r="2277">
          <cell r="B2277">
            <v>431811</v>
          </cell>
          <cell r="C2277" t="str">
            <v>Child</v>
          </cell>
          <cell r="D2277" t="str">
            <v>Printing supplies</v>
          </cell>
        </row>
        <row r="2278">
          <cell r="B2278">
            <v>431812</v>
          </cell>
          <cell r="C2278" t="str">
            <v>Child</v>
          </cell>
          <cell r="D2278" t="str">
            <v>Stationery</v>
          </cell>
        </row>
        <row r="2279">
          <cell r="B2279">
            <v>431813</v>
          </cell>
          <cell r="C2279" t="str">
            <v>Child</v>
          </cell>
          <cell r="D2279" t="str">
            <v>Security stationery supplies (ID cards, licenses, passports, etc)</v>
          </cell>
        </row>
        <row r="2280">
          <cell r="B2280">
            <v>431900</v>
          </cell>
          <cell r="C2280" t="str">
            <v>Parent</v>
          </cell>
          <cell r="D2280" t="str">
            <v>Signs at Roads and other locations</v>
          </cell>
        </row>
        <row r="2281">
          <cell r="B2281">
            <v>431911</v>
          </cell>
          <cell r="C2281" t="str">
            <v>Child</v>
          </cell>
          <cell r="D2281" t="str">
            <v>Signs at Business premises</v>
          </cell>
        </row>
        <row r="2282">
          <cell r="B2282">
            <v>431912</v>
          </cell>
          <cell r="C2282" t="str">
            <v>Child</v>
          </cell>
          <cell r="D2282" t="str">
            <v>Road signs</v>
          </cell>
        </row>
        <row r="2283">
          <cell r="B2283">
            <v>462111</v>
          </cell>
          <cell r="C2283" t="str">
            <v>Child</v>
          </cell>
          <cell r="D2283" t="str">
            <v>Grants-Ajman</v>
          </cell>
        </row>
        <row r="2284">
          <cell r="B2284">
            <v>432100</v>
          </cell>
          <cell r="C2284" t="str">
            <v>Parent</v>
          </cell>
          <cell r="D2284" t="str">
            <v>Sports and other recreational supplies:</v>
          </cell>
        </row>
        <row r="2285">
          <cell r="B2285">
            <v>432111</v>
          </cell>
          <cell r="C2285" t="str">
            <v>Child</v>
          </cell>
          <cell r="D2285" t="str">
            <v>Sports and other recreational supplies for Employees</v>
          </cell>
        </row>
        <row r="2286">
          <cell r="B2286">
            <v>432112</v>
          </cell>
          <cell r="C2286" t="str">
            <v>Child</v>
          </cell>
          <cell r="D2286" t="str">
            <v>Sports and other recreational supplies: Students</v>
          </cell>
        </row>
        <row r="2287">
          <cell r="B2287">
            <v>432211</v>
          </cell>
          <cell r="C2287" t="str">
            <v>Child</v>
          </cell>
          <cell r="D2287" t="str">
            <v>Tents and other temporary accommodation material</v>
          </cell>
        </row>
        <row r="2288">
          <cell r="B2288">
            <v>432212</v>
          </cell>
          <cell r="C2288" t="str">
            <v>Child</v>
          </cell>
          <cell r="D2288" t="str">
            <v>Tents and other temporary accommodation material</v>
          </cell>
        </row>
        <row r="2289">
          <cell r="B2289">
            <v>432311</v>
          </cell>
          <cell r="C2289" t="str">
            <v>Child</v>
          </cell>
          <cell r="D2289" t="str">
            <v xml:space="preserve"> Equipment for Training course</v>
          </cell>
        </row>
        <row r="2290">
          <cell r="B2290">
            <v>432312</v>
          </cell>
          <cell r="C2290" t="str">
            <v>Child</v>
          </cell>
          <cell r="D2290" t="str">
            <v>Training/Teaching equipment and other educational aid</v>
          </cell>
        </row>
        <row r="2291">
          <cell r="B2291">
            <v>432400</v>
          </cell>
          <cell r="C2291" t="str">
            <v>Parent</v>
          </cell>
          <cell r="D2291" t="str">
            <v>Uniforms and accessories:</v>
          </cell>
        </row>
        <row r="2292">
          <cell r="B2292">
            <v>432411</v>
          </cell>
          <cell r="C2292" t="str">
            <v>Child</v>
          </cell>
          <cell r="D2292" t="str">
            <v>Uniforms and accessories for Employees</v>
          </cell>
        </row>
        <row r="2293">
          <cell r="B2293">
            <v>432412</v>
          </cell>
          <cell r="C2293" t="str">
            <v>Child</v>
          </cell>
          <cell r="D2293" t="str">
            <v>Uniforms and accessories for Prisoners</v>
          </cell>
        </row>
        <row r="2294">
          <cell r="B2294">
            <v>432413</v>
          </cell>
          <cell r="C2294" t="str">
            <v>Child</v>
          </cell>
          <cell r="D2294" t="str">
            <v>Uniforms and accessories: Students</v>
          </cell>
        </row>
        <row r="2295">
          <cell r="B2295">
            <v>432500</v>
          </cell>
          <cell r="C2295" t="str">
            <v>Parent</v>
          </cell>
          <cell r="D2295" t="str">
            <v>House-keeping supplies:</v>
          </cell>
        </row>
        <row r="2296">
          <cell r="B2296">
            <v>432511</v>
          </cell>
          <cell r="C2296" t="str">
            <v>Child</v>
          </cell>
          <cell r="D2296" t="str">
            <v>Furnishings</v>
          </cell>
        </row>
        <row r="2297">
          <cell r="B2297">
            <v>432512</v>
          </cell>
          <cell r="C2297" t="str">
            <v>Child</v>
          </cell>
          <cell r="D2297" t="str">
            <v>Kitchen utensils, crockery and cutlery</v>
          </cell>
        </row>
        <row r="2298">
          <cell r="B2298">
            <v>432513</v>
          </cell>
          <cell r="C2298" t="str">
            <v>Child</v>
          </cell>
          <cell r="D2298" t="str">
            <v>Linen, towels and other apparels</v>
          </cell>
        </row>
        <row r="2299">
          <cell r="B2299">
            <v>432600</v>
          </cell>
          <cell r="C2299" t="str">
            <v>Parent</v>
          </cell>
          <cell r="D2299" t="str">
            <v>Other Consumable materials and tools:</v>
          </cell>
        </row>
        <row r="2300">
          <cell r="B2300">
            <v>432612</v>
          </cell>
          <cell r="C2300" t="str">
            <v>Child</v>
          </cell>
          <cell r="D2300" t="str">
            <v>Other Consumable materials and tools: Airconditioning</v>
          </cell>
        </row>
        <row r="2301">
          <cell r="B2301">
            <v>432614</v>
          </cell>
          <cell r="C2301" t="str">
            <v>Child</v>
          </cell>
          <cell r="D2301" t="str">
            <v>Landscaping and other horticulture</v>
          </cell>
        </row>
        <row r="2302">
          <cell r="B2302">
            <v>432615</v>
          </cell>
          <cell r="C2302" t="str">
            <v>Child</v>
          </cell>
          <cell r="D2302" t="str">
            <v>Parks and gardens, other than horticultural supplies</v>
          </cell>
        </row>
        <row r="2303">
          <cell r="B2303">
            <v>432616</v>
          </cell>
          <cell r="C2303" t="str">
            <v>Child</v>
          </cell>
          <cell r="D2303" t="str">
            <v>Meteorological stations</v>
          </cell>
        </row>
        <row r="2304">
          <cell r="B2304">
            <v>432617</v>
          </cell>
          <cell r="C2304" t="str">
            <v>Child</v>
          </cell>
          <cell r="D2304" t="str">
            <v>Motor vehicles, other than fuel, oil and lubricants</v>
          </cell>
        </row>
        <row r="2305">
          <cell r="B2305">
            <v>432619</v>
          </cell>
          <cell r="C2305" t="str">
            <v>Child</v>
          </cell>
          <cell r="D2305" t="str">
            <v>Recreation and sports</v>
          </cell>
        </row>
        <row r="2306">
          <cell r="B2306">
            <v>432621</v>
          </cell>
          <cell r="C2306" t="str">
            <v>Child</v>
          </cell>
          <cell r="D2306" t="str">
            <v>Photography - Consumable materials /Tools</v>
          </cell>
        </row>
        <row r="2307">
          <cell r="B2307">
            <v>432622</v>
          </cell>
          <cell r="C2307" t="str">
            <v>Child</v>
          </cell>
          <cell r="D2307" t="str">
            <v>Training aid and other supplies</v>
          </cell>
        </row>
        <row r="2308">
          <cell r="B2308">
            <v>432623</v>
          </cell>
          <cell r="C2308" t="str">
            <v>Child</v>
          </cell>
          <cell r="D2308" t="str">
            <v>Supplies for other purpose, not specified elsewhere</v>
          </cell>
        </row>
        <row r="2309">
          <cell r="B2309">
            <v>432624</v>
          </cell>
          <cell r="C2309" t="str">
            <v>Child</v>
          </cell>
          <cell r="D2309" t="str">
            <v>Exhibits: Museums</v>
          </cell>
        </row>
        <row r="2310">
          <cell r="B2310">
            <v>432625</v>
          </cell>
          <cell r="C2310" t="str">
            <v>Child</v>
          </cell>
          <cell r="D2310" t="str">
            <v>Charges for Artwork/Exhibits on Loan</v>
          </cell>
        </row>
        <row r="2311">
          <cell r="B2311">
            <v>432721</v>
          </cell>
          <cell r="C2311" t="str">
            <v>Child</v>
          </cell>
          <cell r="D2311" t="str">
            <v>Stables - operational and maintenance costs</v>
          </cell>
        </row>
        <row r="2312">
          <cell r="B2312">
            <v>432911</v>
          </cell>
          <cell r="C2312" t="str">
            <v>Child</v>
          </cell>
          <cell r="D2312" t="str">
            <v>Raw materials (for processing goods for re-sale)</v>
          </cell>
        </row>
        <row r="2313">
          <cell r="B2313">
            <v>432921</v>
          </cell>
          <cell r="C2313" t="str">
            <v>Child</v>
          </cell>
          <cell r="D2313" t="str">
            <v>Strategic commodities and other foodstuff for re-sale</v>
          </cell>
        </row>
        <row r="2314">
          <cell r="B2314">
            <v>435000</v>
          </cell>
          <cell r="C2314" t="str">
            <v>Parent</v>
          </cell>
          <cell r="D2314" t="str">
            <v>PROVISIONS:</v>
          </cell>
        </row>
        <row r="2315">
          <cell r="B2315">
            <v>435100</v>
          </cell>
          <cell r="C2315" t="str">
            <v>Parent</v>
          </cell>
          <cell r="D2315" t="str">
            <v>Provision for Doubtful Debts</v>
          </cell>
        </row>
        <row r="2316">
          <cell r="B2316">
            <v>435110</v>
          </cell>
          <cell r="C2316" t="str">
            <v>Child</v>
          </cell>
          <cell r="D2316" t="str">
            <v>Doubtful Debts - Sale of Goods and service</v>
          </cell>
        </row>
        <row r="2317">
          <cell r="B2317">
            <v>435120</v>
          </cell>
          <cell r="C2317" t="str">
            <v>Child</v>
          </cell>
          <cell r="D2317" t="str">
            <v>Doubtful Debts - Loans Receivable</v>
          </cell>
        </row>
        <row r="2318">
          <cell r="B2318">
            <v>435130</v>
          </cell>
          <cell r="C2318" t="str">
            <v>Child</v>
          </cell>
          <cell r="D2318" t="str">
            <v>Doubtful Debts - Other</v>
          </cell>
        </row>
        <row r="2319">
          <cell r="B2319">
            <v>435140</v>
          </cell>
          <cell r="C2319" t="str">
            <v>Child</v>
          </cell>
          <cell r="D2319" t="str">
            <v>Expenditure Provision for slow-moving inventory (BG-8 only)</v>
          </cell>
        </row>
        <row r="2320">
          <cell r="B2320">
            <v>435200</v>
          </cell>
          <cell r="C2320" t="str">
            <v>Parent</v>
          </cell>
          <cell r="D2320" t="str">
            <v>Depreciation / Amortization charges:</v>
          </cell>
        </row>
        <row r="2321">
          <cell r="B2321">
            <v>463762</v>
          </cell>
          <cell r="C2321" t="str">
            <v>Child</v>
          </cell>
          <cell r="D2321" t="str">
            <v>Grant-Taijikistan</v>
          </cell>
        </row>
        <row r="2322">
          <cell r="B2322">
            <v>435210</v>
          </cell>
          <cell r="C2322" t="str">
            <v>Child</v>
          </cell>
          <cell r="D2322" t="str">
            <v>Depreciation Chg. - Depreciable land improvements</v>
          </cell>
        </row>
        <row r="2323">
          <cell r="B2323">
            <v>435220</v>
          </cell>
          <cell r="C2323" t="str">
            <v>Child</v>
          </cell>
          <cell r="D2323" t="str">
            <v>Depreciation - Buildings</v>
          </cell>
        </row>
        <row r="2324">
          <cell r="B2324">
            <v>435230</v>
          </cell>
          <cell r="C2324" t="str">
            <v>Child</v>
          </cell>
          <cell r="D2324" t="str">
            <v>Depreciation Chg - Plant, machinery and equipment</v>
          </cell>
        </row>
        <row r="2325">
          <cell r="B2325">
            <v>435240</v>
          </cell>
          <cell r="C2325" t="str">
            <v>Child</v>
          </cell>
          <cell r="D2325" t="str">
            <v>Ground, Sea, and Air Transportation  equipment</v>
          </cell>
        </row>
        <row r="2326">
          <cell r="B2326">
            <v>435250</v>
          </cell>
          <cell r="C2326" t="str">
            <v>Child</v>
          </cell>
          <cell r="D2326" t="str">
            <v>Depreciation Chg - Furniture and fixtures</v>
          </cell>
        </row>
        <row r="2327">
          <cell r="B2327">
            <v>435260</v>
          </cell>
          <cell r="C2327" t="str">
            <v>Child</v>
          </cell>
          <cell r="D2327" t="str">
            <v>Depreciation Chg - Computer software</v>
          </cell>
        </row>
        <row r="2328">
          <cell r="B2328">
            <v>438841</v>
          </cell>
          <cell r="C2328" t="str">
            <v>Child</v>
          </cell>
          <cell r="D2328" t="str">
            <v>Bad Debts - Other</v>
          </cell>
        </row>
        <row r="2329">
          <cell r="B2329">
            <v>435270</v>
          </cell>
          <cell r="C2329" t="str">
            <v>Child</v>
          </cell>
          <cell r="D2329" t="str">
            <v>Depreciation - Investment Properties</v>
          </cell>
        </row>
        <row r="2330">
          <cell r="B2330">
            <v>435280</v>
          </cell>
          <cell r="C2330" t="str">
            <v>Child</v>
          </cell>
          <cell r="D2330" t="str">
            <v>Depreciation / amortisation of Cultural and heritage assets</v>
          </cell>
        </row>
        <row r="2331">
          <cell r="B2331">
            <v>435310</v>
          </cell>
          <cell r="C2331" t="str">
            <v>Parent</v>
          </cell>
          <cell r="D2331" t="str">
            <v>Amortization / Depreciation on leased assets :</v>
          </cell>
        </row>
        <row r="2332">
          <cell r="B2332">
            <v>435311</v>
          </cell>
          <cell r="C2332" t="str">
            <v>Child</v>
          </cell>
          <cell r="D2332" t="str">
            <v>Leased Land</v>
          </cell>
        </row>
        <row r="2333">
          <cell r="B2333">
            <v>435312</v>
          </cell>
          <cell r="C2333" t="str">
            <v>Child</v>
          </cell>
          <cell r="D2333" t="str">
            <v>Leased Buildings</v>
          </cell>
        </row>
        <row r="2334">
          <cell r="B2334">
            <v>435313</v>
          </cell>
          <cell r="C2334" t="str">
            <v>Child</v>
          </cell>
          <cell r="D2334" t="str">
            <v>Leased Plant, machinery and equipment</v>
          </cell>
        </row>
        <row r="2335">
          <cell r="B2335">
            <v>435314</v>
          </cell>
          <cell r="C2335" t="str">
            <v>Child</v>
          </cell>
          <cell r="D2335" t="str">
            <v>Leased Motor vehicles</v>
          </cell>
        </row>
        <row r="2336">
          <cell r="B2336">
            <v>435315</v>
          </cell>
          <cell r="C2336" t="str">
            <v>Child</v>
          </cell>
          <cell r="D2336" t="str">
            <v>Leased Aircraft</v>
          </cell>
        </row>
        <row r="2337">
          <cell r="B2337">
            <v>435316</v>
          </cell>
          <cell r="C2337" t="str">
            <v>Child</v>
          </cell>
          <cell r="D2337" t="str">
            <v>Leased ships and boats</v>
          </cell>
        </row>
        <row r="2338">
          <cell r="B2338">
            <v>435317</v>
          </cell>
          <cell r="C2338" t="str">
            <v>Child</v>
          </cell>
          <cell r="D2338" t="str">
            <v>Leased specialised military equipment</v>
          </cell>
        </row>
        <row r="2339">
          <cell r="B2339">
            <v>435318</v>
          </cell>
          <cell r="C2339" t="str">
            <v>Child</v>
          </cell>
          <cell r="D2339" t="str">
            <v>Leased Furniture and fixtures</v>
          </cell>
        </row>
        <row r="2340">
          <cell r="B2340">
            <v>435319</v>
          </cell>
          <cell r="C2340" t="str">
            <v>Child</v>
          </cell>
          <cell r="D2340" t="str">
            <v>Leased computer software</v>
          </cell>
        </row>
        <row r="2341">
          <cell r="B2341">
            <v>435321</v>
          </cell>
          <cell r="C2341" t="str">
            <v>Child</v>
          </cell>
          <cell r="D2341" t="str">
            <v>Intangible non-produced assets</v>
          </cell>
        </row>
        <row r="2342">
          <cell r="B2342">
            <v>435322</v>
          </cell>
          <cell r="C2342" t="str">
            <v>Child</v>
          </cell>
          <cell r="D2342" t="str">
            <v>Leased Other Assets</v>
          </cell>
        </row>
        <row r="2343">
          <cell r="B2343">
            <v>435350</v>
          </cell>
          <cell r="C2343" t="str">
            <v>Parent</v>
          </cell>
          <cell r="D2343" t="str">
            <v>Depreciaion Chg - Infrastructural Assets Not mentioned elsewhere</v>
          </cell>
        </row>
        <row r="2344">
          <cell r="B2344">
            <v>450133</v>
          </cell>
          <cell r="C2344" t="str">
            <v>Child</v>
          </cell>
          <cell r="D2344" t="str">
            <v>CTL Transfers to GRF</v>
          </cell>
        </row>
        <row r="2345">
          <cell r="B2345">
            <v>435351</v>
          </cell>
          <cell r="C2345" t="str">
            <v>Child</v>
          </cell>
          <cell r="D2345" t="str">
            <v>Depreciaion Chg-Agriculture Farms</v>
          </cell>
        </row>
        <row r="2346">
          <cell r="B2346">
            <v>435352</v>
          </cell>
          <cell r="C2346" t="str">
            <v>Child</v>
          </cell>
          <cell r="D2346" t="str">
            <v>Depreciaion Chg-Marinas</v>
          </cell>
        </row>
        <row r="2347">
          <cell r="B2347">
            <v>435353</v>
          </cell>
          <cell r="C2347" t="str">
            <v>Child</v>
          </cell>
          <cell r="D2347" t="str">
            <v>Depreciaion Chg-Roads &amp; related infrastructures</v>
          </cell>
        </row>
        <row r="2348">
          <cell r="B2348">
            <v>435354</v>
          </cell>
          <cell r="C2348" t="str">
            <v>Child</v>
          </cell>
          <cell r="D2348" t="str">
            <v>Depreciaion Chg-Rail network</v>
          </cell>
        </row>
        <row r="2349">
          <cell r="B2349">
            <v>435355</v>
          </cell>
          <cell r="C2349" t="str">
            <v>Child</v>
          </cell>
          <cell r="D2349" t="str">
            <v>Depreciaion Chg-Airports</v>
          </cell>
        </row>
        <row r="2350">
          <cell r="B2350">
            <v>435356</v>
          </cell>
          <cell r="C2350" t="str">
            <v>Child</v>
          </cell>
          <cell r="D2350" t="str">
            <v>Depreciaion Chg-Sea Ports</v>
          </cell>
        </row>
        <row r="2351">
          <cell r="B2351">
            <v>435357</v>
          </cell>
          <cell r="C2351" t="str">
            <v>Child</v>
          </cell>
          <cell r="D2351" t="str">
            <v>Depreciaion Chg-Industrial &amp; FTZ</v>
          </cell>
        </row>
        <row r="2352">
          <cell r="B2352">
            <v>461827</v>
          </cell>
          <cell r="C2352" t="str">
            <v>Child</v>
          </cell>
          <cell r="D2352" t="str">
            <v>UAE Wrestling Society</v>
          </cell>
        </row>
        <row r="2353">
          <cell r="B2353">
            <v>435358</v>
          </cell>
          <cell r="C2353" t="str">
            <v>Child</v>
          </cell>
          <cell r="D2353" t="str">
            <v>Depreciaion Chg-Environment Protection Facilities</v>
          </cell>
        </row>
        <row r="2354">
          <cell r="B2354">
            <v>435359</v>
          </cell>
          <cell r="C2354" t="str">
            <v>Child</v>
          </cell>
          <cell r="D2354" t="str">
            <v>Depreciaion Chg-Recreational Facilities</v>
          </cell>
        </row>
        <row r="2355">
          <cell r="B2355">
            <v>435361</v>
          </cell>
          <cell r="C2355" t="str">
            <v>Child</v>
          </cell>
          <cell r="D2355" t="str">
            <v>Depreciation-Utilities</v>
          </cell>
        </row>
        <row r="2356">
          <cell r="B2356">
            <v>435362</v>
          </cell>
          <cell r="C2356" t="str">
            <v>Child</v>
          </cell>
          <cell r="D2356" t="str">
            <v>Depreciation - Health infrastructure</v>
          </cell>
        </row>
        <row r="2357">
          <cell r="B2357">
            <v>435369</v>
          </cell>
          <cell r="C2357" t="str">
            <v>Child</v>
          </cell>
          <cell r="D2357" t="str">
            <v>Depreciation -Other Infrastructural Assets not mentioned elsewhere</v>
          </cell>
        </row>
        <row r="2358">
          <cell r="B2358">
            <v>435400</v>
          </cell>
          <cell r="C2358" t="str">
            <v>Parent</v>
          </cell>
          <cell r="D2358" t="str">
            <v>Impairement expenses on assets</v>
          </cell>
        </row>
        <row r="2359">
          <cell r="B2359">
            <v>435401</v>
          </cell>
          <cell r="C2359" t="str">
            <v>Child</v>
          </cell>
          <cell r="D2359" t="str">
            <v>Impairment charges – Land and land improvements</v>
          </cell>
        </row>
        <row r="2360">
          <cell r="B2360">
            <v>435402</v>
          </cell>
          <cell r="C2360" t="str">
            <v>Child</v>
          </cell>
          <cell r="D2360" t="str">
            <v>Impairment charges - Buildings</v>
          </cell>
        </row>
        <row r="2361">
          <cell r="B2361">
            <v>435403</v>
          </cell>
          <cell r="C2361" t="str">
            <v>Child</v>
          </cell>
          <cell r="D2361" t="str">
            <v>Impairment charges - Plant,machinery&amp;Equipment</v>
          </cell>
        </row>
        <row r="2362">
          <cell r="B2362">
            <v>435404</v>
          </cell>
          <cell r="C2362" t="str">
            <v>Child</v>
          </cell>
          <cell r="D2362" t="str">
            <v>Impairment charges -Vehicles,ships&amp;aircraft</v>
          </cell>
        </row>
        <row r="2363">
          <cell r="B2363">
            <v>435405</v>
          </cell>
          <cell r="C2363" t="str">
            <v>Child</v>
          </cell>
          <cell r="D2363" t="str">
            <v>Impairment charges -furniture &amp; fixtures</v>
          </cell>
        </row>
        <row r="2364">
          <cell r="B2364">
            <v>435406</v>
          </cell>
          <cell r="C2364" t="str">
            <v>Child</v>
          </cell>
          <cell r="D2364" t="str">
            <v>Impairment charges -computer software</v>
          </cell>
        </row>
        <row r="2365">
          <cell r="B2365">
            <v>435407</v>
          </cell>
          <cell r="C2365" t="str">
            <v>Child</v>
          </cell>
          <cell r="D2365" t="str">
            <v>Impairment charges -Infrastructures not mentioned elsewhere</v>
          </cell>
        </row>
        <row r="2366">
          <cell r="B2366">
            <v>435408</v>
          </cell>
          <cell r="C2366" t="str">
            <v>Child</v>
          </cell>
          <cell r="D2366" t="str">
            <v>Impairment-Agriculture Farms</v>
          </cell>
        </row>
        <row r="2367">
          <cell r="B2367">
            <v>435409</v>
          </cell>
          <cell r="C2367" t="str">
            <v>Child</v>
          </cell>
          <cell r="D2367" t="str">
            <v>Impairment-Marinas</v>
          </cell>
        </row>
        <row r="2368">
          <cell r="B2368">
            <v>435410</v>
          </cell>
          <cell r="C2368" t="str">
            <v>Child</v>
          </cell>
          <cell r="D2368" t="str">
            <v>Impairment-Roads &amp; related infrastructures</v>
          </cell>
        </row>
        <row r="2369">
          <cell r="B2369">
            <v>435411</v>
          </cell>
          <cell r="C2369" t="str">
            <v>Child</v>
          </cell>
          <cell r="D2369" t="str">
            <v>Impairment-Rail network</v>
          </cell>
        </row>
        <row r="2370">
          <cell r="B2370">
            <v>435412</v>
          </cell>
          <cell r="C2370" t="str">
            <v>Child</v>
          </cell>
          <cell r="D2370" t="str">
            <v>Impairment-Airports</v>
          </cell>
        </row>
        <row r="2371">
          <cell r="B2371">
            <v>435413</v>
          </cell>
          <cell r="C2371" t="str">
            <v>Child</v>
          </cell>
          <cell r="D2371" t="str">
            <v>Impairment-Sea Ports</v>
          </cell>
        </row>
        <row r="2372">
          <cell r="B2372">
            <v>435414</v>
          </cell>
          <cell r="C2372" t="str">
            <v>Child</v>
          </cell>
          <cell r="D2372" t="str">
            <v>Impairment-Industrial &amp; FTZ</v>
          </cell>
        </row>
        <row r="2373">
          <cell r="B2373">
            <v>435415</v>
          </cell>
          <cell r="C2373" t="str">
            <v>Child</v>
          </cell>
          <cell r="D2373" t="str">
            <v>Impairment-Environment Protection Facilities</v>
          </cell>
        </row>
        <row r="2374">
          <cell r="B2374">
            <v>435416</v>
          </cell>
          <cell r="C2374" t="str">
            <v>Child</v>
          </cell>
          <cell r="D2374" t="str">
            <v>Impairment-Recreational Facilities</v>
          </cell>
        </row>
        <row r="2375">
          <cell r="B2375">
            <v>435417</v>
          </cell>
          <cell r="C2375" t="str">
            <v>Child</v>
          </cell>
          <cell r="D2375" t="str">
            <v>Impairment charges -Utilities</v>
          </cell>
        </row>
        <row r="2376">
          <cell r="B2376">
            <v>435419</v>
          </cell>
          <cell r="C2376" t="str">
            <v>Child</v>
          </cell>
          <cell r="D2376" t="str">
            <v>Impairment charges- Infrastructural Assets not mentioned elsewhere</v>
          </cell>
        </row>
        <row r="2377">
          <cell r="B2377">
            <v>435421</v>
          </cell>
          <cell r="C2377" t="str">
            <v>Child</v>
          </cell>
          <cell r="D2377" t="str">
            <v>Impairment charges – Intangible Assets</v>
          </cell>
        </row>
        <row r="2378">
          <cell r="B2378">
            <v>435481</v>
          </cell>
          <cell r="C2378" t="str">
            <v>Child</v>
          </cell>
          <cell r="D2378" t="str">
            <v>Impairment charges- Investment Properties</v>
          </cell>
        </row>
        <row r="2379">
          <cell r="B2379">
            <v>435491</v>
          </cell>
          <cell r="C2379" t="str">
            <v>Child</v>
          </cell>
          <cell r="D2379" t="str">
            <v>Impairment charges - culture &amp; heritage asset</v>
          </cell>
        </row>
        <row r="2380">
          <cell r="B2380">
            <v>437111</v>
          </cell>
          <cell r="C2380" t="str">
            <v>Child</v>
          </cell>
          <cell r="D2380" t="str">
            <v>Banking service charges</v>
          </cell>
        </row>
        <row r="2381">
          <cell r="B2381">
            <v>437121</v>
          </cell>
          <cell r="C2381" t="str">
            <v>Child</v>
          </cell>
          <cell r="D2381" t="str">
            <v>Banking Service  Commision / Fees</v>
          </cell>
        </row>
        <row r="2382">
          <cell r="B2382">
            <v>437131</v>
          </cell>
          <cell r="C2382" t="str">
            <v>Child</v>
          </cell>
          <cell r="D2382" t="str">
            <v>Fees for processing e-payments-e-Payment operation</v>
          </cell>
        </row>
        <row r="2383">
          <cell r="B2383">
            <v>437200</v>
          </cell>
          <cell r="C2383" t="str">
            <v>Parent</v>
          </cell>
          <cell r="D2383" t="str">
            <v>Interest Charges</v>
          </cell>
        </row>
        <row r="2384">
          <cell r="B2384">
            <v>437211</v>
          </cell>
          <cell r="C2384" t="str">
            <v>Child</v>
          </cell>
          <cell r="D2384" t="str">
            <v>Interest on bank overdraft and loans</v>
          </cell>
        </row>
        <row r="2385">
          <cell r="B2385">
            <v>437221</v>
          </cell>
          <cell r="C2385" t="str">
            <v>Child</v>
          </cell>
          <cell r="D2385" t="str">
            <v>Interest on marketable bonds and notes</v>
          </cell>
        </row>
        <row r="2386">
          <cell r="B2386">
            <v>437231</v>
          </cell>
          <cell r="C2386" t="str">
            <v>Child</v>
          </cell>
          <cell r="D2386" t="str">
            <v>Interest on finance lease - motor vehicles</v>
          </cell>
        </row>
        <row r="2387">
          <cell r="B2387">
            <v>437232</v>
          </cell>
          <cell r="C2387" t="str">
            <v>Child</v>
          </cell>
          <cell r="D2387" t="str">
            <v>Interest on lease finance - others</v>
          </cell>
        </row>
        <row r="2388">
          <cell r="B2388">
            <v>437300</v>
          </cell>
          <cell r="C2388" t="str">
            <v>Parent</v>
          </cell>
          <cell r="D2388" t="str">
            <v>Public Debt Charges:</v>
          </cell>
        </row>
        <row r="2389">
          <cell r="B2389">
            <v>437400</v>
          </cell>
          <cell r="C2389" t="str">
            <v>Parent</v>
          </cell>
          <cell r="D2389" t="str">
            <v>Discounts on Financial Instruments:</v>
          </cell>
        </row>
        <row r="2390">
          <cell r="B2390">
            <v>437500</v>
          </cell>
          <cell r="C2390" t="str">
            <v>Parent</v>
          </cell>
          <cell r="D2390" t="str">
            <v>Other Discounts:</v>
          </cell>
        </row>
        <row r="2391">
          <cell r="B2391">
            <v>437511</v>
          </cell>
          <cell r="C2391" t="str">
            <v>Child</v>
          </cell>
          <cell r="D2391" t="str">
            <v>Discount interest on grants payable</v>
          </cell>
        </row>
        <row r="2392">
          <cell r="B2392">
            <v>437512</v>
          </cell>
          <cell r="C2392" t="str">
            <v>Child</v>
          </cell>
          <cell r="D2392" t="str">
            <v>Earned Discount - Other Receivables</v>
          </cell>
        </row>
        <row r="2393">
          <cell r="B2393">
            <v>437513</v>
          </cell>
          <cell r="C2393" t="str">
            <v>Child</v>
          </cell>
          <cell r="D2393" t="str">
            <v>Unearned Discount - Other Receivables</v>
          </cell>
        </row>
        <row r="2394">
          <cell r="B2394">
            <v>437521</v>
          </cell>
          <cell r="C2394" t="str">
            <v>Child</v>
          </cell>
          <cell r="D2394" t="str">
            <v>Discount rebate for electronic pyt settlement</v>
          </cell>
        </row>
        <row r="2395">
          <cell r="B2395">
            <v>437600</v>
          </cell>
          <cell r="C2395" t="str">
            <v>Parent</v>
          </cell>
          <cell r="D2395" t="str">
            <v>Realised gains or losses:</v>
          </cell>
        </row>
        <row r="2396">
          <cell r="B2396">
            <v>437700</v>
          </cell>
          <cell r="C2396" t="str">
            <v>Parent</v>
          </cell>
          <cell r="D2396" t="str">
            <v>Net swap interest expense/revenue:</v>
          </cell>
        </row>
        <row r="2397">
          <cell r="B2397">
            <v>438000</v>
          </cell>
          <cell r="C2397" t="str">
            <v>Parent</v>
          </cell>
          <cell r="D2397" t="str">
            <v>Operating Losses:</v>
          </cell>
        </row>
        <row r="2398">
          <cell r="B2398">
            <v>438100</v>
          </cell>
          <cell r="C2398" t="str">
            <v>Parent</v>
          </cell>
          <cell r="D2398" t="str">
            <v>Loss of property and cash:</v>
          </cell>
        </row>
        <row r="2399">
          <cell r="B2399">
            <v>438200</v>
          </cell>
          <cell r="C2399" t="str">
            <v>Parent</v>
          </cell>
          <cell r="D2399" t="str">
            <v>Loss on revaluation of fixed assets</v>
          </cell>
        </row>
        <row r="2400">
          <cell r="B2400">
            <v>438800</v>
          </cell>
          <cell r="C2400" t="str">
            <v>Parent</v>
          </cell>
          <cell r="D2400" t="str">
            <v>Bad Debts written off:</v>
          </cell>
        </row>
        <row r="2401">
          <cell r="B2401">
            <v>438811</v>
          </cell>
          <cell r="C2401" t="str">
            <v>Child</v>
          </cell>
          <cell r="D2401" t="str">
            <v>Bad Debts - Sale of Goods and service</v>
          </cell>
        </row>
        <row r="2402">
          <cell r="B2402">
            <v>438821</v>
          </cell>
          <cell r="C2402" t="str">
            <v>Child</v>
          </cell>
          <cell r="D2402" t="str">
            <v>Bad Debts - Fines and Regulatory Fees</v>
          </cell>
        </row>
        <row r="2403">
          <cell r="B2403">
            <v>438831</v>
          </cell>
          <cell r="C2403" t="str">
            <v>Child</v>
          </cell>
          <cell r="D2403" t="str">
            <v>Bad Debts - Loans Receivable</v>
          </cell>
        </row>
        <row r="2404">
          <cell r="B2404">
            <v>438900</v>
          </cell>
          <cell r="C2404" t="str">
            <v>Child</v>
          </cell>
          <cell r="D2404" t="str">
            <v>Refund of prior years revenue collections</v>
          </cell>
        </row>
        <row r="2405">
          <cell r="B2405">
            <v>438911</v>
          </cell>
          <cell r="C2405" t="str">
            <v>Child</v>
          </cell>
          <cell r="D2405" t="str">
            <v>Refund of prior years revenue collections</v>
          </cell>
        </row>
        <row r="2406">
          <cell r="B2406">
            <v>438921</v>
          </cell>
          <cell r="C2406" t="str">
            <v>Child</v>
          </cell>
          <cell r="D2406" t="str">
            <v>Adjustment to Refund of prior years revenue collections</v>
          </cell>
        </row>
        <row r="2407">
          <cell r="B2407">
            <v>450000</v>
          </cell>
          <cell r="C2407" t="str">
            <v>Parent</v>
          </cell>
          <cell r="D2407" t="str">
            <v>Intra-Government transfers</v>
          </cell>
        </row>
        <row r="2408">
          <cell r="B2408">
            <v>450110</v>
          </cell>
          <cell r="C2408" t="str">
            <v>Child</v>
          </cell>
          <cell r="D2408" t="str">
            <v>GRF Transfer to DoF Treasury - Other than Deficit funding</v>
          </cell>
        </row>
        <row r="2409">
          <cell r="B2409">
            <v>450121</v>
          </cell>
          <cell r="C2409" t="str">
            <v>Child</v>
          </cell>
          <cell r="D2409" t="str">
            <v>GRF Transfer to EBL - Other than Deficit funding</v>
          </cell>
        </row>
        <row r="2410">
          <cell r="B2410">
            <v>450122</v>
          </cell>
          <cell r="C2410" t="str">
            <v>Child</v>
          </cell>
          <cell r="D2410" t="str">
            <v>GRF Transfer to IBL - Other than Deficit funding</v>
          </cell>
        </row>
        <row r="2411">
          <cell r="B2411">
            <v>450123</v>
          </cell>
          <cell r="C2411" t="str">
            <v>Child</v>
          </cell>
          <cell r="D2411" t="str">
            <v>GRF Transfers to CTL</v>
          </cell>
        </row>
        <row r="2412">
          <cell r="B2412">
            <v>450131</v>
          </cell>
          <cell r="C2412" t="str">
            <v>Child</v>
          </cell>
          <cell r="D2412" t="str">
            <v>CTL Transfers to EBL</v>
          </cell>
        </row>
        <row r="2413">
          <cell r="B2413">
            <v>450132</v>
          </cell>
          <cell r="C2413" t="str">
            <v>Child</v>
          </cell>
          <cell r="D2413" t="str">
            <v>CTL Transfers to IBL</v>
          </cell>
        </row>
        <row r="2414">
          <cell r="B2414">
            <v>450134</v>
          </cell>
          <cell r="C2414" t="str">
            <v>Child</v>
          </cell>
          <cell r="D2414" t="str">
            <v>CTL Transfers to TDF other than specific revenue transfers</v>
          </cell>
        </row>
        <row r="2415">
          <cell r="B2415">
            <v>450141</v>
          </cell>
          <cell r="C2415" t="str">
            <v>Child</v>
          </cell>
          <cell r="D2415" t="str">
            <v>IBL transfer to CTL</v>
          </cell>
        </row>
        <row r="2416">
          <cell r="B2416">
            <v>451100</v>
          </cell>
          <cell r="C2416" t="str">
            <v>Parent</v>
          </cell>
          <cell r="D2416" t="str">
            <v>Transfers from Central Treasury to entities including TSA transfers</v>
          </cell>
        </row>
        <row r="2417">
          <cell r="B2417">
            <v>451111</v>
          </cell>
          <cell r="C2417" t="str">
            <v>Child</v>
          </cell>
          <cell r="D2417" t="str">
            <v>Treasury TRF to - Presidential Affairs</v>
          </cell>
        </row>
        <row r="2418">
          <cell r="B2418">
            <v>451112</v>
          </cell>
          <cell r="C2418" t="str">
            <v>Child</v>
          </cell>
          <cell r="D2418" t="str">
            <v>Treasury TRF to - Private Dept of HH Ruler</v>
          </cell>
        </row>
        <row r="2419">
          <cell r="B2419">
            <v>451113</v>
          </cell>
          <cell r="C2419" t="str">
            <v>Child</v>
          </cell>
          <cell r="D2419" t="str">
            <v>Treasury TRF to - Presidential Flight</v>
          </cell>
        </row>
        <row r="2420">
          <cell r="B2420">
            <v>451115</v>
          </cell>
          <cell r="C2420" t="str">
            <v>Child</v>
          </cell>
          <cell r="D2420" t="str">
            <v>Treasury TRF to - The Emirati Talent Competitiveness Council (NAFIS)</v>
          </cell>
        </row>
        <row r="2421">
          <cell r="B2421">
            <v>451121</v>
          </cell>
          <cell r="C2421" t="str">
            <v>Child</v>
          </cell>
          <cell r="D2421" t="str">
            <v>Treasury TRF to - Crown Prince Court</v>
          </cell>
        </row>
        <row r="2422">
          <cell r="B2422">
            <v>451122</v>
          </cell>
          <cell r="C2422" t="str">
            <v>Child</v>
          </cell>
          <cell r="D2422" t="str">
            <v>Treasury TRF to - Executive Affairs Authority</v>
          </cell>
        </row>
        <row r="2423">
          <cell r="B2423">
            <v>451123</v>
          </cell>
          <cell r="C2423" t="str">
            <v>Child</v>
          </cell>
          <cell r="D2423" t="str">
            <v>Treasury TRF to - AD Accountability Authority</v>
          </cell>
        </row>
        <row r="2424">
          <cell r="B2424">
            <v>451131</v>
          </cell>
          <cell r="C2424" t="str">
            <v>Child</v>
          </cell>
          <cell r="D2424" t="str">
            <v>Treasury TRF to - Sh. Sultan bin Zayed Al Nahyan-Diwan</v>
          </cell>
        </row>
        <row r="2425">
          <cell r="B2425">
            <v>462721</v>
          </cell>
          <cell r="C2425" t="str">
            <v>Child</v>
          </cell>
          <cell r="D2425" t="str">
            <v>Grant- Loan waiver</v>
          </cell>
        </row>
        <row r="2426">
          <cell r="B2426">
            <v>451132</v>
          </cell>
          <cell r="C2426" t="str">
            <v>Child</v>
          </cell>
          <cell r="D2426" t="str">
            <v>Treasury TRF to - Ruler's Rep - Eastern Region</v>
          </cell>
        </row>
        <row r="2427">
          <cell r="B2427">
            <v>451133</v>
          </cell>
          <cell r="C2427" t="str">
            <v>Child</v>
          </cell>
          <cell r="D2427" t="str">
            <v>Treasury TRF to - Ruler's Rep - Western Region</v>
          </cell>
        </row>
        <row r="2428">
          <cell r="B2428">
            <v>451134</v>
          </cell>
          <cell r="C2428" t="str">
            <v>Child</v>
          </cell>
          <cell r="D2428" t="str">
            <v>Treasury TRF to - Dy PM-Sh. Saif bin Zayed Al Nahyan</v>
          </cell>
        </row>
        <row r="2429">
          <cell r="B2429">
            <v>451135</v>
          </cell>
          <cell r="C2429" t="str">
            <v>Child</v>
          </cell>
          <cell r="D2429" t="str">
            <v>Treasury TRF to - Dy PM-Sh. Mansour bin Zayed Al Nahyan</v>
          </cell>
        </row>
        <row r="2430">
          <cell r="B2430">
            <v>451142</v>
          </cell>
          <cell r="C2430" t="str">
            <v>Child</v>
          </cell>
          <cell r="D2430" t="str">
            <v>Treasury TRF to - General Secretariat</v>
          </cell>
        </row>
        <row r="2431">
          <cell r="B2431">
            <v>451143</v>
          </cell>
          <cell r="C2431" t="str">
            <v>Child</v>
          </cell>
          <cell r="D2431" t="str">
            <v>Treasury TRF to - National Consultative Council</v>
          </cell>
        </row>
        <row r="2432">
          <cell r="B2432">
            <v>451144</v>
          </cell>
          <cell r="C2432" t="str">
            <v>Child</v>
          </cell>
          <cell r="D2432" t="str">
            <v>Treasury TRF to - Abu Dhabi Executive Office</v>
          </cell>
        </row>
        <row r="2433">
          <cell r="B2433">
            <v>451145</v>
          </cell>
          <cell r="C2433" t="str">
            <v>Child</v>
          </cell>
          <cell r="D2433" t="str">
            <v>Treasury Transfer to – AAbu Dhabi Government Media Office (ADGMO)</v>
          </cell>
        </row>
        <row r="2434">
          <cell r="B2434">
            <v>451201</v>
          </cell>
          <cell r="C2434" t="str">
            <v>Child</v>
          </cell>
          <cell r="D2434" t="str">
            <v>Treasury TRF to - DoF-Treasury</v>
          </cell>
        </row>
        <row r="2435">
          <cell r="B2435">
            <v>451211</v>
          </cell>
          <cell r="C2435" t="str">
            <v>Child</v>
          </cell>
          <cell r="D2435" t="str">
            <v>Treasury TRF to - DoF-Support Services</v>
          </cell>
        </row>
        <row r="2436">
          <cell r="B2436">
            <v>451212</v>
          </cell>
          <cell r="C2436" t="str">
            <v>Child</v>
          </cell>
          <cell r="D2436" t="str">
            <v>Treasury Transfer to – Commercial Building Financing Committee</v>
          </cell>
        </row>
        <row r="2437">
          <cell r="B2437">
            <v>451213</v>
          </cell>
          <cell r="C2437" t="str">
            <v>Child</v>
          </cell>
          <cell r="D2437" t="str">
            <v>Treasury TRF to - Abu Dhabi Customs</v>
          </cell>
        </row>
        <row r="2438">
          <cell r="B2438">
            <v>451223</v>
          </cell>
          <cell r="C2438" t="str">
            <v>Child</v>
          </cell>
          <cell r="D2438" t="str">
            <v>Treasury TRF to - Human Resources Authority (HRA) - Abu Dhabi</v>
          </cell>
        </row>
        <row r="2439">
          <cell r="B2439">
            <v>451229</v>
          </cell>
          <cell r="C2439" t="str">
            <v>Child</v>
          </cell>
          <cell r="D2439" t="str">
            <v>Treasury TRF to - Dept of Civil Service</v>
          </cell>
        </row>
        <row r="2440">
          <cell r="B2440">
            <v>451231</v>
          </cell>
          <cell r="C2440" t="str">
            <v>Child</v>
          </cell>
          <cell r="D2440" t="str">
            <v>Treasury TRF to - AD Council for Economic Development</v>
          </cell>
        </row>
        <row r="2441">
          <cell r="B2441">
            <v>451232</v>
          </cell>
          <cell r="C2441" t="str">
            <v>Child</v>
          </cell>
          <cell r="D2441" t="str">
            <v>Treasury TRF to - AD Urban Planning Council</v>
          </cell>
        </row>
        <row r="2442">
          <cell r="B2442">
            <v>461211</v>
          </cell>
          <cell r="C2442" t="str">
            <v>Child</v>
          </cell>
          <cell r="D2442" t="str">
            <v>ADR&amp;P Fund - 6% Grant</v>
          </cell>
        </row>
        <row r="2443">
          <cell r="B2443">
            <v>451233</v>
          </cell>
          <cell r="C2443" t="str">
            <v>Child</v>
          </cell>
          <cell r="D2443" t="str">
            <v>Treasury TRF to - AD Technology Development Committee</v>
          </cell>
        </row>
        <row r="2444">
          <cell r="B2444">
            <v>451234</v>
          </cell>
          <cell r="C2444" t="str">
            <v>Child</v>
          </cell>
          <cell r="D2444" t="str">
            <v>Treasury TRF to - ATRC - Advanced Technology Research Council</v>
          </cell>
        </row>
        <row r="2445">
          <cell r="B2445">
            <v>451241</v>
          </cell>
          <cell r="C2445" t="str">
            <v>Child</v>
          </cell>
          <cell r="D2445" t="str">
            <v>Treasury TRF to - Statistics Centre - Abu Dhabi</v>
          </cell>
        </row>
        <row r="2446">
          <cell r="B2446">
            <v>451242</v>
          </cell>
          <cell r="C2446" t="str">
            <v>Child</v>
          </cell>
          <cell r="D2446" t="str">
            <v>Treasury TRF to - Abu Dhabi Digital Authority (ADDA)</v>
          </cell>
        </row>
        <row r="2447">
          <cell r="B2447">
            <v>451244</v>
          </cell>
          <cell r="C2447" t="str">
            <v>Child</v>
          </cell>
          <cell r="D2447" t="str">
            <v>Treasury TRF to - AD Quality &amp; Conformity Council</v>
          </cell>
        </row>
        <row r="2448">
          <cell r="B2448">
            <v>451245</v>
          </cell>
          <cell r="C2448" t="str">
            <v>Child</v>
          </cell>
          <cell r="D2448" t="str">
            <v>Treasury TRF to - Department of Government Support - Abu Dhabi (DGS)</v>
          </cell>
        </row>
        <row r="2449">
          <cell r="B2449">
            <v>451246</v>
          </cell>
          <cell r="C2449" t="str">
            <v>Child</v>
          </cell>
          <cell r="D2449" t="str">
            <v>Treasury TRF to - Department of Government Enablement (DGE)</v>
          </cell>
        </row>
        <row r="2450">
          <cell r="B2450">
            <v>451251</v>
          </cell>
          <cell r="C2450" t="str">
            <v>Child</v>
          </cell>
          <cell r="D2450" t="str">
            <v>Treasury TRF to - MMusanada</v>
          </cell>
        </row>
        <row r="2451">
          <cell r="B2451">
            <v>451252</v>
          </cell>
          <cell r="C2451" t="str">
            <v>Child</v>
          </cell>
          <cell r="D2451" t="str">
            <v>Treasury TRF to - Mubadala Development Co (Dept)</v>
          </cell>
        </row>
        <row r="2452">
          <cell r="B2452">
            <v>451253</v>
          </cell>
          <cell r="C2452" t="str">
            <v>Child</v>
          </cell>
          <cell r="D2452" t="str">
            <v>Treasury TRF to - AD Fund for Development (GGS)</v>
          </cell>
        </row>
        <row r="2453">
          <cell r="B2453">
            <v>451273</v>
          </cell>
          <cell r="C2453" t="str">
            <v>Child</v>
          </cell>
          <cell r="D2453" t="str">
            <v>Treasury TRF to - Shelters for Women &amp; Children(Seconded employees)</v>
          </cell>
        </row>
        <row r="2454">
          <cell r="B2454">
            <v>451275</v>
          </cell>
          <cell r="C2454" t="str">
            <v>Child</v>
          </cell>
          <cell r="D2454" t="str">
            <v>Treasury TRF to - Zayed Charitable &amp; Humanitarian Foundation</v>
          </cell>
        </row>
        <row r="2455">
          <cell r="B2455">
            <v>451276</v>
          </cell>
          <cell r="C2455" t="str">
            <v>Child</v>
          </cell>
          <cell r="D2455" t="str">
            <v>Treasury TRF to - Khalifa Fund For Enterprise Development</v>
          </cell>
        </row>
        <row r="2456">
          <cell r="B2456">
            <v>451281</v>
          </cell>
          <cell r="C2456" t="str">
            <v>Child</v>
          </cell>
          <cell r="D2456" t="str">
            <v>Treasury TRF to - Khalifa Bin Zayed Charitable Fund</v>
          </cell>
        </row>
        <row r="2457">
          <cell r="B2457">
            <v>451311</v>
          </cell>
          <cell r="C2457" t="str">
            <v>Child</v>
          </cell>
          <cell r="D2457" t="str">
            <v>Treasury TRF to - Armed Forces</v>
          </cell>
        </row>
        <row r="2458">
          <cell r="B2458">
            <v>451312</v>
          </cell>
          <cell r="C2458" t="str">
            <v>Child</v>
          </cell>
          <cell r="D2458" t="str">
            <v>Treasury TRF to - Tawazun Economic Council</v>
          </cell>
        </row>
        <row r="2459">
          <cell r="B2459">
            <v>451313</v>
          </cell>
          <cell r="C2459" t="str">
            <v>Child</v>
          </cell>
          <cell r="D2459" t="str">
            <v>Treasury TRF to - Presidential Guard</v>
          </cell>
        </row>
        <row r="2460">
          <cell r="B2460">
            <v>451321</v>
          </cell>
          <cell r="C2460" t="str">
            <v>Child</v>
          </cell>
          <cell r="D2460" t="str">
            <v>Treasury TRF to - Supreme Council for National Security</v>
          </cell>
        </row>
        <row r="2461">
          <cell r="B2461">
            <v>451322</v>
          </cell>
          <cell r="C2461" t="str">
            <v>Child</v>
          </cell>
          <cell r="D2461" t="str">
            <v>Treasury TRF to - Critical National Infrastructure Authority</v>
          </cell>
        </row>
        <row r="2462">
          <cell r="B2462">
            <v>451323</v>
          </cell>
          <cell r="C2462" t="str">
            <v>Child</v>
          </cell>
          <cell r="D2462" t="str">
            <v>Treasury TRF to - National Crisis and Emergency Authority</v>
          </cell>
        </row>
        <row r="2463">
          <cell r="B2463">
            <v>451324</v>
          </cell>
          <cell r="C2463" t="str">
            <v>Child</v>
          </cell>
          <cell r="D2463" t="str">
            <v>Treasury TRF to - Gen.Auth.for Security of Ports, Borders&amp;FreeZones</v>
          </cell>
        </row>
        <row r="2464">
          <cell r="B2464">
            <v>451325</v>
          </cell>
          <cell r="C2464" t="str">
            <v>Child</v>
          </cell>
          <cell r="D2464" t="str">
            <v>Treasury TRF to - Monitoring Control Center</v>
          </cell>
        </row>
        <row r="2465">
          <cell r="B2465">
            <v>451326</v>
          </cell>
          <cell r="C2465" t="str">
            <v>Child</v>
          </cell>
          <cell r="D2465" t="str">
            <v>Treasury TRF to - National Electronic Security Authority</v>
          </cell>
        </row>
        <row r="2466">
          <cell r="B2466">
            <v>451327</v>
          </cell>
          <cell r="C2466" t="str">
            <v>Child</v>
          </cell>
          <cell r="D2466" t="str">
            <v>Treasury TRF to - Abu Dhabi Emergencies, Crisis and Disaster Management Center</v>
          </cell>
        </row>
        <row r="2467">
          <cell r="B2467">
            <v>451361</v>
          </cell>
          <cell r="C2467" t="str">
            <v>Child</v>
          </cell>
          <cell r="D2467" t="str">
            <v>Treasury TRF to - Abu Dhabi Police</v>
          </cell>
        </row>
        <row r="2468">
          <cell r="B2468">
            <v>451362</v>
          </cell>
          <cell r="C2468" t="str">
            <v>Child</v>
          </cell>
          <cell r="D2468" t="str">
            <v>Treasury TRF to - Abu Dhabi Naturalisation and Residency Department (ADNRD)</v>
          </cell>
        </row>
        <row r="2469">
          <cell r="B2469">
            <v>451371</v>
          </cell>
          <cell r="C2469" t="str">
            <v>Child</v>
          </cell>
          <cell r="D2469" t="str">
            <v>Treasury TRF to - State Security Department</v>
          </cell>
        </row>
        <row r="2470">
          <cell r="B2470">
            <v>451373</v>
          </cell>
          <cell r="C2470" t="str">
            <v>Child</v>
          </cell>
          <cell r="D2470" t="str">
            <v>Treasury TRF to - Boundary Affairs Council</v>
          </cell>
        </row>
        <row r="2471">
          <cell r="B2471">
            <v>451374</v>
          </cell>
          <cell r="C2471" t="str">
            <v>Child</v>
          </cell>
          <cell r="D2471" t="str">
            <v>Treasury TRF to - National Intelligence Service</v>
          </cell>
        </row>
        <row r="2472">
          <cell r="B2472">
            <v>451381</v>
          </cell>
          <cell r="C2472" t="str">
            <v>Child</v>
          </cell>
          <cell r="D2472" t="str">
            <v>Treasury TRF to - Abu Dhabi Civil Defense Authority</v>
          </cell>
        </row>
        <row r="2473">
          <cell r="B2473">
            <v>451382</v>
          </cell>
          <cell r="C2473" t="str">
            <v>Child</v>
          </cell>
          <cell r="D2473" t="str">
            <v>Treasury TRF to - National Center for Search And Rescue</v>
          </cell>
        </row>
        <row r="2474">
          <cell r="B2474">
            <v>451391</v>
          </cell>
          <cell r="C2474" t="str">
            <v>Child</v>
          </cell>
          <cell r="D2474" t="str">
            <v>Treasury TRF to - AD Judicial Dept</v>
          </cell>
        </row>
        <row r="2475">
          <cell r="B2475">
            <v>451392</v>
          </cell>
          <cell r="C2475" t="str">
            <v>Child</v>
          </cell>
          <cell r="D2475" t="str">
            <v>Treasury TRF to - Attorney General's  Office</v>
          </cell>
        </row>
        <row r="2476">
          <cell r="B2476">
            <v>462221</v>
          </cell>
          <cell r="C2476" t="str">
            <v>Child</v>
          </cell>
          <cell r="D2476" t="str">
            <v>UAE University</v>
          </cell>
        </row>
        <row r="2477">
          <cell r="B2477">
            <v>451411</v>
          </cell>
          <cell r="C2477" t="str">
            <v>Child</v>
          </cell>
          <cell r="D2477" t="str">
            <v>Treasury TRF to - Department of Economic Development - Abu Dhabi</v>
          </cell>
        </row>
        <row r="2478">
          <cell r="B2478">
            <v>451412</v>
          </cell>
          <cell r="C2478" t="str">
            <v>Child</v>
          </cell>
          <cell r="D2478" t="str">
            <v>Treasury TRF to - AD Nat'l Exhibitions Co (GGS)</v>
          </cell>
        </row>
        <row r="2479">
          <cell r="B2479">
            <v>451413</v>
          </cell>
          <cell r="C2479" t="str">
            <v>Child</v>
          </cell>
          <cell r="D2479" t="str">
            <v>Treasury TRF to - Abu Dhabi Global Market</v>
          </cell>
        </row>
        <row r="2480">
          <cell r="B2480">
            <v>451414</v>
          </cell>
          <cell r="C2480" t="str">
            <v>Child</v>
          </cell>
          <cell r="D2480" t="str">
            <v>Treasury TRF to - Abu Dhabi Investment Office (ADIO)</v>
          </cell>
        </row>
        <row r="2481">
          <cell r="B2481">
            <v>451421</v>
          </cell>
          <cell r="C2481" t="str">
            <v>Child</v>
          </cell>
          <cell r="D2481" t="str">
            <v>Treasury TRF to - Agriculture (AD Food Control)</v>
          </cell>
        </row>
        <row r="2482">
          <cell r="B2482">
            <v>451422</v>
          </cell>
          <cell r="C2482" t="str">
            <v>Child</v>
          </cell>
          <cell r="D2482" t="str">
            <v>Treasury TRF to - AD Farmers Services Centre</v>
          </cell>
        </row>
        <row r="2483">
          <cell r="B2483">
            <v>451423</v>
          </cell>
          <cell r="C2483" t="str">
            <v>Child</v>
          </cell>
          <cell r="D2483" t="str">
            <v>Treasury TRF to - Al Foah Palm Sector Development Co (GGS)</v>
          </cell>
        </row>
        <row r="2484">
          <cell r="B2484">
            <v>463048</v>
          </cell>
          <cell r="C2484" t="str">
            <v>Child</v>
          </cell>
          <cell r="D2484" t="str">
            <v>Grant-Bahrain</v>
          </cell>
        </row>
        <row r="2485">
          <cell r="B2485">
            <v>451425</v>
          </cell>
          <cell r="C2485" t="str">
            <v>Child</v>
          </cell>
          <cell r="D2485" t="str">
            <v>Treasury TRF to - AD Farmers Financial Support Fund</v>
          </cell>
        </row>
        <row r="2486">
          <cell r="B2486">
            <v>451432</v>
          </cell>
          <cell r="C2486" t="str">
            <v>Child</v>
          </cell>
          <cell r="D2486" t="str">
            <v>Treasury TRF to - AD Water &amp; Electricity Auth(GGS)</v>
          </cell>
        </row>
        <row r="2487">
          <cell r="B2487">
            <v>451433</v>
          </cell>
          <cell r="C2487" t="str">
            <v>Child</v>
          </cell>
          <cell r="D2487" t="str">
            <v>Treasury TRF to - Emirates Nuclear Energy Co (GGS)</v>
          </cell>
        </row>
        <row r="2488">
          <cell r="B2488">
            <v>451434</v>
          </cell>
          <cell r="C2488" t="str">
            <v>Child</v>
          </cell>
          <cell r="D2488" t="str">
            <v>Treasury TRF to - Federal Authority for Nuclear Regulation</v>
          </cell>
        </row>
        <row r="2489">
          <cell r="B2489">
            <v>451436</v>
          </cell>
          <cell r="C2489" t="str">
            <v>Child</v>
          </cell>
          <cell r="D2489" t="str">
            <v>Treasury TRF to - Department of Energy - Abu Dhabi</v>
          </cell>
        </row>
        <row r="2490">
          <cell r="B2490">
            <v>451441</v>
          </cell>
          <cell r="C2490" t="str">
            <v>Child</v>
          </cell>
          <cell r="D2490" t="str">
            <v>Treasury TRF to - Dept of Transport</v>
          </cell>
        </row>
        <row r="2491">
          <cell r="B2491">
            <v>451442</v>
          </cell>
          <cell r="C2491" t="str">
            <v>Child</v>
          </cell>
          <cell r="D2491" t="str">
            <v>Treasury TRF to - Seaports (Mina Zayed)</v>
          </cell>
        </row>
        <row r="2492">
          <cell r="B2492">
            <v>451443</v>
          </cell>
          <cell r="C2492" t="str">
            <v>Child</v>
          </cell>
          <cell r="D2492" t="str">
            <v>Treasury TRF to - Civil Aviation &amp; /ADAC (GGS)</v>
          </cell>
        </row>
        <row r="2493">
          <cell r="B2493">
            <v>451944</v>
          </cell>
          <cell r="C2493" t="str">
            <v>Child</v>
          </cell>
          <cell r="D2493" t="str">
            <v>Treasury TRF to - UAE Red Crescent Society (GGS)</v>
          </cell>
        </row>
        <row r="2494">
          <cell r="B2494">
            <v>451445</v>
          </cell>
          <cell r="C2494" t="str">
            <v>Child</v>
          </cell>
          <cell r="D2494" t="str">
            <v>Treasury TRF to - Centre for Regulation of Transport by Hire Cars</v>
          </cell>
        </row>
        <row r="2495">
          <cell r="B2495">
            <v>451451</v>
          </cell>
          <cell r="C2495" t="str">
            <v>Child</v>
          </cell>
          <cell r="D2495" t="str">
            <v>Treasury TRF to - Dept of Culture and Tourism</v>
          </cell>
        </row>
        <row r="2496">
          <cell r="B2496">
            <v>451453</v>
          </cell>
          <cell r="C2496" t="str">
            <v>Child</v>
          </cell>
          <cell r="D2496" t="str">
            <v>Treasury TRF to - ZonesCorp(GGS)</v>
          </cell>
        </row>
        <row r="2497">
          <cell r="B2497">
            <v>451454</v>
          </cell>
          <cell r="C2497" t="str">
            <v>Child</v>
          </cell>
          <cell r="D2497" t="str">
            <v>Treasury TRF to - Office of the Brand Abu Dhabi</v>
          </cell>
        </row>
        <row r="2498">
          <cell r="B2498">
            <v>451511</v>
          </cell>
          <cell r="C2498" t="str">
            <v>Child</v>
          </cell>
          <cell r="D2498" t="str">
            <v>Treasury TRF to - Environment Agency - Abu Dhabi</v>
          </cell>
        </row>
        <row r="2499">
          <cell r="B2499">
            <v>451512</v>
          </cell>
          <cell r="C2499" t="str">
            <v>Child</v>
          </cell>
          <cell r="D2499" t="str">
            <v>Treasury TRF to - Center for Waste Management</v>
          </cell>
        </row>
        <row r="2500">
          <cell r="B2500">
            <v>451513</v>
          </cell>
          <cell r="C2500" t="str">
            <v>Child</v>
          </cell>
          <cell r="D2500" t="str">
            <v>Treasury TRF to - The Mohammad Bin Zayed Species Conservation Fund</v>
          </cell>
        </row>
        <row r="2501">
          <cell r="B2501">
            <v>461825</v>
          </cell>
          <cell r="C2501" t="str">
            <v>Child</v>
          </cell>
          <cell r="D2501" t="str">
            <v>Al Dhafrah Sports Club</v>
          </cell>
        </row>
        <row r="2502">
          <cell r="B2502">
            <v>451514</v>
          </cell>
          <cell r="C2502" t="str">
            <v>Child</v>
          </cell>
          <cell r="D2502" t="str">
            <v>Treasury TRF to - International Fund for Houbara Conservation</v>
          </cell>
        </row>
        <row r="2503">
          <cell r="B2503">
            <v>451521</v>
          </cell>
          <cell r="C2503" t="str">
            <v>Child</v>
          </cell>
          <cell r="D2503" t="str">
            <v>Treasury TRF to - AD Sewerage Services Co (GGS)</v>
          </cell>
        </row>
        <row r="2504">
          <cell r="B2504">
            <v>451612</v>
          </cell>
          <cell r="C2504" t="str">
            <v>Child</v>
          </cell>
          <cell r="D2504" t="str">
            <v>Treasury TRF to - Abu Dhabi Housing Authority</v>
          </cell>
        </row>
        <row r="2505">
          <cell r="B2505">
            <v>451618</v>
          </cell>
          <cell r="C2505" t="str">
            <v>Child</v>
          </cell>
          <cell r="D2505" t="str">
            <v>Treasury TRF to - Abu Dhabi Center for Sheltering and Humanitarian Care (Ewa’a)</v>
          </cell>
        </row>
        <row r="2506">
          <cell r="B2506">
            <v>451621</v>
          </cell>
          <cell r="C2506" t="str">
            <v>Child</v>
          </cell>
          <cell r="D2506" t="str">
            <v>Treasury TRF to - Dept of Municipal Affairs</v>
          </cell>
        </row>
        <row r="2507">
          <cell r="B2507">
            <v>451622</v>
          </cell>
          <cell r="C2507" t="str">
            <v>Child</v>
          </cell>
          <cell r="D2507" t="str">
            <v>Treasury TRF to - Eastern Region Development Council</v>
          </cell>
        </row>
        <row r="2508">
          <cell r="B2508">
            <v>451623</v>
          </cell>
          <cell r="C2508" t="str">
            <v>Child</v>
          </cell>
          <cell r="D2508" t="str">
            <v>Treasury TRF to - Western Region Development Council</v>
          </cell>
        </row>
        <row r="2509">
          <cell r="B2509">
            <v>461115</v>
          </cell>
          <cell r="C2509" t="str">
            <v>Child</v>
          </cell>
          <cell r="D2509" t="str">
            <v>Grant - Masdar Shams 1 project</v>
          </cell>
        </row>
        <row r="2510">
          <cell r="B2510">
            <v>451624</v>
          </cell>
          <cell r="C2510" t="str">
            <v>Child</v>
          </cell>
          <cell r="D2510" t="str">
            <v>Treasury TRF to - Rural Area Development Committee</v>
          </cell>
        </row>
        <row r="2511">
          <cell r="B2511">
            <v>451625</v>
          </cell>
          <cell r="C2511" t="str">
            <v>Child</v>
          </cell>
          <cell r="D2511" t="str">
            <v>Treasury TRF to - Dept of community Development</v>
          </cell>
        </row>
        <row r="2512">
          <cell r="B2512">
            <v>451626</v>
          </cell>
          <cell r="C2512" t="str">
            <v>Child</v>
          </cell>
          <cell r="D2512" t="str">
            <v>Treasury TRF to - Abu Dhabi Social Support Authority</v>
          </cell>
        </row>
        <row r="2513">
          <cell r="B2513">
            <v>451627</v>
          </cell>
          <cell r="C2513" t="str">
            <v>Child</v>
          </cell>
          <cell r="D2513" t="str">
            <v>Treasury TRF to - Authority Of Social contribution - Ma'an</v>
          </cell>
        </row>
        <row r="2514">
          <cell r="B2514">
            <v>451631</v>
          </cell>
          <cell r="C2514" t="str">
            <v>Child</v>
          </cell>
          <cell r="D2514" t="str">
            <v>Treasury TRF to - D M T  - Abu Dhabi City Municipality</v>
          </cell>
        </row>
        <row r="2515">
          <cell r="B2515">
            <v>451632</v>
          </cell>
          <cell r="C2515" t="str">
            <v>Child</v>
          </cell>
          <cell r="D2515" t="str">
            <v>Treasury TRF to - D M T - Al Ain Municipality</v>
          </cell>
        </row>
        <row r="2516">
          <cell r="B2516">
            <v>451633</v>
          </cell>
          <cell r="C2516" t="str">
            <v>Child</v>
          </cell>
          <cell r="D2516" t="str">
            <v>Treasury TRF to - D M T  - Al Dhafra Region Municipality</v>
          </cell>
        </row>
        <row r="2517">
          <cell r="B2517">
            <v>451635</v>
          </cell>
          <cell r="C2517" t="str">
            <v>Child</v>
          </cell>
          <cell r="D2517" t="str">
            <v>Treasury TRF to - Department of Municipalities and Transport (DMT)</v>
          </cell>
        </row>
        <row r="2518">
          <cell r="B2518">
            <v>451651</v>
          </cell>
          <cell r="C2518" t="str">
            <v>Child</v>
          </cell>
          <cell r="D2518" t="str">
            <v>Treasury TRF to - Department of Health - Abu Dhabi</v>
          </cell>
        </row>
        <row r="2519">
          <cell r="B2519">
            <v>451656</v>
          </cell>
          <cell r="C2519" t="str">
            <v>Child</v>
          </cell>
          <cell r="D2519" t="str">
            <v>Treasury TRF to - Abu Dhabi Public Health Center</v>
          </cell>
        </row>
        <row r="2520">
          <cell r="B2520">
            <v>451671</v>
          </cell>
          <cell r="C2520" t="str">
            <v>Child</v>
          </cell>
          <cell r="D2520" t="str">
            <v>Treasury TRF to - AD Health Services Co - SEHA(GGS)</v>
          </cell>
        </row>
        <row r="2521">
          <cell r="B2521">
            <v>451672</v>
          </cell>
          <cell r="C2521" t="str">
            <v>Child</v>
          </cell>
          <cell r="D2521" t="str">
            <v>Treasury TRF to - National Rehabilitation Centre (NRC)</v>
          </cell>
        </row>
        <row r="2522">
          <cell r="B2522">
            <v>451681</v>
          </cell>
          <cell r="C2522" t="str">
            <v>Child</v>
          </cell>
          <cell r="D2522" t="str">
            <v>Treasury TRF to - Abu Dhabi Agriculture &amp; Food Safety Authority</v>
          </cell>
        </row>
        <row r="2523">
          <cell r="B2523">
            <v>451682</v>
          </cell>
          <cell r="C2523" t="str">
            <v>Child</v>
          </cell>
          <cell r="D2523" t="str">
            <v>Treasury TRF to - Food Security Centre</v>
          </cell>
        </row>
        <row r="2524">
          <cell r="B2524">
            <v>451711</v>
          </cell>
          <cell r="C2524" t="str">
            <v>Child</v>
          </cell>
          <cell r="D2524" t="str">
            <v>Treasury TRF to - Al Ain Zoo</v>
          </cell>
        </row>
        <row r="2525">
          <cell r="B2525">
            <v>451712</v>
          </cell>
          <cell r="C2525" t="str">
            <v>Child</v>
          </cell>
          <cell r="D2525" t="str">
            <v>Treasury TRF to - Abu Dhabi Sports Council</v>
          </cell>
        </row>
        <row r="2526">
          <cell r="B2526">
            <v>451721</v>
          </cell>
          <cell r="C2526" t="str">
            <v>Child</v>
          </cell>
          <cell r="D2526" t="str">
            <v>Treasury TRF to - AD Authority for Culture &amp; Heritage</v>
          </cell>
        </row>
        <row r="2527">
          <cell r="B2527">
            <v>451722</v>
          </cell>
          <cell r="C2527" t="str">
            <v>Child</v>
          </cell>
          <cell r="D2527" t="str">
            <v>Treasury TRF to - Min of Culture, Youth and Community Development</v>
          </cell>
        </row>
        <row r="2528">
          <cell r="B2528">
            <v>451723</v>
          </cell>
          <cell r="C2528" t="str">
            <v>Child</v>
          </cell>
          <cell r="D2528" t="str">
            <v>Treasury TRF to - Gen Auth-Islamic Affrs &amp; Endownment</v>
          </cell>
        </row>
        <row r="2529">
          <cell r="B2529">
            <v>451724</v>
          </cell>
          <cell r="C2529" t="str">
            <v>Child</v>
          </cell>
          <cell r="D2529" t="str">
            <v>Treasury TRF to - Zayed House for Islamic Culture</v>
          </cell>
        </row>
        <row r="2530">
          <cell r="B2530">
            <v>451725</v>
          </cell>
          <cell r="C2530" t="str">
            <v>Child</v>
          </cell>
          <cell r="D2530" t="str">
            <v>Treasury TRF to - Emirates Heritage Club</v>
          </cell>
        </row>
        <row r="2531">
          <cell r="B2531">
            <v>451731</v>
          </cell>
          <cell r="C2531" t="str">
            <v>Child</v>
          </cell>
          <cell r="D2531" t="str">
            <v>Treasury TRF to - National Ctr-Documents/Research</v>
          </cell>
        </row>
        <row r="2532">
          <cell r="B2532">
            <v>451741</v>
          </cell>
          <cell r="C2532" t="str">
            <v>Child</v>
          </cell>
          <cell r="D2532" t="str">
            <v>Treasury TRF to - AD Media Co (GGS)</v>
          </cell>
        </row>
        <row r="2533">
          <cell r="B2533">
            <v>451742</v>
          </cell>
          <cell r="C2533" t="str">
            <v>Child</v>
          </cell>
          <cell r="D2533" t="str">
            <v>Treasury TRF to - Media Zone Authority - Abu Dhabi</v>
          </cell>
        </row>
        <row r="2534">
          <cell r="B2534">
            <v>451743</v>
          </cell>
          <cell r="C2534" t="str">
            <v>Child</v>
          </cell>
          <cell r="D2534" t="str">
            <v>Treasury TRF to - UAE National Media Council</v>
          </cell>
        </row>
        <row r="2535">
          <cell r="B2535">
            <v>451811</v>
          </cell>
          <cell r="C2535" t="str">
            <v>Child</v>
          </cell>
          <cell r="D2535" t="str">
            <v>Treasury TRF to - Abu Dhabi Department of Education and Knowledge</v>
          </cell>
        </row>
        <row r="2536">
          <cell r="B2536">
            <v>451832</v>
          </cell>
          <cell r="C2536" t="str">
            <v>Child</v>
          </cell>
          <cell r="D2536" t="str">
            <v>Treasury TRF to - ACTVET - Tecnical/Vocational Education</v>
          </cell>
        </row>
        <row r="2537">
          <cell r="B2537">
            <v>451833</v>
          </cell>
          <cell r="C2537" t="str">
            <v>Child</v>
          </cell>
          <cell r="D2537" t="str">
            <v>Treasury TRF to - AD Vocational Education and Training Institute (ADVETI)</v>
          </cell>
        </row>
        <row r="2538">
          <cell r="B2538">
            <v>451834</v>
          </cell>
          <cell r="C2538" t="str">
            <v>Child</v>
          </cell>
          <cell r="D2538" t="str">
            <v>Treasury TRF to - Institute of Applied Technology</v>
          </cell>
        </row>
        <row r="2539">
          <cell r="B2539">
            <v>451841</v>
          </cell>
          <cell r="C2539" t="str">
            <v>Child</v>
          </cell>
          <cell r="D2539" t="str">
            <v>Treasury TRF to - Sorbonne University Abu Dhabi</v>
          </cell>
        </row>
        <row r="2540">
          <cell r="B2540">
            <v>451842</v>
          </cell>
          <cell r="C2540" t="str">
            <v>Child</v>
          </cell>
          <cell r="D2540" t="str">
            <v>Treasury TRF to - University of UAE</v>
          </cell>
        </row>
        <row r="2541">
          <cell r="B2541">
            <v>451843</v>
          </cell>
          <cell r="C2541" t="str">
            <v>Child</v>
          </cell>
          <cell r="D2541" t="str">
            <v>Treasury TRF to - Khalifa University</v>
          </cell>
        </row>
        <row r="2542">
          <cell r="B2542">
            <v>451844</v>
          </cell>
          <cell r="C2542" t="str">
            <v>Child</v>
          </cell>
          <cell r="D2542" t="str">
            <v>Treasury TRF to - Masdar Institute</v>
          </cell>
        </row>
        <row r="2543">
          <cell r="B2543">
            <v>451845</v>
          </cell>
          <cell r="C2543" t="str">
            <v>Child</v>
          </cell>
          <cell r="D2543" t="str">
            <v>Treasury TRF to - Emirates College for Advanced Education</v>
          </cell>
        </row>
        <row r="2544">
          <cell r="B2544">
            <v>451846</v>
          </cell>
          <cell r="C2544" t="str">
            <v>Child</v>
          </cell>
          <cell r="D2544" t="str">
            <v>Treasury TRF to - Mohammed V University, Abu Dhabi</v>
          </cell>
        </row>
        <row r="2545">
          <cell r="B2545">
            <v>451847</v>
          </cell>
          <cell r="C2545" t="str">
            <v>Child</v>
          </cell>
          <cell r="D2545" t="str">
            <v>Treasury TRF to - Khalifa University of Science &amp; Technology (KUST)</v>
          </cell>
        </row>
        <row r="2546">
          <cell r="B2546">
            <v>451848</v>
          </cell>
          <cell r="C2546" t="str">
            <v>Child</v>
          </cell>
          <cell r="D2546" t="str">
            <v>Treasury TRF to - Mohammad Bin Zayed University of Artificial Intelligence (MBZUAI)</v>
          </cell>
        </row>
        <row r="2547">
          <cell r="B2547">
            <v>451871</v>
          </cell>
          <cell r="C2547" t="str">
            <v>Child</v>
          </cell>
          <cell r="D2547" t="str">
            <v>Treasury TRF to - Rabdan Academy</v>
          </cell>
        </row>
        <row r="2548">
          <cell r="B2548">
            <v>451872</v>
          </cell>
          <cell r="C2548" t="str">
            <v>Child</v>
          </cell>
          <cell r="D2548" t="str">
            <v>Treasury TRF to – Abu Dhabi School of Government (ADSG)</v>
          </cell>
        </row>
        <row r="2549">
          <cell r="B2549">
            <v>451911</v>
          </cell>
          <cell r="C2549" t="str">
            <v>Child</v>
          </cell>
          <cell r="D2549" t="str">
            <v>Treasury TRF to - Zayed Higher Organization for People of Determination</v>
          </cell>
        </row>
        <row r="2550">
          <cell r="B2550">
            <v>451921</v>
          </cell>
          <cell r="C2550" t="str">
            <v>Child</v>
          </cell>
          <cell r="D2550" t="str">
            <v>Treasury TRF to - AD Retirement Pensions  Fund</v>
          </cell>
        </row>
        <row r="2551">
          <cell r="B2551">
            <v>451922</v>
          </cell>
          <cell r="C2551" t="str">
            <v>Child</v>
          </cell>
          <cell r="D2551" t="str">
            <v>Treasury TRF to - Pension Fund - Armed Forces</v>
          </cell>
        </row>
        <row r="2552">
          <cell r="B2552">
            <v>451923</v>
          </cell>
          <cell r="C2552" t="str">
            <v>Child</v>
          </cell>
          <cell r="D2552" t="str">
            <v>Treasury TRF to - Pension Fund - Police</v>
          </cell>
        </row>
        <row r="2553">
          <cell r="B2553">
            <v>451931</v>
          </cell>
          <cell r="C2553" t="str">
            <v>Child</v>
          </cell>
          <cell r="D2553" t="str">
            <v>Treasury TRF to - Family Development Foundation</v>
          </cell>
        </row>
        <row r="2554">
          <cell r="B2554">
            <v>451932</v>
          </cell>
          <cell r="C2554" t="str">
            <v>Child</v>
          </cell>
          <cell r="D2554" t="str">
            <v>Treasury TRF to - General Women's Union</v>
          </cell>
        </row>
        <row r="2555">
          <cell r="B2555">
            <v>451933</v>
          </cell>
          <cell r="C2555" t="str">
            <v>Child</v>
          </cell>
          <cell r="D2555" t="str">
            <v>Treasury TRF to - Social Care&amp;Minors Affairs Foundation</v>
          </cell>
        </row>
        <row r="2556">
          <cell r="B2556">
            <v>451934</v>
          </cell>
          <cell r="C2556" t="str">
            <v>Child</v>
          </cell>
          <cell r="D2556" t="str">
            <v>Treasury TRF to - Dar Zayed for Family Care</v>
          </cell>
        </row>
        <row r="2557">
          <cell r="B2557">
            <v>451935</v>
          </cell>
          <cell r="C2557" t="str">
            <v>Child</v>
          </cell>
          <cell r="D2557" t="str">
            <v>Treasury TRF to - Family Care authority – FCA</v>
          </cell>
        </row>
        <row r="2558">
          <cell r="B2558">
            <v>451943</v>
          </cell>
          <cell r="C2558" t="str">
            <v>Child</v>
          </cell>
          <cell r="D2558" t="str">
            <v>Treasury TRF to - Emirates Foundation For Youth Development</v>
          </cell>
        </row>
        <row r="2559">
          <cell r="B2559">
            <v>463604</v>
          </cell>
          <cell r="C2559" t="str">
            <v>Child</v>
          </cell>
          <cell r="D2559" t="str">
            <v>Grants - Peru</v>
          </cell>
        </row>
        <row r="2560">
          <cell r="B2560">
            <v>452000</v>
          </cell>
          <cell r="C2560" t="str">
            <v>Parent</v>
          </cell>
          <cell r="D2560" t="str">
            <v>Transfers from Entities to DoF Treasry and other Inter-Entity transfers</v>
          </cell>
        </row>
        <row r="2561">
          <cell r="B2561">
            <v>452122</v>
          </cell>
          <cell r="C2561" t="str">
            <v>Child</v>
          </cell>
          <cell r="D2561" t="str">
            <v>Exec Affairs Auth -  Treas  Contri. - pyt on behalf</v>
          </cell>
        </row>
        <row r="2562">
          <cell r="B2562">
            <v>452201</v>
          </cell>
          <cell r="C2562" t="str">
            <v>Child</v>
          </cell>
          <cell r="D2562" t="str">
            <v>Revenue Transfer to Treasury</v>
          </cell>
        </row>
        <row r="2563">
          <cell r="B2563">
            <v>452211</v>
          </cell>
          <cell r="C2563" t="str">
            <v>Child</v>
          </cell>
          <cell r="D2563" t="str">
            <v>DoF Support - Treas  Contri. - pyt on behalf</v>
          </cell>
        </row>
        <row r="2564">
          <cell r="B2564">
            <v>463434</v>
          </cell>
          <cell r="C2564" t="str">
            <v>Child</v>
          </cell>
          <cell r="D2564" t="str">
            <v>Grant-Libya</v>
          </cell>
        </row>
        <row r="2565">
          <cell r="B2565">
            <v>452413</v>
          </cell>
          <cell r="C2565" t="str">
            <v>Child</v>
          </cell>
          <cell r="D2565" t="str">
            <v>Inter Departmental Transfers - Transfers to ADGM</v>
          </cell>
        </row>
        <row r="2566">
          <cell r="B2566">
            <v>452451</v>
          </cell>
          <cell r="C2566" t="str">
            <v>Child</v>
          </cell>
          <cell r="D2566" t="str">
            <v>Non-TSA transfers to Dept of Culture and Tourism</v>
          </cell>
        </row>
        <row r="2567">
          <cell r="B2567">
            <v>452631</v>
          </cell>
          <cell r="C2567" t="str">
            <v>Child</v>
          </cell>
          <cell r="D2567" t="str">
            <v>Inter Departmental Transfers - Transfers to ADM</v>
          </cell>
        </row>
        <row r="2568">
          <cell r="B2568">
            <v>452846</v>
          </cell>
          <cell r="C2568" t="str">
            <v>Child</v>
          </cell>
          <cell r="D2568" t="str">
            <v>Inter Departmental Transfers - Transfers to MBZH</v>
          </cell>
        </row>
        <row r="2569">
          <cell r="B2569">
            <v>461839</v>
          </cell>
          <cell r="C2569" t="str">
            <v>Child</v>
          </cell>
          <cell r="D2569" t="str">
            <v>Ghantoot Racing &amp; Polo Club</v>
          </cell>
        </row>
        <row r="2570">
          <cell r="B2570">
            <v>460000</v>
          </cell>
          <cell r="C2570" t="str">
            <v>Parent</v>
          </cell>
          <cell r="D2570" t="str">
            <v>Subsidies, Grant and Aid payments</v>
          </cell>
        </row>
        <row r="2571">
          <cell r="B2571">
            <v>460010</v>
          </cell>
          <cell r="C2571" t="str">
            <v>Child</v>
          </cell>
          <cell r="D2571" t="str">
            <v>Consolidated Subsidy Expenditure (For TDF use only)</v>
          </cell>
        </row>
        <row r="2572">
          <cell r="B2572">
            <v>460020</v>
          </cell>
          <cell r="C2572" t="str">
            <v>Child</v>
          </cell>
          <cell r="D2572" t="str">
            <v>Consolidated Aid and Grants Expenditure (For TDF use only)</v>
          </cell>
        </row>
        <row r="2573">
          <cell r="B2573">
            <v>461112</v>
          </cell>
          <cell r="C2573" t="str">
            <v>Child</v>
          </cell>
          <cell r="D2573" t="str">
            <v>Grant / Subsidy  - Mubadala Dev Co</v>
          </cell>
        </row>
        <row r="2574">
          <cell r="B2574">
            <v>461113</v>
          </cell>
          <cell r="C2574" t="str">
            <v>Child</v>
          </cell>
          <cell r="D2574" t="str">
            <v>Grant  / Subsidy - Abu Dhabi Power Corporation</v>
          </cell>
        </row>
        <row r="2575">
          <cell r="B2575">
            <v>461114</v>
          </cell>
          <cell r="C2575" t="str">
            <v>Child</v>
          </cell>
          <cell r="D2575" t="str">
            <v>Grants / Subsidy– Tadweer</v>
          </cell>
        </row>
        <row r="2576">
          <cell r="B2576">
            <v>461116</v>
          </cell>
          <cell r="C2576" t="str">
            <v>Child</v>
          </cell>
          <cell r="D2576" t="str">
            <v>Grant - Masdar - Zayed Future Energy Prize</v>
          </cell>
        </row>
        <row r="2577">
          <cell r="B2577">
            <v>461121</v>
          </cell>
          <cell r="C2577" t="str">
            <v>Child</v>
          </cell>
          <cell r="D2577" t="str">
            <v>Subsidy/Grant to Sewerage Services Company</v>
          </cell>
        </row>
        <row r="2578">
          <cell r="B2578">
            <v>461212</v>
          </cell>
          <cell r="C2578" t="str">
            <v>Child</v>
          </cell>
          <cell r="D2578" t="str">
            <v>ADR&amp;P Fund - Pension contributions (Additional)</v>
          </cell>
        </row>
        <row r="2579">
          <cell r="B2579">
            <v>461213</v>
          </cell>
          <cell r="C2579" t="str">
            <v>Child</v>
          </cell>
          <cell r="D2579" t="str">
            <v>Grant – Exceptional Pensions</v>
          </cell>
        </row>
        <row r="2580">
          <cell r="B2580">
            <v>461311</v>
          </cell>
          <cell r="C2580" t="str">
            <v>Child</v>
          </cell>
          <cell r="D2580" t="str">
            <v>W&amp;E - Tariff Subsidy (Consumers)</v>
          </cell>
        </row>
        <row r="2581">
          <cell r="B2581">
            <v>461312</v>
          </cell>
          <cell r="C2581" t="str">
            <v>Child</v>
          </cell>
          <cell r="D2581" t="str">
            <v>Subsidy-Solar Power</v>
          </cell>
        </row>
        <row r="2582">
          <cell r="B2582">
            <v>461313</v>
          </cell>
          <cell r="C2582" t="str">
            <v>Child</v>
          </cell>
          <cell r="D2582" t="str">
            <v>Water and Electricity Tarif subsidy – other than individual Consumers</v>
          </cell>
        </row>
        <row r="2583">
          <cell r="B2583">
            <v>463768</v>
          </cell>
          <cell r="C2583" t="str">
            <v>Child</v>
          </cell>
          <cell r="D2583" t="str">
            <v>Grant-Togo</v>
          </cell>
        </row>
        <row r="2584">
          <cell r="B2584">
            <v>461314</v>
          </cell>
          <cell r="C2584" t="str">
            <v>Child</v>
          </cell>
          <cell r="D2584" t="str">
            <v>Water and Electricity related subsidy – Other than Tarif</v>
          </cell>
        </row>
        <row r="2585">
          <cell r="B2585">
            <v>461315</v>
          </cell>
          <cell r="C2585" t="str">
            <v>Child</v>
          </cell>
          <cell r="D2585" t="str">
            <v>Farmers - Electricity and water charges</v>
          </cell>
        </row>
        <row r="2586">
          <cell r="B2586">
            <v>461316</v>
          </cell>
          <cell r="C2586" t="str">
            <v>Child</v>
          </cell>
          <cell r="D2586" t="str">
            <v>Low income earners - Electricity and water charges</v>
          </cell>
        </row>
        <row r="2587">
          <cell r="B2587">
            <v>461411</v>
          </cell>
          <cell r="C2587" t="str">
            <v>Child</v>
          </cell>
          <cell r="D2587" t="str">
            <v>Support towards Customs Duty</v>
          </cell>
        </row>
        <row r="2588">
          <cell r="B2588">
            <v>461412</v>
          </cell>
          <cell r="C2588" t="str">
            <v>Child</v>
          </cell>
          <cell r="D2588" t="str">
            <v>Support to AD tourism development program</v>
          </cell>
        </row>
        <row r="2589">
          <cell r="B2589">
            <v>463952</v>
          </cell>
          <cell r="C2589" t="str">
            <v>Child</v>
          </cell>
          <cell r="D2589" t="str">
            <v>Grant-Kosovo</v>
          </cell>
        </row>
        <row r="2590">
          <cell r="B2590">
            <v>461413</v>
          </cell>
          <cell r="C2590" t="str">
            <v>Child</v>
          </cell>
          <cell r="D2590" t="str">
            <v>Incentives for Media Production</v>
          </cell>
        </row>
        <row r="2591">
          <cell r="B2591">
            <v>461414</v>
          </cell>
          <cell r="C2591" t="str">
            <v>Child</v>
          </cell>
          <cell r="D2591" t="str">
            <v>Support for acquisition of Broadcasting Rights</v>
          </cell>
        </row>
        <row r="2592">
          <cell r="B2592">
            <v>461415</v>
          </cell>
          <cell r="C2592" t="str">
            <v>Child</v>
          </cell>
          <cell r="D2592" t="str">
            <v>Rental Rebate cash back</v>
          </cell>
        </row>
        <row r="2593">
          <cell r="B2593">
            <v>461416</v>
          </cell>
          <cell r="C2593" t="str">
            <v>Child</v>
          </cell>
          <cell r="D2593" t="str">
            <v>Expenditure towards SMEs guarantee</v>
          </cell>
        </row>
        <row r="2594">
          <cell r="B2594">
            <v>461417</v>
          </cell>
          <cell r="C2594" t="str">
            <v>Child</v>
          </cell>
          <cell r="D2594" t="str">
            <v>Grant/Support to Technology Sector entities</v>
          </cell>
        </row>
        <row r="2595">
          <cell r="B2595">
            <v>461418</v>
          </cell>
          <cell r="C2595" t="str">
            <v>Child</v>
          </cell>
          <cell r="D2595" t="str">
            <v>Grant/Support to Growth Cluster related entities</v>
          </cell>
        </row>
        <row r="2596">
          <cell r="B2596">
            <v>461419</v>
          </cell>
          <cell r="C2596" t="str">
            <v>Child</v>
          </cell>
          <cell r="D2596" t="str">
            <v>Grant/Support to Shopkeepers at Zayed City Commercial Market</v>
          </cell>
        </row>
        <row r="2597">
          <cell r="B2597">
            <v>461511</v>
          </cell>
          <cell r="C2597" t="str">
            <v>Child</v>
          </cell>
          <cell r="D2597" t="str">
            <v>Farm establishment support</v>
          </cell>
        </row>
        <row r="2598">
          <cell r="B2598">
            <v>461512</v>
          </cell>
          <cell r="C2598" t="str">
            <v>Child</v>
          </cell>
          <cell r="D2598" t="str">
            <v>Farm operation support</v>
          </cell>
        </row>
        <row r="2599">
          <cell r="B2599">
            <v>461513</v>
          </cell>
          <cell r="C2599" t="str">
            <v>Child</v>
          </cell>
          <cell r="D2599" t="str">
            <v>Animal owners - Fodder subsidy</v>
          </cell>
        </row>
        <row r="2600">
          <cell r="B2600">
            <v>461514</v>
          </cell>
          <cell r="C2600" t="str">
            <v>Child</v>
          </cell>
          <cell r="D2600" t="str">
            <v>Fishermen's Cooperative Society</v>
          </cell>
        </row>
        <row r="2601">
          <cell r="B2601">
            <v>461515</v>
          </cell>
          <cell r="C2601" t="str">
            <v>Child</v>
          </cell>
          <cell r="D2601" t="str">
            <v>For farm crop damage</v>
          </cell>
        </row>
        <row r="2602">
          <cell r="B2602">
            <v>461516</v>
          </cell>
          <cell r="C2602" t="str">
            <v>Child</v>
          </cell>
          <cell r="D2602" t="str">
            <v>Palm Pest Control support Program</v>
          </cell>
        </row>
        <row r="2603">
          <cell r="B2603">
            <v>461517</v>
          </cell>
          <cell r="C2603" t="str">
            <v>Child</v>
          </cell>
          <cell r="D2603" t="str">
            <v>Commodities and other foodstuff</v>
          </cell>
        </row>
        <row r="2604">
          <cell r="B2604">
            <v>461518</v>
          </cell>
          <cell r="C2604" t="str">
            <v>Child</v>
          </cell>
          <cell r="D2604" t="str">
            <v>Meat (includes camel meat)</v>
          </cell>
        </row>
        <row r="2605">
          <cell r="B2605">
            <v>461519</v>
          </cell>
          <cell r="C2605" t="str">
            <v>Child</v>
          </cell>
          <cell r="D2605" t="str">
            <v>Flour support Program</v>
          </cell>
        </row>
        <row r="2606">
          <cell r="B2606">
            <v>461521</v>
          </cell>
          <cell r="C2606" t="str">
            <v>Child</v>
          </cell>
          <cell r="D2606" t="str">
            <v>Composite Feed support Program</v>
          </cell>
        </row>
        <row r="2607">
          <cell r="B2607">
            <v>461611</v>
          </cell>
          <cell r="C2607" t="str">
            <v>Child</v>
          </cell>
          <cell r="D2607" t="str">
            <v>EISS - Emirati Salary Support Scheme</v>
          </cell>
        </row>
        <row r="2608">
          <cell r="B2608">
            <v>461612</v>
          </cell>
          <cell r="C2608" t="str">
            <v>Child</v>
          </cell>
          <cell r="D2608" t="str">
            <v>EISS - Merit Program</v>
          </cell>
        </row>
        <row r="2609">
          <cell r="B2609">
            <v>461613</v>
          </cell>
          <cell r="C2609" t="str">
            <v>Child</v>
          </cell>
          <cell r="D2609" t="str">
            <v>EISS - Pension program</v>
          </cell>
        </row>
        <row r="2610">
          <cell r="B2610">
            <v>461614</v>
          </cell>
          <cell r="C2610" t="str">
            <v>Child</v>
          </cell>
          <cell r="D2610" t="str">
            <v>EISS - Child Allowance Scheme</v>
          </cell>
        </row>
        <row r="2611">
          <cell r="B2611">
            <v>461615</v>
          </cell>
          <cell r="C2611" t="str">
            <v>Child</v>
          </cell>
          <cell r="D2611" t="str">
            <v>EISS - Talent Program</v>
          </cell>
        </row>
        <row r="2612">
          <cell r="B2612">
            <v>461616</v>
          </cell>
          <cell r="C2612" t="str">
            <v>Child</v>
          </cell>
          <cell r="D2612" t="str">
            <v>EISS - Apprentice Program</v>
          </cell>
        </row>
        <row r="2613">
          <cell r="B2613">
            <v>461617</v>
          </cell>
          <cell r="C2613" t="str">
            <v>Child</v>
          </cell>
          <cell r="D2613" t="str">
            <v>EISS - National Healthcare Program</v>
          </cell>
        </row>
        <row r="2614">
          <cell r="B2614">
            <v>461618</v>
          </cell>
          <cell r="C2614" t="str">
            <v>Child</v>
          </cell>
          <cell r="D2614" t="str">
            <v>EISS - Unemployment Benefit</v>
          </cell>
        </row>
        <row r="2615">
          <cell r="B2615">
            <v>461619</v>
          </cell>
          <cell r="C2615" t="str">
            <v>Child</v>
          </cell>
          <cell r="D2615" t="str">
            <v>EISS - Vocation Counselling Program</v>
          </cell>
        </row>
        <row r="2616">
          <cell r="B2616">
            <v>461651</v>
          </cell>
          <cell r="C2616" t="str">
            <v>Child</v>
          </cell>
          <cell r="D2616" t="str">
            <v>Khalifa Fund for financial relief to Emiratis</v>
          </cell>
        </row>
        <row r="2617">
          <cell r="B2617">
            <v>461652</v>
          </cell>
          <cell r="C2617" t="str">
            <v>Child</v>
          </cell>
          <cell r="D2617" t="str">
            <v>Subsidy towards community service projects</v>
          </cell>
        </row>
        <row r="2618">
          <cell r="B2618">
            <v>491634</v>
          </cell>
          <cell r="C2618" t="str">
            <v>Child</v>
          </cell>
          <cell r="D2618" t="str">
            <v>Public transport buses</v>
          </cell>
        </row>
        <row r="2619">
          <cell r="B2619">
            <v>461653</v>
          </cell>
          <cell r="C2619" t="str">
            <v>Child</v>
          </cell>
          <cell r="D2619" t="str">
            <v>Grant-Nat'l houses-Rent/Maintenance chgs</v>
          </cell>
        </row>
        <row r="2620">
          <cell r="B2620">
            <v>461654</v>
          </cell>
          <cell r="C2620" t="str">
            <v>Child</v>
          </cell>
          <cell r="D2620" t="str">
            <v>Financial support</v>
          </cell>
        </row>
        <row r="2621">
          <cell r="B2621">
            <v>461655</v>
          </cell>
          <cell r="C2621" t="str">
            <v>Child</v>
          </cell>
          <cell r="D2621" t="str">
            <v>Grant/Contribution towards Commercial Building Loans portfolio</v>
          </cell>
        </row>
        <row r="2622">
          <cell r="B2622">
            <v>461811</v>
          </cell>
          <cell r="C2622" t="str">
            <v>Child</v>
          </cell>
          <cell r="D2622" t="str">
            <v>AD Folklore &amp; Theatre Society</v>
          </cell>
        </row>
        <row r="2623">
          <cell r="B2623">
            <v>461812</v>
          </cell>
          <cell r="C2623" t="str">
            <v>Child</v>
          </cell>
          <cell r="D2623" t="str">
            <v>AD International Marine Sports Club</v>
          </cell>
        </row>
        <row r="2624">
          <cell r="B2624">
            <v>461813</v>
          </cell>
          <cell r="C2624" t="str">
            <v>Child</v>
          </cell>
          <cell r="D2624" t="str">
            <v>Al Ain Sports Club</v>
          </cell>
        </row>
        <row r="2625">
          <cell r="B2625">
            <v>461814</v>
          </cell>
          <cell r="C2625" t="str">
            <v>Child</v>
          </cell>
          <cell r="D2625" t="str">
            <v>Al Jazeera Sports Club</v>
          </cell>
        </row>
        <row r="2626">
          <cell r="B2626">
            <v>461815</v>
          </cell>
          <cell r="C2626" t="str">
            <v>Child</v>
          </cell>
          <cell r="D2626" t="str">
            <v>Al Wagan Club</v>
          </cell>
        </row>
        <row r="2627">
          <cell r="B2627">
            <v>461816</v>
          </cell>
          <cell r="C2627" t="str">
            <v>Child</v>
          </cell>
          <cell r="D2627" t="str">
            <v>Al Wahda Sports Club</v>
          </cell>
        </row>
        <row r="2628">
          <cell r="B2628">
            <v>461817</v>
          </cell>
          <cell r="C2628" t="str">
            <v>Child</v>
          </cell>
          <cell r="D2628" t="str">
            <v>Dalma Club</v>
          </cell>
        </row>
        <row r="2629">
          <cell r="B2629">
            <v>461818</v>
          </cell>
          <cell r="C2629" t="str">
            <v>Child</v>
          </cell>
          <cell r="D2629" t="str">
            <v>Baniyas Sports Club</v>
          </cell>
        </row>
        <row r="2630">
          <cell r="B2630">
            <v>461819</v>
          </cell>
          <cell r="C2630" t="str">
            <v>Child</v>
          </cell>
          <cell r="D2630" t="str">
            <v>Abu Dhabi Chess club</v>
          </cell>
        </row>
        <row r="2631">
          <cell r="B2631">
            <v>461821</v>
          </cell>
          <cell r="C2631" t="str">
            <v>Child</v>
          </cell>
          <cell r="D2631" t="str">
            <v>Equestrian &amp; Racing Federation</v>
          </cell>
        </row>
        <row r="2632">
          <cell r="B2632">
            <v>461822</v>
          </cell>
          <cell r="C2632" t="str">
            <v>Child</v>
          </cell>
          <cell r="D2632" t="str">
            <v>AD Equestrian Club</v>
          </cell>
        </row>
        <row r="2633">
          <cell r="B2633">
            <v>461823</v>
          </cell>
          <cell r="C2633" t="str">
            <v>Child</v>
          </cell>
          <cell r="D2633" t="str">
            <v>Govt Employees' Sports</v>
          </cell>
        </row>
        <row r="2634">
          <cell r="B2634">
            <v>461824</v>
          </cell>
          <cell r="C2634" t="str">
            <v>Child</v>
          </cell>
          <cell r="D2634" t="str">
            <v>AD Sports Club</v>
          </cell>
        </row>
        <row r="2635">
          <cell r="B2635">
            <v>461826</v>
          </cell>
          <cell r="C2635" t="str">
            <v>Child</v>
          </cell>
          <cell r="D2635" t="str">
            <v>UAE Boxing Association</v>
          </cell>
        </row>
        <row r="2636">
          <cell r="B2636">
            <v>461828</v>
          </cell>
          <cell r="C2636" t="str">
            <v>Child</v>
          </cell>
          <cell r="D2636" t="str">
            <v>AA Equestrian, Shooting &amp; Golf Club</v>
          </cell>
        </row>
        <row r="2637">
          <cell r="B2637">
            <v>461829</v>
          </cell>
          <cell r="C2637" t="str">
            <v>Child</v>
          </cell>
          <cell r="D2637" t="str">
            <v>UAE Football Association</v>
          </cell>
        </row>
        <row r="2638">
          <cell r="B2638">
            <v>461833</v>
          </cell>
          <cell r="C2638" t="str">
            <v>Child</v>
          </cell>
          <cell r="D2638" t="str">
            <v>AA Chess &amp; Cultural Club</v>
          </cell>
        </row>
        <row r="2639">
          <cell r="B2639">
            <v>461834</v>
          </cell>
          <cell r="C2639" t="str">
            <v>Child</v>
          </cell>
          <cell r="D2639" t="str">
            <v>Emirates Global Village for Endurance Racing</v>
          </cell>
        </row>
        <row r="2640">
          <cell r="B2640">
            <v>461835</v>
          </cell>
          <cell r="C2640" t="str">
            <v>Child</v>
          </cell>
          <cell r="D2640" t="str">
            <v>UAE Camel Race Association</v>
          </cell>
        </row>
        <row r="2641">
          <cell r="B2641">
            <v>461836</v>
          </cell>
          <cell r="C2641" t="str">
            <v>Child</v>
          </cell>
          <cell r="D2641" t="str">
            <v>AA Club for Amatures</v>
          </cell>
        </row>
        <row r="2642">
          <cell r="B2642">
            <v>461837</v>
          </cell>
          <cell r="C2642" t="str">
            <v>Child</v>
          </cell>
          <cell r="D2642" t="str">
            <v>Arab Union for University Sports</v>
          </cell>
        </row>
        <row r="2643">
          <cell r="B2643">
            <v>461838</v>
          </cell>
          <cell r="C2643" t="str">
            <v>Child</v>
          </cell>
          <cell r="D2643" t="str">
            <v>Sports Union for Higher Educational Establishments in UAE</v>
          </cell>
        </row>
        <row r="2644">
          <cell r="B2644">
            <v>461841</v>
          </cell>
          <cell r="C2644" t="str">
            <v>Child</v>
          </cell>
          <cell r="D2644" t="str">
            <v>Emirates Arabian Horse Society</v>
          </cell>
        </row>
        <row r="2645">
          <cell r="B2645">
            <v>461842</v>
          </cell>
          <cell r="C2645" t="str">
            <v>Child</v>
          </cell>
          <cell r="D2645" t="str">
            <v>AlWagan Sports Club</v>
          </cell>
        </row>
        <row r="2646">
          <cell r="B2646">
            <v>461843</v>
          </cell>
          <cell r="C2646" t="str">
            <v>Child</v>
          </cell>
          <cell r="D2646" t="str">
            <v>Delma Sports Club</v>
          </cell>
        </row>
        <row r="2647">
          <cell r="B2647">
            <v>461844</v>
          </cell>
          <cell r="C2647" t="str">
            <v>Child</v>
          </cell>
          <cell r="D2647" t="str">
            <v>UAE Hockey Association</v>
          </cell>
        </row>
        <row r="2648">
          <cell r="B2648">
            <v>461845</v>
          </cell>
          <cell r="C2648" t="str">
            <v>Child</v>
          </cell>
          <cell r="D2648" t="str">
            <v>Sports Care Program</v>
          </cell>
        </row>
        <row r="2649">
          <cell r="B2649">
            <v>461846</v>
          </cell>
          <cell r="C2649" t="str">
            <v>Child</v>
          </cell>
          <cell r="D2649" t="str">
            <v>Asian Federation for Chess</v>
          </cell>
        </row>
        <row r="2650">
          <cell r="B2650">
            <v>461847</v>
          </cell>
          <cell r="C2650" t="str">
            <v>Child</v>
          </cell>
          <cell r="D2650" t="str">
            <v>Abu Dhabi Sailing Club</v>
          </cell>
        </row>
        <row r="2651">
          <cell r="B2651">
            <v>461848</v>
          </cell>
          <cell r="C2651" t="str">
            <v>Child</v>
          </cell>
          <cell r="D2651" t="str">
            <v>Ladies Football Committee</v>
          </cell>
        </row>
        <row r="2652">
          <cell r="B2652">
            <v>461849</v>
          </cell>
          <cell r="C2652" t="str">
            <v>Child</v>
          </cell>
          <cell r="D2652" t="str">
            <v>Sheikha Fatima Academy</v>
          </cell>
        </row>
        <row r="2653">
          <cell r="B2653">
            <v>461851</v>
          </cell>
          <cell r="C2653" t="str">
            <v>Child</v>
          </cell>
          <cell r="D2653" t="str">
            <v>UAE Disabled Sports Federation</v>
          </cell>
        </row>
        <row r="2654">
          <cell r="B2654">
            <v>461852</v>
          </cell>
          <cell r="C2654" t="str">
            <v>Child</v>
          </cell>
          <cell r="D2654" t="str">
            <v>Abu Dhabi Falconers' Club</v>
          </cell>
        </row>
        <row r="2655">
          <cell r="B2655">
            <v>461853</v>
          </cell>
          <cell r="C2655" t="str">
            <v>Child</v>
          </cell>
          <cell r="D2655" t="str">
            <v>Abu Dhabi Ladies Club</v>
          </cell>
        </row>
        <row r="2656">
          <cell r="B2656">
            <v>461854</v>
          </cell>
          <cell r="C2656" t="str">
            <v>Child</v>
          </cell>
          <cell r="D2656" t="str">
            <v>UAE Jiu-Jitsu Federation</v>
          </cell>
        </row>
        <row r="2657">
          <cell r="B2657">
            <v>461855</v>
          </cell>
          <cell r="C2657" t="str">
            <v>Child</v>
          </cell>
          <cell r="D2657" t="str">
            <v>Abu Dhabi Motorsports Management</v>
          </cell>
        </row>
        <row r="2658">
          <cell r="B2658">
            <v>461856</v>
          </cell>
          <cell r="C2658" t="str">
            <v>Child</v>
          </cell>
          <cell r="D2658" t="str">
            <v>Emirates Bowling Federation</v>
          </cell>
        </row>
        <row r="2659">
          <cell r="B2659">
            <v>461858</v>
          </cell>
          <cell r="C2659" t="str">
            <v>Child</v>
          </cell>
          <cell r="D2659" t="str">
            <v>UAE Basket Ball Federation</v>
          </cell>
        </row>
        <row r="2660">
          <cell r="B2660">
            <v>461859</v>
          </cell>
          <cell r="C2660" t="str">
            <v>Child</v>
          </cell>
          <cell r="D2660" t="str">
            <v>Asian Jui-Jitsu Federation</v>
          </cell>
        </row>
        <row r="2661">
          <cell r="B2661">
            <v>461861</v>
          </cell>
          <cell r="C2661" t="str">
            <v>Child</v>
          </cell>
          <cell r="D2661" t="str">
            <v>UAE Swimming Federation</v>
          </cell>
        </row>
        <row r="2662">
          <cell r="B2662">
            <v>461862</v>
          </cell>
          <cell r="C2662" t="str">
            <v>Child</v>
          </cell>
          <cell r="D2662" t="str">
            <v>UAE Fencing Federation</v>
          </cell>
        </row>
        <row r="2663">
          <cell r="B2663">
            <v>461863</v>
          </cell>
          <cell r="C2663" t="str">
            <v>Child</v>
          </cell>
          <cell r="D2663" t="str">
            <v>Yas Links Abu Dhabi</v>
          </cell>
        </row>
        <row r="2664">
          <cell r="B2664">
            <v>461864</v>
          </cell>
          <cell r="C2664" t="str">
            <v>Child</v>
          </cell>
          <cell r="D2664" t="str">
            <v>Al Ain Club for the Disabled</v>
          </cell>
        </row>
        <row r="2665">
          <cell r="B2665">
            <v>461865</v>
          </cell>
          <cell r="C2665" t="str">
            <v>Child</v>
          </cell>
          <cell r="D2665" t="str">
            <v>Abu Dhabi Racing Company</v>
          </cell>
        </row>
        <row r="2666">
          <cell r="B2666">
            <v>461866</v>
          </cell>
          <cell r="C2666" t="str">
            <v>Child</v>
          </cell>
          <cell r="D2666" t="str">
            <v>Al Ain Raceway</v>
          </cell>
        </row>
        <row r="2667">
          <cell r="B2667">
            <v>461867</v>
          </cell>
          <cell r="C2667" t="str">
            <v>Child</v>
          </cell>
          <cell r="D2667" t="str">
            <v>UAE Professional League Committee</v>
          </cell>
        </row>
        <row r="2668">
          <cell r="B2668">
            <v>461868</v>
          </cell>
          <cell r="C2668" t="str">
            <v>Child</v>
          </cell>
          <cell r="D2668" t="str">
            <v>Abu Dhabi Aviation Sports Club</v>
          </cell>
        </row>
        <row r="2669">
          <cell r="B2669">
            <v>461869</v>
          </cell>
          <cell r="C2669" t="str">
            <v>Child</v>
          </cell>
          <cell r="D2669" t="str">
            <v>Sadiyat Beach Golf Club</v>
          </cell>
        </row>
        <row r="2670">
          <cell r="B2670">
            <v>461871</v>
          </cell>
          <cell r="C2670" t="str">
            <v>Child</v>
          </cell>
          <cell r="D2670" t="str">
            <v>Yas Marina Circuit</v>
          </cell>
        </row>
        <row r="2671">
          <cell r="B2671">
            <v>461872</v>
          </cell>
          <cell r="C2671" t="str">
            <v>Child</v>
          </cell>
          <cell r="D2671" t="str">
            <v>Olympic Sports Committee</v>
          </cell>
        </row>
        <row r="2672">
          <cell r="B2672">
            <v>461873</v>
          </cell>
          <cell r="C2672" t="str">
            <v>Child</v>
          </cell>
          <cell r="D2672" t="str">
            <v>UAE Billiards and Snooker Association</v>
          </cell>
        </row>
        <row r="2673">
          <cell r="B2673">
            <v>461874</v>
          </cell>
          <cell r="C2673" t="str">
            <v>Child</v>
          </cell>
          <cell r="D2673" t="str">
            <v>Abu Dhabi Cricket Club</v>
          </cell>
        </row>
        <row r="2674">
          <cell r="B2674">
            <v>461875</v>
          </cell>
          <cell r="C2674" t="str">
            <v>Child</v>
          </cell>
          <cell r="D2674" t="str">
            <v>UAE Shooting Association</v>
          </cell>
        </row>
        <row r="2675">
          <cell r="B2675">
            <v>461876</v>
          </cell>
          <cell r="C2675" t="str">
            <v>Child</v>
          </cell>
          <cell r="D2675" t="str">
            <v>Abu Dhabi Cycling Club</v>
          </cell>
        </row>
        <row r="2676">
          <cell r="B2676">
            <v>461877</v>
          </cell>
          <cell r="C2676" t="str">
            <v>Child</v>
          </cell>
          <cell r="D2676" t="str">
            <v>UAE Tennis Federation</v>
          </cell>
        </row>
        <row r="2677">
          <cell r="B2677">
            <v>461878</v>
          </cell>
          <cell r="C2677" t="str">
            <v>Child</v>
          </cell>
          <cell r="D2677" t="str">
            <v>Higher Committee for Holding Special Olympics</v>
          </cell>
        </row>
        <row r="2678">
          <cell r="B2678">
            <v>461879</v>
          </cell>
          <cell r="C2678" t="str">
            <v>Child</v>
          </cell>
          <cell r="D2678" t="str">
            <v>Special Olypmics foundation of UAE</v>
          </cell>
        </row>
        <row r="2679">
          <cell r="B2679">
            <v>461881</v>
          </cell>
          <cell r="C2679" t="str">
            <v>Child</v>
          </cell>
          <cell r="D2679" t="str">
            <v>UAE Ice Sports Federation</v>
          </cell>
        </row>
        <row r="2680">
          <cell r="B2680">
            <v>461882</v>
          </cell>
          <cell r="C2680" t="str">
            <v>Child</v>
          </cell>
          <cell r="D2680" t="str">
            <v>Al Dhafra Shooting Club</v>
          </cell>
        </row>
        <row r="2681">
          <cell r="B2681">
            <v>461883</v>
          </cell>
          <cell r="C2681" t="str">
            <v>Child</v>
          </cell>
          <cell r="D2681" t="str">
            <v>EMARAT MOTORSPORTS CLUB</v>
          </cell>
        </row>
        <row r="2682">
          <cell r="B2682">
            <v>461884</v>
          </cell>
          <cell r="C2682" t="str">
            <v>Child</v>
          </cell>
          <cell r="D2682" t="str">
            <v>Abu Dhabi Athletics Club</v>
          </cell>
        </row>
        <row r="2683">
          <cell r="B2683">
            <v>461885</v>
          </cell>
          <cell r="C2683" t="str">
            <v>Child</v>
          </cell>
          <cell r="D2683" t="str">
            <v>Abu Dhabi Tennis Club</v>
          </cell>
        </row>
        <row r="2684">
          <cell r="B2684">
            <v>461886</v>
          </cell>
          <cell r="C2684" t="str">
            <v>Child</v>
          </cell>
          <cell r="D2684" t="str">
            <v>Abu Dhabi Water Sports Club</v>
          </cell>
        </row>
        <row r="2685">
          <cell r="B2685">
            <v>461887</v>
          </cell>
          <cell r="C2685" t="str">
            <v>Child</v>
          </cell>
          <cell r="D2685" t="str">
            <v>Abu Dhabi Fencing Club</v>
          </cell>
        </row>
        <row r="2686">
          <cell r="B2686">
            <v>461888</v>
          </cell>
          <cell r="C2686" t="str">
            <v>Child</v>
          </cell>
          <cell r="D2686" t="str">
            <v>Abu Dhabi Bow and Arrow Club</v>
          </cell>
        </row>
        <row r="2687">
          <cell r="B2687">
            <v>461889</v>
          </cell>
          <cell r="C2687" t="str">
            <v>Child</v>
          </cell>
          <cell r="D2687" t="str">
            <v>Abu Dhabi Weightlifting Club</v>
          </cell>
        </row>
        <row r="2688">
          <cell r="B2688">
            <v>461891</v>
          </cell>
          <cell r="C2688" t="str">
            <v>Child</v>
          </cell>
          <cell r="D2688" t="str">
            <v>Muay Thai and Kickboxing Federation</v>
          </cell>
        </row>
        <row r="2689">
          <cell r="B2689">
            <v>461892</v>
          </cell>
          <cell r="C2689" t="str">
            <v>Child</v>
          </cell>
          <cell r="D2689" t="str">
            <v>UAE Wrestling Federation</v>
          </cell>
        </row>
        <row r="2690">
          <cell r="B2690">
            <v>461991</v>
          </cell>
          <cell r="C2690" t="str">
            <v>Child</v>
          </cell>
          <cell r="D2690" t="str">
            <v>Other subsidies, not mentioned elsewhere</v>
          </cell>
        </row>
        <row r="2691">
          <cell r="B2691">
            <v>462110</v>
          </cell>
          <cell r="C2691" t="str">
            <v>Parent</v>
          </cell>
          <cell r="D2691" t="str">
            <v>Grants to other UAE Emirates:</v>
          </cell>
        </row>
        <row r="2692">
          <cell r="B2692">
            <v>462121</v>
          </cell>
          <cell r="C2692" t="str">
            <v>Child</v>
          </cell>
          <cell r="D2692" t="str">
            <v>Grant-Fujairah</v>
          </cell>
        </row>
        <row r="2693">
          <cell r="B2693">
            <v>462131</v>
          </cell>
          <cell r="C2693" t="str">
            <v>Child</v>
          </cell>
          <cell r="D2693" t="str">
            <v>Grant-Ras Al Khaimah</v>
          </cell>
        </row>
        <row r="2694">
          <cell r="B2694">
            <v>462141</v>
          </cell>
          <cell r="C2694" t="str">
            <v>Child</v>
          </cell>
          <cell r="D2694" t="str">
            <v>Grant-Northern Emirates</v>
          </cell>
        </row>
        <row r="2695">
          <cell r="B2695">
            <v>462191</v>
          </cell>
          <cell r="C2695" t="str">
            <v>Child</v>
          </cell>
          <cell r="D2695" t="str">
            <v>Petroleum Subsidy-Northern Emirates (EGPC)</v>
          </cell>
        </row>
        <row r="2696">
          <cell r="B2696">
            <v>462211</v>
          </cell>
          <cell r="C2696" t="str">
            <v>Child</v>
          </cell>
          <cell r="D2696" t="str">
            <v>Cash grants</v>
          </cell>
        </row>
        <row r="2697">
          <cell r="B2697">
            <v>462212</v>
          </cell>
          <cell r="C2697" t="str">
            <v>Child</v>
          </cell>
          <cell r="D2697" t="str">
            <v>Project-related grant</v>
          </cell>
        </row>
        <row r="2698">
          <cell r="B2698">
            <v>462222</v>
          </cell>
          <cell r="C2698" t="str">
            <v>Child</v>
          </cell>
          <cell r="D2698" t="str">
            <v>UAE Ministry of Education - Grant</v>
          </cell>
        </row>
        <row r="2699">
          <cell r="B2699">
            <v>462223</v>
          </cell>
          <cell r="C2699" t="str">
            <v>Child</v>
          </cell>
          <cell r="D2699" t="str">
            <v>Grant – Education and Human resource Council</v>
          </cell>
        </row>
        <row r="2700">
          <cell r="B2700">
            <v>462224</v>
          </cell>
          <cell r="C2700" t="str">
            <v>Child</v>
          </cell>
          <cell r="D2700" t="str">
            <v>Equity Participation of UAE in AIIB</v>
          </cell>
        </row>
        <row r="2701">
          <cell r="B2701">
            <v>462225</v>
          </cell>
          <cell r="C2701" t="str">
            <v>Child</v>
          </cell>
          <cell r="D2701" t="str">
            <v>Subsidy/grant to Federal Entities not specifically mentioned elsewhere</v>
          </cell>
        </row>
        <row r="2702">
          <cell r="B2702">
            <v>462226</v>
          </cell>
          <cell r="C2702" t="str">
            <v>Child</v>
          </cell>
          <cell r="D2702" t="str">
            <v>Grant-UAE Ministry of Foreign Affairs</v>
          </cell>
        </row>
        <row r="2703">
          <cell r="B2703">
            <v>462227</v>
          </cell>
          <cell r="C2703" t="str">
            <v>Child</v>
          </cell>
          <cell r="D2703" t="str">
            <v>UAE Municipalities General Secretariat</v>
          </cell>
        </row>
        <row r="2704">
          <cell r="B2704">
            <v>462228</v>
          </cell>
          <cell r="C2704" t="str">
            <v>Child</v>
          </cell>
          <cell r="D2704" t="str">
            <v>UAE Ministry of Defence - Grant</v>
          </cell>
        </row>
        <row r="2705">
          <cell r="B2705">
            <v>462229</v>
          </cell>
          <cell r="C2705" t="str">
            <v>Child</v>
          </cell>
          <cell r="D2705" t="str">
            <v>Subsidy to Federal Customs Authority</v>
          </cell>
        </row>
        <row r="2706">
          <cell r="B2706">
            <v>462311</v>
          </cell>
          <cell r="C2706" t="str">
            <v>Child</v>
          </cell>
          <cell r="D2706" t="str">
            <v>Grant - A D Airports Co</v>
          </cell>
        </row>
        <row r="2707">
          <cell r="B2707">
            <v>462312</v>
          </cell>
          <cell r="C2707" t="str">
            <v>Child</v>
          </cell>
          <cell r="D2707" t="str">
            <v>Grant - AD Media Co</v>
          </cell>
        </row>
        <row r="2708">
          <cell r="B2708">
            <v>462314</v>
          </cell>
          <cell r="C2708" t="str">
            <v>Child</v>
          </cell>
          <cell r="D2708" t="str">
            <v>Grant -A.D. Development Holding PJSC (ADQ )</v>
          </cell>
        </row>
        <row r="2709">
          <cell r="B2709">
            <v>462317</v>
          </cell>
          <cell r="C2709" t="str">
            <v>Child</v>
          </cell>
          <cell r="D2709" t="str">
            <v>Grant - Image Nation AD</v>
          </cell>
        </row>
        <row r="2710">
          <cell r="B2710">
            <v>462318</v>
          </cell>
          <cell r="C2710" t="str">
            <v>Child</v>
          </cell>
          <cell r="D2710" t="str">
            <v>Grant -  Q Market Makers</v>
          </cell>
        </row>
        <row r="2711">
          <cell r="B2711">
            <v>462319</v>
          </cell>
          <cell r="C2711" t="str">
            <v>Child</v>
          </cell>
          <cell r="D2711" t="str">
            <v>Grant - Baynounah Company</v>
          </cell>
        </row>
        <row r="2712">
          <cell r="B2712">
            <v>462321</v>
          </cell>
          <cell r="C2712" t="str">
            <v>Child</v>
          </cell>
          <cell r="D2712" t="str">
            <v>Grant – G-42 Laboratory LLC</v>
          </cell>
        </row>
        <row r="2713">
          <cell r="B2713">
            <v>462322</v>
          </cell>
          <cell r="C2713" t="str">
            <v>Child</v>
          </cell>
          <cell r="D2713" t="str">
            <v>Grant - Abu Dhabi Media Company</v>
          </cell>
        </row>
        <row r="2714">
          <cell r="B2714">
            <v>462411</v>
          </cell>
          <cell r="C2714" t="str">
            <v>Child</v>
          </cell>
          <cell r="D2714" t="str">
            <v>Grant-Abu Dhabi Retirement and Pension Fund (ADRPF)</v>
          </cell>
        </row>
        <row r="2715">
          <cell r="B2715">
            <v>462412</v>
          </cell>
          <cell r="C2715" t="str">
            <v>Child</v>
          </cell>
          <cell r="D2715" t="str">
            <v>Grants – Events Security Committee</v>
          </cell>
        </row>
        <row r="2716">
          <cell r="B2716">
            <v>462413</v>
          </cell>
          <cell r="C2716" t="str">
            <v>Child</v>
          </cell>
          <cell r="D2716" t="str">
            <v>HH The Ruler's Private Dept-Grant</v>
          </cell>
        </row>
        <row r="2717">
          <cell r="B2717">
            <v>462414</v>
          </cell>
          <cell r="C2717" t="str">
            <v>Child</v>
          </cell>
          <cell r="D2717" t="str">
            <v>Grant-UAE Red Crescent Society</v>
          </cell>
        </row>
        <row r="2718">
          <cell r="B2718">
            <v>462415</v>
          </cell>
          <cell r="C2718" t="str">
            <v>Child</v>
          </cell>
          <cell r="D2718" t="str">
            <v>Grant - Higher Committee for Human Fraternity – Abu Dhabi</v>
          </cell>
        </row>
        <row r="2719">
          <cell r="B2719">
            <v>462416</v>
          </cell>
          <cell r="C2719" t="str">
            <v>Child</v>
          </cell>
          <cell r="D2719" t="str">
            <v>Grant-Zoo &amp; Aquarium Public Institution, Al Ain</v>
          </cell>
        </row>
        <row r="2720">
          <cell r="B2720">
            <v>462417</v>
          </cell>
          <cell r="C2720" t="str">
            <v>Child</v>
          </cell>
          <cell r="D2720" t="str">
            <v>Grant-Supreme Council for Motherhood &amp; Childhood</v>
          </cell>
        </row>
        <row r="2721">
          <cell r="B2721">
            <v>462491</v>
          </cell>
          <cell r="C2721" t="str">
            <v>Child</v>
          </cell>
          <cell r="D2721" t="str">
            <v>Customs duty Exemption to Entities not mentioned elsewhere</v>
          </cell>
        </row>
        <row r="2722">
          <cell r="B2722">
            <v>462496</v>
          </cell>
          <cell r="C2722" t="str">
            <v>Child</v>
          </cell>
          <cell r="D2722" t="str">
            <v>Other resources provided free of charge</v>
          </cell>
        </row>
        <row r="2723">
          <cell r="B2723">
            <v>462511</v>
          </cell>
          <cell r="C2723" t="str">
            <v>Child</v>
          </cell>
          <cell r="D2723" t="str">
            <v>Grants / Support to Sea Port Industry</v>
          </cell>
        </row>
        <row r="2724">
          <cell r="B2724">
            <v>462512</v>
          </cell>
          <cell r="C2724" t="str">
            <v>Child</v>
          </cell>
          <cell r="D2724" t="str">
            <v>Public-private partnerships</v>
          </cell>
        </row>
        <row r="2725">
          <cell r="B2725">
            <v>462513</v>
          </cell>
          <cell r="C2725" t="str">
            <v>Child</v>
          </cell>
          <cell r="D2725" t="str">
            <v>Grants/Support to Media Industry</v>
          </cell>
        </row>
        <row r="2726">
          <cell r="B2726">
            <v>462611</v>
          </cell>
          <cell r="C2726" t="str">
            <v>Child</v>
          </cell>
          <cell r="D2726" t="str">
            <v>Cultural, religious and art organisations</v>
          </cell>
        </row>
        <row r="2727">
          <cell r="B2727">
            <v>462612</v>
          </cell>
          <cell r="C2727" t="str">
            <v>Child</v>
          </cell>
          <cell r="D2727" t="str">
            <v>Emirates Heritage Club</v>
          </cell>
        </row>
        <row r="2728">
          <cell r="B2728">
            <v>462613</v>
          </cell>
          <cell r="C2728" t="str">
            <v>Child</v>
          </cell>
          <cell r="D2728" t="str">
            <v>Arab Youth Center</v>
          </cell>
        </row>
        <row r="2729">
          <cell r="B2729">
            <v>462614</v>
          </cell>
          <cell r="C2729" t="str">
            <v>Child</v>
          </cell>
          <cell r="D2729" t="str">
            <v>World Council of Muslim Communities</v>
          </cell>
        </row>
        <row r="2730">
          <cell r="B2730">
            <v>462615</v>
          </cell>
          <cell r="C2730" t="str">
            <v>Child</v>
          </cell>
          <cell r="D2730" t="str">
            <v>Muslim Council of Elders</v>
          </cell>
        </row>
        <row r="2731">
          <cell r="B2731">
            <v>462616</v>
          </cell>
          <cell r="C2731" t="str">
            <v>Child</v>
          </cell>
          <cell r="D2731" t="str">
            <v>Abu Dhabi Music and Arts Foundation</v>
          </cell>
        </row>
        <row r="2732">
          <cell r="B2732">
            <v>462691</v>
          </cell>
          <cell r="C2732" t="str">
            <v>Child</v>
          </cell>
          <cell r="D2732" t="str">
            <v>Grants to Non-Profit Institutions and Organizations Others, not mentioned elswhere</v>
          </cell>
        </row>
        <row r="2733">
          <cell r="B2733">
            <v>462700</v>
          </cell>
          <cell r="C2733" t="str">
            <v>Parent</v>
          </cell>
          <cell r="D2733" t="str">
            <v>Transfers/grants to Individuals:</v>
          </cell>
        </row>
        <row r="2734">
          <cell r="B2734">
            <v>462711</v>
          </cell>
          <cell r="C2734" t="str">
            <v>Child</v>
          </cell>
          <cell r="D2734" t="str">
            <v>Compensation-For land and buildings acquisition for re-planning</v>
          </cell>
        </row>
        <row r="2735">
          <cell r="B2735">
            <v>462712</v>
          </cell>
          <cell r="C2735" t="str">
            <v>Child</v>
          </cell>
          <cell r="D2735" t="str">
            <v>Animal breeders - prizes for raising best animals</v>
          </cell>
        </row>
        <row r="2736">
          <cell r="B2736">
            <v>462713</v>
          </cell>
          <cell r="C2736" t="str">
            <v>Child</v>
          </cell>
          <cell r="D2736" t="str">
            <v>New moslems - incentive</v>
          </cell>
        </row>
        <row r="2737">
          <cell r="B2737">
            <v>462714</v>
          </cell>
          <cell r="C2737" t="str">
            <v>Child</v>
          </cell>
          <cell r="D2737" t="str">
            <v>Pilgrims - Haj and Umra costs</v>
          </cell>
        </row>
        <row r="2738">
          <cell r="B2738">
            <v>462715</v>
          </cell>
          <cell r="C2738" t="str">
            <v>Child</v>
          </cell>
          <cell r="D2738" t="str">
            <v>Students - prizes for excellence</v>
          </cell>
        </row>
        <row r="2739">
          <cell r="B2739">
            <v>462716</v>
          </cell>
          <cell r="C2739" t="str">
            <v>Child</v>
          </cell>
          <cell r="D2739" t="str">
            <v>Teachers - prizes for excellence</v>
          </cell>
        </row>
        <row r="2740">
          <cell r="B2740">
            <v>462717</v>
          </cell>
          <cell r="C2740" t="str">
            <v>Child</v>
          </cell>
          <cell r="D2740" t="str">
            <v>Discount on early loan settlement</v>
          </cell>
        </row>
        <row r="2741">
          <cell r="B2741">
            <v>462718</v>
          </cell>
          <cell r="C2741" t="str">
            <v>Child</v>
          </cell>
          <cell r="D2741" t="str">
            <v>Grant-House tfr (Free of cost)</v>
          </cell>
        </row>
        <row r="2742">
          <cell r="B2742">
            <v>462719</v>
          </cell>
          <cell r="C2742" t="str">
            <v>Child</v>
          </cell>
          <cell r="D2742" t="str">
            <v>Waiver of loan balances</v>
          </cell>
        </row>
        <row r="2743">
          <cell r="B2743">
            <v>462722</v>
          </cell>
          <cell r="C2743" t="str">
            <v>Child</v>
          </cell>
          <cell r="D2743" t="str">
            <v>Grants towards housing extension expenses</v>
          </cell>
        </row>
        <row r="2744">
          <cell r="B2744">
            <v>462723</v>
          </cell>
          <cell r="C2744" t="str">
            <v>Child</v>
          </cell>
          <cell r="D2744" t="str">
            <v>Rewards for players and team support staff</v>
          </cell>
        </row>
        <row r="2745">
          <cell r="B2745">
            <v>462724</v>
          </cell>
          <cell r="C2745" t="str">
            <v>Child</v>
          </cell>
          <cell r="D2745" t="str">
            <v>Prizes for winners at races and other sports competitions</v>
          </cell>
        </row>
        <row r="2746">
          <cell r="B2746">
            <v>462725</v>
          </cell>
          <cell r="C2746" t="str">
            <v>Child</v>
          </cell>
          <cell r="D2746" t="str">
            <v>Emergency relief</v>
          </cell>
        </row>
        <row r="2747">
          <cell r="B2747">
            <v>462726</v>
          </cell>
          <cell r="C2747" t="str">
            <v>Child</v>
          </cell>
          <cell r="D2747" t="str">
            <v>Marriage support</v>
          </cell>
        </row>
        <row r="2748">
          <cell r="B2748">
            <v>462727</v>
          </cell>
          <cell r="C2748" t="str">
            <v>Child</v>
          </cell>
          <cell r="D2748" t="str">
            <v>Land given free of charge</v>
          </cell>
        </row>
        <row r="2749">
          <cell r="B2749">
            <v>462728</v>
          </cell>
          <cell r="C2749" t="str">
            <v>Child</v>
          </cell>
          <cell r="D2749" t="str">
            <v>Other transfers to individuals, not mentioned elsewhere</v>
          </cell>
        </row>
        <row r="2750">
          <cell r="B2750">
            <v>462729</v>
          </cell>
          <cell r="C2750" t="str">
            <v>Child</v>
          </cell>
          <cell r="D2750" t="str">
            <v>Property damage</v>
          </cell>
        </row>
        <row r="2751">
          <cell r="B2751">
            <v>462731</v>
          </cell>
          <cell r="C2751" t="str">
            <v>Child</v>
          </cell>
          <cell r="D2751" t="str">
            <v>Personal injury</v>
          </cell>
        </row>
        <row r="2752">
          <cell r="B2752">
            <v>464540</v>
          </cell>
          <cell r="C2752" t="str">
            <v>Child</v>
          </cell>
          <cell r="D2752" t="str">
            <v>Humanitarian causes</v>
          </cell>
        </row>
        <row r="2753">
          <cell r="B2753">
            <v>462732</v>
          </cell>
          <cell r="C2753" t="str">
            <v>Child</v>
          </cell>
          <cell r="D2753" t="str">
            <v>Damages, not specifically mentioned elsewhere</v>
          </cell>
        </row>
        <row r="2754">
          <cell r="B2754">
            <v>462733</v>
          </cell>
          <cell r="C2754" t="str">
            <v>Child</v>
          </cell>
          <cell r="D2754" t="str">
            <v>Events - Awards, prizes &amp; other gifts costs</v>
          </cell>
        </row>
        <row r="2755">
          <cell r="B2755">
            <v>462734</v>
          </cell>
          <cell r="C2755" t="str">
            <v>Child</v>
          </cell>
          <cell r="D2755" t="str">
            <v>Aids and Grants</v>
          </cell>
        </row>
        <row r="2756">
          <cell r="B2756">
            <v>463001</v>
          </cell>
          <cell r="C2756" t="str">
            <v>Parent</v>
          </cell>
          <cell r="D2756" t="str">
            <v>Aid/Grant Payments Foreign Governments:</v>
          </cell>
        </row>
        <row r="2757">
          <cell r="B2757">
            <v>463004</v>
          </cell>
          <cell r="C2757" t="str">
            <v>Child</v>
          </cell>
          <cell r="D2757" t="str">
            <v>Grant-Afghanistan</v>
          </cell>
        </row>
        <row r="2758">
          <cell r="B2758">
            <v>463012</v>
          </cell>
          <cell r="C2758" t="str">
            <v>Child</v>
          </cell>
          <cell r="D2758" t="str">
            <v>Grant-Algeria</v>
          </cell>
        </row>
        <row r="2759">
          <cell r="B2759">
            <v>463028</v>
          </cell>
          <cell r="C2759" t="str">
            <v>Child</v>
          </cell>
          <cell r="D2759" t="str">
            <v>Grant-Antigua and Barbuda</v>
          </cell>
        </row>
        <row r="2760">
          <cell r="B2760">
            <v>463036</v>
          </cell>
          <cell r="C2760" t="str">
            <v>Child</v>
          </cell>
          <cell r="D2760" t="str">
            <v>Grant-Australia</v>
          </cell>
        </row>
        <row r="2761">
          <cell r="B2761">
            <v>463044</v>
          </cell>
          <cell r="C2761" t="str">
            <v>Child</v>
          </cell>
          <cell r="D2761" t="str">
            <v>Grant- Bahamas</v>
          </cell>
        </row>
        <row r="2762">
          <cell r="B2762">
            <v>463090</v>
          </cell>
          <cell r="C2762" t="str">
            <v>Child</v>
          </cell>
          <cell r="D2762" t="str">
            <v>Grant-Solomon Islands</v>
          </cell>
        </row>
        <row r="2763">
          <cell r="B2763">
            <v>463148</v>
          </cell>
          <cell r="C2763" t="str">
            <v>Child</v>
          </cell>
          <cell r="D2763" t="str">
            <v>Grant/Aid - Republic of Chad</v>
          </cell>
        </row>
        <row r="2764">
          <cell r="B2764">
            <v>463152</v>
          </cell>
          <cell r="C2764" t="str">
            <v>Child</v>
          </cell>
          <cell r="D2764" t="str">
            <v>Grant–Republic of Chile</v>
          </cell>
        </row>
        <row r="2765">
          <cell r="B2765">
            <v>463170</v>
          </cell>
          <cell r="C2765" t="str">
            <v>Child</v>
          </cell>
          <cell r="D2765" t="str">
            <v>Grants - Colombia</v>
          </cell>
        </row>
        <row r="2766">
          <cell r="B2766">
            <v>463174</v>
          </cell>
          <cell r="C2766" t="str">
            <v>Child</v>
          </cell>
          <cell r="D2766" t="str">
            <v>Grant-Comoros</v>
          </cell>
        </row>
        <row r="2767">
          <cell r="B2767">
            <v>463231</v>
          </cell>
          <cell r="C2767" t="str">
            <v>Child</v>
          </cell>
          <cell r="D2767" t="str">
            <v>Grant to Ethiopia</v>
          </cell>
        </row>
        <row r="2768">
          <cell r="B2768">
            <v>463242</v>
          </cell>
          <cell r="C2768" t="str">
            <v>Child</v>
          </cell>
          <cell r="D2768" t="str">
            <v>Aid Grant - Fiji</v>
          </cell>
        </row>
        <row r="2769">
          <cell r="B2769">
            <v>463262</v>
          </cell>
          <cell r="C2769" t="str">
            <v>Child</v>
          </cell>
          <cell r="D2769" t="str">
            <v>Grant-Djibouti</v>
          </cell>
        </row>
        <row r="2770">
          <cell r="B2770">
            <v>463275</v>
          </cell>
          <cell r="C2770" t="str">
            <v>Child</v>
          </cell>
          <cell r="D2770" t="str">
            <v>Grant-Palestine</v>
          </cell>
        </row>
        <row r="2771">
          <cell r="B2771">
            <v>463296</v>
          </cell>
          <cell r="C2771" t="str">
            <v>Child</v>
          </cell>
          <cell r="D2771" t="str">
            <v>Aid Grant - Kiribati</v>
          </cell>
        </row>
        <row r="2772">
          <cell r="B2772">
            <v>463328</v>
          </cell>
          <cell r="C2772" t="str">
            <v>Child</v>
          </cell>
          <cell r="D2772" t="str">
            <v>Grant-Guyana</v>
          </cell>
        </row>
        <row r="2773">
          <cell r="B2773">
            <v>463360</v>
          </cell>
          <cell r="C2773" t="str">
            <v>Child</v>
          </cell>
          <cell r="D2773" t="str">
            <v>Grant-Indonesia</v>
          </cell>
        </row>
        <row r="2774">
          <cell r="B2774">
            <v>463368</v>
          </cell>
          <cell r="C2774" t="str">
            <v>Child</v>
          </cell>
          <cell r="D2774" t="str">
            <v>Grant-Iraq</v>
          </cell>
        </row>
        <row r="2775">
          <cell r="B2775">
            <v>463398</v>
          </cell>
          <cell r="C2775" t="str">
            <v>Child</v>
          </cell>
          <cell r="D2775" t="str">
            <v>Grant-Kazakhstan</v>
          </cell>
        </row>
        <row r="2776">
          <cell r="B2776">
            <v>463400</v>
          </cell>
          <cell r="C2776" t="str">
            <v>Child</v>
          </cell>
          <cell r="D2776" t="str">
            <v>Grant-Jordan</v>
          </cell>
        </row>
        <row r="2777">
          <cell r="B2777">
            <v>463430</v>
          </cell>
          <cell r="C2777" t="str">
            <v>Child</v>
          </cell>
          <cell r="D2777" t="str">
            <v>Grant-Liberia</v>
          </cell>
        </row>
        <row r="2778">
          <cell r="B2778">
            <v>463454</v>
          </cell>
          <cell r="C2778" t="str">
            <v>Child</v>
          </cell>
          <cell r="D2778" t="str">
            <v>Grant – Malawi</v>
          </cell>
        </row>
        <row r="2779">
          <cell r="B2779">
            <v>463466</v>
          </cell>
          <cell r="C2779" t="str">
            <v>Child</v>
          </cell>
          <cell r="D2779" t="str">
            <v>Grant-Mali</v>
          </cell>
        </row>
        <row r="2780">
          <cell r="B2780">
            <v>463478</v>
          </cell>
          <cell r="C2780" t="str">
            <v>Child</v>
          </cell>
          <cell r="D2780" t="str">
            <v>Grant-Mauritania</v>
          </cell>
        </row>
        <row r="2781">
          <cell r="B2781">
            <v>463480</v>
          </cell>
          <cell r="C2781" t="str">
            <v>Child</v>
          </cell>
          <cell r="D2781" t="str">
            <v>Grant/Aid – Mauritius</v>
          </cell>
        </row>
        <row r="2782">
          <cell r="B2782">
            <v>463504</v>
          </cell>
          <cell r="C2782" t="str">
            <v>Child</v>
          </cell>
          <cell r="D2782" t="str">
            <v>Grant-Morocco</v>
          </cell>
        </row>
        <row r="2783">
          <cell r="B2783">
            <v>463508</v>
          </cell>
          <cell r="C2783" t="str">
            <v>Child</v>
          </cell>
          <cell r="D2783" t="str">
            <v>Grant – Mozambique</v>
          </cell>
        </row>
        <row r="2784">
          <cell r="B2784">
            <v>463512</v>
          </cell>
          <cell r="C2784" t="str">
            <v>Child</v>
          </cell>
          <cell r="D2784" t="str">
            <v>Grant-Oman</v>
          </cell>
        </row>
        <row r="2785">
          <cell r="B2785">
            <v>463520</v>
          </cell>
          <cell r="C2785" t="str">
            <v>Child</v>
          </cell>
          <cell r="D2785" t="str">
            <v>Grant-Nauru</v>
          </cell>
        </row>
        <row r="2786">
          <cell r="B2786">
            <v>463548</v>
          </cell>
          <cell r="C2786" t="str">
            <v>Child</v>
          </cell>
          <cell r="D2786" t="str">
            <v>Aid Grant - Vanuatu</v>
          </cell>
        </row>
        <row r="2787">
          <cell r="B2787">
            <v>463562</v>
          </cell>
          <cell r="C2787" t="str">
            <v>Child</v>
          </cell>
          <cell r="D2787" t="str">
            <v>Grant – Niger</v>
          </cell>
        </row>
        <row r="2788">
          <cell r="B2788">
            <v>463583</v>
          </cell>
          <cell r="C2788" t="str">
            <v>Child</v>
          </cell>
          <cell r="D2788" t="str">
            <v>Grant- Micronesia (Federated States of)</v>
          </cell>
        </row>
        <row r="2789">
          <cell r="B2789">
            <v>463584</v>
          </cell>
          <cell r="C2789" t="str">
            <v>Child</v>
          </cell>
          <cell r="D2789" t="str">
            <v>Grant-Marshall Islands</v>
          </cell>
        </row>
        <row r="2790">
          <cell r="B2790">
            <v>463585</v>
          </cell>
          <cell r="C2790" t="str">
            <v>Child</v>
          </cell>
          <cell r="D2790" t="str">
            <v>Grant-Palau</v>
          </cell>
        </row>
        <row r="2791">
          <cell r="B2791">
            <v>463586</v>
          </cell>
          <cell r="C2791" t="str">
            <v>Child</v>
          </cell>
          <cell r="D2791" t="str">
            <v>Grant-Pakistan</v>
          </cell>
        </row>
        <row r="2792">
          <cell r="B2792">
            <v>463608</v>
          </cell>
          <cell r="C2792" t="str">
            <v>Child</v>
          </cell>
          <cell r="D2792" t="str">
            <v>Grant-Philippines</v>
          </cell>
        </row>
        <row r="2793">
          <cell r="B2793">
            <v>463643</v>
          </cell>
          <cell r="C2793" t="str">
            <v>Child</v>
          </cell>
          <cell r="D2793" t="str">
            <v>Grant-Russia</v>
          </cell>
        </row>
        <row r="2794">
          <cell r="B2794">
            <v>463646</v>
          </cell>
          <cell r="C2794" t="str">
            <v>Child</v>
          </cell>
          <cell r="D2794" t="str">
            <v>Grant – Rwanda</v>
          </cell>
        </row>
        <row r="2795">
          <cell r="B2795">
            <v>463670</v>
          </cell>
          <cell r="C2795" t="str">
            <v>Child</v>
          </cell>
          <cell r="D2795" t="str">
            <v>Grant- Saint Vincent and the Grenadines</v>
          </cell>
        </row>
        <row r="2796">
          <cell r="B2796">
            <v>463686</v>
          </cell>
          <cell r="C2796" t="str">
            <v>Child</v>
          </cell>
          <cell r="D2796" t="str">
            <v>Grant-Senegal</v>
          </cell>
        </row>
        <row r="2797">
          <cell r="B2797">
            <v>463690</v>
          </cell>
          <cell r="C2797" t="str">
            <v>Child</v>
          </cell>
          <cell r="D2797" t="str">
            <v>Grant-Seychelles</v>
          </cell>
        </row>
        <row r="2798">
          <cell r="B2798">
            <v>463694</v>
          </cell>
          <cell r="C2798" t="str">
            <v>Child</v>
          </cell>
          <cell r="D2798" t="str">
            <v>Grant – Sierra Leone</v>
          </cell>
        </row>
        <row r="2799">
          <cell r="B2799">
            <v>463706</v>
          </cell>
          <cell r="C2799" t="str">
            <v>Child</v>
          </cell>
          <cell r="D2799" t="str">
            <v>Grant-Somalia</v>
          </cell>
        </row>
        <row r="2800">
          <cell r="B2800">
            <v>463716</v>
          </cell>
          <cell r="C2800" t="str">
            <v>Child</v>
          </cell>
          <cell r="D2800" t="str">
            <v>Grant - Zimbabwe</v>
          </cell>
        </row>
        <row r="2801">
          <cell r="B2801">
            <v>463729</v>
          </cell>
          <cell r="C2801" t="str">
            <v>Child</v>
          </cell>
          <cell r="D2801" t="str">
            <v>Grant-Sudan</v>
          </cell>
        </row>
        <row r="2802">
          <cell r="B2802">
            <v>463760</v>
          </cell>
          <cell r="C2802" t="str">
            <v>Child</v>
          </cell>
          <cell r="D2802" t="str">
            <v>Grant-Syria</v>
          </cell>
        </row>
        <row r="2803">
          <cell r="B2803">
            <v>463798</v>
          </cell>
          <cell r="C2803" t="str">
            <v>Child</v>
          </cell>
          <cell r="D2803" t="str">
            <v>Aid Grant - Tuvalu</v>
          </cell>
        </row>
        <row r="2804">
          <cell r="B2804">
            <v>463818</v>
          </cell>
          <cell r="C2804" t="str">
            <v>Child</v>
          </cell>
          <cell r="D2804" t="str">
            <v>Grant-Egypt</v>
          </cell>
        </row>
        <row r="2805">
          <cell r="B2805">
            <v>463834</v>
          </cell>
          <cell r="C2805" t="str">
            <v>Child</v>
          </cell>
          <cell r="D2805" t="str">
            <v>Grant-Tanzaina</v>
          </cell>
        </row>
        <row r="2806">
          <cell r="B2806">
            <v>463999</v>
          </cell>
          <cell r="C2806" t="str">
            <v>Child</v>
          </cell>
          <cell r="D2806" t="str">
            <v>Long term deposits as foreign aid</v>
          </cell>
        </row>
        <row r="2807">
          <cell r="B2807">
            <v>464102</v>
          </cell>
          <cell r="C2807" t="str">
            <v>Child</v>
          </cell>
          <cell r="D2807" t="str">
            <v>UN Children's Fund (UNICEF)</v>
          </cell>
        </row>
        <row r="2808">
          <cell r="B2808">
            <v>464104</v>
          </cell>
          <cell r="C2808" t="str">
            <v>Child</v>
          </cell>
          <cell r="D2808" t="str">
            <v>UNRWA - for Palestine Refugees in the Near East</v>
          </cell>
        </row>
        <row r="2809">
          <cell r="B2809">
            <v>464106</v>
          </cell>
          <cell r="C2809" t="str">
            <v>Child</v>
          </cell>
          <cell r="D2809" t="str">
            <v>UN Educational, Scientific &amp; Cultural Organisation (UNESCO)</v>
          </cell>
        </row>
        <row r="2810">
          <cell r="B2810">
            <v>464107</v>
          </cell>
          <cell r="C2810" t="str">
            <v>Child</v>
          </cell>
          <cell r="D2810" t="str">
            <v>World Health Organisatio (WHO)</v>
          </cell>
        </row>
        <row r="2811">
          <cell r="B2811">
            <v>464108</v>
          </cell>
          <cell r="C2811" t="str">
            <v>Child</v>
          </cell>
          <cell r="D2811" t="str">
            <v>Int'l Renewable Energency Agency (IRENA)</v>
          </cell>
        </row>
        <row r="2812">
          <cell r="B2812">
            <v>464109</v>
          </cell>
          <cell r="C2812" t="str">
            <v>Child</v>
          </cell>
          <cell r="D2812" t="str">
            <v>UN Women–UAE Liaison Office for the GCC</v>
          </cell>
        </row>
        <row r="2813">
          <cell r="B2813">
            <v>464111</v>
          </cell>
          <cell r="C2813" t="str">
            <v>Child</v>
          </cell>
          <cell r="D2813" t="str">
            <v>The Global Green Growth Institute (GGGI)</v>
          </cell>
        </row>
        <row r="2814">
          <cell r="B2814">
            <v>464119</v>
          </cell>
          <cell r="C2814" t="str">
            <v>Child</v>
          </cell>
          <cell r="D2814" t="str">
            <v>Other U.N. Programs not mentioned elsewhere</v>
          </cell>
        </row>
        <row r="2815">
          <cell r="B2815">
            <v>464137</v>
          </cell>
          <cell r="C2815" t="str">
            <v>Child</v>
          </cell>
          <cell r="D2815" t="str">
            <v>Arab Org for Culture, Education &amp; Science</v>
          </cell>
        </row>
        <row r="2816">
          <cell r="B2816">
            <v>464151</v>
          </cell>
          <cell r="C2816" t="str">
            <v>Child</v>
          </cell>
          <cell r="D2816" t="str">
            <v>Islamic Solidarity Fund</v>
          </cell>
        </row>
        <row r="2817">
          <cell r="B2817">
            <v>464152</v>
          </cell>
          <cell r="C2817" t="str">
            <v>Child</v>
          </cell>
          <cell r="D2817" t="str">
            <v>Organization of Islamic Cooperation</v>
          </cell>
        </row>
        <row r="2818">
          <cell r="B2818">
            <v>464153</v>
          </cell>
          <cell r="C2818" t="str">
            <v>Child</v>
          </cell>
          <cell r="D2818" t="str">
            <v>Arab World Institute in Paris</v>
          </cell>
        </row>
        <row r="2819">
          <cell r="B2819">
            <v>464199</v>
          </cell>
          <cell r="C2819" t="str">
            <v>Child</v>
          </cell>
          <cell r="D2819" t="str">
            <v>Other International Organizations not mentioned elsewhere</v>
          </cell>
        </row>
        <row r="2820">
          <cell r="B2820">
            <v>464510</v>
          </cell>
          <cell r="C2820" t="str">
            <v>Child</v>
          </cell>
          <cell r="D2820" t="str">
            <v>Cultural and Religious causes</v>
          </cell>
        </row>
        <row r="2821">
          <cell r="B2821">
            <v>464520</v>
          </cell>
          <cell r="C2821" t="str">
            <v>Child</v>
          </cell>
          <cell r="D2821" t="str">
            <v>Educational causes</v>
          </cell>
        </row>
        <row r="2822">
          <cell r="B2822">
            <v>464530</v>
          </cell>
          <cell r="C2822" t="str">
            <v>Child</v>
          </cell>
          <cell r="D2822" t="str">
            <v>Health and Medical Causes</v>
          </cell>
        </row>
        <row r="2823">
          <cell r="B2823">
            <v>464550</v>
          </cell>
          <cell r="C2823" t="str">
            <v>Child</v>
          </cell>
          <cell r="D2823" t="str">
            <v>Sports and Recreational causes</v>
          </cell>
        </row>
        <row r="2824">
          <cell r="B2824">
            <v>464560</v>
          </cell>
          <cell r="C2824" t="str">
            <v>Child</v>
          </cell>
          <cell r="D2824" t="str">
            <v>Information media</v>
          </cell>
        </row>
        <row r="2825">
          <cell r="B2825">
            <v>464570</v>
          </cell>
          <cell r="C2825" t="str">
            <v>Child</v>
          </cell>
          <cell r="D2825" t="str">
            <v>Miscellaneous causes</v>
          </cell>
        </row>
        <row r="2826">
          <cell r="B2826">
            <v>481000</v>
          </cell>
          <cell r="C2826" t="str">
            <v>Parent</v>
          </cell>
          <cell r="D2826" t="str">
            <v>LOAN   ADVANCES:</v>
          </cell>
        </row>
        <row r="2827">
          <cell r="B2827">
            <v>481112</v>
          </cell>
          <cell r="C2827" t="str">
            <v>Child</v>
          </cell>
          <cell r="D2827" t="str">
            <v>Loan Pyts-ADIC</v>
          </cell>
        </row>
        <row r="2828">
          <cell r="B2828">
            <v>481113</v>
          </cell>
          <cell r="C2828" t="str">
            <v>Child</v>
          </cell>
          <cell r="D2828" t="str">
            <v>Loan Pyts-Mubadala Dev Co</v>
          </cell>
        </row>
        <row r="2829">
          <cell r="B2829">
            <v>481114</v>
          </cell>
          <cell r="C2829" t="str">
            <v>Child</v>
          </cell>
          <cell r="D2829" t="str">
            <v>Loan Pyts-A.D. Development Holding PJSC (ADQ )</v>
          </cell>
        </row>
        <row r="2830">
          <cell r="B2830">
            <v>481121</v>
          </cell>
          <cell r="C2830" t="str">
            <v>Child</v>
          </cell>
          <cell r="D2830" t="str">
            <v>Loan Pyts-AD Media Co</v>
          </cell>
        </row>
        <row r="2831">
          <cell r="B2831">
            <v>481122</v>
          </cell>
          <cell r="C2831" t="str">
            <v>Child</v>
          </cell>
          <cell r="D2831" t="str">
            <v>Loan Pyts-ENEC</v>
          </cell>
        </row>
        <row r="2832">
          <cell r="B2832">
            <v>481123</v>
          </cell>
          <cell r="C2832" t="str">
            <v>Child</v>
          </cell>
          <cell r="D2832" t="str">
            <v>Loan Pyts-Etihad Aviation Group (Etihad Airways)</v>
          </cell>
        </row>
        <row r="2833">
          <cell r="B2833">
            <v>481124</v>
          </cell>
          <cell r="C2833" t="str">
            <v>Child</v>
          </cell>
          <cell r="D2833" t="str">
            <v>Loan Pyts-Etihad Rail</v>
          </cell>
        </row>
        <row r="2834">
          <cell r="B2834">
            <v>481125</v>
          </cell>
          <cell r="C2834" t="str">
            <v>Child</v>
          </cell>
          <cell r="D2834" t="str">
            <v>Loan Pyts - Barakah One Company PJSC</v>
          </cell>
        </row>
        <row r="2835">
          <cell r="B2835">
            <v>481300</v>
          </cell>
          <cell r="C2835" t="str">
            <v>Parent</v>
          </cell>
          <cell r="D2835" t="str">
            <v>Loan Advances-Socio-Welfare Orgs (NPIs)</v>
          </cell>
        </row>
        <row r="2836">
          <cell r="B2836">
            <v>481311</v>
          </cell>
          <cell r="C2836" t="str">
            <v>Child</v>
          </cell>
          <cell r="D2836" t="str">
            <v>Loan Payments - Aabar Investments</v>
          </cell>
        </row>
        <row r="2837">
          <cell r="B2837">
            <v>481500</v>
          </cell>
          <cell r="C2837" t="str">
            <v>Parent</v>
          </cell>
          <cell r="D2837" t="str">
            <v>Loan Advances-Other emirates</v>
          </cell>
        </row>
        <row r="2838">
          <cell r="B2838">
            <v>481511</v>
          </cell>
          <cell r="C2838" t="str">
            <v>Child</v>
          </cell>
          <cell r="D2838" t="str">
            <v>Loan Payments to Dubai</v>
          </cell>
        </row>
        <row r="2839">
          <cell r="B2839">
            <v>481600</v>
          </cell>
          <cell r="C2839" t="str">
            <v>Parent</v>
          </cell>
          <cell r="D2839" t="str">
            <v>Loan Advances-Individuals:</v>
          </cell>
        </row>
        <row r="2840">
          <cell r="B2840">
            <v>481611</v>
          </cell>
          <cell r="C2840" t="str">
            <v>Child</v>
          </cell>
          <cell r="D2840" t="str">
            <v>Loan Payments  - Comml building finance (ADCP managed)</v>
          </cell>
        </row>
        <row r="2841">
          <cell r="B2841">
            <v>481621</v>
          </cell>
          <cell r="C2841" t="str">
            <v>Child</v>
          </cell>
          <cell r="D2841" t="str">
            <v>Loan Payments - Private House Finance (FGB managed)</v>
          </cell>
        </row>
        <row r="2842">
          <cell r="B2842">
            <v>481622</v>
          </cell>
          <cell r="C2842" t="str">
            <v>Child</v>
          </cell>
          <cell r="D2842" t="str">
            <v>Loan Advances-Farmers</v>
          </cell>
        </row>
        <row r="2843">
          <cell r="B2843">
            <v>482000</v>
          </cell>
          <cell r="C2843" t="str">
            <v>Parent</v>
          </cell>
          <cell r="D2843" t="str">
            <v>Loan Advances-Foreign governments</v>
          </cell>
        </row>
        <row r="2844">
          <cell r="B2844">
            <v>482048</v>
          </cell>
          <cell r="C2844" t="str">
            <v>Child</v>
          </cell>
          <cell r="D2844" t="str">
            <v>Loan Payments to Bahrain</v>
          </cell>
        </row>
        <row r="2845">
          <cell r="B2845">
            <v>482112</v>
          </cell>
          <cell r="C2845" t="str">
            <v>Child</v>
          </cell>
          <cell r="D2845" t="str">
            <v>Loan Payments to Belarus</v>
          </cell>
        </row>
        <row r="2846">
          <cell r="B2846">
            <v>482174</v>
          </cell>
          <cell r="C2846" t="str">
            <v>Child</v>
          </cell>
          <cell r="D2846" t="str">
            <v>Loan Payments to Comros</v>
          </cell>
        </row>
        <row r="2847">
          <cell r="B2847">
            <v>482400</v>
          </cell>
          <cell r="C2847" t="str">
            <v>Child</v>
          </cell>
          <cell r="D2847" t="str">
            <v>Loan Payments to Jordan</v>
          </cell>
        </row>
        <row r="2848">
          <cell r="B2848">
            <v>482434</v>
          </cell>
          <cell r="C2848" t="str">
            <v>Child</v>
          </cell>
          <cell r="D2848" t="str">
            <v>Loan Payments to Libya</v>
          </cell>
        </row>
        <row r="2849">
          <cell r="B2849">
            <v>482466</v>
          </cell>
          <cell r="C2849" t="str">
            <v>Child</v>
          </cell>
          <cell r="D2849" t="str">
            <v>Loan Payments to Mali</v>
          </cell>
        </row>
        <row r="2850">
          <cell r="B2850">
            <v>482688</v>
          </cell>
          <cell r="C2850" t="str">
            <v>Child</v>
          </cell>
          <cell r="D2850" t="str">
            <v>Loan Payments to Serbia</v>
          </cell>
        </row>
        <row r="2851">
          <cell r="B2851">
            <v>482818</v>
          </cell>
          <cell r="C2851" t="str">
            <v>Child</v>
          </cell>
          <cell r="D2851" t="str">
            <v>Loan Payments to Egypt</v>
          </cell>
        </row>
        <row r="2852">
          <cell r="B2852">
            <v>482999</v>
          </cell>
          <cell r="C2852" t="str">
            <v>Child</v>
          </cell>
          <cell r="D2852" t="str">
            <v>Budget Reserve for Loan Advances</v>
          </cell>
        </row>
        <row r="2853">
          <cell r="B2853">
            <v>483000</v>
          </cell>
          <cell r="C2853" t="str">
            <v>Parent</v>
          </cell>
          <cell r="D2853" t="str">
            <v>EQUITY PARTICIPATION PAYMENTS and transfers</v>
          </cell>
        </row>
        <row r="2854">
          <cell r="B2854">
            <v>483011</v>
          </cell>
          <cell r="C2854" t="str">
            <v>Child</v>
          </cell>
          <cell r="D2854" t="str">
            <v>Equity Participation - ADIA</v>
          </cell>
        </row>
        <row r="2855">
          <cell r="B2855">
            <v>483012</v>
          </cell>
          <cell r="C2855" t="str">
            <v>Child</v>
          </cell>
          <cell r="D2855" t="str">
            <v>Equity Participation - ADIC</v>
          </cell>
        </row>
        <row r="2856">
          <cell r="B2856">
            <v>483013</v>
          </cell>
          <cell r="C2856" t="str">
            <v>Child</v>
          </cell>
          <cell r="D2856" t="str">
            <v>A.D. Development Holding PJSC ( Equity Contribution) (ADQ )</v>
          </cell>
        </row>
        <row r="2857">
          <cell r="B2857">
            <v>483014</v>
          </cell>
          <cell r="C2857" t="str">
            <v>Child</v>
          </cell>
          <cell r="D2857" t="str">
            <v>Equity Payments - Mubadala Dev Company</v>
          </cell>
        </row>
        <row r="2858">
          <cell r="B2858">
            <v>483021</v>
          </cell>
          <cell r="C2858" t="str">
            <v>Child</v>
          </cell>
          <cell r="D2858" t="str">
            <v>Surplus cash Transfer to Reserve Fund - GRF</v>
          </cell>
        </row>
        <row r="2859">
          <cell r="B2859">
            <v>483022</v>
          </cell>
          <cell r="C2859" t="str">
            <v>Child</v>
          </cell>
          <cell r="D2859" t="str">
            <v>Surplus cash Transfer to Reserve Fund - CTL</v>
          </cell>
        </row>
        <row r="2860">
          <cell r="B2860">
            <v>483121</v>
          </cell>
          <cell r="C2860" t="str">
            <v>Child</v>
          </cell>
          <cell r="D2860" t="str">
            <v>Equity Payments - A D Airports Company</v>
          </cell>
        </row>
        <row r="2861">
          <cell r="B2861">
            <v>483122</v>
          </cell>
          <cell r="C2861" t="str">
            <v>Child</v>
          </cell>
          <cell r="D2861" t="str">
            <v>Equity Payments - A D Ports Company</v>
          </cell>
        </row>
        <row r="2862">
          <cell r="B2862">
            <v>483123</v>
          </cell>
          <cell r="C2862" t="str">
            <v>Child</v>
          </cell>
          <cell r="D2862" t="str">
            <v>Equity Payments - AD Sewerage Co</v>
          </cell>
        </row>
        <row r="2863">
          <cell r="B2863">
            <v>483124</v>
          </cell>
          <cell r="C2863" t="str">
            <v>Child</v>
          </cell>
          <cell r="D2863" t="str">
            <v>Equity Payments - ADWEA</v>
          </cell>
        </row>
        <row r="2864">
          <cell r="B2864">
            <v>483125</v>
          </cell>
          <cell r="C2864" t="str">
            <v>Child</v>
          </cell>
          <cell r="D2864" t="str">
            <v>Equity Payments - ENEC</v>
          </cell>
        </row>
        <row r="2865">
          <cell r="B2865">
            <v>483126</v>
          </cell>
          <cell r="C2865" t="str">
            <v>Child</v>
          </cell>
          <cell r="D2865" t="str">
            <v>Equity Payments - Etihad Aviation Group (Etihad Airways)</v>
          </cell>
        </row>
        <row r="2866">
          <cell r="B2866">
            <v>483127</v>
          </cell>
          <cell r="C2866" t="str">
            <v>Child</v>
          </cell>
          <cell r="D2866" t="str">
            <v>Equity Payments - Etihad Rail</v>
          </cell>
        </row>
        <row r="2867">
          <cell r="B2867">
            <v>483128</v>
          </cell>
          <cell r="C2867" t="str">
            <v>Child</v>
          </cell>
          <cell r="D2867" t="str">
            <v>Equity Contribution-TDIC</v>
          </cell>
        </row>
        <row r="2868">
          <cell r="B2868">
            <v>483129</v>
          </cell>
          <cell r="C2868" t="str">
            <v>Child</v>
          </cell>
          <cell r="D2868" t="str">
            <v>Equity Payments - Image Nation AD</v>
          </cell>
        </row>
        <row r="2869">
          <cell r="B2869">
            <v>483131</v>
          </cell>
          <cell r="C2869" t="str">
            <v>Child</v>
          </cell>
          <cell r="D2869" t="str">
            <v>Equity Payments - Q Market Makers</v>
          </cell>
        </row>
        <row r="2870">
          <cell r="B2870">
            <v>483132</v>
          </cell>
          <cell r="C2870" t="str">
            <v>Child</v>
          </cell>
          <cell r="D2870" t="str">
            <v>Equity Payments – Baynounah Company</v>
          </cell>
        </row>
        <row r="2871">
          <cell r="B2871">
            <v>483133</v>
          </cell>
          <cell r="C2871" t="str">
            <v>Child</v>
          </cell>
          <cell r="D2871" t="str">
            <v>Equity Payments – Abu Dhabi Media Company</v>
          </cell>
        </row>
        <row r="2872">
          <cell r="B2872">
            <v>483311</v>
          </cell>
          <cell r="C2872" t="str">
            <v>Child</v>
          </cell>
          <cell r="D2872" t="str">
            <v>Equity payments  – Stimulus related investments</v>
          </cell>
        </row>
        <row r="2873">
          <cell r="B2873">
            <v>483400</v>
          </cell>
          <cell r="C2873" t="str">
            <v>Parent</v>
          </cell>
          <cell r="D2873" t="str">
            <v>Long Term Cash Deposit payment Accounts</v>
          </cell>
        </row>
        <row r="2874">
          <cell r="B2874">
            <v>483411</v>
          </cell>
          <cell r="C2874" t="str">
            <v>Child</v>
          </cell>
          <cell r="D2874" t="str">
            <v>Derivatives Payments</v>
          </cell>
        </row>
        <row r="2875">
          <cell r="B2875">
            <v>484000</v>
          </cell>
          <cell r="C2875" t="str">
            <v>Parent</v>
          </cell>
          <cell r="D2875" t="str">
            <v>REPAYMENT  OF   BORROWINGS:</v>
          </cell>
        </row>
        <row r="2876">
          <cell r="B2876">
            <v>484100</v>
          </cell>
          <cell r="C2876" t="str">
            <v>Parent</v>
          </cell>
          <cell r="D2876" t="str">
            <v>Repayment of Bonds:</v>
          </cell>
        </row>
        <row r="2877">
          <cell r="B2877">
            <v>484101</v>
          </cell>
          <cell r="C2877" t="str">
            <v>Child</v>
          </cell>
          <cell r="D2877" t="str">
            <v>Repyt - Bond Issue No. 1 (2007/2012)</v>
          </cell>
        </row>
        <row r="2878">
          <cell r="B2878">
            <v>484102</v>
          </cell>
          <cell r="C2878" t="str">
            <v>Child</v>
          </cell>
          <cell r="D2878" t="str">
            <v>Repyt - Bond Issue No. 2 (2009/2014)</v>
          </cell>
        </row>
        <row r="2879">
          <cell r="B2879">
            <v>484103</v>
          </cell>
          <cell r="C2879" t="str">
            <v>Child</v>
          </cell>
          <cell r="D2879" t="str">
            <v>Repyt - Bond Issue No. 3 (2009/2019)</v>
          </cell>
        </row>
        <row r="2880">
          <cell r="B2880">
            <v>484104</v>
          </cell>
          <cell r="C2880" t="str">
            <v>Child</v>
          </cell>
          <cell r="D2880" t="str">
            <v>Repyt – Bond Issue No. 4 (2016-2021)</v>
          </cell>
        </row>
        <row r="2881">
          <cell r="B2881">
            <v>484106</v>
          </cell>
          <cell r="C2881" t="str">
            <v>Child</v>
          </cell>
          <cell r="D2881" t="str">
            <v>Repyt – Bond Issue No. 6 (2017-2022)</v>
          </cell>
        </row>
        <row r="2882">
          <cell r="B2882">
            <v>484109</v>
          </cell>
          <cell r="C2882" t="str">
            <v>Child</v>
          </cell>
          <cell r="D2882" t="str">
            <v>Repyt – Bond issue no. 9 (2019-24)</v>
          </cell>
        </row>
        <row r="2883">
          <cell r="B2883">
            <v>484115</v>
          </cell>
          <cell r="C2883" t="str">
            <v>Child</v>
          </cell>
          <cell r="D2883" t="str">
            <v>Repyt – Bond Issue No. 15 (2020-2023)</v>
          </cell>
        </row>
        <row r="2884">
          <cell r="B2884">
            <v>484591</v>
          </cell>
          <cell r="C2884" t="str">
            <v>Child</v>
          </cell>
          <cell r="D2884" t="str">
            <v>Repyt - Other loans</v>
          </cell>
        </row>
        <row r="2885">
          <cell r="B2885">
            <v>490000</v>
          </cell>
          <cell r="C2885" t="str">
            <v>Parent</v>
          </cell>
          <cell r="D2885" t="str">
            <v>ACQUISITION  OF  CAPITAL   ASSETS:</v>
          </cell>
        </row>
        <row r="2886">
          <cell r="B2886">
            <v>490010</v>
          </cell>
          <cell r="C2886" t="str">
            <v>Child</v>
          </cell>
          <cell r="D2886" t="str">
            <v>Consolidated Capital Expenditure (For TDF use only)</v>
          </cell>
        </row>
        <row r="2887">
          <cell r="B2887">
            <v>490011</v>
          </cell>
          <cell r="C2887" t="str">
            <v>Child</v>
          </cell>
          <cell r="D2887" t="str">
            <v>Consolidated Capital Expenditure (For Self Ledgers use only)</v>
          </cell>
        </row>
        <row r="2888">
          <cell r="B2888">
            <v>490020</v>
          </cell>
          <cell r="C2888" t="str">
            <v>Child</v>
          </cell>
          <cell r="D2888" t="str">
            <v>Consolidated Capital Development projects Expenditure (For TDF use only)</v>
          </cell>
        </row>
        <row r="2889">
          <cell r="B2889">
            <v>490030</v>
          </cell>
          <cell r="C2889" t="str">
            <v>Child</v>
          </cell>
          <cell r="D2889" t="str">
            <v>Consolidated Capital Projects Managed by Musanada (For TDF use only)</v>
          </cell>
        </row>
        <row r="2890">
          <cell r="B2890">
            <v>490040</v>
          </cell>
          <cell r="C2890" t="str">
            <v>Child</v>
          </cell>
          <cell r="D2890" t="str">
            <v>Capital Projects Managed through ADEO (other than Musanada projects)</v>
          </cell>
        </row>
        <row r="2891">
          <cell r="B2891">
            <v>490100</v>
          </cell>
          <cell r="C2891" t="str">
            <v>Parent</v>
          </cell>
          <cell r="D2891" t="str">
            <v>Capital Leases:</v>
          </cell>
        </row>
        <row r="2892">
          <cell r="B2892">
            <v>490200</v>
          </cell>
          <cell r="C2892" t="str">
            <v>Child</v>
          </cell>
          <cell r="D2892" t="str">
            <v>Leased Buildings</v>
          </cell>
        </row>
        <row r="2893">
          <cell r="B2893">
            <v>490300</v>
          </cell>
          <cell r="C2893" t="str">
            <v>Child</v>
          </cell>
          <cell r="D2893" t="str">
            <v>Leased Plant, machinery and equipment</v>
          </cell>
        </row>
        <row r="2894">
          <cell r="B2894">
            <v>490400</v>
          </cell>
          <cell r="C2894" t="str">
            <v>Child</v>
          </cell>
          <cell r="D2894" t="str">
            <v>Leased Vehicles, ships and aircraft</v>
          </cell>
        </row>
        <row r="2895">
          <cell r="B2895">
            <v>490411</v>
          </cell>
          <cell r="C2895" t="str">
            <v>Child</v>
          </cell>
          <cell r="D2895" t="str">
            <v>Cap Leases GBEs / SOEs) - Department of Economic Development</v>
          </cell>
        </row>
        <row r="2896">
          <cell r="B2896">
            <v>490500</v>
          </cell>
          <cell r="C2896" t="str">
            <v>Child</v>
          </cell>
          <cell r="D2896" t="str">
            <v>Leased Furniture and fixtures</v>
          </cell>
        </row>
        <row r="2897">
          <cell r="B2897">
            <v>490600</v>
          </cell>
          <cell r="C2897" t="str">
            <v>Child</v>
          </cell>
          <cell r="D2897" t="str">
            <v>Leaseholds - Other Infrastructure assets</v>
          </cell>
        </row>
        <row r="2898">
          <cell r="B2898">
            <v>490700</v>
          </cell>
          <cell r="C2898" t="str">
            <v>Child</v>
          </cell>
          <cell r="D2898" t="str">
            <v>Leased Computer software and other intangible produced assets</v>
          </cell>
        </row>
        <row r="2899">
          <cell r="B2899">
            <v>490800</v>
          </cell>
          <cell r="C2899" t="str">
            <v>Child</v>
          </cell>
          <cell r="D2899" t="str">
            <v>Leased Computer software</v>
          </cell>
        </row>
        <row r="2900">
          <cell r="B2900">
            <v>490900</v>
          </cell>
          <cell r="C2900" t="str">
            <v>Child</v>
          </cell>
          <cell r="D2900" t="str">
            <v>Leased Other Assets</v>
          </cell>
        </row>
        <row r="2901">
          <cell r="B2901">
            <v>491000</v>
          </cell>
          <cell r="C2901" t="str">
            <v>Parent</v>
          </cell>
          <cell r="D2901" t="str">
            <v>Tangible Fixed Assets:</v>
          </cell>
        </row>
        <row r="2902">
          <cell r="B2902">
            <v>491100</v>
          </cell>
          <cell r="C2902" t="str">
            <v>Child</v>
          </cell>
          <cell r="D2902" t="str">
            <v>Land and land improvements</v>
          </cell>
        </row>
        <row r="2903">
          <cell r="B2903">
            <v>491211</v>
          </cell>
          <cell r="C2903" t="str">
            <v>Child</v>
          </cell>
          <cell r="D2903" t="str">
            <v>Capital expense - Buildings</v>
          </cell>
        </row>
        <row r="2904">
          <cell r="B2904">
            <v>491221</v>
          </cell>
          <cell r="C2904" t="str">
            <v>Child</v>
          </cell>
          <cell r="D2904" t="str">
            <v>Capital Expenditure – Improvement/Rehabilitation of Building</v>
          </cell>
        </row>
        <row r="2905">
          <cell r="B2905">
            <v>491300</v>
          </cell>
          <cell r="C2905" t="str">
            <v>Parent</v>
          </cell>
          <cell r="D2905" t="str">
            <v>Plant, machinery and equipment:</v>
          </cell>
        </row>
        <row r="2906">
          <cell r="B2906">
            <v>491311</v>
          </cell>
          <cell r="C2906" t="str">
            <v>Child</v>
          </cell>
          <cell r="D2906" t="str">
            <v>Airconditioners, fans &amp; refrigerators</v>
          </cell>
        </row>
        <row r="2907">
          <cell r="B2907">
            <v>491313</v>
          </cell>
          <cell r="C2907" t="str">
            <v>Child</v>
          </cell>
          <cell r="D2907" t="str">
            <v>Cargo handling equipment</v>
          </cell>
        </row>
        <row r="2908">
          <cell r="B2908">
            <v>491314</v>
          </cell>
          <cell r="C2908" t="str">
            <v>Child</v>
          </cell>
          <cell r="D2908" t="str">
            <v>Cargo inspection equipment</v>
          </cell>
        </row>
        <row r="2909">
          <cell r="B2909">
            <v>491315</v>
          </cell>
          <cell r="C2909" t="str">
            <v>Child</v>
          </cell>
          <cell r="D2909" t="str">
            <v>Diving equipment</v>
          </cell>
        </row>
        <row r="2910">
          <cell r="B2910">
            <v>491316</v>
          </cell>
          <cell r="C2910" t="str">
            <v>Child</v>
          </cell>
          <cell r="D2910" t="str">
            <v>Educational training equipment</v>
          </cell>
        </row>
        <row r="2911">
          <cell r="B2911">
            <v>491317</v>
          </cell>
          <cell r="C2911" t="str">
            <v>Child</v>
          </cell>
          <cell r="D2911" t="str">
            <v>Engineering &amp; surveying equipment</v>
          </cell>
        </row>
        <row r="2912">
          <cell r="B2912">
            <v>491318</v>
          </cell>
          <cell r="C2912" t="str">
            <v>Child</v>
          </cell>
          <cell r="D2912" t="str">
            <v>Farming equipment &amp; machinery</v>
          </cell>
        </row>
        <row r="2913">
          <cell r="B2913">
            <v>491319</v>
          </cell>
          <cell r="C2913" t="str">
            <v>Child</v>
          </cell>
          <cell r="D2913" t="str">
            <v>Fire fighting equipment</v>
          </cell>
        </row>
        <row r="2914">
          <cell r="B2914">
            <v>491320</v>
          </cell>
          <cell r="C2914" t="str">
            <v>Child</v>
          </cell>
          <cell r="D2914" t="str">
            <v>Hardware &amp; peripherals</v>
          </cell>
        </row>
        <row r="2915">
          <cell r="B2915">
            <v>491321</v>
          </cell>
          <cell r="C2915" t="str">
            <v>Child</v>
          </cell>
          <cell r="D2915" t="str">
            <v>Heavy equipment, plant &amp; machinery</v>
          </cell>
        </row>
        <row r="2916">
          <cell r="B2916">
            <v>491322</v>
          </cell>
          <cell r="C2916" t="str">
            <v>Child</v>
          </cell>
          <cell r="D2916" t="str">
            <v>Hospital equipment</v>
          </cell>
        </row>
        <row r="2917">
          <cell r="B2917">
            <v>491323</v>
          </cell>
          <cell r="C2917" t="str">
            <v>Child</v>
          </cell>
          <cell r="D2917" t="str">
            <v>Hygiene equipment for public health</v>
          </cell>
        </row>
        <row r="2918">
          <cell r="B2918">
            <v>491324</v>
          </cell>
          <cell r="C2918" t="str">
            <v>Child</v>
          </cell>
          <cell r="D2918" t="str">
            <v>Irrigation equipment</v>
          </cell>
        </row>
        <row r="2919">
          <cell r="B2919">
            <v>491325</v>
          </cell>
          <cell r="C2919" t="str">
            <v>Child</v>
          </cell>
          <cell r="D2919" t="str">
            <v>Kitchen equipment (other than refrigerators)</v>
          </cell>
        </row>
        <row r="2920">
          <cell r="B2920">
            <v>491326</v>
          </cell>
          <cell r="C2920" t="str">
            <v>Child</v>
          </cell>
          <cell r="D2920" t="str">
            <v>Laboratory equipment</v>
          </cell>
        </row>
        <row r="2921">
          <cell r="B2921">
            <v>491327</v>
          </cell>
          <cell r="C2921" t="str">
            <v>Child</v>
          </cell>
          <cell r="D2921" t="str">
            <v>Laundry &amp; tailoring machines</v>
          </cell>
        </row>
        <row r="2922">
          <cell r="B2922">
            <v>491328</v>
          </cell>
          <cell r="C2922" t="str">
            <v>Child</v>
          </cell>
          <cell r="D2922" t="str">
            <v>Library equipment</v>
          </cell>
        </row>
        <row r="2923">
          <cell r="B2923">
            <v>491329</v>
          </cell>
          <cell r="C2923" t="str">
            <v>Child</v>
          </cell>
          <cell r="D2923" t="str">
            <v>Marine workshop equipment</v>
          </cell>
        </row>
        <row r="2924">
          <cell r="B2924">
            <v>491330</v>
          </cell>
          <cell r="C2924" t="str">
            <v>Child</v>
          </cell>
          <cell r="D2924" t="str">
            <v>Medical equipment</v>
          </cell>
        </row>
        <row r="2925">
          <cell r="B2925">
            <v>491331</v>
          </cell>
          <cell r="C2925" t="str">
            <v>Child</v>
          </cell>
          <cell r="D2925" t="str">
            <v>Meteorological equipment</v>
          </cell>
        </row>
        <row r="2926">
          <cell r="B2926">
            <v>491332</v>
          </cell>
          <cell r="C2926" t="str">
            <v>Child</v>
          </cell>
          <cell r="D2926" t="str">
            <v>Music band instruments</v>
          </cell>
        </row>
        <row r="2927">
          <cell r="B2927">
            <v>491333</v>
          </cell>
          <cell r="C2927" t="str">
            <v>Child</v>
          </cell>
          <cell r="D2927" t="str">
            <v>Navigational markers, buoys &amp; lights</v>
          </cell>
        </row>
        <row r="2928">
          <cell r="B2928">
            <v>491334</v>
          </cell>
          <cell r="C2928" t="str">
            <v>Child</v>
          </cell>
          <cell r="D2928" t="str">
            <v>Office equipment</v>
          </cell>
        </row>
        <row r="2929">
          <cell r="B2929">
            <v>491335</v>
          </cell>
          <cell r="C2929" t="str">
            <v>Child</v>
          </cell>
          <cell r="D2929" t="str">
            <v>Photographic &amp; theatre equip (including cameras, film processors, etc)</v>
          </cell>
        </row>
        <row r="2930">
          <cell r="B2930">
            <v>491336</v>
          </cell>
          <cell r="C2930" t="str">
            <v>Child</v>
          </cell>
          <cell r="D2930" t="str">
            <v>Port equipment (for protection of berths, wharves &amp; other facilities)</v>
          </cell>
        </row>
        <row r="2931">
          <cell r="B2931">
            <v>491337</v>
          </cell>
          <cell r="C2931" t="str">
            <v>Child</v>
          </cell>
          <cell r="D2931" t="str">
            <v>Printing press machinery</v>
          </cell>
        </row>
        <row r="2932">
          <cell r="B2932">
            <v>491338</v>
          </cell>
          <cell r="C2932" t="str">
            <v>Child</v>
          </cell>
          <cell r="D2932" t="str">
            <v>Pumps &amp; engines</v>
          </cell>
        </row>
        <row r="2933">
          <cell r="B2933">
            <v>491339</v>
          </cell>
          <cell r="C2933" t="str">
            <v>Child</v>
          </cell>
          <cell r="D2933" t="str">
            <v>Slaughterhouse machinery &amp; equipment</v>
          </cell>
        </row>
        <row r="2934">
          <cell r="B2934">
            <v>491340</v>
          </cell>
          <cell r="C2934" t="str">
            <v>Child</v>
          </cell>
          <cell r="D2934" t="str">
            <v>Sports &amp; recreational equipment</v>
          </cell>
        </row>
        <row r="2935">
          <cell r="B2935">
            <v>491341</v>
          </cell>
          <cell r="C2935" t="str">
            <v>Child</v>
          </cell>
          <cell r="D2935" t="str">
            <v>Standby power generators</v>
          </cell>
        </row>
        <row r="2936">
          <cell r="B2936">
            <v>491342</v>
          </cell>
          <cell r="C2936" t="str">
            <v>Child</v>
          </cell>
          <cell r="D2936" t="str">
            <v>Telecommunication equipment, not mentioned elsewhere</v>
          </cell>
        </row>
        <row r="2937">
          <cell r="B2937">
            <v>491343</v>
          </cell>
          <cell r="C2937" t="str">
            <v>Child</v>
          </cell>
          <cell r="D2937" t="str">
            <v>Telephone, fax &amp; telex equipment</v>
          </cell>
        </row>
        <row r="2938">
          <cell r="B2938">
            <v>491344</v>
          </cell>
          <cell r="C2938" t="str">
            <v>Child</v>
          </cell>
          <cell r="D2938" t="str">
            <v>Traffic lights &amp; signals for roads</v>
          </cell>
        </row>
        <row r="2939">
          <cell r="B2939">
            <v>491346</v>
          </cell>
          <cell r="C2939" t="str">
            <v>Child</v>
          </cell>
          <cell r="D2939" t="str">
            <v>TV &amp; other broadcasting equipment</v>
          </cell>
        </row>
        <row r="2940">
          <cell r="B2940">
            <v>491347</v>
          </cell>
          <cell r="C2940" t="str">
            <v>Child</v>
          </cell>
          <cell r="D2940" t="str">
            <v>Veterinary equipment</v>
          </cell>
        </row>
        <row r="2941">
          <cell r="B2941">
            <v>491350</v>
          </cell>
          <cell r="C2941" t="str">
            <v>Child</v>
          </cell>
          <cell r="D2941" t="str">
            <v>Wireless &amp; radio equipment</v>
          </cell>
        </row>
        <row r="2942">
          <cell r="B2942">
            <v>491351</v>
          </cell>
          <cell r="C2942" t="str">
            <v>Child</v>
          </cell>
          <cell r="D2942" t="str">
            <v>Plant,Machinery&amp;Equip - Workshop equipment</v>
          </cell>
        </row>
        <row r="2943">
          <cell r="B2943">
            <v>491352</v>
          </cell>
          <cell r="C2943" t="str">
            <v>Child</v>
          </cell>
          <cell r="D2943" t="str">
            <v>Zoo equipment</v>
          </cell>
        </row>
        <row r="2944">
          <cell r="B2944">
            <v>491353</v>
          </cell>
          <cell r="C2944" t="str">
            <v>Child</v>
          </cell>
          <cell r="D2944" t="str">
            <v>Smart Transport Charging stations</v>
          </cell>
        </row>
        <row r="2945">
          <cell r="B2945">
            <v>491355</v>
          </cell>
          <cell r="C2945" t="str">
            <v>Child</v>
          </cell>
          <cell r="D2945" t="str">
            <v>Hardware &amp; peripherals-Printers</v>
          </cell>
        </row>
        <row r="2946">
          <cell r="B2946">
            <v>491356</v>
          </cell>
          <cell r="C2946" t="str">
            <v>Child</v>
          </cell>
          <cell r="D2946" t="str">
            <v>Hardware &amp; peripherals-Network Devices</v>
          </cell>
        </row>
        <row r="2947">
          <cell r="B2947">
            <v>491357</v>
          </cell>
          <cell r="C2947" t="str">
            <v>Child</v>
          </cell>
          <cell r="D2947" t="str">
            <v>Hardware &amp; peripherals-Security Devices</v>
          </cell>
        </row>
        <row r="2948">
          <cell r="B2948">
            <v>491358</v>
          </cell>
          <cell r="C2948" t="str">
            <v>Child</v>
          </cell>
          <cell r="D2948" t="str">
            <v>Hardware &amp; peripherals-Peripherals &amp; Infrastructure  Components</v>
          </cell>
        </row>
        <row r="2949">
          <cell r="B2949">
            <v>491359</v>
          </cell>
          <cell r="C2949" t="str">
            <v>Child</v>
          </cell>
          <cell r="D2949" t="str">
            <v>Hardware &amp; peripherals-Telephones, Mobiles, Communications equipment</v>
          </cell>
        </row>
        <row r="2950">
          <cell r="B2950">
            <v>491360</v>
          </cell>
          <cell r="C2950" t="str">
            <v>Child</v>
          </cell>
          <cell r="D2950" t="str">
            <v>Hardware &amp; peripherals-Conferencing &amp; AV</v>
          </cell>
        </row>
        <row r="2951">
          <cell r="B2951">
            <v>491400</v>
          </cell>
          <cell r="C2951" t="str">
            <v>Parent</v>
          </cell>
          <cell r="D2951" t="str">
            <v>Major spare parts:</v>
          </cell>
        </row>
        <row r="2952">
          <cell r="B2952">
            <v>491411</v>
          </cell>
          <cell r="C2952" t="str">
            <v>Child</v>
          </cell>
          <cell r="D2952" t="str">
            <v>Electricity distribution spares</v>
          </cell>
        </row>
        <row r="2953">
          <cell r="B2953">
            <v>491413</v>
          </cell>
          <cell r="C2953" t="str">
            <v>Child</v>
          </cell>
          <cell r="D2953" t="str">
            <v>Fencing materials &amp; tents</v>
          </cell>
        </row>
        <row r="2954">
          <cell r="B2954">
            <v>491414</v>
          </cell>
          <cell r="C2954" t="str">
            <v>Child</v>
          </cell>
          <cell r="D2954" t="str">
            <v>Power &amp; desalination plant spares</v>
          </cell>
        </row>
        <row r="2955">
          <cell r="B2955">
            <v>491417</v>
          </cell>
          <cell r="C2955" t="str">
            <v>Child</v>
          </cell>
          <cell r="D2955" t="str">
            <v>Water pump spares</v>
          </cell>
        </row>
        <row r="2956">
          <cell r="B2956">
            <v>491418</v>
          </cell>
          <cell r="C2956" t="str">
            <v>Child</v>
          </cell>
          <cell r="D2956" t="str">
            <v>Water transmission &amp; supply spares</v>
          </cell>
        </row>
        <row r="2957">
          <cell r="B2957">
            <v>491500</v>
          </cell>
          <cell r="C2957" t="str">
            <v>Parent</v>
          </cell>
          <cell r="D2957" t="str">
            <v>Military and police equipment:</v>
          </cell>
        </row>
        <row r="2958">
          <cell r="B2958">
            <v>491511</v>
          </cell>
          <cell r="C2958" t="str">
            <v>Child</v>
          </cell>
          <cell r="D2958" t="str">
            <v>Aircraft spares</v>
          </cell>
        </row>
        <row r="2959">
          <cell r="B2959">
            <v>491512</v>
          </cell>
          <cell r="C2959" t="str">
            <v>Child</v>
          </cell>
          <cell r="D2959" t="str">
            <v>Anti-riot &amp; crowd control</v>
          </cell>
        </row>
        <row r="2960">
          <cell r="B2960">
            <v>491513</v>
          </cell>
          <cell r="C2960" t="str">
            <v>Child</v>
          </cell>
          <cell r="D2960" t="str">
            <v>Arms &amp; accessories</v>
          </cell>
        </row>
        <row r="2961">
          <cell r="B2961">
            <v>491514</v>
          </cell>
          <cell r="C2961" t="str">
            <v>Child</v>
          </cell>
          <cell r="D2961" t="str">
            <v>Infantry equipment</v>
          </cell>
        </row>
        <row r="2962">
          <cell r="B2962">
            <v>491515</v>
          </cell>
          <cell r="C2962" t="str">
            <v>Child</v>
          </cell>
          <cell r="D2962" t="str">
            <v>Naval  marinecraft spares</v>
          </cell>
        </row>
        <row r="2963">
          <cell r="B2963">
            <v>491516</v>
          </cell>
          <cell r="C2963" t="str">
            <v>Child</v>
          </cell>
          <cell r="D2963" t="str">
            <v>Radar equipment</v>
          </cell>
        </row>
        <row r="2964">
          <cell r="B2964">
            <v>491517</v>
          </cell>
          <cell r="C2964" t="str">
            <v>Child</v>
          </cell>
          <cell r="D2964" t="str">
            <v>Saddlery &amp; stable equipment</v>
          </cell>
        </row>
        <row r="2965">
          <cell r="B2965">
            <v>491518</v>
          </cell>
          <cell r="C2965" t="str">
            <v>Child</v>
          </cell>
          <cell r="D2965" t="str">
            <v>Military and Police Equip -Security equipment</v>
          </cell>
        </row>
        <row r="2966">
          <cell r="B2966">
            <v>491519</v>
          </cell>
          <cell r="C2966" t="str">
            <v>Child</v>
          </cell>
          <cell r="D2966" t="str">
            <v>Shooting range &amp; training equipment</v>
          </cell>
        </row>
        <row r="2967">
          <cell r="B2967">
            <v>491520</v>
          </cell>
          <cell r="C2967" t="str">
            <v>Child</v>
          </cell>
          <cell r="D2967" t="str">
            <v>Weapons &amp; warlike stores</v>
          </cell>
        </row>
        <row r="2968">
          <cell r="B2968">
            <v>491521</v>
          </cell>
          <cell r="C2968" t="str">
            <v>Child</v>
          </cell>
          <cell r="D2968" t="str">
            <v>Equipment for accident &amp; emergency rescue operations</v>
          </cell>
        </row>
        <row r="2969">
          <cell r="B2969">
            <v>491600</v>
          </cell>
          <cell r="C2969" t="str">
            <v>Parent</v>
          </cell>
          <cell r="D2969" t="str">
            <v>Vehicles:</v>
          </cell>
        </row>
        <row r="2970">
          <cell r="B2970">
            <v>491610</v>
          </cell>
          <cell r="C2970" t="str">
            <v>Parent</v>
          </cell>
          <cell r="D2970" t="str">
            <v>Aircraft:</v>
          </cell>
        </row>
        <row r="2971">
          <cell r="B2971">
            <v>491611</v>
          </cell>
          <cell r="C2971" t="str">
            <v>Child</v>
          </cell>
          <cell r="D2971" t="str">
            <v>Fighters &amp; other aircraft</v>
          </cell>
        </row>
        <row r="2972">
          <cell r="B2972">
            <v>491612</v>
          </cell>
          <cell r="C2972" t="str">
            <v>Child</v>
          </cell>
          <cell r="D2972" t="str">
            <v>Helicopters</v>
          </cell>
        </row>
        <row r="2973">
          <cell r="B2973">
            <v>491620</v>
          </cell>
          <cell r="C2973" t="str">
            <v>Parent</v>
          </cell>
          <cell r="D2973" t="str">
            <v>Marine craft:</v>
          </cell>
        </row>
        <row r="2974">
          <cell r="B2974">
            <v>491621</v>
          </cell>
          <cell r="C2974" t="str">
            <v>Child</v>
          </cell>
          <cell r="D2974" t="str">
            <v>Launches, tug boats &amp; barges</v>
          </cell>
        </row>
        <row r="2975">
          <cell r="B2975">
            <v>491622</v>
          </cell>
          <cell r="C2975" t="str">
            <v>Child</v>
          </cell>
          <cell r="D2975" t="str">
            <v>Recreational marinecraft (incl. water scooters, boats)</v>
          </cell>
        </row>
        <row r="2976">
          <cell r="B2976">
            <v>491630</v>
          </cell>
          <cell r="C2976" t="str">
            <v>Parent</v>
          </cell>
          <cell r="D2976" t="str">
            <v>Motor vehicles:</v>
          </cell>
        </row>
        <row r="2977">
          <cell r="B2977">
            <v>491631</v>
          </cell>
          <cell r="C2977" t="str">
            <v>Child</v>
          </cell>
          <cell r="D2977" t="str">
            <v>Motor Vehicles - General</v>
          </cell>
        </row>
        <row r="2978">
          <cell r="B2978">
            <v>491632</v>
          </cell>
          <cell r="C2978" t="str">
            <v>Child</v>
          </cell>
          <cell r="D2978" t="str">
            <v>Cesspit emptiers</v>
          </cell>
        </row>
        <row r="2979">
          <cell r="B2979">
            <v>491633</v>
          </cell>
          <cell r="C2979" t="str">
            <v>Child</v>
          </cell>
          <cell r="D2979" t="str">
            <v>Fire fighting vehicles</v>
          </cell>
        </row>
        <row r="2980">
          <cell r="B2980">
            <v>491635</v>
          </cell>
          <cell r="C2980" t="str">
            <v>Child</v>
          </cell>
          <cell r="D2980" t="str">
            <v>Road cleaning vehicles</v>
          </cell>
        </row>
        <row r="2981">
          <cell r="B2981">
            <v>491637</v>
          </cell>
          <cell r="C2981" t="str">
            <v>Child</v>
          </cell>
          <cell r="D2981" t="str">
            <v>Water tankers</v>
          </cell>
        </row>
        <row r="2982">
          <cell r="B2982">
            <v>491638</v>
          </cell>
          <cell r="C2982" t="str">
            <v>Child</v>
          </cell>
          <cell r="D2982" t="str">
            <v>Smart Transport Motor Vehicles</v>
          </cell>
        </row>
        <row r="2983">
          <cell r="B2983">
            <v>491650</v>
          </cell>
          <cell r="C2983" t="str">
            <v>Parent</v>
          </cell>
          <cell r="D2983" t="str">
            <v>Military vehicles:</v>
          </cell>
        </row>
        <row r="2984">
          <cell r="B2984">
            <v>491651</v>
          </cell>
          <cell r="C2984" t="str">
            <v>Child</v>
          </cell>
          <cell r="D2984" t="str">
            <v>Armoured fighting vehicles</v>
          </cell>
        </row>
        <row r="2985">
          <cell r="B2985">
            <v>491652</v>
          </cell>
          <cell r="C2985" t="str">
            <v>Child</v>
          </cell>
          <cell r="D2985" t="str">
            <v>"B" &amp; "C" vehicles</v>
          </cell>
        </row>
        <row r="2986">
          <cell r="B2986">
            <v>491700</v>
          </cell>
          <cell r="C2986" t="str">
            <v>Parent</v>
          </cell>
          <cell r="D2986" t="str">
            <v>Furniture &amp; Fixtures:</v>
          </cell>
        </row>
        <row r="2987">
          <cell r="B2987">
            <v>491711</v>
          </cell>
          <cell r="C2987" t="str">
            <v>Child</v>
          </cell>
          <cell r="D2987" t="str">
            <v>Furniture &amp; Fixtures - Offices</v>
          </cell>
        </row>
        <row r="2988">
          <cell r="B2988">
            <v>491712</v>
          </cell>
          <cell r="C2988" t="str">
            <v>Child</v>
          </cell>
          <cell r="D2988" t="str">
            <v>Furniture &amp; Fixtures - Residences</v>
          </cell>
        </row>
        <row r="2989">
          <cell r="B2989">
            <v>491811</v>
          </cell>
          <cell r="C2989" t="str">
            <v>Child</v>
          </cell>
          <cell r="D2989" t="str">
            <v>Heritage and cultural assets</v>
          </cell>
        </row>
        <row r="2990">
          <cell r="B2990">
            <v>491821</v>
          </cell>
          <cell r="C2990" t="str">
            <v>Child</v>
          </cell>
          <cell r="D2990" t="str">
            <v>Library Books</v>
          </cell>
        </row>
        <row r="2991">
          <cell r="B2991">
            <v>491851</v>
          </cell>
          <cell r="C2991" t="str">
            <v>Child</v>
          </cell>
          <cell r="D2991" t="str">
            <v>Biological assets (includes commercial forests and natural resources)</v>
          </cell>
        </row>
        <row r="2992">
          <cell r="B2992">
            <v>491911</v>
          </cell>
          <cell r="C2992" t="str">
            <v>Child</v>
          </cell>
          <cell r="D2992" t="str">
            <v>Other fixed assets</v>
          </cell>
        </row>
        <row r="2993">
          <cell r="B2993">
            <v>493000</v>
          </cell>
          <cell r="C2993" t="str">
            <v>Parent</v>
          </cell>
          <cell r="D2993" t="str">
            <v>Intangible Fixed Assets:</v>
          </cell>
        </row>
        <row r="2994">
          <cell r="B2994">
            <v>493110</v>
          </cell>
          <cell r="C2994" t="str">
            <v>Child</v>
          </cell>
          <cell r="D2994" t="str">
            <v>Computer software</v>
          </cell>
        </row>
        <row r="2995">
          <cell r="B2995">
            <v>493120</v>
          </cell>
          <cell r="C2995" t="str">
            <v>Child</v>
          </cell>
          <cell r="D2995" t="str">
            <v>Computer software-Operating System, Virtualization</v>
          </cell>
        </row>
        <row r="2996">
          <cell r="B2996">
            <v>493130</v>
          </cell>
          <cell r="C2996" t="str">
            <v>Child</v>
          </cell>
          <cell r="D2996" t="str">
            <v>Computer software-Database</v>
          </cell>
        </row>
        <row r="2997">
          <cell r="B2997">
            <v>493140</v>
          </cell>
          <cell r="C2997" t="str">
            <v>Child</v>
          </cell>
          <cell r="D2997" t="str">
            <v>Computer software-Application, Platform</v>
          </cell>
        </row>
        <row r="2998">
          <cell r="B2998">
            <v>493150</v>
          </cell>
          <cell r="C2998" t="str">
            <v>Child</v>
          </cell>
          <cell r="D2998" t="str">
            <v>Computer software-Security</v>
          </cell>
        </row>
        <row r="2999">
          <cell r="B2999">
            <v>493160</v>
          </cell>
          <cell r="C2999" t="str">
            <v>Child</v>
          </cell>
          <cell r="D2999" t="str">
            <v>Computer software-Network</v>
          </cell>
        </row>
        <row r="3000">
          <cell r="B3000">
            <v>493170</v>
          </cell>
          <cell r="C3000" t="str">
            <v>Child</v>
          </cell>
          <cell r="D3000" t="str">
            <v>Computer software-Data Analytics, B I &amp;  A I</v>
          </cell>
        </row>
        <row r="3001">
          <cell r="B3001">
            <v>493180</v>
          </cell>
          <cell r="C3001" t="str">
            <v>Child</v>
          </cell>
          <cell r="D3001" t="str">
            <v>System development &amp; implemention costs</v>
          </cell>
        </row>
        <row r="3002">
          <cell r="B3002">
            <v>493190</v>
          </cell>
          <cell r="C3002" t="str">
            <v>Child</v>
          </cell>
          <cell r="D3002" t="str">
            <v>Copyrights, patents and licenses</v>
          </cell>
        </row>
        <row r="3003">
          <cell r="B3003">
            <v>493210</v>
          </cell>
          <cell r="C3003" t="str">
            <v>Child</v>
          </cell>
          <cell r="D3003" t="str">
            <v>Other Intangible non-produced assets</v>
          </cell>
        </row>
        <row r="3004">
          <cell r="B3004">
            <v>494000</v>
          </cell>
          <cell r="C3004" t="str">
            <v>Parent</v>
          </cell>
          <cell r="D3004" t="str">
            <v xml:space="preserve">Infrastructural assets:                                                                        </v>
          </cell>
        </row>
        <row r="3005">
          <cell r="B3005">
            <v>494100</v>
          </cell>
          <cell r="C3005" t="str">
            <v>Parent</v>
          </cell>
          <cell r="D3005" t="str">
            <v>Agricultural and animal farming development:</v>
          </cell>
        </row>
        <row r="3006">
          <cell r="B3006">
            <v>494111</v>
          </cell>
          <cell r="C3006" t="str">
            <v>Child</v>
          </cell>
          <cell r="D3006" t="str">
            <v>Animal rearing and breeding</v>
          </cell>
        </row>
        <row r="3007">
          <cell r="B3007">
            <v>494112</v>
          </cell>
          <cell r="C3007" t="str">
            <v>Child</v>
          </cell>
          <cell r="D3007" t="str">
            <v>Fodder farming</v>
          </cell>
        </row>
        <row r="3008">
          <cell r="B3008">
            <v>494113</v>
          </cell>
          <cell r="C3008" t="str">
            <v>Child</v>
          </cell>
          <cell r="D3008" t="str">
            <v>Animal cae and vetinerary facilities</v>
          </cell>
        </row>
        <row r="3009">
          <cell r="B3009">
            <v>494114</v>
          </cell>
          <cell r="C3009" t="str">
            <v>Child</v>
          </cell>
          <cell r="D3009" t="str">
            <v>Slaughtering facilities</v>
          </cell>
        </row>
        <row r="3010">
          <cell r="B3010">
            <v>494118</v>
          </cell>
          <cell r="C3010" t="str">
            <v>Child</v>
          </cell>
          <cell r="D3010" t="str">
            <v>Land Reclamation</v>
          </cell>
        </row>
        <row r="3011">
          <cell r="B3011">
            <v>494119</v>
          </cell>
          <cell r="C3011" t="str">
            <v>Child</v>
          </cell>
          <cell r="D3011" t="str">
            <v>Planting, nurseries and green houses</v>
          </cell>
        </row>
        <row r="3012">
          <cell r="B3012">
            <v>494121</v>
          </cell>
          <cell r="C3012" t="str">
            <v>Child</v>
          </cell>
          <cell r="D3012" t="str">
            <v>Agricultural research and guidance</v>
          </cell>
        </row>
        <row r="3013">
          <cell r="B3013">
            <v>494200</v>
          </cell>
          <cell r="C3013" t="str">
            <v>Parent</v>
          </cell>
          <cell r="D3013" t="str">
            <v>Economic and industrial development:</v>
          </cell>
        </row>
        <row r="3014">
          <cell r="B3014">
            <v>494211</v>
          </cell>
          <cell r="C3014" t="str">
            <v>Child</v>
          </cell>
          <cell r="D3014" t="str">
            <v>Free and industrial zone development</v>
          </cell>
        </row>
        <row r="3015">
          <cell r="B3015">
            <v>494213</v>
          </cell>
          <cell r="C3015" t="str">
            <v>Child</v>
          </cell>
          <cell r="D3015" t="str">
            <v>Warehousing and storage facilities</v>
          </cell>
        </row>
        <row r="3016">
          <cell r="B3016">
            <v>494300</v>
          </cell>
          <cell r="C3016" t="str">
            <v>Parent</v>
          </cell>
          <cell r="D3016" t="str">
            <v>Educational development:</v>
          </cell>
        </row>
        <row r="3017">
          <cell r="B3017">
            <v>494311</v>
          </cell>
          <cell r="C3017" t="str">
            <v>Child</v>
          </cell>
          <cell r="D3017" t="str">
            <v>Kindergartens</v>
          </cell>
        </row>
        <row r="3018">
          <cell r="B3018">
            <v>494312</v>
          </cell>
          <cell r="C3018" t="str">
            <v>Child</v>
          </cell>
          <cell r="D3018" t="str">
            <v>Primary schools</v>
          </cell>
        </row>
        <row r="3019">
          <cell r="B3019">
            <v>494313</v>
          </cell>
          <cell r="C3019" t="str">
            <v>Child</v>
          </cell>
          <cell r="D3019" t="str">
            <v>Secondary / Intermediate schools</v>
          </cell>
        </row>
        <row r="3020">
          <cell r="B3020">
            <v>494314</v>
          </cell>
          <cell r="C3020" t="str">
            <v>Child</v>
          </cell>
          <cell r="D3020" t="str">
            <v>Vocational / Technical colleges</v>
          </cell>
        </row>
        <row r="3021">
          <cell r="B3021">
            <v>494315</v>
          </cell>
          <cell r="C3021" t="str">
            <v>Child</v>
          </cell>
          <cell r="D3021" t="str">
            <v>Universities and other higher educational facilities</v>
          </cell>
        </row>
        <row r="3022">
          <cell r="B3022">
            <v>494316</v>
          </cell>
          <cell r="C3022" t="str">
            <v>Child</v>
          </cell>
          <cell r="D3022" t="str">
            <v>Adult educational facilities</v>
          </cell>
        </row>
        <row r="3023">
          <cell r="B3023">
            <v>494317</v>
          </cell>
          <cell r="C3023" t="str">
            <v>Child</v>
          </cell>
          <cell r="D3023" t="str">
            <v>School curriculum development</v>
          </cell>
        </row>
        <row r="3024">
          <cell r="B3024">
            <v>494400</v>
          </cell>
          <cell r="C3024" t="str">
            <v>Parent</v>
          </cell>
          <cell r="D3024" t="str">
            <v>Electricity and water service development:</v>
          </cell>
        </row>
        <row r="3025">
          <cell r="B3025">
            <v>494411</v>
          </cell>
          <cell r="C3025" t="str">
            <v>Child</v>
          </cell>
          <cell r="D3025" t="str">
            <v>Power distribution</v>
          </cell>
        </row>
        <row r="3026">
          <cell r="B3026">
            <v>494412</v>
          </cell>
          <cell r="C3026" t="str">
            <v>Child</v>
          </cell>
          <cell r="D3026" t="str">
            <v>Power generation</v>
          </cell>
        </row>
        <row r="3027">
          <cell r="B3027">
            <v>494413</v>
          </cell>
          <cell r="C3027" t="str">
            <v>Child</v>
          </cell>
          <cell r="D3027" t="str">
            <v>Power transmission</v>
          </cell>
        </row>
        <row r="3028">
          <cell r="B3028">
            <v>494414</v>
          </cell>
          <cell r="C3028" t="str">
            <v>Child</v>
          </cell>
          <cell r="D3028" t="str">
            <v>Water desalination</v>
          </cell>
        </row>
        <row r="3029">
          <cell r="B3029">
            <v>494415</v>
          </cell>
          <cell r="C3029" t="str">
            <v>Child</v>
          </cell>
          <cell r="D3029" t="str">
            <v>Water distribution</v>
          </cell>
        </row>
        <row r="3030">
          <cell r="B3030">
            <v>494416</v>
          </cell>
          <cell r="C3030" t="str">
            <v>Child</v>
          </cell>
          <cell r="D3030" t="str">
            <v>Water drilling and wells development</v>
          </cell>
        </row>
        <row r="3031">
          <cell r="B3031">
            <v>494417</v>
          </cell>
          <cell r="C3031" t="str">
            <v>Child</v>
          </cell>
          <cell r="D3031" t="str">
            <v>Water transmission</v>
          </cell>
        </row>
        <row r="3032">
          <cell r="B3032">
            <v>494511</v>
          </cell>
          <cell r="C3032" t="str">
            <v>Child</v>
          </cell>
          <cell r="D3032" t="str">
            <v>Environmental protection</v>
          </cell>
        </row>
        <row r="3033">
          <cell r="B3033">
            <v>494600</v>
          </cell>
          <cell r="C3033" t="str">
            <v>Parent</v>
          </cell>
          <cell r="D3033" t="str">
            <v>Forestry:</v>
          </cell>
        </row>
        <row r="3034">
          <cell r="B3034">
            <v>494611</v>
          </cell>
          <cell r="C3034" t="str">
            <v>Child</v>
          </cell>
          <cell r="D3034" t="str">
            <v>Land levelling</v>
          </cell>
        </row>
        <row r="3035">
          <cell r="B3035">
            <v>494612</v>
          </cell>
          <cell r="C3035" t="str">
            <v>Child</v>
          </cell>
          <cell r="D3035" t="str">
            <v>Irrigation network</v>
          </cell>
        </row>
        <row r="3036">
          <cell r="B3036">
            <v>494613</v>
          </cell>
          <cell r="C3036" t="str">
            <v>Child</v>
          </cell>
          <cell r="D3036" t="str">
            <v>Planting</v>
          </cell>
        </row>
        <row r="3037">
          <cell r="B3037">
            <v>494700</v>
          </cell>
          <cell r="C3037" t="str">
            <v>Parent</v>
          </cell>
          <cell r="D3037" t="str">
            <v>Health:</v>
          </cell>
        </row>
        <row r="3038">
          <cell r="B3038">
            <v>494711</v>
          </cell>
          <cell r="C3038" t="str">
            <v>Child</v>
          </cell>
          <cell r="D3038" t="str">
            <v>Clinics</v>
          </cell>
        </row>
        <row r="3039">
          <cell r="B3039">
            <v>494712</v>
          </cell>
          <cell r="C3039" t="str">
            <v>Child</v>
          </cell>
          <cell r="D3039" t="str">
            <v>Hospitals</v>
          </cell>
        </row>
        <row r="3040">
          <cell r="B3040">
            <v>494713</v>
          </cell>
          <cell r="C3040" t="str">
            <v>Child</v>
          </cell>
          <cell r="D3040" t="str">
            <v>Medical and nursing education</v>
          </cell>
        </row>
        <row r="3041">
          <cell r="B3041">
            <v>494714</v>
          </cell>
          <cell r="C3041" t="str">
            <v>Child</v>
          </cell>
          <cell r="D3041" t="str">
            <v>Preventive health</v>
          </cell>
        </row>
        <row r="3042">
          <cell r="B3042">
            <v>494715</v>
          </cell>
          <cell r="C3042" t="str">
            <v>Child</v>
          </cell>
          <cell r="D3042" t="str">
            <v>Rehabilitation centres</v>
          </cell>
        </row>
        <row r="3043">
          <cell r="B3043">
            <v>494716</v>
          </cell>
          <cell r="C3043" t="str">
            <v>Child</v>
          </cell>
          <cell r="D3043" t="str">
            <v>Family Health Counseling Ctrs</v>
          </cell>
        </row>
        <row r="3044">
          <cell r="B3044">
            <v>494800</v>
          </cell>
          <cell r="C3044" t="str">
            <v>Parent</v>
          </cell>
          <cell r="D3044" t="str">
            <v>Law and order services development:</v>
          </cell>
        </row>
        <row r="3045">
          <cell r="B3045">
            <v>494811</v>
          </cell>
          <cell r="C3045" t="str">
            <v>Child</v>
          </cell>
          <cell r="D3045" t="str">
            <v>Courts and other judiciary services</v>
          </cell>
        </row>
        <row r="3046">
          <cell r="B3046">
            <v>494812</v>
          </cell>
          <cell r="C3046" t="str">
            <v>Child</v>
          </cell>
          <cell r="D3046" t="str">
            <v>Fire stations and civil defence services</v>
          </cell>
        </row>
        <row r="3047">
          <cell r="B3047">
            <v>494813</v>
          </cell>
          <cell r="C3047" t="str">
            <v>Child</v>
          </cell>
          <cell r="D3047" t="str">
            <v>Police stations and check-posts</v>
          </cell>
        </row>
        <row r="3048">
          <cell r="B3048">
            <v>494814</v>
          </cell>
          <cell r="C3048" t="str">
            <v>Child</v>
          </cell>
          <cell r="D3048" t="str">
            <v>Prisons and reformatories</v>
          </cell>
        </row>
        <row r="3049">
          <cell r="B3049">
            <v>494815</v>
          </cell>
          <cell r="C3049" t="str">
            <v>Child</v>
          </cell>
          <cell r="D3049" t="str">
            <v>Traffic control services</v>
          </cell>
        </row>
        <row r="3050">
          <cell r="B3050">
            <v>494816</v>
          </cell>
          <cell r="C3050" t="str">
            <v>Child</v>
          </cell>
          <cell r="D3050" t="str">
            <v>Police Training Facilities</v>
          </cell>
        </row>
        <row r="3051">
          <cell r="B3051">
            <v>494817</v>
          </cell>
          <cell r="C3051" t="str">
            <v>Child</v>
          </cell>
          <cell r="D3051" t="str">
            <v>Civil Defense Facilities</v>
          </cell>
        </row>
        <row r="3052">
          <cell r="B3052">
            <v>494900</v>
          </cell>
          <cell r="C3052" t="str">
            <v>Parent</v>
          </cell>
          <cell r="D3052" t="str">
            <v>Public housing and community service development:</v>
          </cell>
        </row>
        <row r="3053">
          <cell r="B3053">
            <v>494913</v>
          </cell>
          <cell r="C3053" t="str">
            <v>Child</v>
          </cell>
          <cell r="D3053" t="str">
            <v>Community facilities</v>
          </cell>
        </row>
        <row r="3054">
          <cell r="B3054">
            <v>495100</v>
          </cell>
          <cell r="C3054" t="str">
            <v>Parent</v>
          </cell>
          <cell r="D3054" t="str">
            <v>Recreational facilities development:</v>
          </cell>
        </row>
        <row r="3055">
          <cell r="B3055">
            <v>495111</v>
          </cell>
          <cell r="C3055" t="str">
            <v>Child</v>
          </cell>
          <cell r="D3055" t="str">
            <v>Public Realm - Parks, gardens, landscaping &amp; facilities</v>
          </cell>
        </row>
        <row r="3056">
          <cell r="B3056">
            <v>495112</v>
          </cell>
          <cell r="C3056" t="str">
            <v>Child</v>
          </cell>
          <cell r="D3056" t="str">
            <v>Theatres and libraries</v>
          </cell>
        </row>
        <row r="3057">
          <cell r="B3057">
            <v>495200</v>
          </cell>
          <cell r="C3057" t="str">
            <v>Parent</v>
          </cell>
          <cell r="D3057" t="str">
            <v>Zoos, Aquariums &amp; Museums</v>
          </cell>
        </row>
        <row r="3058">
          <cell r="B3058">
            <v>495211</v>
          </cell>
          <cell r="C3058" t="str">
            <v>Child</v>
          </cell>
          <cell r="D3058" t="str">
            <v>Zoos &amp; Acquarium - Capital costs</v>
          </cell>
        </row>
        <row r="3059">
          <cell r="B3059">
            <v>495212</v>
          </cell>
          <cell r="C3059" t="str">
            <v>Child</v>
          </cell>
          <cell r="D3059" t="str">
            <v>Guggenheim AD - Capital costs</v>
          </cell>
        </row>
        <row r="3060">
          <cell r="B3060">
            <v>495213</v>
          </cell>
          <cell r="C3060" t="str">
            <v>Child</v>
          </cell>
          <cell r="D3060" t="str">
            <v>Louvre AD - Capital Costs</v>
          </cell>
        </row>
        <row r="3061">
          <cell r="B3061">
            <v>495214</v>
          </cell>
          <cell r="C3061" t="str">
            <v>Child</v>
          </cell>
          <cell r="D3061" t="str">
            <v>Zayed National Museum - Capital Costs</v>
          </cell>
        </row>
        <row r="3062">
          <cell r="B3062">
            <v>495215</v>
          </cell>
          <cell r="C3062" t="str">
            <v>Child</v>
          </cell>
          <cell r="D3062" t="str">
            <v>Saadiyat Museums Roads &amp; Parking</v>
          </cell>
        </row>
        <row r="3063">
          <cell r="B3063">
            <v>495217</v>
          </cell>
          <cell r="C3063" t="str">
            <v>Child</v>
          </cell>
          <cell r="D3063" t="str">
            <v>Sports and other recreational facilities</v>
          </cell>
        </row>
        <row r="3064">
          <cell r="B3064">
            <v>495218</v>
          </cell>
          <cell r="C3064" t="str">
            <v>Child</v>
          </cell>
          <cell r="D3064" t="str">
            <v>Al Hosn Palace Restoration &amp; Other Monumments</v>
          </cell>
        </row>
        <row r="3065">
          <cell r="B3065">
            <v>495300</v>
          </cell>
          <cell r="C3065" t="str">
            <v>Parent</v>
          </cell>
          <cell r="D3065" t="str">
            <v>Sanitation and public health services development:</v>
          </cell>
        </row>
        <row r="3066">
          <cell r="B3066">
            <v>495311</v>
          </cell>
          <cell r="C3066" t="str">
            <v>Child</v>
          </cell>
          <cell r="D3066" t="str">
            <v>Public health services development</v>
          </cell>
        </row>
        <row r="3067">
          <cell r="B3067">
            <v>495312</v>
          </cell>
          <cell r="C3067" t="str">
            <v>Child</v>
          </cell>
          <cell r="D3067" t="str">
            <v>Refuse collection and disposal</v>
          </cell>
        </row>
        <row r="3068">
          <cell r="B3068">
            <v>495313</v>
          </cell>
          <cell r="C3068" t="str">
            <v>Child</v>
          </cell>
          <cell r="D3068" t="str">
            <v>Sewerage network</v>
          </cell>
        </row>
        <row r="3069">
          <cell r="B3069">
            <v>495314</v>
          </cell>
          <cell r="C3069" t="str">
            <v>Child</v>
          </cell>
          <cell r="D3069" t="str">
            <v>Sewerage treatment</v>
          </cell>
        </row>
        <row r="3070">
          <cell r="B3070">
            <v>495315</v>
          </cell>
          <cell r="C3070" t="str">
            <v>Child</v>
          </cell>
          <cell r="D3070" t="str">
            <v>Stormwater/surface water drainage</v>
          </cell>
        </row>
        <row r="3071">
          <cell r="B3071">
            <v>495400</v>
          </cell>
          <cell r="C3071" t="str">
            <v>Parent</v>
          </cell>
          <cell r="D3071" t="str">
            <v>Transport development:</v>
          </cell>
        </row>
        <row r="3072">
          <cell r="B3072">
            <v>495411</v>
          </cell>
          <cell r="C3072" t="str">
            <v>Child</v>
          </cell>
          <cell r="D3072" t="str">
            <v>Airports</v>
          </cell>
        </row>
        <row r="3073">
          <cell r="B3073">
            <v>495412</v>
          </cell>
          <cell r="C3073" t="str">
            <v>Child</v>
          </cell>
          <cell r="D3073" t="str">
            <v>Rail network</v>
          </cell>
        </row>
        <row r="3074">
          <cell r="B3074">
            <v>495413</v>
          </cell>
          <cell r="C3074" t="str">
            <v>Child</v>
          </cell>
          <cell r="D3074" t="str">
            <v>Road network</v>
          </cell>
        </row>
        <row r="3075">
          <cell r="B3075">
            <v>495414</v>
          </cell>
          <cell r="C3075" t="str">
            <v>Child</v>
          </cell>
          <cell r="D3075" t="str">
            <v>Sea Ports</v>
          </cell>
        </row>
        <row r="3076">
          <cell r="B3076">
            <v>495415</v>
          </cell>
          <cell r="C3076" t="str">
            <v>Child</v>
          </cell>
          <cell r="D3076" t="str">
            <v>Water network</v>
          </cell>
        </row>
        <row r="3077">
          <cell r="B3077">
            <v>495416</v>
          </cell>
          <cell r="C3077" t="str">
            <v>Child</v>
          </cell>
          <cell r="D3077" t="str">
            <v>Other public transport facilities</v>
          </cell>
        </row>
        <row r="3078">
          <cell r="B3078">
            <v>495417</v>
          </cell>
          <cell r="C3078" t="str">
            <v>Child</v>
          </cell>
          <cell r="D3078" t="str">
            <v>Crude Oil pipeline Habshan/Fujeirah</v>
          </cell>
        </row>
        <row r="3079">
          <cell r="B3079">
            <v>495500</v>
          </cell>
          <cell r="C3079" t="str">
            <v>Parent</v>
          </cell>
          <cell r="D3079" t="str">
            <v>Urban planning &amp; redevelopment:</v>
          </cell>
        </row>
        <row r="3080">
          <cell r="B3080">
            <v>495511</v>
          </cell>
          <cell r="C3080" t="str">
            <v>Child</v>
          </cell>
          <cell r="D3080" t="str">
            <v>Survey and planning</v>
          </cell>
        </row>
        <row r="3081">
          <cell r="B3081">
            <v>495512</v>
          </cell>
          <cell r="C3081" t="str">
            <v>Child</v>
          </cell>
          <cell r="D3081" t="str">
            <v>Area clearance (including demolition) and relocation</v>
          </cell>
        </row>
        <row r="3082">
          <cell r="B3082">
            <v>495513</v>
          </cell>
          <cell r="C3082" t="str">
            <v>Child</v>
          </cell>
          <cell r="D3082" t="str">
            <v>Neighbouhood rehabilitation</v>
          </cell>
        </row>
        <row r="3083">
          <cell r="B3083">
            <v>495514</v>
          </cell>
          <cell r="C3083" t="str">
            <v>Child</v>
          </cell>
          <cell r="D3083" t="str">
            <v>Geographical Information system</v>
          </cell>
        </row>
        <row r="3084">
          <cell r="B3084">
            <v>495515</v>
          </cell>
          <cell r="C3084" t="str">
            <v>Child</v>
          </cell>
          <cell r="D3084" t="str">
            <v>Street naming and house numbering</v>
          </cell>
        </row>
        <row r="3085">
          <cell r="B3085">
            <v>495516</v>
          </cell>
          <cell r="C3085" t="str">
            <v>Child</v>
          </cell>
          <cell r="D3085" t="str">
            <v>Waterways/Canals</v>
          </cell>
        </row>
        <row r="3086">
          <cell r="B3086">
            <v>495600</v>
          </cell>
          <cell r="C3086" t="str">
            <v>Parent</v>
          </cell>
          <cell r="D3086" t="str">
            <v>Industrial and Commercial development</v>
          </cell>
        </row>
        <row r="3087">
          <cell r="B3087">
            <v>495611</v>
          </cell>
          <cell r="C3087" t="str">
            <v>Child</v>
          </cell>
          <cell r="D3087" t="str">
            <v>Hotels and resthouses</v>
          </cell>
        </row>
        <row r="3088">
          <cell r="B3088">
            <v>495612</v>
          </cell>
          <cell r="C3088" t="str">
            <v>Child</v>
          </cell>
          <cell r="D3088" t="str">
            <v>Markets and warehousing facilities</v>
          </cell>
        </row>
        <row r="3089">
          <cell r="B3089">
            <v>495613</v>
          </cell>
          <cell r="C3089" t="str">
            <v>Child</v>
          </cell>
          <cell r="D3089" t="str">
            <v>Retail outlets-Souks &amp; Malls</v>
          </cell>
        </row>
        <row r="3090">
          <cell r="B3090">
            <v>495614</v>
          </cell>
          <cell r="C3090" t="str">
            <v>Child</v>
          </cell>
          <cell r="D3090" t="str">
            <v>Shipbuilding and repair yards</v>
          </cell>
        </row>
        <row r="3091">
          <cell r="B3091">
            <v>495615</v>
          </cell>
          <cell r="C3091" t="str">
            <v>Child</v>
          </cell>
          <cell r="D3091" t="str">
            <v>Industrial development</v>
          </cell>
        </row>
        <row r="3092">
          <cell r="B3092">
            <v>495616</v>
          </cell>
          <cell r="C3092" t="str">
            <v>Child</v>
          </cell>
          <cell r="D3092" t="str">
            <v>Free Zone development</v>
          </cell>
        </row>
        <row r="3093">
          <cell r="B3093">
            <v>495617</v>
          </cell>
          <cell r="C3093" t="str">
            <v>Child</v>
          </cell>
          <cell r="D3093" t="str">
            <v>Aerospace industry development</v>
          </cell>
        </row>
        <row r="3094">
          <cell r="B3094">
            <v>495618</v>
          </cell>
          <cell r="C3094" t="str">
            <v>Child</v>
          </cell>
          <cell r="D3094" t="str">
            <v>Information Technology development</v>
          </cell>
        </row>
        <row r="3095">
          <cell r="B3095">
            <v>495619</v>
          </cell>
          <cell r="C3095" t="str">
            <v>Child</v>
          </cell>
          <cell r="D3095" t="str">
            <v>Communication development</v>
          </cell>
        </row>
        <row r="3096">
          <cell r="B3096">
            <v>495900</v>
          </cell>
          <cell r="C3096" t="str">
            <v>Parent</v>
          </cell>
          <cell r="D3096" t="str">
            <v>Other Infrastructure projects, n.m.e.</v>
          </cell>
        </row>
        <row r="3097">
          <cell r="B3097">
            <v>495910</v>
          </cell>
          <cell r="C3097" t="str">
            <v>Parent</v>
          </cell>
          <cell r="D3097" t="str">
            <v>Other Infrastructure projects, n.m.e.- AD Region</v>
          </cell>
        </row>
        <row r="3098">
          <cell r="B3098">
            <v>495911</v>
          </cell>
          <cell r="C3098" t="str">
            <v>Child</v>
          </cell>
          <cell r="D3098" t="str">
            <v>Other Infrastructure projects, n.m.e.- AD City</v>
          </cell>
        </row>
        <row r="3099">
          <cell r="B3099">
            <v>495912</v>
          </cell>
          <cell r="C3099" t="str">
            <v>Child</v>
          </cell>
          <cell r="D3099" t="str">
            <v>Other Infrastructure projects, n.m.e.- Masdar City</v>
          </cell>
        </row>
        <row r="3100">
          <cell r="B3100">
            <v>495913</v>
          </cell>
          <cell r="C3100" t="str">
            <v>Child</v>
          </cell>
          <cell r="D3100" t="str">
            <v>Other Infrastructure projects, n.m.e.- Al Maryah Island</v>
          </cell>
        </row>
        <row r="3101">
          <cell r="B3101">
            <v>495914</v>
          </cell>
          <cell r="C3101" t="str">
            <v>Child</v>
          </cell>
          <cell r="D3101" t="str">
            <v>Other Infrastructure projects, n.m.e.- Saadiyat Island</v>
          </cell>
        </row>
        <row r="3102">
          <cell r="B3102">
            <v>495915</v>
          </cell>
          <cell r="C3102" t="str">
            <v>Child</v>
          </cell>
          <cell r="D3102" t="str">
            <v>Other Infrastructure projects, n.m.e.- Al Bateen Wharf</v>
          </cell>
        </row>
        <row r="3103">
          <cell r="B3103">
            <v>495920</v>
          </cell>
          <cell r="C3103" t="str">
            <v>Parent</v>
          </cell>
          <cell r="D3103" t="str">
            <v>Other Infrastructure projects, n.m.e.- Eastern Region</v>
          </cell>
        </row>
        <row r="3104">
          <cell r="B3104">
            <v>495921</v>
          </cell>
          <cell r="C3104" t="str">
            <v>Child</v>
          </cell>
          <cell r="D3104" t="str">
            <v>Other Infrastructure projects, n.m.e.- Al Ain City</v>
          </cell>
        </row>
        <row r="3105">
          <cell r="B3105">
            <v>495930</v>
          </cell>
          <cell r="C3105" t="str">
            <v>Parent</v>
          </cell>
          <cell r="D3105" t="str">
            <v>Other Infrastructure projects, n.m.e.- Western Region</v>
          </cell>
        </row>
        <row r="3106">
          <cell r="B3106">
            <v>495931</v>
          </cell>
          <cell r="C3106" t="str">
            <v>Child</v>
          </cell>
          <cell r="D3106" t="str">
            <v>Other Infrastructure projects, n.m.e.- Madinat Zayed</v>
          </cell>
        </row>
        <row r="3107">
          <cell r="B3107">
            <v>495940</v>
          </cell>
          <cell r="C3107" t="str">
            <v>Parent</v>
          </cell>
          <cell r="D3107" t="str">
            <v>Other Infrastructure projects, n.m.e.- Northern Region</v>
          </cell>
        </row>
        <row r="3108">
          <cell r="B3108">
            <v>495941</v>
          </cell>
          <cell r="C3108" t="str">
            <v>Child</v>
          </cell>
          <cell r="D3108" t="str">
            <v>Other Infrastructure projects, n.m.e.- Al Taweela</v>
          </cell>
        </row>
        <row r="3109">
          <cell r="B3109">
            <v>495950</v>
          </cell>
          <cell r="C3109" t="str">
            <v>Parent</v>
          </cell>
          <cell r="D3109" t="str">
            <v>Other Infrastructure projects, n.m.e.- Islands &amp; Other Regions</v>
          </cell>
        </row>
        <row r="3110">
          <cell r="B3110">
            <v>495951</v>
          </cell>
          <cell r="C3110" t="str">
            <v>Child</v>
          </cell>
          <cell r="D3110" t="str">
            <v>Other Infrastructure projects, n.m.e.- Sir Baniyas Island</v>
          </cell>
        </row>
        <row r="3111">
          <cell r="B3111">
            <v>495961</v>
          </cell>
          <cell r="C3111" t="str">
            <v>Child</v>
          </cell>
          <cell r="D3111" t="str">
            <v>Other Infrastructure projects, n.m.e.- International</v>
          </cell>
        </row>
        <row r="3112">
          <cell r="B3112">
            <v>499110</v>
          </cell>
          <cell r="C3112" t="str">
            <v>Child</v>
          </cell>
          <cell r="D3112" t="str">
            <v>General Budget Reserve</v>
          </cell>
        </row>
        <row r="3113">
          <cell r="B3113">
            <v>499120</v>
          </cell>
          <cell r="C3113" t="str">
            <v>Child</v>
          </cell>
          <cell r="D3113" t="str">
            <v>Budget Reserve – Investments</v>
          </cell>
        </row>
        <row r="3114">
          <cell r="B3114">
            <v>499130</v>
          </cell>
          <cell r="C3114" t="str">
            <v>Child</v>
          </cell>
          <cell r="D3114" t="str">
            <v>The Stimulus Fund</v>
          </cell>
        </row>
        <row r="3115">
          <cell r="B3115">
            <v>499140</v>
          </cell>
          <cell r="C3115" t="str">
            <v>Child</v>
          </cell>
          <cell r="D3115" t="str">
            <v>Strategic Initiatives Fund</v>
          </cell>
        </row>
        <row r="3116">
          <cell r="B3116">
            <v>499999</v>
          </cell>
          <cell r="C3116" t="str">
            <v>Child</v>
          </cell>
          <cell r="D3116" t="str">
            <v>Adjustments - prior years expense</v>
          </cell>
        </row>
        <row r="3117">
          <cell r="B3117">
            <v>500000</v>
          </cell>
          <cell r="C3117" t="str">
            <v>Parent</v>
          </cell>
          <cell r="D3117" t="str">
            <v>EQUITY AND RESERVES</v>
          </cell>
        </row>
        <row r="3118">
          <cell r="B3118">
            <v>501000</v>
          </cell>
          <cell r="C3118" t="str">
            <v>Parent</v>
          </cell>
          <cell r="D3118" t="str">
            <v>Contributed Capital:</v>
          </cell>
        </row>
        <row r="3119">
          <cell r="B3119">
            <v>501010</v>
          </cell>
          <cell r="C3119" t="str">
            <v>Child</v>
          </cell>
          <cell r="D3119" t="str">
            <v>Capital Contribution by Government/Owners</v>
          </cell>
        </row>
        <row r="3120">
          <cell r="B3120">
            <v>502100</v>
          </cell>
          <cell r="C3120" t="str">
            <v>Child</v>
          </cell>
          <cell r="D3120" t="str">
            <v>General Fund (general reserve)</v>
          </cell>
        </row>
        <row r="3121">
          <cell r="B3121">
            <v>502200</v>
          </cell>
          <cell r="C3121" t="str">
            <v>Child</v>
          </cell>
          <cell r="D3121" t="str">
            <v>Retained Earnings</v>
          </cell>
        </row>
        <row r="3122">
          <cell r="B3122">
            <v>503000</v>
          </cell>
          <cell r="C3122" t="str">
            <v>Parent</v>
          </cell>
          <cell r="D3122" t="str">
            <v>Reserves:</v>
          </cell>
        </row>
        <row r="3123">
          <cell r="B3123">
            <v>503101</v>
          </cell>
          <cell r="C3123" t="str">
            <v>Child</v>
          </cell>
          <cell r="D3123" t="str">
            <v>Land and land improvements revaluation reserve</v>
          </cell>
        </row>
        <row r="3124">
          <cell r="B3124">
            <v>503102</v>
          </cell>
          <cell r="C3124" t="str">
            <v>Child</v>
          </cell>
          <cell r="D3124" t="str">
            <v>Buildings revaluation reserve</v>
          </cell>
        </row>
        <row r="3125">
          <cell r="B3125">
            <v>504000</v>
          </cell>
          <cell r="C3125" t="str">
            <v>Parent</v>
          </cell>
          <cell r="D3125" t="str">
            <v>Other reserves:</v>
          </cell>
        </row>
        <row r="3126">
          <cell r="B3126">
            <v>591010</v>
          </cell>
          <cell r="C3126" t="str">
            <v>Child</v>
          </cell>
          <cell r="D3126" t="str">
            <v>Reserve for Encumbrances</v>
          </cell>
        </row>
        <row r="3127">
          <cell r="B3127">
            <v>437312</v>
          </cell>
          <cell r="C3127" t="str">
            <v>Child</v>
          </cell>
          <cell r="D3127" t="str">
            <v>Loan Arrangement Fee</v>
          </cell>
        </row>
        <row r="3128">
          <cell r="B3128">
            <v>322171</v>
          </cell>
          <cell r="C3128" t="str">
            <v>Child</v>
          </cell>
          <cell r="D3128" t="str">
            <v>Hire of motor vehicles</v>
          </cell>
        </row>
        <row r="3129">
          <cell r="B3129">
            <v>132000</v>
          </cell>
          <cell r="C3129" t="str">
            <v>Parent</v>
          </cell>
          <cell r="D3129" t="str">
            <v>Prepayments</v>
          </cell>
        </row>
        <row r="3130">
          <cell r="B3130">
            <v>175000</v>
          </cell>
          <cell r="C3130" t="str">
            <v>Parent</v>
          </cell>
          <cell r="D3130" t="str">
            <v>Utilities:</v>
          </cell>
        </row>
        <row r="3131">
          <cell r="B3131">
            <v>220000</v>
          </cell>
          <cell r="C3131" t="str">
            <v>Parent</v>
          </cell>
          <cell r="D3131" t="str">
            <v>Accrued expenses:</v>
          </cell>
        </row>
        <row r="3132">
          <cell r="B3132">
            <v>425202</v>
          </cell>
          <cell r="C3132" t="str">
            <v>Child</v>
          </cell>
          <cell r="D3132" t="str">
            <v>Rental - Marine craft</v>
          </cell>
        </row>
        <row r="3133">
          <cell r="B3133">
            <v>461111</v>
          </cell>
          <cell r="C3133" t="str">
            <v>Child</v>
          </cell>
          <cell r="D3133" t="str">
            <v>Grant / Subsidy - SEHA</v>
          </cell>
        </row>
        <row r="3134">
          <cell r="B3134">
            <v>494117</v>
          </cell>
          <cell r="C3134" t="str">
            <v>Child</v>
          </cell>
          <cell r="D3134" t="str">
            <v>Irrigation network</v>
          </cell>
        </row>
        <row r="3135">
          <cell r="B3135">
            <v>100000</v>
          </cell>
          <cell r="C3135" t="str">
            <v>Parent</v>
          </cell>
          <cell r="D3135" t="str">
            <v>Assets</v>
          </cell>
        </row>
        <row r="3136">
          <cell r="B3136">
            <v>100110</v>
          </cell>
          <cell r="C3136" t="str">
            <v>Parent</v>
          </cell>
          <cell r="D3136" t="str">
            <v>Cash in hand and in Transit</v>
          </cell>
        </row>
        <row r="3137">
          <cell r="B3137">
            <v>101101</v>
          </cell>
          <cell r="C3137" t="str">
            <v>Child</v>
          </cell>
          <cell r="D3137" t="str">
            <v>Cash holdings with collectors - AED (Set-up account for AR cash in transit)</v>
          </cell>
        </row>
        <row r="3138">
          <cell r="B3138">
            <v>333789</v>
          </cell>
          <cell r="C3138" t="str">
            <v>Child</v>
          </cell>
          <cell r="D3138" t="str">
            <v>Loan repyts (Foreign Govts) not mentioned elsewhere</v>
          </cell>
        </row>
        <row r="3139">
          <cell r="B3139">
            <v>420051</v>
          </cell>
          <cell r="C3139" t="str">
            <v>Child</v>
          </cell>
          <cell r="D3139" t="str">
            <v>Input VAT related expenses (to be deactivated)</v>
          </cell>
        </row>
        <row r="3140">
          <cell r="B3140">
            <v>420052</v>
          </cell>
          <cell r="C3140" t="str">
            <v>Child</v>
          </cell>
          <cell r="D3140" t="str">
            <v>Disallowed claim for input VAT - Deactivate</v>
          </cell>
        </row>
        <row r="3141">
          <cell r="B3141">
            <v>420053</v>
          </cell>
          <cell r="C3141" t="str">
            <v>Child</v>
          </cell>
          <cell r="D3141" t="str">
            <v>Input VAT pending settlement from FTA - Deactivate</v>
          </cell>
        </row>
        <row r="3142">
          <cell r="B3142">
            <v>424851</v>
          </cell>
          <cell r="C3142" t="str">
            <v>Child</v>
          </cell>
          <cell r="D3142" t="str">
            <v>Real estate registration fees</v>
          </cell>
        </row>
        <row r="3143">
          <cell r="B3143">
            <v>435323</v>
          </cell>
          <cell r="C3143" t="str">
            <v>Child</v>
          </cell>
          <cell r="D3143" t="str">
            <v>Amortization / Depreciation on Leasehold  of other infrastructure assets</v>
          </cell>
        </row>
        <row r="3144">
          <cell r="B3144">
            <v>437310</v>
          </cell>
          <cell r="C3144" t="str">
            <v>Parent</v>
          </cell>
          <cell r="D3144" t="str">
            <v>Cost of issuing debt:</v>
          </cell>
        </row>
        <row r="3145">
          <cell r="B3145">
            <v>437311</v>
          </cell>
          <cell r="C3145" t="str">
            <v>Child</v>
          </cell>
          <cell r="D3145" t="str">
            <v>Underwriting / Lead managers fees and costs</v>
          </cell>
        </row>
        <row r="3146">
          <cell r="B3146">
            <v>437313</v>
          </cell>
          <cell r="C3146" t="str">
            <v>Child</v>
          </cell>
          <cell r="D3146" t="str">
            <v>Fiscal and paying agency service</v>
          </cell>
        </row>
        <row r="3147">
          <cell r="B3147">
            <v>437314</v>
          </cell>
          <cell r="C3147" t="str">
            <v>Child</v>
          </cell>
          <cell r="D3147" t="str">
            <v>Roadshow expenses</v>
          </cell>
        </row>
        <row r="3148">
          <cell r="B3148">
            <v>437315</v>
          </cell>
          <cell r="C3148" t="str">
            <v>Child</v>
          </cell>
          <cell r="D3148" t="str">
            <v>Rating agency fees and expenses</v>
          </cell>
        </row>
        <row r="3149">
          <cell r="B3149">
            <v>437391</v>
          </cell>
          <cell r="C3149" t="str">
            <v>Child</v>
          </cell>
          <cell r="D3149" t="str">
            <v>Debt issue - Other incidentals</v>
          </cell>
        </row>
        <row r="3150">
          <cell r="B3150">
            <v>437611</v>
          </cell>
          <cell r="C3150" t="str">
            <v>Child</v>
          </cell>
          <cell r="D3150" t="str">
            <v>FX Losses on FX Borrowings (Net of any Hedge)</v>
          </cell>
        </row>
        <row r="3151">
          <cell r="B3151">
            <v>438111</v>
          </cell>
          <cell r="C3151" t="str">
            <v>Child</v>
          </cell>
          <cell r="D3151" t="str">
            <v>Loss of cash</v>
          </cell>
        </row>
        <row r="3152">
          <cell r="B3152">
            <v>438311</v>
          </cell>
          <cell r="C3152" t="str">
            <v>Child</v>
          </cell>
          <cell r="D3152" t="str">
            <v>Write down of inventory held for distribution</v>
          </cell>
        </row>
        <row r="3153">
          <cell r="B3153">
            <v>438400</v>
          </cell>
          <cell r="C3153" t="str">
            <v>Parent</v>
          </cell>
          <cell r="D3153" t="str">
            <v>Payments against Contingent Liabilities</v>
          </cell>
        </row>
        <row r="3154">
          <cell r="B3154">
            <v>438411</v>
          </cell>
          <cell r="C3154" t="str">
            <v>Child</v>
          </cell>
          <cell r="D3154" t="str">
            <v>Guarantee Payments (Contingent Liabilities)</v>
          </cell>
        </row>
        <row r="3155">
          <cell r="B3155">
            <v>438990</v>
          </cell>
          <cell r="C3155" t="str">
            <v>Child</v>
          </cell>
          <cell r="D3155" t="str">
            <v>Payments Pending Budgetary allocations (For TDF use only)</v>
          </cell>
        </row>
        <row r="3156">
          <cell r="B3156">
            <v>451636</v>
          </cell>
          <cell r="C3156" t="str">
            <v>Child</v>
          </cell>
          <cell r="D3156" t="str">
            <v>Treasury TRF to - Abu Dhabi Projects and Infrastructure Centre (ADPIC)</v>
          </cell>
        </row>
        <row r="3157">
          <cell r="B3157">
            <v>462418</v>
          </cell>
          <cell r="C3157" t="str">
            <v>Child</v>
          </cell>
          <cell r="D3157" t="str">
            <v>Grant - AD Awqaf Holding Co - Establishing</v>
          </cell>
        </row>
        <row r="3158">
          <cell r="B3158">
            <v>462419</v>
          </cell>
          <cell r="C3158" t="str">
            <v>Child</v>
          </cell>
          <cell r="D3158" t="str">
            <v>Environmental protection organisations</v>
          </cell>
        </row>
        <row r="3159">
          <cell r="B3159">
            <v>483134</v>
          </cell>
          <cell r="C3159" t="str">
            <v>Child</v>
          </cell>
          <cell r="D3159" t="str">
            <v>Equity Participation – EDGE</v>
          </cell>
        </row>
        <row r="3160">
          <cell r="B3160">
            <v>104509</v>
          </cell>
          <cell r="C3160" t="str">
            <v>Child</v>
          </cell>
          <cell r="D3160" t="str">
            <v>Cash holdings - Trust funds - AED</v>
          </cell>
        </row>
        <row r="3161">
          <cell r="B3161">
            <v>120520</v>
          </cell>
          <cell r="C3161" t="str">
            <v>Child</v>
          </cell>
          <cell r="D3161" t="str">
            <v>Current debt receivable from Individuals</v>
          </cell>
        </row>
        <row r="3162">
          <cell r="B3162">
            <v>171492</v>
          </cell>
          <cell r="C3162" t="str">
            <v>Child</v>
          </cell>
          <cell r="D3162" t="str">
            <v>Plant, machinery &amp; equipment:Investment in Asset under construction (Fund/Clearing Account) (*)</v>
          </cell>
        </row>
        <row r="3163">
          <cell r="B3163">
            <v>172292</v>
          </cell>
          <cell r="C3163" t="str">
            <v>Child</v>
          </cell>
          <cell r="D3163" t="str">
            <v>Furniture &amp; fixtures:Investment in Asset under construction (Fund/Clearing Account)                    (*)</v>
          </cell>
        </row>
        <row r="3164">
          <cell r="B3164">
            <v>177110</v>
          </cell>
          <cell r="C3164" t="str">
            <v>Child</v>
          </cell>
          <cell r="D3164" t="str">
            <v>Computer software,copyrights, etc.</v>
          </cell>
        </row>
        <row r="3165">
          <cell r="B3165">
            <v>213145</v>
          </cell>
          <cell r="C3165" t="str">
            <v>Child</v>
          </cell>
          <cell r="D3165" t="str">
            <v>Acct Payable-Abu Dhabi Government Media Office (ADGMO)</v>
          </cell>
        </row>
        <row r="3166">
          <cell r="B3166">
            <v>213327</v>
          </cell>
          <cell r="C3166" t="str">
            <v>Child</v>
          </cell>
          <cell r="D3166" t="str">
            <v>Acct Payable-AD Emergency and Crisis and Disaster Management Center</v>
          </cell>
        </row>
        <row r="3167">
          <cell r="B3167">
            <v>213451</v>
          </cell>
          <cell r="C3167" t="str">
            <v>Child</v>
          </cell>
          <cell r="D3167" t="str">
            <v>Acct Payable-AD Tourism Authority</v>
          </cell>
        </row>
        <row r="3168">
          <cell r="B3168">
            <v>213711</v>
          </cell>
          <cell r="C3168" t="str">
            <v>Child</v>
          </cell>
          <cell r="D3168" t="str">
            <v>Acct Payable-Zoo &amp; Aquarium</v>
          </cell>
        </row>
        <row r="3169">
          <cell r="B3169">
            <v>213744</v>
          </cell>
          <cell r="C3169" t="str">
            <v>Child</v>
          </cell>
          <cell r="D3169" t="str">
            <v>Acct. Payable – Creative Media Authority</v>
          </cell>
        </row>
        <row r="3170">
          <cell r="B3170">
            <v>213871</v>
          </cell>
          <cell r="C3170" t="str">
            <v>Child</v>
          </cell>
          <cell r="D3170" t="str">
            <v>Acct Payable-Rabdan academy</v>
          </cell>
        </row>
        <row r="3171">
          <cell r="B3171">
            <v>214111</v>
          </cell>
          <cell r="C3171" t="str">
            <v>Child</v>
          </cell>
          <cell r="D3171" t="str">
            <v>Payable to Image Nation Abu Dhabi</v>
          </cell>
        </row>
        <row r="3172">
          <cell r="B3172">
            <v>214112</v>
          </cell>
          <cell r="C3172" t="str">
            <v>Child</v>
          </cell>
          <cell r="D3172" t="str">
            <v>Payable to Baynounah Company</v>
          </cell>
        </row>
        <row r="3173">
          <cell r="B3173">
            <v>214113</v>
          </cell>
          <cell r="C3173" t="str">
            <v>Child</v>
          </cell>
          <cell r="D3173" t="str">
            <v>Payable to Abu Dhabi Media Company</v>
          </cell>
        </row>
        <row r="3174">
          <cell r="B3174">
            <v>230431</v>
          </cell>
          <cell r="C3174" t="str">
            <v>Child</v>
          </cell>
          <cell r="D3174" t="str">
            <v>Payable towards commercial buildings maintenance</v>
          </cell>
        </row>
        <row r="3175">
          <cell r="B3175">
            <v>230432</v>
          </cell>
          <cell r="C3175" t="str">
            <v>Child</v>
          </cell>
          <cell r="D3175" t="str">
            <v>Payable  towards commercial buildings Owners Dues</v>
          </cell>
        </row>
        <row r="3176">
          <cell r="B3176">
            <v>230433</v>
          </cell>
          <cell r="C3176" t="str">
            <v>Child</v>
          </cell>
          <cell r="D3176" t="str">
            <v>Payable  towards commercial buildings Security Deposit</v>
          </cell>
        </row>
        <row r="3177">
          <cell r="B3177">
            <v>231012</v>
          </cell>
          <cell r="C3177" t="str">
            <v>Child</v>
          </cell>
          <cell r="D3177" t="str">
            <v>Accumulated Revenue on Waqf Funds</v>
          </cell>
        </row>
        <row r="3178">
          <cell r="B3178">
            <v>231115</v>
          </cell>
          <cell r="C3178" t="str">
            <v>Child</v>
          </cell>
          <cell r="D3178" t="str">
            <v>Scholarship funds pending distribution</v>
          </cell>
        </row>
        <row r="3179">
          <cell r="B3179">
            <v>231125</v>
          </cell>
          <cell r="C3179" t="str">
            <v>Child</v>
          </cell>
          <cell r="D3179" t="str">
            <v>Commercial Sponsorship</v>
          </cell>
        </row>
        <row r="3180">
          <cell r="B3180">
            <v>327233</v>
          </cell>
          <cell r="C3180" t="str">
            <v>Child</v>
          </cell>
          <cell r="D3180" t="str">
            <v>Transfers Received from Technology Dev Committee</v>
          </cell>
        </row>
        <row r="3181">
          <cell r="B3181">
            <v>324782</v>
          </cell>
          <cell r="C3181" t="str">
            <v>Child</v>
          </cell>
          <cell r="D3181" t="str">
            <v>Income from research studies-Educational establishments</v>
          </cell>
        </row>
        <row r="3182">
          <cell r="B3182">
            <v>333651</v>
          </cell>
          <cell r="C3182" t="str">
            <v>Child</v>
          </cell>
          <cell r="D3182" t="str">
            <v>Loan Repayments  - Comml building finance (ADCP managed)</v>
          </cell>
        </row>
        <row r="3183">
          <cell r="B3183">
            <v>411578</v>
          </cell>
          <cell r="C3183" t="str">
            <v>Child</v>
          </cell>
          <cell r="D3183" t="str">
            <v>Servant allowance</v>
          </cell>
        </row>
        <row r="3184">
          <cell r="B3184">
            <v>420012</v>
          </cell>
          <cell r="C3184" t="str">
            <v>Child</v>
          </cell>
          <cell r="D3184" t="str">
            <v>Central Bonuses Account</v>
          </cell>
        </row>
        <row r="3185">
          <cell r="B3185">
            <v>451120</v>
          </cell>
          <cell r="C3185" t="str">
            <v>Child</v>
          </cell>
          <cell r="D3185" t="str">
            <v>Treasury TRF to - Acct closed - Non-TSA tfrs</v>
          </cell>
        </row>
        <row r="3186">
          <cell r="B3186">
            <v>462735</v>
          </cell>
          <cell r="C3186" t="str">
            <v>Child</v>
          </cell>
          <cell r="D3186" t="str">
            <v>Present value discount on CB loan balances</v>
          </cell>
        </row>
        <row r="3187">
          <cell r="B3187">
            <v>165688</v>
          </cell>
          <cell r="C3187" t="str">
            <v>Child</v>
          </cell>
          <cell r="D3187" t="str">
            <v>Loans-Serbia</v>
          </cell>
        </row>
        <row r="3188">
          <cell r="B3188">
            <v>230610</v>
          </cell>
          <cell r="C3188" t="str">
            <v>Child</v>
          </cell>
          <cell r="D3188" t="str">
            <v>Customers Deposits</v>
          </cell>
        </row>
        <row r="3189">
          <cell r="B3189">
            <v>421117</v>
          </cell>
          <cell r="C3189" t="str">
            <v>Child</v>
          </cell>
          <cell r="D3189" t="str">
            <v>Financial consultancy</v>
          </cell>
        </row>
        <row r="3190">
          <cell r="B3190">
            <v>463008</v>
          </cell>
          <cell r="C3190" t="str">
            <v>Child</v>
          </cell>
          <cell r="D3190" t="str">
            <v>Grant-Albania</v>
          </cell>
        </row>
        <row r="3191">
          <cell r="B3191">
            <v>494212</v>
          </cell>
          <cell r="C3191" t="str">
            <v>Child</v>
          </cell>
          <cell r="D3191" t="str">
            <v>Shopping facilities</v>
          </cell>
        </row>
        <row r="3192">
          <cell r="B3192">
            <v>502000</v>
          </cell>
          <cell r="C3192" t="str">
            <v>Parent</v>
          </cell>
          <cell r="D3192" t="str">
            <v>Funds: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AB895-3913-4043-BEB3-EA1A94B68D55}" name="MonthlyPerfomance_Report_2024" displayName="MonthlyPerfomance_Report_2024" ref="B2:O226" totalsRowShown="0" headerRowDxfId="32" dataDxfId="31" tableBorderDxfId="30">
  <autoFilter ref="B2:O226" xr:uid="{6DDD003C-0D7A-440B-B7E7-691888371C8E}"/>
  <tableColumns count="14">
    <tableColumn id="20" xr3:uid="{6633C284-ACDC-4A6C-A0A2-A3AA628A1B57}" name="Entity Code" dataDxfId="29">
      <calculatedColumnFormula>$B$3</calculatedColumnFormula>
    </tableColumn>
    <tableColumn id="19" xr3:uid="{B046E2B5-20CF-4A3E-8816-4F60A66C5AF4}" name="Entity Name" dataDxfId="28">
      <calculatedColumnFormula>VLOOKUP(MonthlyPerfomance_Report_2024[[#This Row],[Entity Code]],[1]Entity!$B$3:$C$64,2,0)</calculatedColumnFormula>
    </tableColumn>
    <tableColumn id="1" xr3:uid="{04089BEA-40CD-4ECF-AD0A-88502C9D6D61}" name="Chapter" dataDxfId="27"/>
    <tableColumn id="5" xr3:uid="{6AB8A1E1-F2A5-4B7D-8A1F-78548B6775D3}" name="F2 - Appropriation Code" dataDxfId="26"/>
    <tableColumn id="6" xr3:uid="{61BF23D6-20C9-4CCD-B618-60FF8136CDCA}" name="F2 - Appropriation Description" dataDxfId="25"/>
    <tableColumn id="7" xr3:uid="{35C1F014-0E21-4632-8265-C6F57212E52C}" name="EBS Account code" dataDxfId="24"/>
    <tableColumn id="2" xr3:uid="{9DF46601-BCBF-42EA-ADC6-107EE6B7C9B6}" name="Fusion Account code" dataDxfId="23"/>
    <tableColumn id="3" xr3:uid="{9F432D62-2329-429F-AAF6-48336B81812E}" name="Account Name" dataDxfId="22">
      <calculatedColumnFormula>VLOOKUP(MonthlyPerfomance_Report_2024[[#This Row],[Fusion Account code]],[1]COA!B:D,3,0)</calculatedColumnFormula>
    </tableColumn>
    <tableColumn id="4" xr3:uid="{11FF26DC-8A31-4A0C-A5B7-EAF2DBDCF857}" name="2025 Actual FY" dataDxfId="21"/>
    <tableColumn id="18" xr3:uid="{BBE34BFE-0657-4EA2-A85D-164D8F872516}" name="2026 Revised Budget " dataDxfId="20"/>
    <tableColumn id="11" xr3:uid="{3A01D96A-2276-41D9-AEDC-8682FDFB4A2D}" name="Actual_YTD 2026" dataDxfId="19"/>
    <tableColumn id="12" xr3:uid="{9B87E8C7-E8F7-4745-B41A-6DEC8112E320}" name="Actual_YTD 2025" dataDxfId="18"/>
    <tableColumn id="13" xr3:uid="{BE43C546-7ED7-436C-8EDE-C8152D73AB57}" name="Variance" dataDxfId="17">
      <calculatedColumnFormula>MonthlyPerfomance_Report_2024[[#This Row],[Actual_YTD 2026]]-MonthlyPerfomance_Report_2024[[#This Row],[Actual_YTD 2025]]</calculatedColumnFormula>
    </tableColumn>
    <tableColumn id="16" xr3:uid="{A8B28587-A05B-4F1C-88F2-6B9A6FA85E53}" name="Reasons for Variance_YTD  (Top 5 accounts)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BFC87-7870-4CAC-96B5-C503B51989E2}" name="Expenditure_CashFlow_202446" displayName="Expenditure_CashFlow_202446" ref="B2:N20" totalsRowShown="0" headerRowDxfId="15" dataDxfId="14" tableBorderDxfId="13">
  <tableColumns count="13">
    <tableColumn id="22" xr3:uid="{60AB08DD-7221-4BDB-99CE-FF227AC04E19}" name="Entity Code" dataDxfId="12" dataCellStyle="Comma"/>
    <tableColumn id="21" xr3:uid="{D7BB69E9-0CE6-4993-BB76-2C978980041B}" name="Entity name" dataDxfId="11" dataCellStyle="Comma 2 2"/>
    <tableColumn id="1" xr3:uid="{9C461159-2579-4CCF-95F1-F3641546E6CC}" name="Chapter" dataDxfId="10" dataCellStyle="Normal 2"/>
    <tableColumn id="9" xr3:uid="{6AD16E40-030A-4E2F-AE7E-E18A64CEBF66}" name="F2 - Appropriation Code" dataDxfId="9" dataCellStyle="Normal 2"/>
    <tableColumn id="8" xr3:uid="{25FD6318-0DCC-425F-BD7C-2735887694DC}" name="F2 - Appropriation Description" dataDxfId="8" dataCellStyle="Normal 2"/>
    <tableColumn id="4" xr3:uid="{9EEC3729-DF1B-4175-BF4E-842F8E9AEB79}" name="Initial Budget FY" dataDxfId="7" dataCellStyle="Comma"/>
    <tableColumn id="18" xr3:uid="{A259E98D-E7CA-424B-A373-E76F4FE113BD}" name="Revised Budget FY" dataDxfId="6" dataCellStyle="Comma"/>
    <tableColumn id="2" xr3:uid="{9627F6DF-5E1F-4637-9B50-2C64508AD38E}" name="Initial Budget YTD CF" dataDxfId="5" dataCellStyle="Comma 2 2"/>
    <tableColumn id="3" xr3:uid="{98E697CB-C00B-4315-B108-08AB6453D16A}" name="Revised Budget YTD Cashflow" dataDxfId="4" dataCellStyle="Comma 2 2"/>
    <tableColumn id="5" xr3:uid="{3B8716A5-9178-4B0E-82B9-F793CF5E9168}" name="Actual YTD" dataDxfId="3" dataCellStyle="Comma 2 2"/>
    <tableColumn id="6" xr3:uid="{DAFC566E-CFF1-4557-977D-B1331FF44001}" name="Variance" dataDxfId="2" dataCellStyle="Comma 2 2">
      <calculatedColumnFormula>Expenditure_CashFlow_202446[[#This Row],[Revised Budget YTD Cashflow]]-Expenditure_CashFlow_202446[[#This Row],[Actual YTD]]</calculatedColumnFormula>
    </tableColumn>
    <tableColumn id="20" xr3:uid="{95E79165-DE6F-4ACE-9E54-341FB702E64F}" name="Budget Utilization %" dataDxfId="1" dataCellStyle="Comma">
      <calculatedColumnFormula>Expenditure_CashFlow_202446[[#This Row],[Actual YTD]]/Expenditure_CashFlow_202446[[#This Row],[Revised Budget YTD Cashflow]]</calculatedColumnFormula>
    </tableColumn>
    <tableColumn id="7" xr3:uid="{EC753755-3481-4F8D-A27A-D33AA901E926}" name="Reasons for variance" dataDxfId="0" dataCellStyle="Comma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B65-801D-4C45-813C-013101C2403E}">
  <sheetPr>
    <tabColor rgb="FF92D050"/>
  </sheetPr>
  <dimension ref="A1:O226"/>
  <sheetViews>
    <sheetView topLeftCell="E1" zoomScale="78" workbookViewId="0">
      <selection activeCell="O3" sqref="O3"/>
    </sheetView>
  </sheetViews>
  <sheetFormatPr defaultRowHeight="14.5" x14ac:dyDescent="0.35"/>
  <cols>
    <col min="2" max="2" width="15.7265625" style="1" bestFit="1" customWidth="1"/>
    <col min="3" max="3" width="48.81640625" style="1" bestFit="1" customWidth="1"/>
    <col min="4" max="4" width="45.81640625" bestFit="1" customWidth="1"/>
    <col min="5" max="5" width="45.81640625" customWidth="1"/>
    <col min="6" max="6" width="58.1796875" bestFit="1" customWidth="1"/>
    <col min="7" max="7" width="45.81640625" customWidth="1"/>
    <col min="8" max="8" width="42.36328125" customWidth="1"/>
    <col min="9" max="9" width="75.7265625" bestFit="1" customWidth="1"/>
    <col min="10" max="10" width="23.90625" customWidth="1"/>
    <col min="11" max="11" width="29.36328125" customWidth="1"/>
    <col min="12" max="12" width="24.26953125" customWidth="1"/>
    <col min="13" max="13" width="20.08984375" customWidth="1"/>
    <col min="14" max="14" width="33.90625" customWidth="1"/>
    <col min="15" max="15" width="47.6328125" bestFit="1" customWidth="1"/>
    <col min="16" max="19" width="17.54296875" customWidth="1"/>
    <col min="20" max="20" width="25.81640625" customWidth="1"/>
  </cols>
  <sheetData>
    <row r="1" spans="1:15" x14ac:dyDescent="0.35">
      <c r="J1" s="2"/>
      <c r="K1" s="2"/>
      <c r="L1" s="2"/>
      <c r="M1" s="2"/>
      <c r="N1" s="2"/>
      <c r="O1" s="2"/>
    </row>
    <row r="2" spans="1:15" ht="43.5" customHeight="1" x14ac:dyDescent="0.35">
      <c r="A2" s="3"/>
      <c r="B2" s="4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</row>
    <row r="3" spans="1:15" x14ac:dyDescent="0.35">
      <c r="B3" s="1">
        <v>451</v>
      </c>
      <c r="C3" s="1" t="str">
        <f>VLOOKUP(MonthlyPerfomance_Report_2024[[#This Row],[Entity Code]],[1]Entity!$B$3:$C$64,2,0)</f>
        <v>Department of Culture and Tourism - Abu Dhabi</v>
      </c>
      <c r="D3" s="1" t="s">
        <v>14</v>
      </c>
      <c r="E3" s="1">
        <v>100103</v>
      </c>
      <c r="F3" s="1" t="s">
        <v>15</v>
      </c>
      <c r="G3" s="1">
        <v>412121</v>
      </c>
      <c r="H3" s="1">
        <v>411121</v>
      </c>
      <c r="I3" s="1" t="str">
        <f>VLOOKUP(MonthlyPerfomance_Report_2024[[#This Row],[Fusion Account code]],[1]COA!B:D,3,0)</f>
        <v>Basic salary - Regular employees</v>
      </c>
      <c r="J3" s="6"/>
      <c r="K3" s="6"/>
      <c r="L3" s="6"/>
      <c r="M3" s="6"/>
      <c r="N3" s="6">
        <f>MonthlyPerfomance_Report_2024[[#This Row],[Actual_YTD 2026]]-MonthlyPerfomance_Report_2024[[#This Row],[Actual_YTD 2025]]</f>
        <v>0</v>
      </c>
      <c r="O3" s="1"/>
    </row>
    <row r="4" spans="1:15" x14ac:dyDescent="0.35">
      <c r="B4" s="1">
        <f>$B$3</f>
        <v>451</v>
      </c>
      <c r="C4" s="1" t="str">
        <f>VLOOKUP(MonthlyPerfomance_Report_2024[[#This Row],[Entity Code]],[1]Entity!$B$3:$C$64,2,0)</f>
        <v>Department of Culture and Tourism - Abu Dhabi</v>
      </c>
      <c r="D4" s="1" t="s">
        <v>14</v>
      </c>
      <c r="E4" s="1">
        <v>100103</v>
      </c>
      <c r="F4" s="1" t="s">
        <v>15</v>
      </c>
      <c r="G4" s="1">
        <v>412123</v>
      </c>
      <c r="H4" s="1">
        <v>411123</v>
      </c>
      <c r="I4" s="1" t="str">
        <f>VLOOKUP(MonthlyPerfomance_Report_2024[[#This Row],[Fusion Account code]],[1]COA!B:D,3,0)</f>
        <v>Nationality allowance - Regular situation</v>
      </c>
      <c r="J4" s="6"/>
      <c r="K4" s="6"/>
      <c r="L4" s="6"/>
      <c r="M4" s="6"/>
      <c r="N4" s="6">
        <f>MonthlyPerfomance_Report_2024[[#This Row],[Actual_YTD 2026]]-MonthlyPerfomance_Report_2024[[#This Row],[Actual_YTD 2025]]</f>
        <v>0</v>
      </c>
      <c r="O4" s="1"/>
    </row>
    <row r="5" spans="1:15" x14ac:dyDescent="0.35">
      <c r="B5" s="1">
        <f t="shared" ref="B5:B68" si="0">$B$3</f>
        <v>451</v>
      </c>
      <c r="C5" s="1" t="str">
        <f>VLOOKUP(MonthlyPerfomance_Report_2024[[#This Row],[Entity Code]],[1]Entity!$B$3:$C$64,2,0)</f>
        <v>Department of Culture and Tourism - Abu Dhabi</v>
      </c>
      <c r="D5" s="1" t="s">
        <v>14</v>
      </c>
      <c r="E5" s="1">
        <v>100103</v>
      </c>
      <c r="F5" s="1" t="s">
        <v>15</v>
      </c>
      <c r="G5" s="1">
        <v>412125</v>
      </c>
      <c r="H5" s="1">
        <v>411125</v>
      </c>
      <c r="I5" s="1" t="str">
        <f>VLOOKUP(MonthlyPerfomance_Report_2024[[#This Row],[Fusion Account code]],[1]COA!B:D,3,0)</f>
        <v>Cost of living adjustment pay (COLA)</v>
      </c>
      <c r="J5" s="6"/>
      <c r="K5" s="6"/>
      <c r="L5" s="6"/>
      <c r="M5" s="6"/>
      <c r="N5" s="6">
        <f>MonthlyPerfomance_Report_2024[[#This Row],[Actual_YTD 2026]]-MonthlyPerfomance_Report_2024[[#This Row],[Actual_YTD 2025]]</f>
        <v>0</v>
      </c>
      <c r="O5" s="1"/>
    </row>
    <row r="6" spans="1:15" x14ac:dyDescent="0.35">
      <c r="B6" s="1">
        <f t="shared" si="0"/>
        <v>451</v>
      </c>
      <c r="C6" s="1" t="str">
        <f>VLOOKUP(MonthlyPerfomance_Report_2024[[#This Row],[Entity Code]],[1]Entity!$B$3:$C$64,2,0)</f>
        <v>Department of Culture and Tourism - Abu Dhabi</v>
      </c>
      <c r="D6" s="1" t="s">
        <v>14</v>
      </c>
      <c r="E6" s="1">
        <v>100103</v>
      </c>
      <c r="F6" s="1" t="s">
        <v>15</v>
      </c>
      <c r="G6" s="1">
        <v>412126</v>
      </c>
      <c r="H6" s="1">
        <v>411126</v>
      </c>
      <c r="I6" s="1" t="str">
        <f>VLOOKUP(MonthlyPerfomance_Report_2024[[#This Row],[Fusion Account code]],[1]COA!B:D,3,0)</f>
        <v>Etihad Allowance</v>
      </c>
      <c r="J6" s="6"/>
      <c r="K6" s="6"/>
      <c r="L6" s="6"/>
      <c r="M6" s="6"/>
      <c r="N6" s="6">
        <f>MonthlyPerfomance_Report_2024[[#This Row],[Actual_YTD 2026]]-MonthlyPerfomance_Report_2024[[#This Row],[Actual_YTD 2025]]</f>
        <v>0</v>
      </c>
      <c r="O6" s="1"/>
    </row>
    <row r="7" spans="1:15" x14ac:dyDescent="0.35">
      <c r="B7" s="1">
        <f t="shared" si="0"/>
        <v>451</v>
      </c>
      <c r="C7" s="1" t="str">
        <f>VLOOKUP(MonthlyPerfomance_Report_2024[[#This Row],[Entity Code]],[1]Entity!$B$3:$C$64,2,0)</f>
        <v>Department of Culture and Tourism - Abu Dhabi</v>
      </c>
      <c r="D7" s="1" t="s">
        <v>14</v>
      </c>
      <c r="E7" s="1">
        <v>100103</v>
      </c>
      <c r="F7" s="1" t="s">
        <v>15</v>
      </c>
      <c r="G7" s="1">
        <v>412161</v>
      </c>
      <c r="H7" s="1">
        <v>411161</v>
      </c>
      <c r="I7" s="1" t="str">
        <f>VLOOKUP(MonthlyPerfomance_Report_2024[[#This Row],[Fusion Account code]],[1]COA!B:D,3,0)</f>
        <v>Acting pay</v>
      </c>
      <c r="J7" s="6"/>
      <c r="K7" s="6"/>
      <c r="L7" s="6"/>
      <c r="M7" s="6"/>
      <c r="N7" s="6">
        <f>MonthlyPerfomance_Report_2024[[#This Row],[Actual_YTD 2026]]-MonthlyPerfomance_Report_2024[[#This Row],[Actual_YTD 2025]]</f>
        <v>0</v>
      </c>
      <c r="O7" s="1"/>
    </row>
    <row r="8" spans="1:15" x14ac:dyDescent="0.35">
      <c r="B8" s="1">
        <f t="shared" si="0"/>
        <v>451</v>
      </c>
      <c r="C8" s="1" t="str">
        <f>VLOOKUP(MonthlyPerfomance_Report_2024[[#This Row],[Entity Code]],[1]Entity!$B$3:$C$64,2,0)</f>
        <v>Department of Culture and Tourism - Abu Dhabi</v>
      </c>
      <c r="D8" s="1" t="s">
        <v>14</v>
      </c>
      <c r="E8" s="1">
        <v>100103</v>
      </c>
      <c r="F8" s="1" t="s">
        <v>15</v>
      </c>
      <c r="G8" s="1">
        <v>412162</v>
      </c>
      <c r="H8" s="1">
        <v>411162</v>
      </c>
      <c r="I8" s="1" t="str">
        <f>VLOOKUP(MonthlyPerfomance_Report_2024[[#This Row],[Fusion Account code]],[1]COA!B:D,3,0)</f>
        <v>Bonus and exgratia payments</v>
      </c>
      <c r="J8" s="6"/>
      <c r="K8" s="6"/>
      <c r="L8" s="6"/>
      <c r="M8" s="6"/>
      <c r="N8" s="6">
        <f>MonthlyPerfomance_Report_2024[[#This Row],[Actual_YTD 2026]]-MonthlyPerfomance_Report_2024[[#This Row],[Actual_YTD 2025]]</f>
        <v>0</v>
      </c>
      <c r="O8" s="1"/>
    </row>
    <row r="9" spans="1:15" x14ac:dyDescent="0.35">
      <c r="B9" s="1">
        <f t="shared" si="0"/>
        <v>451</v>
      </c>
      <c r="C9" s="1" t="str">
        <f>VLOOKUP(MonthlyPerfomance_Report_2024[[#This Row],[Entity Code]],[1]Entity!$B$3:$C$64,2,0)</f>
        <v>Department of Culture and Tourism - Abu Dhabi</v>
      </c>
      <c r="D9" s="1" t="s">
        <v>14</v>
      </c>
      <c r="E9" s="1">
        <v>100103</v>
      </c>
      <c r="F9" s="1" t="s">
        <v>15</v>
      </c>
      <c r="G9" s="1">
        <v>412164</v>
      </c>
      <c r="H9" s="1">
        <v>411164</v>
      </c>
      <c r="I9" s="1" t="str">
        <f>VLOOKUP(MonthlyPerfomance_Report_2024[[#This Row],[Fusion Account code]],[1]COA!B:D,3,0)</f>
        <v>Overtime pay</v>
      </c>
      <c r="J9" s="6"/>
      <c r="K9" s="6"/>
      <c r="L9" s="6"/>
      <c r="M9" s="6"/>
      <c r="N9" s="6">
        <f>MonthlyPerfomance_Report_2024[[#This Row],[Actual_YTD 2026]]-MonthlyPerfomance_Report_2024[[#This Row],[Actual_YTD 2025]]</f>
        <v>0</v>
      </c>
      <c r="O9" s="1"/>
    </row>
    <row r="10" spans="1:15" x14ac:dyDescent="0.35">
      <c r="B10" s="1">
        <f t="shared" si="0"/>
        <v>451</v>
      </c>
      <c r="C10" s="1" t="str">
        <f>VLOOKUP(MonthlyPerfomance_Report_2024[[#This Row],[Entity Code]],[1]Entity!$B$3:$C$64,2,0)</f>
        <v>Department of Culture and Tourism - Abu Dhabi</v>
      </c>
      <c r="D10" s="1" t="s">
        <v>14</v>
      </c>
      <c r="E10" s="1">
        <v>100103</v>
      </c>
      <c r="F10" s="1" t="s">
        <v>15</v>
      </c>
      <c r="G10" s="1">
        <v>412166</v>
      </c>
      <c r="H10" s="1">
        <v>411166</v>
      </c>
      <c r="I10" s="1" t="str">
        <f>VLOOKUP(MonthlyPerfomance_Report_2024[[#This Row],[Fusion Account code]],[1]COA!B:D,3,0)</f>
        <v>Severance pay (contractual)</v>
      </c>
      <c r="J10" s="6"/>
      <c r="K10" s="6"/>
      <c r="L10" s="6"/>
      <c r="M10" s="6"/>
      <c r="N10" s="6">
        <f>MonthlyPerfomance_Report_2024[[#This Row],[Actual_YTD 2026]]-MonthlyPerfomance_Report_2024[[#This Row],[Actual_YTD 2025]]</f>
        <v>0</v>
      </c>
      <c r="O10" s="1"/>
    </row>
    <row r="11" spans="1:15" x14ac:dyDescent="0.35">
      <c r="B11" s="1">
        <f t="shared" si="0"/>
        <v>451</v>
      </c>
      <c r="C11" s="1" t="str">
        <f>VLOOKUP(MonthlyPerfomance_Report_2024[[#This Row],[Entity Code]],[1]Entity!$B$3:$C$64,2,0)</f>
        <v>Department of Culture and Tourism - Abu Dhabi</v>
      </c>
      <c r="D11" s="1" t="s">
        <v>14</v>
      </c>
      <c r="E11" s="1">
        <v>100103</v>
      </c>
      <c r="F11" s="1" t="s">
        <v>15</v>
      </c>
      <c r="G11" s="1">
        <v>412184</v>
      </c>
      <c r="H11" s="1">
        <v>411181</v>
      </c>
      <c r="I11" s="1" t="str">
        <f>VLOOKUP(MonthlyPerfomance_Report_2024[[#This Row],[Fusion Account code]],[1]COA!B:D,3,0)</f>
        <v>Vacation pay (including cash in lieu payment)</v>
      </c>
      <c r="J11" s="6"/>
      <c r="K11" s="6"/>
      <c r="L11" s="6"/>
      <c r="M11" s="6"/>
      <c r="N11" s="6">
        <f>MonthlyPerfomance_Report_2024[[#This Row],[Actual_YTD 2026]]-MonthlyPerfomance_Report_2024[[#This Row],[Actual_YTD 2025]]</f>
        <v>0</v>
      </c>
      <c r="O11" s="1"/>
    </row>
    <row r="12" spans="1:15" x14ac:dyDescent="0.35">
      <c r="B12" s="1">
        <f t="shared" si="0"/>
        <v>451</v>
      </c>
      <c r="C12" s="1" t="str">
        <f>VLOOKUP(MonthlyPerfomance_Report_2024[[#This Row],[Entity Code]],[1]Entity!$B$3:$C$64,2,0)</f>
        <v>Department of Culture and Tourism - Abu Dhabi</v>
      </c>
      <c r="D12" s="1" t="s">
        <v>14</v>
      </c>
      <c r="E12" s="1">
        <v>100103</v>
      </c>
      <c r="F12" s="1" t="s">
        <v>15</v>
      </c>
      <c r="G12" s="1">
        <v>412513</v>
      </c>
      <c r="H12" s="1">
        <v>411513</v>
      </c>
      <c r="I12" s="1" t="str">
        <f>VLOOKUP(MonthlyPerfomance_Report_2024[[#This Row],[Fusion Account code]],[1]COA!B:D,3,0)</f>
        <v>Taskeen Allowance</v>
      </c>
      <c r="J12" s="6"/>
      <c r="K12" s="6"/>
      <c r="L12" s="6"/>
      <c r="M12" s="6"/>
      <c r="N12" s="6">
        <f>MonthlyPerfomance_Report_2024[[#This Row],[Actual_YTD 2026]]-MonthlyPerfomance_Report_2024[[#This Row],[Actual_YTD 2025]]</f>
        <v>0</v>
      </c>
      <c r="O12" s="1"/>
    </row>
    <row r="13" spans="1:15" x14ac:dyDescent="0.35">
      <c r="B13" s="1">
        <f t="shared" si="0"/>
        <v>451</v>
      </c>
      <c r="C13" s="1" t="str">
        <f>VLOOKUP(MonthlyPerfomance_Report_2024[[#This Row],[Entity Code]],[1]Entity!$B$3:$C$64,2,0)</f>
        <v>Department of Culture and Tourism - Abu Dhabi</v>
      </c>
      <c r="D13" s="1" t="s">
        <v>14</v>
      </c>
      <c r="E13" s="1">
        <v>100103</v>
      </c>
      <c r="F13" s="1" t="s">
        <v>15</v>
      </c>
      <c r="G13" s="1">
        <v>412515</v>
      </c>
      <c r="H13" s="1">
        <v>411515</v>
      </c>
      <c r="I13" s="1" t="str">
        <f>VLOOKUP(MonthlyPerfomance_Report_2024[[#This Row],[Fusion Account code]],[1]COA!B:D,3,0)</f>
        <v>Consolidated allowances: Emirati / Expatriate employees</v>
      </c>
      <c r="J13" s="6"/>
      <c r="K13" s="6"/>
      <c r="L13" s="6"/>
      <c r="M13" s="6"/>
      <c r="N13" s="6">
        <f>MonthlyPerfomance_Report_2024[[#This Row],[Actual_YTD 2026]]-MonthlyPerfomance_Report_2024[[#This Row],[Actual_YTD 2025]]</f>
        <v>0</v>
      </c>
      <c r="O13" s="1"/>
    </row>
    <row r="14" spans="1:15" x14ac:dyDescent="0.35">
      <c r="B14" s="1">
        <f t="shared" si="0"/>
        <v>451</v>
      </c>
      <c r="C14" s="1" t="str">
        <f>VLOOKUP(MonthlyPerfomance_Report_2024[[#This Row],[Entity Code]],[1]Entity!$B$3:$C$64,2,0)</f>
        <v>Department of Culture and Tourism - Abu Dhabi</v>
      </c>
      <c r="D14" s="1" t="s">
        <v>14</v>
      </c>
      <c r="E14" s="1">
        <v>100103</v>
      </c>
      <c r="F14" s="1" t="s">
        <v>15</v>
      </c>
      <c r="G14" s="1">
        <v>412523</v>
      </c>
      <c r="H14" s="1">
        <v>411553</v>
      </c>
      <c r="I14" s="1" t="str">
        <f>VLOOKUP(MonthlyPerfomance_Report_2024[[#This Row],[Fusion Account code]],[1]COA!B:D,3,0)</f>
        <v>Child allowance</v>
      </c>
      <c r="J14" s="6"/>
      <c r="K14" s="6"/>
      <c r="L14" s="6"/>
      <c r="M14" s="6"/>
      <c r="N14" s="6">
        <f>MonthlyPerfomance_Report_2024[[#This Row],[Actual_YTD 2026]]-MonthlyPerfomance_Report_2024[[#This Row],[Actual_YTD 2025]]</f>
        <v>0</v>
      </c>
      <c r="O14" s="1"/>
    </row>
    <row r="15" spans="1:15" x14ac:dyDescent="0.35">
      <c r="B15" s="1">
        <f t="shared" si="0"/>
        <v>451</v>
      </c>
      <c r="C15" s="1" t="str">
        <f>VLOOKUP(MonthlyPerfomance_Report_2024[[#This Row],[Entity Code]],[1]Entity!$B$3:$C$64,2,0)</f>
        <v>Department of Culture and Tourism - Abu Dhabi</v>
      </c>
      <c r="D15" s="1" t="s">
        <v>14</v>
      </c>
      <c r="E15" s="1">
        <v>100103</v>
      </c>
      <c r="F15" s="1" t="s">
        <v>15</v>
      </c>
      <c r="G15" s="1">
        <v>412525</v>
      </c>
      <c r="H15" s="1">
        <v>411555</v>
      </c>
      <c r="I15" s="1" t="str">
        <f>VLOOKUP(MonthlyPerfomance_Report_2024[[#This Row],[Fusion Account code]],[1]COA!B:D,3,0)</f>
        <v>Foreign posting allowance (Diplomatic allowance)</v>
      </c>
      <c r="J15" s="6"/>
      <c r="K15" s="6"/>
      <c r="L15" s="6"/>
      <c r="M15" s="6"/>
      <c r="N15" s="6">
        <f>MonthlyPerfomance_Report_2024[[#This Row],[Actual_YTD 2026]]-MonthlyPerfomance_Report_2024[[#This Row],[Actual_YTD 2025]]</f>
        <v>0</v>
      </c>
      <c r="O15" s="1"/>
    </row>
    <row r="16" spans="1:15" x14ac:dyDescent="0.35">
      <c r="B16" s="1">
        <f t="shared" si="0"/>
        <v>451</v>
      </c>
      <c r="C16" s="1" t="str">
        <f>VLOOKUP(MonthlyPerfomance_Report_2024[[#This Row],[Entity Code]],[1]Entity!$B$3:$C$64,2,0)</f>
        <v>Department of Culture and Tourism - Abu Dhabi</v>
      </c>
      <c r="D16" s="1" t="s">
        <v>14</v>
      </c>
      <c r="E16" s="1">
        <v>100103</v>
      </c>
      <c r="F16" s="1" t="s">
        <v>15</v>
      </c>
      <c r="G16" s="1">
        <v>412526</v>
      </c>
      <c r="H16" s="1">
        <v>411556</v>
      </c>
      <c r="I16" s="1" t="str">
        <f>VLOOKUP(MonthlyPerfomance_Report_2024[[#This Row],[Fusion Account code]],[1]COA!B:D,3,0)</f>
        <v>Housing allowance</v>
      </c>
      <c r="J16" s="6"/>
      <c r="K16" s="6"/>
      <c r="L16" s="6"/>
      <c r="M16" s="6"/>
      <c r="N16" s="6">
        <f>MonthlyPerfomance_Report_2024[[#This Row],[Actual_YTD 2026]]-MonthlyPerfomance_Report_2024[[#This Row],[Actual_YTD 2025]]</f>
        <v>0</v>
      </c>
      <c r="O16" s="1"/>
    </row>
    <row r="17" spans="2:15" x14ac:dyDescent="0.35">
      <c r="B17" s="1">
        <f t="shared" si="0"/>
        <v>451</v>
      </c>
      <c r="C17" s="1" t="str">
        <f>VLOOKUP(MonthlyPerfomance_Report_2024[[#This Row],[Entity Code]],[1]Entity!$B$3:$C$64,2,0)</f>
        <v>Department of Culture and Tourism - Abu Dhabi</v>
      </c>
      <c r="D17" s="1" t="s">
        <v>14</v>
      </c>
      <c r="E17" s="1">
        <v>100103</v>
      </c>
      <c r="F17" s="1" t="s">
        <v>15</v>
      </c>
      <c r="G17" s="1">
        <v>412550</v>
      </c>
      <c r="H17" s="1">
        <v>411577</v>
      </c>
      <c r="I17" s="1" t="str">
        <f>VLOOKUP(MonthlyPerfomance_Report_2024[[#This Row],[Fusion Account code]],[1]COA!B:D,3,0)</f>
        <v>Excellence / Performance Allowance</v>
      </c>
      <c r="J17" s="6"/>
      <c r="K17" s="6"/>
      <c r="L17" s="6"/>
      <c r="M17" s="6"/>
      <c r="N17" s="6">
        <f>MonthlyPerfomance_Report_2024[[#This Row],[Actual_YTD 2026]]-MonthlyPerfomance_Report_2024[[#This Row],[Actual_YTD 2025]]</f>
        <v>0</v>
      </c>
      <c r="O17" s="1"/>
    </row>
    <row r="18" spans="2:15" x14ac:dyDescent="0.35">
      <c r="B18" s="1">
        <f t="shared" si="0"/>
        <v>451</v>
      </c>
      <c r="C18" s="1" t="str">
        <f>VLOOKUP(MonthlyPerfomance_Report_2024[[#This Row],[Entity Code]],[1]Entity!$B$3:$C$64,2,0)</f>
        <v>Department of Culture and Tourism - Abu Dhabi</v>
      </c>
      <c r="D18" s="1" t="s">
        <v>14</v>
      </c>
      <c r="E18" s="1">
        <v>100103</v>
      </c>
      <c r="F18" s="1" t="s">
        <v>15</v>
      </c>
      <c r="G18" s="1">
        <v>412590</v>
      </c>
      <c r="H18" s="1">
        <v>411654</v>
      </c>
      <c r="I18" s="1" t="str">
        <f>VLOOKUP(MonthlyPerfomance_Report_2024[[#This Row],[Fusion Account code]],[1]COA!B:D,3,0)</f>
        <v>Rounding up cost of net pay</v>
      </c>
      <c r="J18" s="6"/>
      <c r="K18" s="6"/>
      <c r="L18" s="6"/>
      <c r="M18" s="6"/>
      <c r="N18" s="6">
        <f>MonthlyPerfomance_Report_2024[[#This Row],[Actual_YTD 2026]]-MonthlyPerfomance_Report_2024[[#This Row],[Actual_YTD 2025]]</f>
        <v>0</v>
      </c>
      <c r="O18" s="1"/>
    </row>
    <row r="19" spans="2:15" x14ac:dyDescent="0.35">
      <c r="B19" s="1">
        <f t="shared" si="0"/>
        <v>451</v>
      </c>
      <c r="C19" s="1" t="str">
        <f>VLOOKUP(MonthlyPerfomance_Report_2024[[#This Row],[Entity Code]],[1]Entity!$B$3:$C$64,2,0)</f>
        <v>Department of Culture and Tourism - Abu Dhabi</v>
      </c>
      <c r="D19" s="1" t="s">
        <v>14</v>
      </c>
      <c r="E19" s="1">
        <v>100103</v>
      </c>
      <c r="F19" s="1" t="s">
        <v>15</v>
      </c>
      <c r="G19" s="1">
        <v>413110</v>
      </c>
      <c r="H19" s="1">
        <v>412111</v>
      </c>
      <c r="I19" s="1" t="str">
        <f>VLOOKUP(MonthlyPerfomance_Report_2024[[#This Row],[Fusion Account code]],[1]COA!B:D,3,0)</f>
        <v>Consolidated pay - Daily-rated personnel and casual employees</v>
      </c>
      <c r="J19" s="6"/>
      <c r="K19" s="6"/>
      <c r="L19" s="6"/>
      <c r="M19" s="6"/>
      <c r="N19" s="6">
        <f>MonthlyPerfomance_Report_2024[[#This Row],[Actual_YTD 2026]]-MonthlyPerfomance_Report_2024[[#This Row],[Actual_YTD 2025]]</f>
        <v>0</v>
      </c>
      <c r="O19" s="1"/>
    </row>
    <row r="20" spans="2:15" x14ac:dyDescent="0.35">
      <c r="B20" s="1">
        <f t="shared" si="0"/>
        <v>451</v>
      </c>
      <c r="C20" s="1" t="str">
        <f>VLOOKUP(MonthlyPerfomance_Report_2024[[#This Row],[Entity Code]],[1]Entity!$B$3:$C$64,2,0)</f>
        <v>Department of Culture and Tourism - Abu Dhabi</v>
      </c>
      <c r="D20" s="1" t="s">
        <v>14</v>
      </c>
      <c r="E20" s="1">
        <v>100103</v>
      </c>
      <c r="F20" s="1" t="s">
        <v>15</v>
      </c>
      <c r="G20" s="1">
        <v>413310</v>
      </c>
      <c r="H20" s="1">
        <v>412611</v>
      </c>
      <c r="I20" s="1" t="str">
        <f>VLOOKUP(MonthlyPerfomance_Report_2024[[#This Row],[Fusion Account code]],[1]COA!B:D,3,0)</f>
        <v>Consolidated cost of outsourced Resources</v>
      </c>
      <c r="J20" s="6"/>
      <c r="K20" s="6"/>
      <c r="L20" s="6"/>
      <c r="M20" s="6"/>
      <c r="N20" s="6">
        <f>MonthlyPerfomance_Report_2024[[#This Row],[Actual_YTD 2026]]-MonthlyPerfomance_Report_2024[[#This Row],[Actual_YTD 2025]]</f>
        <v>0</v>
      </c>
      <c r="O20" s="1"/>
    </row>
    <row r="21" spans="2:15" x14ac:dyDescent="0.35">
      <c r="B21" s="1">
        <f t="shared" si="0"/>
        <v>451</v>
      </c>
      <c r="C21" s="1" t="str">
        <f>VLOOKUP(MonthlyPerfomance_Report_2024[[#This Row],[Entity Code]],[1]Entity!$B$3:$C$64,2,0)</f>
        <v>Department of Culture and Tourism - Abu Dhabi</v>
      </c>
      <c r="D21" s="1" t="s">
        <v>14</v>
      </c>
      <c r="E21" s="1">
        <v>100103</v>
      </c>
      <c r="F21" s="1" t="s">
        <v>15</v>
      </c>
      <c r="G21" s="1">
        <v>413610</v>
      </c>
      <c r="H21" s="1">
        <v>412410</v>
      </c>
      <c r="I21" s="1" t="str">
        <f>VLOOKUP(MonthlyPerfomance_Report_2024[[#This Row],[Fusion Account code]],[1]COA!B:D,3,0)</f>
        <v>Consolidated Pay/Reward to Military pensioners</v>
      </c>
      <c r="J21" s="6"/>
      <c r="K21" s="6"/>
      <c r="L21" s="6"/>
      <c r="M21" s="6"/>
      <c r="N21" s="6">
        <f>MonthlyPerfomance_Report_2024[[#This Row],[Actual_YTD 2026]]-MonthlyPerfomance_Report_2024[[#This Row],[Actual_YTD 2025]]</f>
        <v>0</v>
      </c>
      <c r="O21" s="1"/>
    </row>
    <row r="22" spans="2:15" x14ac:dyDescent="0.35">
      <c r="B22" s="1">
        <f t="shared" si="0"/>
        <v>451</v>
      </c>
      <c r="C22" s="1" t="str">
        <f>VLOOKUP(MonthlyPerfomance_Report_2024[[#This Row],[Entity Code]],[1]Entity!$B$3:$C$64,2,0)</f>
        <v>Department of Culture and Tourism - Abu Dhabi</v>
      </c>
      <c r="D22" s="1" t="s">
        <v>14</v>
      </c>
      <c r="E22" s="1">
        <v>100103</v>
      </c>
      <c r="F22" s="1" t="s">
        <v>15</v>
      </c>
      <c r="G22" s="1">
        <v>413710</v>
      </c>
      <c r="H22" s="1">
        <v>412510</v>
      </c>
      <c r="I22" s="1" t="str">
        <f>VLOOKUP(MonthlyPerfomance_Report_2024[[#This Row],[Fusion Account code]],[1]COA!B:D,3,0)</f>
        <v>Stipend – Graduate Trainees</v>
      </c>
      <c r="J22" s="6"/>
      <c r="K22" s="6"/>
      <c r="L22" s="6"/>
      <c r="M22" s="6"/>
      <c r="N22" s="6">
        <f>MonthlyPerfomance_Report_2024[[#This Row],[Actual_YTD 2026]]-MonthlyPerfomance_Report_2024[[#This Row],[Actual_YTD 2025]]</f>
        <v>0</v>
      </c>
      <c r="O22" s="1"/>
    </row>
    <row r="23" spans="2:15" x14ac:dyDescent="0.35">
      <c r="B23" s="1">
        <f t="shared" si="0"/>
        <v>451</v>
      </c>
      <c r="C23" s="1" t="str">
        <f>VLOOKUP(MonthlyPerfomance_Report_2024[[#This Row],[Entity Code]],[1]Entity!$B$3:$C$64,2,0)</f>
        <v>Department of Culture and Tourism - Abu Dhabi</v>
      </c>
      <c r="D23" s="1" t="s">
        <v>14</v>
      </c>
      <c r="E23" s="1">
        <v>100103</v>
      </c>
      <c r="F23" s="1" t="s">
        <v>15</v>
      </c>
      <c r="G23" s="1">
        <v>414120</v>
      </c>
      <c r="H23" s="1">
        <v>413120</v>
      </c>
      <c r="I23" s="1" t="str">
        <f>VLOOKUP(MonthlyPerfomance_Report_2024[[#This Row],[Fusion Account code]],[1]COA!B:D,3,0)</f>
        <v>Gratuity - Non-pensionable employees</v>
      </c>
      <c r="J23" s="6"/>
      <c r="K23" s="6"/>
      <c r="L23" s="6"/>
      <c r="M23" s="6"/>
      <c r="N23" s="6">
        <f>MonthlyPerfomance_Report_2024[[#This Row],[Actual_YTD 2026]]-MonthlyPerfomance_Report_2024[[#This Row],[Actual_YTD 2025]]</f>
        <v>0</v>
      </c>
      <c r="O23" s="1"/>
    </row>
    <row r="24" spans="2:15" x14ac:dyDescent="0.35">
      <c r="B24" s="1">
        <f t="shared" si="0"/>
        <v>451</v>
      </c>
      <c r="C24" s="1" t="str">
        <f>VLOOKUP(MonthlyPerfomance_Report_2024[[#This Row],[Entity Code]],[1]Entity!$B$3:$C$64,2,0)</f>
        <v>Department of Culture and Tourism - Abu Dhabi</v>
      </c>
      <c r="D24" s="1" t="s">
        <v>14</v>
      </c>
      <c r="E24" s="1">
        <v>100103</v>
      </c>
      <c r="F24" s="1" t="s">
        <v>15</v>
      </c>
      <c r="G24" s="1">
        <v>415110</v>
      </c>
      <c r="H24" s="1">
        <v>413511</v>
      </c>
      <c r="I24" s="1" t="str">
        <f>VLOOKUP(MonthlyPerfomance_Report_2024[[#This Row],[Fusion Account code]],[1]COA!B:D,3,0)</f>
        <v>Govt contribution to  Abu Dhabi Pension Fund</v>
      </c>
      <c r="J24" s="6"/>
      <c r="K24" s="6"/>
      <c r="L24" s="6"/>
      <c r="M24" s="6"/>
      <c r="N24" s="6">
        <f>MonthlyPerfomance_Report_2024[[#This Row],[Actual_YTD 2026]]-MonthlyPerfomance_Report_2024[[#This Row],[Actual_YTD 2025]]</f>
        <v>0</v>
      </c>
      <c r="O24" s="1"/>
    </row>
    <row r="25" spans="2:15" x14ac:dyDescent="0.35">
      <c r="B25" s="1">
        <f t="shared" si="0"/>
        <v>451</v>
      </c>
      <c r="C25" s="1" t="str">
        <f>VLOOKUP(MonthlyPerfomance_Report_2024[[#This Row],[Entity Code]],[1]Entity!$B$3:$C$64,2,0)</f>
        <v>Department of Culture and Tourism - Abu Dhabi</v>
      </c>
      <c r="D25" s="1" t="s">
        <v>14</v>
      </c>
      <c r="E25" s="1">
        <v>100103</v>
      </c>
      <c r="F25" s="1" t="s">
        <v>15</v>
      </c>
      <c r="G25" s="1">
        <v>415182</v>
      </c>
      <c r="H25" s="1">
        <v>413532</v>
      </c>
      <c r="I25" s="1" t="str">
        <f>VLOOKUP(MonthlyPerfomance_Report_2024[[#This Row],[Fusion Account code]],[1]COA!B:D,3,0)</f>
        <v>Govt contr - Saudi Pension</v>
      </c>
      <c r="J25" s="6"/>
      <c r="K25" s="6"/>
      <c r="L25" s="6"/>
      <c r="M25" s="6"/>
      <c r="N25" s="6">
        <f>MonthlyPerfomance_Report_2024[[#This Row],[Actual_YTD 2026]]-MonthlyPerfomance_Report_2024[[#This Row],[Actual_YTD 2025]]</f>
        <v>0</v>
      </c>
      <c r="O25" s="1"/>
    </row>
    <row r="26" spans="2:15" x14ac:dyDescent="0.35">
      <c r="B26" s="1">
        <f t="shared" si="0"/>
        <v>451</v>
      </c>
      <c r="C26" s="1" t="str">
        <f>VLOOKUP(MonthlyPerfomance_Report_2024[[#This Row],[Entity Code]],[1]Entity!$B$3:$C$64,2,0)</f>
        <v>Department of Culture and Tourism - Abu Dhabi</v>
      </c>
      <c r="D26" s="1" t="s">
        <v>14</v>
      </c>
      <c r="E26" s="1">
        <v>100103</v>
      </c>
      <c r="F26" s="1" t="s">
        <v>15</v>
      </c>
      <c r="G26" s="1">
        <v>415185</v>
      </c>
      <c r="H26" s="1">
        <v>413535</v>
      </c>
      <c r="I26" s="1" t="str">
        <f>VLOOKUP(MonthlyPerfomance_Report_2024[[#This Row],[Fusion Account code]],[1]COA!B:D,3,0)</f>
        <v>Govt contr - Oman Pension</v>
      </c>
      <c r="J26" s="6"/>
      <c r="K26" s="6"/>
      <c r="L26" s="6"/>
      <c r="M26" s="6"/>
      <c r="N26" s="6">
        <f>MonthlyPerfomance_Report_2024[[#This Row],[Actual_YTD 2026]]-MonthlyPerfomance_Report_2024[[#This Row],[Actual_YTD 2025]]</f>
        <v>0</v>
      </c>
      <c r="O26" s="1"/>
    </row>
    <row r="27" spans="2:15" x14ac:dyDescent="0.35">
      <c r="B27" s="1">
        <f t="shared" si="0"/>
        <v>451</v>
      </c>
      <c r="C27" s="1" t="str">
        <f>VLOOKUP(MonthlyPerfomance_Report_2024[[#This Row],[Entity Code]],[1]Entity!$B$3:$C$64,2,0)</f>
        <v>Department of Culture and Tourism - Abu Dhabi</v>
      </c>
      <c r="D27" s="1" t="s">
        <v>14</v>
      </c>
      <c r="E27" s="1">
        <v>100103</v>
      </c>
      <c r="F27" s="1" t="s">
        <v>15</v>
      </c>
      <c r="G27" s="1">
        <v>415210</v>
      </c>
      <c r="H27" s="1">
        <v>413610</v>
      </c>
      <c r="I27" s="1" t="str">
        <f>VLOOKUP(MonthlyPerfomance_Report_2024[[#This Row],[Fusion Account code]],[1]COA!B:D,3,0)</f>
        <v>Recruitment expenses</v>
      </c>
      <c r="J27" s="6"/>
      <c r="K27" s="6"/>
      <c r="L27" s="6"/>
      <c r="M27" s="6"/>
      <c r="N27" s="6">
        <f>MonthlyPerfomance_Report_2024[[#This Row],[Actual_YTD 2026]]-MonthlyPerfomance_Report_2024[[#This Row],[Actual_YTD 2025]]</f>
        <v>0</v>
      </c>
      <c r="O27" s="1"/>
    </row>
    <row r="28" spans="2:15" x14ac:dyDescent="0.35">
      <c r="B28" s="1">
        <f t="shared" si="0"/>
        <v>451</v>
      </c>
      <c r="C28" s="1" t="str">
        <f>VLOOKUP(MonthlyPerfomance_Report_2024[[#This Row],[Entity Code]],[1]Entity!$B$3:$C$64,2,0)</f>
        <v>Department of Culture and Tourism - Abu Dhabi</v>
      </c>
      <c r="D28" s="1" t="s">
        <v>14</v>
      </c>
      <c r="E28" s="1">
        <v>100103</v>
      </c>
      <c r="F28" s="1" t="s">
        <v>15</v>
      </c>
      <c r="G28" s="1">
        <v>415220</v>
      </c>
      <c r="H28" s="1">
        <v>413620</v>
      </c>
      <c r="I28" s="1" t="str">
        <f>VLOOKUP(MonthlyPerfomance_Report_2024[[#This Row],[Fusion Account code]],[1]COA!B:D,3,0)</f>
        <v>UAE visa requirement costs</v>
      </c>
      <c r="J28" s="6"/>
      <c r="K28" s="6"/>
      <c r="L28" s="6"/>
      <c r="M28" s="6"/>
      <c r="N28" s="6">
        <f>MonthlyPerfomance_Report_2024[[#This Row],[Actual_YTD 2026]]-MonthlyPerfomance_Report_2024[[#This Row],[Actual_YTD 2025]]</f>
        <v>0</v>
      </c>
      <c r="O28" s="1"/>
    </row>
    <row r="29" spans="2:15" x14ac:dyDescent="0.35">
      <c r="B29" s="1">
        <f t="shared" si="0"/>
        <v>451</v>
      </c>
      <c r="C29" s="1" t="str">
        <f>VLOOKUP(MonthlyPerfomance_Report_2024[[#This Row],[Entity Code]],[1]Entity!$B$3:$C$64,2,0)</f>
        <v>Department of Culture and Tourism - Abu Dhabi</v>
      </c>
      <c r="D29" s="1" t="s">
        <v>14</v>
      </c>
      <c r="E29" s="1">
        <v>100103</v>
      </c>
      <c r="F29" s="1" t="s">
        <v>15</v>
      </c>
      <c r="G29" s="1">
        <v>415250</v>
      </c>
      <c r="H29" s="1">
        <v>413640</v>
      </c>
      <c r="I29" s="1" t="str">
        <f>VLOOKUP(MonthlyPerfomance_Report_2024[[#This Row],[Fusion Account code]],[1]COA!B:D,3,0)</f>
        <v>Signing Bonus</v>
      </c>
      <c r="J29" s="6"/>
      <c r="K29" s="6"/>
      <c r="L29" s="6"/>
      <c r="M29" s="6"/>
      <c r="N29" s="6">
        <f>MonthlyPerfomance_Report_2024[[#This Row],[Actual_YTD 2026]]-MonthlyPerfomance_Report_2024[[#This Row],[Actual_YTD 2025]]</f>
        <v>0</v>
      </c>
      <c r="O29" s="1"/>
    </row>
    <row r="30" spans="2:15" x14ac:dyDescent="0.35">
      <c r="B30" s="1">
        <f t="shared" si="0"/>
        <v>451</v>
      </c>
      <c r="C30" s="1" t="str">
        <f>VLOOKUP(MonthlyPerfomance_Report_2024[[#This Row],[Entity Code]],[1]Entity!$B$3:$C$64,2,0)</f>
        <v>Department of Culture and Tourism - Abu Dhabi</v>
      </c>
      <c r="D30" s="1" t="s">
        <v>14</v>
      </c>
      <c r="E30" s="1">
        <v>100103</v>
      </c>
      <c r="F30" s="1" t="s">
        <v>15</v>
      </c>
      <c r="G30" s="1">
        <v>415310</v>
      </c>
      <c r="H30" s="1">
        <v>413710</v>
      </c>
      <c r="I30" s="1" t="str">
        <f>VLOOKUP(MonthlyPerfomance_Report_2024[[#This Row],[Fusion Account code]],[1]COA!B:D,3,0)</f>
        <v>Tuition fees "Other Than IT Related"</v>
      </c>
      <c r="J30" s="6"/>
      <c r="K30" s="6"/>
      <c r="L30" s="6"/>
      <c r="M30" s="6"/>
      <c r="N30" s="6">
        <f>MonthlyPerfomance_Report_2024[[#This Row],[Actual_YTD 2026]]-MonthlyPerfomance_Report_2024[[#This Row],[Actual_YTD 2025]]</f>
        <v>0</v>
      </c>
      <c r="O30" s="1"/>
    </row>
    <row r="31" spans="2:15" x14ac:dyDescent="0.35">
      <c r="B31" s="1">
        <f t="shared" si="0"/>
        <v>451</v>
      </c>
      <c r="C31" s="1" t="str">
        <f>VLOOKUP(MonthlyPerfomance_Report_2024[[#This Row],[Entity Code]],[1]Entity!$B$3:$C$64,2,0)</f>
        <v>Department of Culture and Tourism - Abu Dhabi</v>
      </c>
      <c r="D31" s="1" t="s">
        <v>14</v>
      </c>
      <c r="E31" s="1">
        <v>100103</v>
      </c>
      <c r="F31" s="1" t="s">
        <v>15</v>
      </c>
      <c r="G31" s="1">
        <v>415410</v>
      </c>
      <c r="H31" s="1">
        <v>413910</v>
      </c>
      <c r="I31" s="1" t="str">
        <f>VLOOKUP(MonthlyPerfomance_Report_2024[[#This Row],[Fusion Account code]],[1]COA!B:D,3,0)</f>
        <v>Staff welfare, sports and recreation expenses</v>
      </c>
      <c r="J31" s="6"/>
      <c r="K31" s="6"/>
      <c r="L31" s="6"/>
      <c r="M31" s="6"/>
      <c r="N31" s="6">
        <f>MonthlyPerfomance_Report_2024[[#This Row],[Actual_YTD 2026]]-MonthlyPerfomance_Report_2024[[#This Row],[Actual_YTD 2025]]</f>
        <v>0</v>
      </c>
      <c r="O31" s="1"/>
    </row>
    <row r="32" spans="2:15" x14ac:dyDescent="0.35">
      <c r="B32" s="1">
        <f t="shared" si="0"/>
        <v>451</v>
      </c>
      <c r="C32" s="1" t="str">
        <f>VLOOKUP(MonthlyPerfomance_Report_2024[[#This Row],[Entity Code]],[1]Entity!$B$3:$C$64,2,0)</f>
        <v>Department of Culture and Tourism - Abu Dhabi</v>
      </c>
      <c r="D32" s="1" t="s">
        <v>14</v>
      </c>
      <c r="E32" s="1">
        <v>100103</v>
      </c>
      <c r="F32" s="1" t="s">
        <v>15</v>
      </c>
      <c r="G32" s="1">
        <v>412110</v>
      </c>
      <c r="H32" s="1">
        <v>411111</v>
      </c>
      <c r="I32" s="1" t="str">
        <f>VLOOKUP(MonthlyPerfomance_Report_2024[[#This Row],[Fusion Account code]],[1]COA!B:D,3,0)</f>
        <v>Consolidated pay - Regular employees(combined salaries and allowances)</v>
      </c>
      <c r="J32" s="6"/>
      <c r="K32" s="6"/>
      <c r="L32" s="6"/>
      <c r="M32" s="6"/>
      <c r="N32" s="6">
        <f>MonthlyPerfomance_Report_2024[[#This Row],[Actual_YTD 2026]]-MonthlyPerfomance_Report_2024[[#This Row],[Actual_YTD 2025]]</f>
        <v>0</v>
      </c>
      <c r="O32" s="1"/>
    </row>
    <row r="33" spans="2:15" x14ac:dyDescent="0.35">
      <c r="B33" s="1">
        <f t="shared" si="0"/>
        <v>451</v>
      </c>
      <c r="C33" s="1" t="str">
        <f>VLOOKUP(MonthlyPerfomance_Report_2024[[#This Row],[Entity Code]],[1]Entity!$B$3:$C$64,2,0)</f>
        <v>Department of Culture and Tourism - Abu Dhabi</v>
      </c>
      <c r="D33" s="1" t="s">
        <v>14</v>
      </c>
      <c r="E33" s="1">
        <v>100103</v>
      </c>
      <c r="F33" s="1" t="s">
        <v>15</v>
      </c>
      <c r="G33" s="1">
        <v>412151</v>
      </c>
      <c r="H33" s="1">
        <v>411151</v>
      </c>
      <c r="I33" s="1" t="str">
        <f>VLOOKUP(MonthlyPerfomance_Report_2024[[#This Row],[Fusion Account code]],[1]COA!B:D,3,0)</f>
        <v>Committee pay / Board Member/Board of Trustees fee</v>
      </c>
      <c r="J33" s="6"/>
      <c r="K33" s="6"/>
      <c r="L33" s="6"/>
      <c r="M33" s="6"/>
      <c r="N33" s="6">
        <f>MonthlyPerfomance_Report_2024[[#This Row],[Actual_YTD 2026]]-MonthlyPerfomance_Report_2024[[#This Row],[Actual_YTD 2025]]</f>
        <v>0</v>
      </c>
      <c r="O33" s="1"/>
    </row>
    <row r="34" spans="2:15" x14ac:dyDescent="0.35">
      <c r="B34" s="1">
        <f t="shared" si="0"/>
        <v>451</v>
      </c>
      <c r="C34" s="1" t="str">
        <f>VLOOKUP(MonthlyPerfomance_Report_2024[[#This Row],[Entity Code]],[1]Entity!$B$3:$C$64,2,0)</f>
        <v>Department of Culture and Tourism - Abu Dhabi</v>
      </c>
      <c r="D34" s="1" t="s">
        <v>14</v>
      </c>
      <c r="E34" s="1">
        <v>100103</v>
      </c>
      <c r="F34" s="1" t="s">
        <v>15</v>
      </c>
      <c r="G34" s="1">
        <v>415320</v>
      </c>
      <c r="H34" s="1">
        <v>413720</v>
      </c>
      <c r="I34" s="1" t="str">
        <f>VLOOKUP(MonthlyPerfomance_Report_2024[[#This Row],[Fusion Account code]],[1]COA!B:D,3,0)</f>
        <v>Employee Training costs - Travel and Accommodation - Per Diem</v>
      </c>
      <c r="J34" s="6"/>
      <c r="K34" s="6"/>
      <c r="L34" s="6"/>
      <c r="M34" s="6"/>
      <c r="N34" s="6">
        <f>MonthlyPerfomance_Report_2024[[#This Row],[Actual_YTD 2026]]-MonthlyPerfomance_Report_2024[[#This Row],[Actual_YTD 2025]]</f>
        <v>0</v>
      </c>
      <c r="O34" s="1"/>
    </row>
    <row r="35" spans="2:15" x14ac:dyDescent="0.35">
      <c r="B35" s="1">
        <f t="shared" si="0"/>
        <v>451</v>
      </c>
      <c r="C35" s="1" t="str">
        <f>VLOOKUP(MonthlyPerfomance_Report_2024[[#This Row],[Entity Code]],[1]Entity!$B$3:$C$64,2,0)</f>
        <v>Department of Culture and Tourism - Abu Dhabi</v>
      </c>
      <c r="D35" s="1" t="s">
        <v>14</v>
      </c>
      <c r="E35" s="1">
        <v>100103</v>
      </c>
      <c r="F35" s="1" t="s">
        <v>15</v>
      </c>
      <c r="G35" s="1">
        <v>416210</v>
      </c>
      <c r="H35" s="1">
        <v>414210</v>
      </c>
      <c r="I35" s="1" t="str">
        <f>VLOOKUP(MonthlyPerfomance_Report_2024[[#This Row],[Fusion Account code]],[1]COA!B:D,3,0)</f>
        <v>Rent for staff residences</v>
      </c>
      <c r="J35" s="6"/>
      <c r="K35" s="6"/>
      <c r="L35" s="6"/>
      <c r="M35" s="6"/>
      <c r="N35" s="6">
        <f>MonthlyPerfomance_Report_2024[[#This Row],[Actual_YTD 2026]]-MonthlyPerfomance_Report_2024[[#This Row],[Actual_YTD 2025]]</f>
        <v>0</v>
      </c>
      <c r="O35" s="1"/>
    </row>
    <row r="36" spans="2:15" x14ac:dyDescent="0.35">
      <c r="B36" s="1">
        <f t="shared" si="0"/>
        <v>451</v>
      </c>
      <c r="C36" s="1" t="str">
        <f>VLOOKUP(MonthlyPerfomance_Report_2024[[#This Row],[Entity Code]],[1]Entity!$B$3:$C$64,2,0)</f>
        <v>Department of Culture and Tourism - Abu Dhabi</v>
      </c>
      <c r="D36" s="1" t="s">
        <v>14</v>
      </c>
      <c r="E36" s="1">
        <v>100103</v>
      </c>
      <c r="F36" s="1" t="s">
        <v>15</v>
      </c>
      <c r="G36" s="1">
        <v>428020</v>
      </c>
      <c r="H36" s="1">
        <v>423821</v>
      </c>
      <c r="I36" s="1" t="str">
        <f>VLOOKUP(MonthlyPerfomance_Report_2024[[#This Row],[Fusion Account code]],[1]COA!B:D,3,0)</f>
        <v>Business Travel - Per Diem Allowances</v>
      </c>
      <c r="J36" s="6"/>
      <c r="K36" s="6"/>
      <c r="L36" s="6"/>
      <c r="M36" s="6"/>
      <c r="N36" s="6">
        <f>MonthlyPerfomance_Report_2024[[#This Row],[Actual_YTD 2026]]-MonthlyPerfomance_Report_2024[[#This Row],[Actual_YTD 2025]]</f>
        <v>0</v>
      </c>
      <c r="O36" s="1"/>
    </row>
    <row r="37" spans="2:15" x14ac:dyDescent="0.35">
      <c r="B37" s="1">
        <f t="shared" si="0"/>
        <v>451</v>
      </c>
      <c r="C37" s="1" t="str">
        <f>VLOOKUP(MonthlyPerfomance_Report_2024[[#This Row],[Entity Code]],[1]Entity!$B$3:$C$64,2,0)</f>
        <v>Department of Culture and Tourism - Abu Dhabi</v>
      </c>
      <c r="D37" s="1" t="s">
        <v>14</v>
      </c>
      <c r="E37" s="1">
        <v>100103</v>
      </c>
      <c r="F37" s="1" t="s">
        <v>15</v>
      </c>
      <c r="G37" s="1">
        <v>412538</v>
      </c>
      <c r="H37" s="1">
        <v>411566</v>
      </c>
      <c r="I37" s="1" t="str">
        <f>VLOOKUP(MonthlyPerfomance_Report_2024[[#This Row],[Fusion Account code]],[1]COA!B:D,3,0)</f>
        <v>Specialist allowance</v>
      </c>
      <c r="J37" s="6"/>
      <c r="K37" s="6"/>
      <c r="L37" s="6"/>
      <c r="M37" s="6"/>
      <c r="N37" s="6">
        <f>MonthlyPerfomance_Report_2024[[#This Row],[Actual_YTD 2026]]-MonthlyPerfomance_Report_2024[[#This Row],[Actual_YTD 2025]]</f>
        <v>0</v>
      </c>
      <c r="O37" s="1"/>
    </row>
    <row r="38" spans="2:15" x14ac:dyDescent="0.35">
      <c r="B38" s="1">
        <f t="shared" si="0"/>
        <v>451</v>
      </c>
      <c r="C38" s="1" t="str">
        <f>VLOOKUP(MonthlyPerfomance_Report_2024[[#This Row],[Entity Code]],[1]Entity!$B$3:$C$64,2,0)</f>
        <v>Department of Culture and Tourism - Abu Dhabi</v>
      </c>
      <c r="D38" s="1" t="s">
        <v>14</v>
      </c>
      <c r="E38" s="1">
        <v>100103</v>
      </c>
      <c r="F38" s="1" t="s">
        <v>15</v>
      </c>
      <c r="G38" s="1">
        <v>416310</v>
      </c>
      <c r="H38" s="1">
        <v>414310</v>
      </c>
      <c r="I38" s="1" t="str">
        <f>VLOOKUP(MonthlyPerfomance_Report_2024[[#This Row],[Fusion Account code]],[1]COA!B:D,3,0)</f>
        <v>Medical insurance premium</v>
      </c>
      <c r="J38" s="6"/>
      <c r="K38" s="6"/>
      <c r="L38" s="6"/>
      <c r="M38" s="6"/>
      <c r="N38" s="6">
        <f>MonthlyPerfomance_Report_2024[[#This Row],[Actual_YTD 2026]]-MonthlyPerfomance_Report_2024[[#This Row],[Actual_YTD 2025]]</f>
        <v>0</v>
      </c>
      <c r="O38" s="1"/>
    </row>
    <row r="39" spans="2:15" ht="15.5" x14ac:dyDescent="0.35">
      <c r="B39" s="7"/>
      <c r="C39" s="7"/>
      <c r="D39" s="8" t="s">
        <v>16</v>
      </c>
      <c r="E39" s="7"/>
      <c r="F39" s="7"/>
      <c r="G39" s="7"/>
      <c r="H39" s="7"/>
      <c r="I39" s="7"/>
      <c r="J39" s="9"/>
      <c r="K39" s="9"/>
      <c r="L39" s="9"/>
      <c r="M39" s="9"/>
      <c r="N39" s="9">
        <f>MonthlyPerfomance_Report_2024[[#This Row],[Actual_YTD 2026]]-MonthlyPerfomance_Report_2024[[#This Row],[Actual_YTD 2025]]</f>
        <v>0</v>
      </c>
      <c r="O39" s="7"/>
    </row>
    <row r="40" spans="2:15" x14ac:dyDescent="0.35">
      <c r="B40" s="1">
        <f t="shared" si="0"/>
        <v>451</v>
      </c>
      <c r="C40" s="1" t="str">
        <f>VLOOKUP(MonthlyPerfomance_Report_2024[[#This Row],[Entity Code]],[1]Entity!$B$3:$C$64,2,0)</f>
        <v>Department of Culture and Tourism - Abu Dhabi</v>
      </c>
      <c r="D40" s="1" t="s">
        <v>17</v>
      </c>
      <c r="E40" s="1">
        <v>50723</v>
      </c>
      <c r="F40" s="1" t="s">
        <v>18</v>
      </c>
      <c r="G40" s="1">
        <v>425500</v>
      </c>
      <c r="H40" s="1">
        <v>422401</v>
      </c>
      <c r="I40" s="1" t="str">
        <f>VLOOKUP(MonthlyPerfomance_Report_2024[[#This Row],[Fusion Account code]],[1]COA!B:D,3,0)</f>
        <v>Conferences, seminars and exhibitions and other events: -deactivate</v>
      </c>
      <c r="J40" s="6"/>
      <c r="K40" s="6"/>
      <c r="L40" s="6"/>
      <c r="M40" s="6"/>
      <c r="N40" s="6">
        <f>MonthlyPerfomance_Report_2024[[#This Row],[Actual_YTD 2026]]-MonthlyPerfomance_Report_2024[[#This Row],[Actual_YTD 2025]]</f>
        <v>0</v>
      </c>
      <c r="O40" s="1"/>
    </row>
    <row r="41" spans="2:15" x14ac:dyDescent="0.35">
      <c r="B41" s="1">
        <f t="shared" si="0"/>
        <v>451</v>
      </c>
      <c r="C41" s="1" t="str">
        <f>VLOOKUP(MonthlyPerfomance_Report_2024[[#This Row],[Entity Code]],[1]Entity!$B$3:$C$64,2,0)</f>
        <v>Department of Culture and Tourism - Abu Dhabi</v>
      </c>
      <c r="D41" s="1" t="s">
        <v>17</v>
      </c>
      <c r="E41" s="1">
        <v>50723</v>
      </c>
      <c r="F41" s="1" t="s">
        <v>18</v>
      </c>
      <c r="G41" s="1">
        <v>427520</v>
      </c>
      <c r="H41" s="1">
        <v>423531</v>
      </c>
      <c r="I41" s="1" t="str">
        <f>VLOOKUP(MonthlyPerfomance_Report_2024[[#This Row],[Fusion Account code]],[1]COA!B:D,3,0)</f>
        <v>International sports Events</v>
      </c>
      <c r="J41" s="6"/>
      <c r="K41" s="6"/>
      <c r="L41" s="6"/>
      <c r="M41" s="6"/>
      <c r="N41" s="6">
        <f>MonthlyPerfomance_Report_2024[[#This Row],[Actual_YTD 2026]]-MonthlyPerfomance_Report_2024[[#This Row],[Actual_YTD 2025]]</f>
        <v>0</v>
      </c>
      <c r="O41" s="1"/>
    </row>
    <row r="42" spans="2:15" x14ac:dyDescent="0.35">
      <c r="B42" s="1">
        <f t="shared" si="0"/>
        <v>451</v>
      </c>
      <c r="C42" s="1" t="str">
        <f>VLOOKUP(MonthlyPerfomance_Report_2024[[#This Row],[Entity Code]],[1]Entity!$B$3:$C$64,2,0)</f>
        <v>Department of Culture and Tourism - Abu Dhabi</v>
      </c>
      <c r="D42" s="1" t="s">
        <v>17</v>
      </c>
      <c r="E42" s="1">
        <v>50728</v>
      </c>
      <c r="F42" s="1" t="s">
        <v>19</v>
      </c>
      <c r="G42" s="1">
        <v>420800</v>
      </c>
      <c r="H42" s="1">
        <v>421119</v>
      </c>
      <c r="I42" s="1" t="str">
        <f>VLOOKUP(MonthlyPerfomance_Report_2024[[#This Row],[Fusion Account code]],[1]COA!B:D,3,0)</f>
        <v>IT consultancy, other than software development</v>
      </c>
      <c r="J42" s="6"/>
      <c r="K42" s="6"/>
      <c r="L42" s="6"/>
      <c r="M42" s="6"/>
      <c r="N42" s="6">
        <f>MonthlyPerfomance_Report_2024[[#This Row],[Actual_YTD 2026]]-MonthlyPerfomance_Report_2024[[#This Row],[Actual_YTD 2025]]</f>
        <v>0</v>
      </c>
      <c r="O42" s="1"/>
    </row>
    <row r="43" spans="2:15" x14ac:dyDescent="0.35">
      <c r="B43" s="1">
        <f t="shared" si="0"/>
        <v>451</v>
      </c>
      <c r="C43" s="1" t="str">
        <f>VLOOKUP(MonthlyPerfomance_Report_2024[[#This Row],[Entity Code]],[1]Entity!$B$3:$C$64,2,0)</f>
        <v>Department of Culture and Tourism - Abu Dhabi</v>
      </c>
      <c r="D43" s="1" t="s">
        <v>17</v>
      </c>
      <c r="E43" s="1">
        <v>50728</v>
      </c>
      <c r="F43" s="1" t="s">
        <v>19</v>
      </c>
      <c r="G43" s="1">
        <v>420813</v>
      </c>
      <c r="H43" s="1">
        <v>422214</v>
      </c>
      <c r="I43" s="1" t="str">
        <f>VLOOKUP(MonthlyPerfomance_Report_2024[[#This Row],[Fusion Account code]],[1]COA!B:D,3,0)</f>
        <v>IT Systems &amp; Support expenses-Network Services Operation</v>
      </c>
      <c r="J43" s="6"/>
      <c r="K43" s="6"/>
      <c r="L43" s="6"/>
      <c r="M43" s="6"/>
      <c r="N43" s="6">
        <f>MonthlyPerfomance_Report_2024[[#This Row],[Actual_YTD 2026]]-MonthlyPerfomance_Report_2024[[#This Row],[Actual_YTD 2025]]</f>
        <v>0</v>
      </c>
      <c r="O43" s="1"/>
    </row>
    <row r="44" spans="2:15" x14ac:dyDescent="0.35">
      <c r="B44" s="1">
        <f t="shared" si="0"/>
        <v>451</v>
      </c>
      <c r="C44" s="1" t="str">
        <f>VLOOKUP(MonthlyPerfomance_Report_2024[[#This Row],[Entity Code]],[1]Entity!$B$3:$C$64,2,0)</f>
        <v>Department of Culture and Tourism - Abu Dhabi</v>
      </c>
      <c r="D44" s="1" t="s">
        <v>17</v>
      </c>
      <c r="E44" s="1">
        <v>50728</v>
      </c>
      <c r="F44" s="1" t="s">
        <v>19</v>
      </c>
      <c r="G44" s="1">
        <v>421100</v>
      </c>
      <c r="H44" s="1">
        <v>424521</v>
      </c>
      <c r="I44" s="1" t="str">
        <f>VLOOKUP(MonthlyPerfomance_Report_2024[[#This Row],[Fusion Account code]],[1]COA!B:D,3,0)</f>
        <v>Manpower supply "Other Than IT Related"</v>
      </c>
      <c r="J44" s="6"/>
      <c r="K44" s="6"/>
      <c r="L44" s="6"/>
      <c r="M44" s="6"/>
      <c r="N44" s="6">
        <f>MonthlyPerfomance_Report_2024[[#This Row],[Actual_YTD 2026]]-MonthlyPerfomance_Report_2024[[#This Row],[Actual_YTD 2025]]</f>
        <v>0</v>
      </c>
      <c r="O44" s="1"/>
    </row>
    <row r="45" spans="2:15" x14ac:dyDescent="0.35">
      <c r="B45" s="1">
        <f t="shared" si="0"/>
        <v>451</v>
      </c>
      <c r="C45" s="1" t="str">
        <f>VLOOKUP(MonthlyPerfomance_Report_2024[[#This Row],[Entity Code]],[1]Entity!$B$3:$C$64,2,0)</f>
        <v>Department of Culture and Tourism - Abu Dhabi</v>
      </c>
      <c r="D45" s="1" t="s">
        <v>17</v>
      </c>
      <c r="E45" s="1">
        <v>50728</v>
      </c>
      <c r="F45" s="1" t="s">
        <v>19</v>
      </c>
      <c r="G45" s="1">
        <v>421200</v>
      </c>
      <c r="H45" s="1">
        <v>422191</v>
      </c>
      <c r="I45" s="1" t="str">
        <f>VLOOKUP(MonthlyPerfomance_Report_2024[[#This Row],[Fusion Account code]],[1]COA!B:D,3,0)</f>
        <v>Operations management expenses not mentioned elsewhere</v>
      </c>
      <c r="J45" s="6"/>
      <c r="K45" s="6"/>
      <c r="L45" s="6"/>
      <c r="M45" s="6"/>
      <c r="N45" s="6">
        <f>MonthlyPerfomance_Report_2024[[#This Row],[Actual_YTD 2026]]-MonthlyPerfomance_Report_2024[[#This Row],[Actual_YTD 2025]]</f>
        <v>0</v>
      </c>
      <c r="O45" s="1"/>
    </row>
    <row r="46" spans="2:15" x14ac:dyDescent="0.35">
      <c r="B46" s="1">
        <f t="shared" si="0"/>
        <v>451</v>
      </c>
      <c r="C46" s="1" t="str">
        <f>VLOOKUP(MonthlyPerfomance_Report_2024[[#This Row],[Entity Code]],[1]Entity!$B$3:$C$64,2,0)</f>
        <v>Department of Culture and Tourism - Abu Dhabi</v>
      </c>
      <c r="D46" s="1" t="s">
        <v>17</v>
      </c>
      <c r="E46" s="1">
        <v>50728</v>
      </c>
      <c r="F46" s="1" t="s">
        <v>19</v>
      </c>
      <c r="G46" s="1">
        <v>425100</v>
      </c>
      <c r="H46" s="1">
        <v>422511</v>
      </c>
      <c r="I46" s="1" t="str">
        <f>VLOOKUP(MonthlyPerfomance_Report_2024[[#This Row],[Fusion Account code]],[1]COA!B:D,3,0)</f>
        <v>Advertising Services (General)</v>
      </c>
      <c r="J46" s="6"/>
      <c r="K46" s="6"/>
      <c r="L46" s="6"/>
      <c r="M46" s="6"/>
      <c r="N46" s="6">
        <f>MonthlyPerfomance_Report_2024[[#This Row],[Actual_YTD 2026]]-MonthlyPerfomance_Report_2024[[#This Row],[Actual_YTD 2025]]</f>
        <v>0</v>
      </c>
      <c r="O46" s="1"/>
    </row>
    <row r="47" spans="2:15" x14ac:dyDescent="0.35">
      <c r="B47" s="1">
        <f t="shared" si="0"/>
        <v>451</v>
      </c>
      <c r="C47" s="1" t="str">
        <f>VLOOKUP(MonthlyPerfomance_Report_2024[[#This Row],[Entity Code]],[1]Entity!$B$3:$C$64,2,0)</f>
        <v>Department of Culture and Tourism - Abu Dhabi</v>
      </c>
      <c r="D47" s="1" t="s">
        <v>17</v>
      </c>
      <c r="E47" s="1">
        <v>50728</v>
      </c>
      <c r="F47" s="1" t="s">
        <v>19</v>
      </c>
      <c r="G47" s="1">
        <v>425500</v>
      </c>
      <c r="H47" s="1">
        <v>422401</v>
      </c>
      <c r="I47" s="1" t="str">
        <f>VLOOKUP(MonthlyPerfomance_Report_2024[[#This Row],[Fusion Account code]],[1]COA!B:D,3,0)</f>
        <v>Conferences, seminars and exhibitions and other events: -deactivate</v>
      </c>
      <c r="J47" s="6"/>
      <c r="K47" s="6"/>
      <c r="L47" s="6"/>
      <c r="M47" s="6"/>
      <c r="N47" s="6">
        <f>MonthlyPerfomance_Report_2024[[#This Row],[Actual_YTD 2026]]-MonthlyPerfomance_Report_2024[[#This Row],[Actual_YTD 2025]]</f>
        <v>0</v>
      </c>
      <c r="O47" s="1"/>
    </row>
    <row r="48" spans="2:15" x14ac:dyDescent="0.35">
      <c r="B48" s="1">
        <f t="shared" si="0"/>
        <v>451</v>
      </c>
      <c r="C48" s="1" t="str">
        <f>VLOOKUP(MonthlyPerfomance_Report_2024[[#This Row],[Entity Code]],[1]Entity!$B$3:$C$64,2,0)</f>
        <v>Department of Culture and Tourism - Abu Dhabi</v>
      </c>
      <c r="D48" s="1" t="s">
        <v>17</v>
      </c>
      <c r="E48" s="1">
        <v>50728</v>
      </c>
      <c r="F48" s="1" t="s">
        <v>19</v>
      </c>
      <c r="G48" s="1">
        <v>427100</v>
      </c>
      <c r="H48" s="1">
        <v>424781</v>
      </c>
      <c r="I48" s="1" t="str">
        <f>VLOOKUP(MonthlyPerfomance_Report_2024[[#This Row],[Fusion Account code]],[1]COA!B:D,3,0)</f>
        <v>Public relations</v>
      </c>
      <c r="J48" s="6"/>
      <c r="K48" s="6"/>
      <c r="L48" s="6"/>
      <c r="M48" s="6"/>
      <c r="N48" s="6">
        <f>MonthlyPerfomance_Report_2024[[#This Row],[Actual_YTD 2026]]-MonthlyPerfomance_Report_2024[[#This Row],[Actual_YTD 2025]]</f>
        <v>0</v>
      </c>
      <c r="O48" s="1"/>
    </row>
    <row r="49" spans="2:15" x14ac:dyDescent="0.35">
      <c r="B49" s="1">
        <f t="shared" si="0"/>
        <v>451</v>
      </c>
      <c r="C49" s="1" t="str">
        <f>VLOOKUP(MonthlyPerfomance_Report_2024[[#This Row],[Entity Code]],[1]Entity!$B$3:$C$64,2,0)</f>
        <v>Department of Culture and Tourism - Abu Dhabi</v>
      </c>
      <c r="D49" s="1" t="s">
        <v>17</v>
      </c>
      <c r="E49" s="1">
        <v>50728</v>
      </c>
      <c r="F49" s="1" t="s">
        <v>19</v>
      </c>
      <c r="G49" s="1">
        <v>427310</v>
      </c>
      <c r="H49" s="1">
        <v>423411</v>
      </c>
      <c r="I49" s="1" t="str">
        <f>VLOOKUP(MonthlyPerfomance_Report_2024[[#This Row],[Fusion Account code]],[1]COA!B:D,3,0)</f>
        <v>General research</v>
      </c>
      <c r="J49" s="6"/>
      <c r="K49" s="6"/>
      <c r="L49" s="6"/>
      <c r="M49" s="6"/>
      <c r="N49" s="6">
        <f>MonthlyPerfomance_Report_2024[[#This Row],[Actual_YTD 2026]]-MonthlyPerfomance_Report_2024[[#This Row],[Actual_YTD 2025]]</f>
        <v>0</v>
      </c>
      <c r="O49" s="1"/>
    </row>
    <row r="50" spans="2:15" x14ac:dyDescent="0.35">
      <c r="B50" s="1">
        <f t="shared" si="0"/>
        <v>451</v>
      </c>
      <c r="C50" s="1" t="str">
        <f>VLOOKUP(MonthlyPerfomance_Report_2024[[#This Row],[Entity Code]],[1]Entity!$B$3:$C$64,2,0)</f>
        <v>Department of Culture and Tourism - Abu Dhabi</v>
      </c>
      <c r="D50" s="1" t="s">
        <v>17</v>
      </c>
      <c r="E50" s="1">
        <v>50728</v>
      </c>
      <c r="F50" s="1" t="s">
        <v>19</v>
      </c>
      <c r="G50" s="1">
        <v>428020</v>
      </c>
      <c r="H50" s="1">
        <v>423821</v>
      </c>
      <c r="I50" s="1" t="str">
        <f>VLOOKUP(MonthlyPerfomance_Report_2024[[#This Row],[Fusion Account code]],[1]COA!B:D,3,0)</f>
        <v>Business Travel - Per Diem Allowances</v>
      </c>
      <c r="J50" s="6"/>
      <c r="K50" s="6"/>
      <c r="L50" s="6"/>
      <c r="M50" s="6"/>
      <c r="N50" s="6">
        <f>MonthlyPerfomance_Report_2024[[#This Row],[Actual_YTD 2026]]-MonthlyPerfomance_Report_2024[[#This Row],[Actual_YTD 2025]]</f>
        <v>0</v>
      </c>
      <c r="O50" s="1"/>
    </row>
    <row r="51" spans="2:15" x14ac:dyDescent="0.35">
      <c r="B51" s="1">
        <f t="shared" si="0"/>
        <v>451</v>
      </c>
      <c r="C51" s="1" t="str">
        <f>VLOOKUP(MonthlyPerfomance_Report_2024[[#This Row],[Entity Code]],[1]Entity!$B$3:$C$64,2,0)</f>
        <v>Department of Culture and Tourism - Abu Dhabi</v>
      </c>
      <c r="D51" s="1" t="s">
        <v>17</v>
      </c>
      <c r="E51" s="1">
        <v>50728</v>
      </c>
      <c r="F51" s="1" t="s">
        <v>19</v>
      </c>
      <c r="G51" s="1">
        <v>428400</v>
      </c>
      <c r="H51" s="1">
        <v>424811</v>
      </c>
      <c r="I51" s="1" t="str">
        <f>VLOOKUP(MonthlyPerfomance_Report_2024[[#This Row],[Fusion Account code]],[1]COA!B:D,3,0)</f>
        <v>Sponsorship expenses/contributions</v>
      </c>
      <c r="J51" s="6"/>
      <c r="K51" s="6"/>
      <c r="L51" s="6"/>
      <c r="M51" s="6"/>
      <c r="N51" s="6">
        <f>MonthlyPerfomance_Report_2024[[#This Row],[Actual_YTD 2026]]-MonthlyPerfomance_Report_2024[[#This Row],[Actual_YTD 2025]]</f>
        <v>0</v>
      </c>
      <c r="O51" s="1"/>
    </row>
    <row r="52" spans="2:15" x14ac:dyDescent="0.35">
      <c r="B52" s="1">
        <f t="shared" si="0"/>
        <v>451</v>
      </c>
      <c r="C52" s="1" t="str">
        <f>VLOOKUP(MonthlyPerfomance_Report_2024[[#This Row],[Entity Code]],[1]Entity!$B$3:$C$64,2,0)</f>
        <v>Department of Culture and Tourism - Abu Dhabi</v>
      </c>
      <c r="D52" s="1" t="s">
        <v>17</v>
      </c>
      <c r="E52" s="1">
        <v>50728</v>
      </c>
      <c r="F52" s="1" t="s">
        <v>19</v>
      </c>
      <c r="G52" s="1">
        <v>428530</v>
      </c>
      <c r="H52" s="1">
        <v>424131</v>
      </c>
      <c r="I52" s="1" t="str">
        <f>VLOOKUP(MonthlyPerfomance_Report_2024[[#This Row],[Fusion Account code]],[1]COA!B:D,3,0)</f>
        <v>License Fee support - Related business</v>
      </c>
      <c r="J52" s="6"/>
      <c r="K52" s="6"/>
      <c r="L52" s="6"/>
      <c r="M52" s="6"/>
      <c r="N52" s="6">
        <f>MonthlyPerfomance_Report_2024[[#This Row],[Actual_YTD 2026]]-MonthlyPerfomance_Report_2024[[#This Row],[Actual_YTD 2025]]</f>
        <v>0</v>
      </c>
      <c r="O52" s="1"/>
    </row>
    <row r="53" spans="2:15" x14ac:dyDescent="0.35">
      <c r="B53" s="1">
        <f t="shared" si="0"/>
        <v>451</v>
      </c>
      <c r="C53" s="1" t="str">
        <f>VLOOKUP(MonthlyPerfomance_Report_2024[[#This Row],[Entity Code]],[1]Entity!$B$3:$C$64,2,0)</f>
        <v>Department of Culture and Tourism - Abu Dhabi</v>
      </c>
      <c r="D53" s="1" t="s">
        <v>17</v>
      </c>
      <c r="E53" s="1">
        <v>50728</v>
      </c>
      <c r="F53" s="1" t="s">
        <v>19</v>
      </c>
      <c r="G53" s="1">
        <v>428620</v>
      </c>
      <c r="H53" s="1">
        <v>424221</v>
      </c>
      <c r="I53" s="1" t="str">
        <f>VLOOKUP(MonthlyPerfomance_Report_2024[[#This Row],[Fusion Account code]],[1]COA!B:D,3,0)</f>
        <v>Events - Production costs</v>
      </c>
      <c r="J53" s="6"/>
      <c r="K53" s="6"/>
      <c r="L53" s="6"/>
      <c r="M53" s="6"/>
      <c r="N53" s="6">
        <f>MonthlyPerfomance_Report_2024[[#This Row],[Actual_YTD 2026]]-MonthlyPerfomance_Report_2024[[#This Row],[Actual_YTD 2025]]</f>
        <v>0</v>
      </c>
      <c r="O53" s="1"/>
    </row>
    <row r="54" spans="2:15" x14ac:dyDescent="0.35">
      <c r="B54" s="1">
        <f t="shared" si="0"/>
        <v>451</v>
      </c>
      <c r="C54" s="1" t="str">
        <f>VLOOKUP(MonthlyPerfomance_Report_2024[[#This Row],[Entity Code]],[1]Entity!$B$3:$C$64,2,0)</f>
        <v>Department of Culture and Tourism - Abu Dhabi</v>
      </c>
      <c r="D54" s="1" t="s">
        <v>17</v>
      </c>
      <c r="E54" s="1">
        <v>50728</v>
      </c>
      <c r="F54" s="1" t="s">
        <v>19</v>
      </c>
      <c r="G54" s="1">
        <v>428700</v>
      </c>
      <c r="H54" s="1">
        <v>424251</v>
      </c>
      <c r="I54" s="1" t="str">
        <f>VLOOKUP(MonthlyPerfomance_Report_2024[[#This Row],[Fusion Account code]],[1]COA!B:D,3,0)</f>
        <v>Tourism Promotion (include site improvements)</v>
      </c>
      <c r="J54" s="6"/>
      <c r="K54" s="6"/>
      <c r="L54" s="6"/>
      <c r="M54" s="6"/>
      <c r="N54" s="6">
        <f>MonthlyPerfomance_Report_2024[[#This Row],[Actual_YTD 2026]]-MonthlyPerfomance_Report_2024[[#This Row],[Actual_YTD 2025]]</f>
        <v>0</v>
      </c>
      <c r="O54" s="1"/>
    </row>
    <row r="55" spans="2:15" x14ac:dyDescent="0.35">
      <c r="B55" s="1">
        <f t="shared" si="0"/>
        <v>451</v>
      </c>
      <c r="C55" s="1" t="str">
        <f>VLOOKUP(MonthlyPerfomance_Report_2024[[#This Row],[Entity Code]],[1]Entity!$B$3:$C$64,2,0)</f>
        <v>Department of Culture and Tourism - Abu Dhabi</v>
      </c>
      <c r="D55" s="1" t="s">
        <v>17</v>
      </c>
      <c r="E55" s="1">
        <v>50728</v>
      </c>
      <c r="F55" s="1" t="s">
        <v>19</v>
      </c>
      <c r="G55" s="1">
        <v>432120</v>
      </c>
      <c r="H55" s="1">
        <v>426212</v>
      </c>
      <c r="I55" s="1" t="str">
        <f>VLOOKUP(MonthlyPerfomance_Report_2024[[#This Row],[Fusion Account code]],[1]COA!B:D,3,0)</f>
        <v>Bldg maintenance-Business premises</v>
      </c>
      <c r="J55" s="6"/>
      <c r="K55" s="6"/>
      <c r="L55" s="6"/>
      <c r="M55" s="6"/>
      <c r="N55" s="6">
        <f>MonthlyPerfomance_Report_2024[[#This Row],[Actual_YTD 2026]]-MonthlyPerfomance_Report_2024[[#This Row],[Actual_YTD 2025]]</f>
        <v>0</v>
      </c>
      <c r="O55" s="1"/>
    </row>
    <row r="56" spans="2:15" x14ac:dyDescent="0.35">
      <c r="B56" s="1">
        <f t="shared" si="0"/>
        <v>451</v>
      </c>
      <c r="C56" s="1" t="str">
        <f>VLOOKUP(MonthlyPerfomance_Report_2024[[#This Row],[Entity Code]],[1]Entity!$B$3:$C$64,2,0)</f>
        <v>Department of Culture and Tourism - Abu Dhabi</v>
      </c>
      <c r="D56" s="1" t="s">
        <v>17</v>
      </c>
      <c r="E56" s="1">
        <v>50728</v>
      </c>
      <c r="F56" s="1" t="s">
        <v>19</v>
      </c>
      <c r="G56" s="1">
        <v>458173</v>
      </c>
      <c r="H56" s="1">
        <v>461412</v>
      </c>
      <c r="I56" s="1" t="str">
        <f>VLOOKUP(MonthlyPerfomance_Report_2024[[#This Row],[Fusion Account code]],[1]COA!B:D,3,0)</f>
        <v>Support to AD tourism development program</v>
      </c>
      <c r="J56" s="6"/>
      <c r="K56" s="6"/>
      <c r="L56" s="6"/>
      <c r="M56" s="6"/>
      <c r="N56" s="6">
        <f>MonthlyPerfomance_Report_2024[[#This Row],[Actual_YTD 2026]]-MonthlyPerfomance_Report_2024[[#This Row],[Actual_YTD 2025]]</f>
        <v>0</v>
      </c>
      <c r="O56" s="1"/>
    </row>
    <row r="57" spans="2:15" x14ac:dyDescent="0.35">
      <c r="B57" s="1">
        <f t="shared" si="0"/>
        <v>451</v>
      </c>
      <c r="C57" s="1" t="str">
        <f>VLOOKUP(MonthlyPerfomance_Report_2024[[#This Row],[Entity Code]],[1]Entity!$B$3:$C$64,2,0)</f>
        <v>Department of Culture and Tourism - Abu Dhabi</v>
      </c>
      <c r="D57" s="1" t="s">
        <v>17</v>
      </c>
      <c r="E57" s="1">
        <v>50729</v>
      </c>
      <c r="F57" s="1" t="s">
        <v>20</v>
      </c>
      <c r="G57" s="1">
        <v>425500</v>
      </c>
      <c r="H57" s="1">
        <v>422401</v>
      </c>
      <c r="I57" s="1" t="str">
        <f>VLOOKUP(MonthlyPerfomance_Report_2024[[#This Row],[Fusion Account code]],[1]COA!B:D,3,0)</f>
        <v>Conferences, seminars and exhibitions and other events: -deactivate</v>
      </c>
      <c r="J57" s="6"/>
      <c r="K57" s="6"/>
      <c r="L57" s="6"/>
      <c r="M57" s="6"/>
      <c r="N57" s="6">
        <f>MonthlyPerfomance_Report_2024[[#This Row],[Actual_YTD 2026]]-MonthlyPerfomance_Report_2024[[#This Row],[Actual_YTD 2025]]</f>
        <v>0</v>
      </c>
      <c r="O57" s="1"/>
    </row>
    <row r="58" spans="2:15" x14ac:dyDescent="0.35">
      <c r="B58" s="1">
        <f t="shared" si="0"/>
        <v>451</v>
      </c>
      <c r="C58" s="1" t="str">
        <f>VLOOKUP(MonthlyPerfomance_Report_2024[[#This Row],[Entity Code]],[1]Entity!$B$3:$C$64,2,0)</f>
        <v>Department of Culture and Tourism - Abu Dhabi</v>
      </c>
      <c r="D58" s="1" t="s">
        <v>17</v>
      </c>
      <c r="E58" s="1">
        <v>50729</v>
      </c>
      <c r="F58" s="1" t="s">
        <v>20</v>
      </c>
      <c r="G58" s="1">
        <v>427520</v>
      </c>
      <c r="H58" s="1">
        <v>423531</v>
      </c>
      <c r="I58" s="1" t="str">
        <f>VLOOKUP(MonthlyPerfomance_Report_2024[[#This Row],[Fusion Account code]],[1]COA!B:D,3,0)</f>
        <v>International sports Events</v>
      </c>
      <c r="J58" s="6"/>
      <c r="K58" s="6"/>
      <c r="L58" s="6"/>
      <c r="M58" s="6"/>
      <c r="N58" s="6">
        <f>MonthlyPerfomance_Report_2024[[#This Row],[Actual_YTD 2026]]-MonthlyPerfomance_Report_2024[[#This Row],[Actual_YTD 2025]]</f>
        <v>0</v>
      </c>
      <c r="O58" s="1"/>
    </row>
    <row r="59" spans="2:15" x14ac:dyDescent="0.35">
      <c r="B59" s="1">
        <f t="shared" si="0"/>
        <v>451</v>
      </c>
      <c r="C59" s="1" t="str">
        <f>VLOOKUP(MonthlyPerfomance_Report_2024[[#This Row],[Entity Code]],[1]Entity!$B$3:$C$64,2,0)</f>
        <v>Department of Culture and Tourism - Abu Dhabi</v>
      </c>
      <c r="D59" s="1" t="s">
        <v>17</v>
      </c>
      <c r="E59" s="1">
        <v>50730</v>
      </c>
      <c r="F59" s="1" t="s">
        <v>21</v>
      </c>
      <c r="G59" s="1">
        <v>458173</v>
      </c>
      <c r="H59" s="1">
        <v>461412</v>
      </c>
      <c r="I59" s="1" t="str">
        <f>VLOOKUP(MonthlyPerfomance_Report_2024[[#This Row],[Fusion Account code]],[1]COA!B:D,3,0)</f>
        <v>Support to AD tourism development program</v>
      </c>
      <c r="J59" s="6"/>
      <c r="K59" s="6"/>
      <c r="L59" s="6"/>
      <c r="M59" s="6"/>
      <c r="N59" s="6">
        <f>MonthlyPerfomance_Report_2024[[#This Row],[Actual_YTD 2026]]-MonthlyPerfomance_Report_2024[[#This Row],[Actual_YTD 2025]]</f>
        <v>0</v>
      </c>
      <c r="O59" s="1"/>
    </row>
    <row r="60" spans="2:15" x14ac:dyDescent="0.35">
      <c r="B60" s="1">
        <f t="shared" si="0"/>
        <v>451</v>
      </c>
      <c r="C60" s="1" t="str">
        <f>VLOOKUP(MonthlyPerfomance_Report_2024[[#This Row],[Entity Code]],[1]Entity!$B$3:$C$64,2,0)</f>
        <v>Department of Culture and Tourism - Abu Dhabi</v>
      </c>
      <c r="D60" s="1" t="s">
        <v>17</v>
      </c>
      <c r="E60" s="1">
        <v>50731</v>
      </c>
      <c r="F60" s="1" t="s">
        <v>22</v>
      </c>
      <c r="G60" s="1">
        <v>420800</v>
      </c>
      <c r="H60" s="1">
        <v>421119</v>
      </c>
      <c r="I60" s="1" t="str">
        <f>VLOOKUP(MonthlyPerfomance_Report_2024[[#This Row],[Fusion Account code]],[1]COA!B:D,3,0)</f>
        <v>IT consultancy, other than software development</v>
      </c>
      <c r="J60" s="6"/>
      <c r="K60" s="6"/>
      <c r="L60" s="6"/>
      <c r="M60" s="6"/>
      <c r="N60" s="6">
        <f>MonthlyPerfomance_Report_2024[[#This Row],[Actual_YTD 2026]]-MonthlyPerfomance_Report_2024[[#This Row],[Actual_YTD 2025]]</f>
        <v>0</v>
      </c>
      <c r="O60" s="1"/>
    </row>
    <row r="61" spans="2:15" x14ac:dyDescent="0.35">
      <c r="B61" s="1">
        <f t="shared" si="0"/>
        <v>451</v>
      </c>
      <c r="C61" s="1" t="str">
        <f>VLOOKUP(MonthlyPerfomance_Report_2024[[#This Row],[Entity Code]],[1]Entity!$B$3:$C$64,2,0)</f>
        <v>Department of Culture and Tourism - Abu Dhabi</v>
      </c>
      <c r="D61" s="1" t="s">
        <v>17</v>
      </c>
      <c r="E61" s="1">
        <v>50731</v>
      </c>
      <c r="F61" s="1" t="s">
        <v>22</v>
      </c>
      <c r="G61" s="1">
        <v>421100</v>
      </c>
      <c r="H61" s="1">
        <v>424521</v>
      </c>
      <c r="I61" s="1" t="str">
        <f>VLOOKUP(MonthlyPerfomance_Report_2024[[#This Row],[Fusion Account code]],[1]COA!B:D,3,0)</f>
        <v>Manpower supply "Other Than IT Related"</v>
      </c>
      <c r="J61" s="6"/>
      <c r="K61" s="6"/>
      <c r="L61" s="6"/>
      <c r="M61" s="6"/>
      <c r="N61" s="6">
        <f>MonthlyPerfomance_Report_2024[[#This Row],[Actual_YTD 2026]]-MonthlyPerfomance_Report_2024[[#This Row],[Actual_YTD 2025]]</f>
        <v>0</v>
      </c>
      <c r="O61" s="1"/>
    </row>
    <row r="62" spans="2:15" x14ac:dyDescent="0.35">
      <c r="B62" s="1">
        <f t="shared" si="0"/>
        <v>451</v>
      </c>
      <c r="C62" s="1" t="str">
        <f>VLOOKUP(MonthlyPerfomance_Report_2024[[#This Row],[Entity Code]],[1]Entity!$B$3:$C$64,2,0)</f>
        <v>Department of Culture and Tourism - Abu Dhabi</v>
      </c>
      <c r="D62" s="1" t="s">
        <v>17</v>
      </c>
      <c r="E62" s="1">
        <v>50731</v>
      </c>
      <c r="F62" s="1" t="s">
        <v>22</v>
      </c>
      <c r="G62" s="1">
        <v>421800</v>
      </c>
      <c r="H62" s="1">
        <v>421123</v>
      </c>
      <c r="I62" s="1" t="str">
        <f>VLOOKUP(MonthlyPerfomance_Report_2024[[#This Row],[Fusion Account code]],[1]COA!B:D,3,0)</f>
        <v>Strategic planning consultancy</v>
      </c>
      <c r="J62" s="6"/>
      <c r="K62" s="6"/>
      <c r="L62" s="6"/>
      <c r="M62" s="6"/>
      <c r="N62" s="6">
        <f>MonthlyPerfomance_Report_2024[[#This Row],[Actual_YTD 2026]]-MonthlyPerfomance_Report_2024[[#This Row],[Actual_YTD 2025]]</f>
        <v>0</v>
      </c>
      <c r="O62" s="1"/>
    </row>
    <row r="63" spans="2:15" x14ac:dyDescent="0.35">
      <c r="B63" s="1">
        <f t="shared" si="0"/>
        <v>451</v>
      </c>
      <c r="C63" s="1" t="str">
        <f>VLOOKUP(MonthlyPerfomance_Report_2024[[#This Row],[Entity Code]],[1]Entity!$B$3:$C$64,2,0)</f>
        <v>Department of Culture and Tourism - Abu Dhabi</v>
      </c>
      <c r="D63" s="1" t="s">
        <v>17</v>
      </c>
      <c r="E63" s="1">
        <v>50731</v>
      </c>
      <c r="F63" s="1" t="s">
        <v>22</v>
      </c>
      <c r="G63" s="1">
        <v>425500</v>
      </c>
      <c r="H63" s="1">
        <v>422401</v>
      </c>
      <c r="I63" s="1" t="str">
        <f>VLOOKUP(MonthlyPerfomance_Report_2024[[#This Row],[Fusion Account code]],[1]COA!B:D,3,0)</f>
        <v>Conferences, seminars and exhibitions and other events: -deactivate</v>
      </c>
      <c r="J63" s="6"/>
      <c r="K63" s="6"/>
      <c r="L63" s="6"/>
      <c r="M63" s="6"/>
      <c r="N63" s="6">
        <f>MonthlyPerfomance_Report_2024[[#This Row],[Actual_YTD 2026]]-MonthlyPerfomance_Report_2024[[#This Row],[Actual_YTD 2025]]</f>
        <v>0</v>
      </c>
      <c r="O63" s="1"/>
    </row>
    <row r="64" spans="2:15" x14ac:dyDescent="0.35">
      <c r="B64" s="1">
        <f t="shared" si="0"/>
        <v>451</v>
      </c>
      <c r="C64" s="1" t="str">
        <f>VLOOKUP(MonthlyPerfomance_Report_2024[[#This Row],[Entity Code]],[1]Entity!$B$3:$C$64,2,0)</f>
        <v>Department of Culture and Tourism - Abu Dhabi</v>
      </c>
      <c r="D64" s="1" t="s">
        <v>17</v>
      </c>
      <c r="E64" s="1">
        <v>50731</v>
      </c>
      <c r="F64" s="1" t="s">
        <v>22</v>
      </c>
      <c r="G64" s="1">
        <v>425900</v>
      </c>
      <c r="H64" s="1">
        <v>424761</v>
      </c>
      <c r="I64" s="1" t="str">
        <f>VLOOKUP(MonthlyPerfomance_Report_2024[[#This Row],[Fusion Account code]],[1]COA!B:D,3,0)</f>
        <v>Entertainment and hospitality</v>
      </c>
      <c r="J64" s="6"/>
      <c r="K64" s="6"/>
      <c r="L64" s="6"/>
      <c r="M64" s="6"/>
      <c r="N64" s="6">
        <f>MonthlyPerfomance_Report_2024[[#This Row],[Actual_YTD 2026]]-MonthlyPerfomance_Report_2024[[#This Row],[Actual_YTD 2025]]</f>
        <v>0</v>
      </c>
      <c r="O64" s="1"/>
    </row>
    <row r="65" spans="2:15" x14ac:dyDescent="0.35">
      <c r="B65" s="1">
        <f t="shared" si="0"/>
        <v>451</v>
      </c>
      <c r="C65" s="1" t="str">
        <f>VLOOKUP(MonthlyPerfomance_Report_2024[[#This Row],[Entity Code]],[1]Entity!$B$3:$C$64,2,0)</f>
        <v>Department of Culture and Tourism - Abu Dhabi</v>
      </c>
      <c r="D65" s="1" t="s">
        <v>17</v>
      </c>
      <c r="E65" s="1">
        <v>50731</v>
      </c>
      <c r="F65" s="1" t="s">
        <v>22</v>
      </c>
      <c r="G65" s="1">
        <v>426100</v>
      </c>
      <c r="H65" s="1">
        <v>424671</v>
      </c>
      <c r="I65" s="1" t="str">
        <f>VLOOKUP(MonthlyPerfomance_Report_2024[[#This Row],[Fusion Account code]],[1]COA!B:D,3,0)</f>
        <v>Freight and shipping costs, not included elsewhere under purchase costs</v>
      </c>
      <c r="J65" s="6"/>
      <c r="K65" s="6"/>
      <c r="L65" s="6"/>
      <c r="M65" s="6"/>
      <c r="N65" s="6">
        <f>MonthlyPerfomance_Report_2024[[#This Row],[Actual_YTD 2026]]-MonthlyPerfomance_Report_2024[[#This Row],[Actual_YTD 2025]]</f>
        <v>0</v>
      </c>
      <c r="O65" s="1"/>
    </row>
    <row r="66" spans="2:15" x14ac:dyDescent="0.35">
      <c r="B66" s="1">
        <f t="shared" si="0"/>
        <v>451</v>
      </c>
      <c r="C66" s="1" t="str">
        <f>VLOOKUP(MonthlyPerfomance_Report_2024[[#This Row],[Entity Code]],[1]Entity!$B$3:$C$64,2,0)</f>
        <v>Department of Culture and Tourism - Abu Dhabi</v>
      </c>
      <c r="D66" s="1" t="s">
        <v>17</v>
      </c>
      <c r="E66" s="1">
        <v>50731</v>
      </c>
      <c r="F66" s="1" t="s">
        <v>22</v>
      </c>
      <c r="G66" s="1">
        <v>428020</v>
      </c>
      <c r="H66" s="1">
        <v>423821</v>
      </c>
      <c r="I66" s="1" t="str">
        <f>VLOOKUP(MonthlyPerfomance_Report_2024[[#This Row],[Fusion Account code]],[1]COA!B:D,3,0)</f>
        <v>Business Travel - Per Diem Allowances</v>
      </c>
      <c r="J66" s="6"/>
      <c r="K66" s="6"/>
      <c r="L66" s="6"/>
      <c r="M66" s="6"/>
      <c r="N66" s="6">
        <f>MonthlyPerfomance_Report_2024[[#This Row],[Actual_YTD 2026]]-MonthlyPerfomance_Report_2024[[#This Row],[Actual_YTD 2025]]</f>
        <v>0</v>
      </c>
      <c r="O66" s="1"/>
    </row>
    <row r="67" spans="2:15" x14ac:dyDescent="0.35">
      <c r="B67" s="1">
        <f t="shared" si="0"/>
        <v>451</v>
      </c>
      <c r="C67" s="1" t="str">
        <f>VLOOKUP(MonthlyPerfomance_Report_2024[[#This Row],[Entity Code]],[1]Entity!$B$3:$C$64,2,0)</f>
        <v>Department of Culture and Tourism - Abu Dhabi</v>
      </c>
      <c r="D67" s="1" t="s">
        <v>17</v>
      </c>
      <c r="E67" s="1">
        <v>200104</v>
      </c>
      <c r="F67" s="1" t="s">
        <v>23</v>
      </c>
      <c r="G67" s="1">
        <v>420120</v>
      </c>
      <c r="H67" s="1">
        <v>421112</v>
      </c>
      <c r="I67" s="1" t="str">
        <f>VLOOKUP(MonthlyPerfomance_Report_2024[[#This Row],[Fusion Account code]],[1]COA!B:D,3,0)</f>
        <v>Internal Audit service</v>
      </c>
      <c r="J67" s="6"/>
      <c r="K67" s="6"/>
      <c r="L67" s="6"/>
      <c r="M67" s="6"/>
      <c r="N67" s="6">
        <f>MonthlyPerfomance_Report_2024[[#This Row],[Actual_YTD 2026]]-MonthlyPerfomance_Report_2024[[#This Row],[Actual_YTD 2025]]</f>
        <v>0</v>
      </c>
      <c r="O67" s="1"/>
    </row>
    <row r="68" spans="2:15" x14ac:dyDescent="0.35">
      <c r="B68" s="1">
        <f t="shared" si="0"/>
        <v>451</v>
      </c>
      <c r="C68" s="1" t="str">
        <f>VLOOKUP(MonthlyPerfomance_Report_2024[[#This Row],[Entity Code]],[1]Entity!$B$3:$C$64,2,0)</f>
        <v>Department of Culture and Tourism - Abu Dhabi</v>
      </c>
      <c r="D68" s="1" t="s">
        <v>17</v>
      </c>
      <c r="E68" s="1">
        <v>200104</v>
      </c>
      <c r="F68" s="1" t="s">
        <v>23</v>
      </c>
      <c r="G68" s="1">
        <v>420130</v>
      </c>
      <c r="H68" s="1">
        <v>421113</v>
      </c>
      <c r="I68" s="1" t="str">
        <f>VLOOKUP(MonthlyPerfomance_Report_2024[[#This Row],[Fusion Account code]],[1]COA!B:D,3,0)</f>
        <v>External Audit service</v>
      </c>
      <c r="J68" s="6"/>
      <c r="K68" s="6"/>
      <c r="L68" s="6"/>
      <c r="M68" s="6"/>
      <c r="N68" s="6">
        <f>MonthlyPerfomance_Report_2024[[#This Row],[Actual_YTD 2026]]-MonthlyPerfomance_Report_2024[[#This Row],[Actual_YTD 2025]]</f>
        <v>0</v>
      </c>
      <c r="O68" s="1"/>
    </row>
    <row r="69" spans="2:15" x14ac:dyDescent="0.35">
      <c r="B69" s="1">
        <f t="shared" ref="B69:B132" si="1">$B$3</f>
        <v>451</v>
      </c>
      <c r="C69" s="1" t="str">
        <f>VLOOKUP(MonthlyPerfomance_Report_2024[[#This Row],[Entity Code]],[1]Entity!$B$3:$C$64,2,0)</f>
        <v>Department of Culture and Tourism - Abu Dhabi</v>
      </c>
      <c r="D69" s="1" t="s">
        <v>17</v>
      </c>
      <c r="E69" s="1">
        <v>200104</v>
      </c>
      <c r="F69" s="1" t="s">
        <v>23</v>
      </c>
      <c r="G69" s="1">
        <v>420200</v>
      </c>
      <c r="H69" s="1">
        <v>424511</v>
      </c>
      <c r="I69" s="1" t="str">
        <f>VLOOKUP(MonthlyPerfomance_Report_2024[[#This Row],[Fusion Account code]],[1]COA!B:D,3,0)</f>
        <v>Catering service</v>
      </c>
      <c r="J69" s="6"/>
      <c r="K69" s="6"/>
      <c r="L69" s="6"/>
      <c r="M69" s="6"/>
      <c r="N69" s="6">
        <f>MonthlyPerfomance_Report_2024[[#This Row],[Actual_YTD 2026]]-MonthlyPerfomance_Report_2024[[#This Row],[Actual_YTD 2025]]</f>
        <v>0</v>
      </c>
      <c r="O69" s="1"/>
    </row>
    <row r="70" spans="2:15" x14ac:dyDescent="0.35">
      <c r="B70" s="1">
        <f t="shared" si="1"/>
        <v>451</v>
      </c>
      <c r="C70" s="1" t="str">
        <f>VLOOKUP(MonthlyPerfomance_Report_2024[[#This Row],[Entity Code]],[1]Entity!$B$3:$C$64,2,0)</f>
        <v>Department of Culture and Tourism - Abu Dhabi</v>
      </c>
      <c r="D70" s="1" t="s">
        <v>17</v>
      </c>
      <c r="E70" s="1">
        <v>200104</v>
      </c>
      <c r="F70" s="1" t="s">
        <v>23</v>
      </c>
      <c r="G70" s="1">
        <v>420310</v>
      </c>
      <c r="H70" s="1">
        <v>422311</v>
      </c>
      <c r="I70" s="1" t="str">
        <f>VLOOKUP(MonthlyPerfomance_Report_2024[[#This Row],[Fusion Account code]],[1]COA!B:D,3,0)</f>
        <v>Cleaning Services: Business premises</v>
      </c>
      <c r="J70" s="6"/>
      <c r="K70" s="6"/>
      <c r="L70" s="6"/>
      <c r="M70" s="6"/>
      <c r="N70" s="6">
        <f>MonthlyPerfomance_Report_2024[[#This Row],[Actual_YTD 2026]]-MonthlyPerfomance_Report_2024[[#This Row],[Actual_YTD 2025]]</f>
        <v>0</v>
      </c>
      <c r="O70" s="1"/>
    </row>
    <row r="71" spans="2:15" x14ac:dyDescent="0.35">
      <c r="B71" s="1">
        <f t="shared" si="1"/>
        <v>451</v>
      </c>
      <c r="C71" s="1" t="str">
        <f>VLOOKUP(MonthlyPerfomance_Report_2024[[#This Row],[Entity Code]],[1]Entity!$B$3:$C$64,2,0)</f>
        <v>Department of Culture and Tourism - Abu Dhabi</v>
      </c>
      <c r="D71" s="1" t="s">
        <v>17</v>
      </c>
      <c r="E71" s="1">
        <v>200104</v>
      </c>
      <c r="F71" s="1" t="s">
        <v>23</v>
      </c>
      <c r="G71" s="1">
        <v>420320</v>
      </c>
      <c r="H71" s="1">
        <v>422321</v>
      </c>
      <c r="I71" s="1" t="str">
        <f>VLOOKUP(MonthlyPerfomance_Report_2024[[#This Row],[Fusion Account code]],[1]COA!B:D,3,0)</f>
        <v>Cleaning and Pest control Services (Public places)</v>
      </c>
      <c r="J71" s="6"/>
      <c r="K71" s="6"/>
      <c r="L71" s="6"/>
      <c r="M71" s="6"/>
      <c r="N71" s="6">
        <f>MonthlyPerfomance_Report_2024[[#This Row],[Actual_YTD 2026]]-MonthlyPerfomance_Report_2024[[#This Row],[Actual_YTD 2025]]</f>
        <v>0</v>
      </c>
      <c r="O71" s="1"/>
    </row>
    <row r="72" spans="2:15" x14ac:dyDescent="0.35">
      <c r="B72" s="1">
        <f t="shared" si="1"/>
        <v>451</v>
      </c>
      <c r="C72" s="1" t="str">
        <f>VLOOKUP(MonthlyPerfomance_Report_2024[[#This Row],[Entity Code]],[1]Entity!$B$3:$C$64,2,0)</f>
        <v>Department of Culture and Tourism - Abu Dhabi</v>
      </c>
      <c r="D72" s="1" t="s">
        <v>17</v>
      </c>
      <c r="E72" s="1">
        <v>200104</v>
      </c>
      <c r="F72" s="1" t="s">
        <v>23</v>
      </c>
      <c r="G72" s="1">
        <v>420550</v>
      </c>
      <c r="H72" s="1">
        <v>421115</v>
      </c>
      <c r="I72" s="1" t="str">
        <f>VLOOKUP(MonthlyPerfomance_Report_2024[[#This Row],[Fusion Account code]],[1]COA!B:D,3,0)</f>
        <v>Academic Advisory Service</v>
      </c>
      <c r="J72" s="6"/>
      <c r="K72" s="6"/>
      <c r="L72" s="6"/>
      <c r="M72" s="6"/>
      <c r="N72" s="6">
        <f>MonthlyPerfomance_Report_2024[[#This Row],[Actual_YTD 2026]]-MonthlyPerfomance_Report_2024[[#This Row],[Actual_YTD 2025]]</f>
        <v>0</v>
      </c>
      <c r="O72" s="1"/>
    </row>
    <row r="73" spans="2:15" x14ac:dyDescent="0.35">
      <c r="B73" s="1">
        <f t="shared" si="1"/>
        <v>451</v>
      </c>
      <c r="C73" s="1" t="str">
        <f>VLOOKUP(MonthlyPerfomance_Report_2024[[#This Row],[Entity Code]],[1]Entity!$B$3:$C$64,2,0)</f>
        <v>Department of Culture and Tourism - Abu Dhabi</v>
      </c>
      <c r="D73" s="1" t="s">
        <v>17</v>
      </c>
      <c r="E73" s="1">
        <v>200104</v>
      </c>
      <c r="F73" s="1" t="s">
        <v>23</v>
      </c>
      <c r="G73" s="1">
        <v>420600</v>
      </c>
      <c r="H73" s="1">
        <v>421117</v>
      </c>
      <c r="I73" s="1" t="str">
        <f>VLOOKUP(MonthlyPerfomance_Report_2024[[#This Row],[Fusion Account code]],[1]COA!B:D,3,0)</f>
        <v>Financial consultancy</v>
      </c>
      <c r="J73" s="6"/>
      <c r="K73" s="6"/>
      <c r="L73" s="6"/>
      <c r="M73" s="6"/>
      <c r="N73" s="6">
        <f>MonthlyPerfomance_Report_2024[[#This Row],[Actual_YTD 2026]]-MonthlyPerfomance_Report_2024[[#This Row],[Actual_YTD 2025]]</f>
        <v>0</v>
      </c>
      <c r="O73" s="1"/>
    </row>
    <row r="74" spans="2:15" x14ac:dyDescent="0.35">
      <c r="B74" s="1">
        <f t="shared" si="1"/>
        <v>451</v>
      </c>
      <c r="C74" s="1" t="str">
        <f>VLOOKUP(MonthlyPerfomance_Report_2024[[#This Row],[Entity Code]],[1]Entity!$B$3:$C$64,2,0)</f>
        <v>Department of Culture and Tourism - Abu Dhabi</v>
      </c>
      <c r="D74" s="1" t="s">
        <v>17</v>
      </c>
      <c r="E74" s="1">
        <v>200104</v>
      </c>
      <c r="F74" s="1" t="s">
        <v>23</v>
      </c>
      <c r="G74" s="1">
        <v>420800</v>
      </c>
      <c r="H74" s="1">
        <v>421119</v>
      </c>
      <c r="I74" s="1" t="str">
        <f>VLOOKUP(MonthlyPerfomance_Report_2024[[#This Row],[Fusion Account code]],[1]COA!B:D,3,0)</f>
        <v>IT consultancy, other than software development</v>
      </c>
      <c r="J74" s="6"/>
      <c r="K74" s="6"/>
      <c r="L74" s="6"/>
      <c r="M74" s="6"/>
      <c r="N74" s="6">
        <f>MonthlyPerfomance_Report_2024[[#This Row],[Actual_YTD 2026]]-MonthlyPerfomance_Report_2024[[#This Row],[Actual_YTD 2025]]</f>
        <v>0</v>
      </c>
      <c r="O74" s="1"/>
    </row>
    <row r="75" spans="2:15" x14ac:dyDescent="0.35">
      <c r="B75" s="1">
        <f t="shared" si="1"/>
        <v>451</v>
      </c>
      <c r="C75" s="1" t="str">
        <f>VLOOKUP(MonthlyPerfomance_Report_2024[[#This Row],[Entity Code]],[1]Entity!$B$3:$C$64,2,0)</f>
        <v>Department of Culture and Tourism - Abu Dhabi</v>
      </c>
      <c r="D75" s="1" t="s">
        <v>17</v>
      </c>
      <c r="E75" s="1">
        <v>200104</v>
      </c>
      <c r="F75" s="1" t="s">
        <v>23</v>
      </c>
      <c r="G75" s="1">
        <v>420801</v>
      </c>
      <c r="H75" s="1">
        <v>421126</v>
      </c>
      <c r="I75" s="1" t="str">
        <f>VLOOKUP(MonthlyPerfomance_Report_2024[[#This Row],[Fusion Account code]],[1]COA!B:D,3,0)</f>
        <v>I T Project Management Services</v>
      </c>
      <c r="J75" s="6"/>
      <c r="K75" s="6"/>
      <c r="L75" s="6"/>
      <c r="M75" s="6"/>
      <c r="N75" s="6">
        <f>MonthlyPerfomance_Report_2024[[#This Row],[Actual_YTD 2026]]-MonthlyPerfomance_Report_2024[[#This Row],[Actual_YTD 2025]]</f>
        <v>0</v>
      </c>
      <c r="O75" s="1"/>
    </row>
    <row r="76" spans="2:15" x14ac:dyDescent="0.35">
      <c r="B76" s="1">
        <f t="shared" si="1"/>
        <v>451</v>
      </c>
      <c r="C76" s="1" t="str">
        <f>VLOOKUP(MonthlyPerfomance_Report_2024[[#This Row],[Entity Code]],[1]Entity!$B$3:$C$64,2,0)</f>
        <v>Department of Culture and Tourism - Abu Dhabi</v>
      </c>
      <c r="D76" s="1" t="s">
        <v>17</v>
      </c>
      <c r="E76" s="1">
        <v>200104</v>
      </c>
      <c r="F76" s="1" t="s">
        <v>23</v>
      </c>
      <c r="G76" s="1">
        <v>420810</v>
      </c>
      <c r="H76" s="1">
        <v>422211</v>
      </c>
      <c r="I76" s="1" t="str">
        <f>VLOOKUP(MonthlyPerfomance_Report_2024[[#This Row],[Fusion Account code]],[1]COA!B:D,3,0)</f>
        <v xml:space="preserve"> IT Systems &amp; Support expenses:Maintenance</v>
      </c>
      <c r="J76" s="6"/>
      <c r="K76" s="6"/>
      <c r="L76" s="6"/>
      <c r="M76" s="6"/>
      <c r="N76" s="6">
        <f>MonthlyPerfomance_Report_2024[[#This Row],[Actual_YTD 2026]]-MonthlyPerfomance_Report_2024[[#This Row],[Actual_YTD 2025]]</f>
        <v>0</v>
      </c>
      <c r="O76" s="1"/>
    </row>
    <row r="77" spans="2:15" x14ac:dyDescent="0.35">
      <c r="B77" s="1">
        <f t="shared" si="1"/>
        <v>451</v>
      </c>
      <c r="C77" s="1" t="str">
        <f>VLOOKUP(MonthlyPerfomance_Report_2024[[#This Row],[Entity Code]],[1]Entity!$B$3:$C$64,2,0)</f>
        <v>Department of Culture and Tourism - Abu Dhabi</v>
      </c>
      <c r="D77" s="1" t="s">
        <v>17</v>
      </c>
      <c r="E77" s="1">
        <v>200104</v>
      </c>
      <c r="F77" s="1" t="s">
        <v>23</v>
      </c>
      <c r="G77" s="1">
        <v>420811</v>
      </c>
      <c r="H77" s="1">
        <v>422212</v>
      </c>
      <c r="I77" s="1" t="str">
        <f>VLOOKUP(MonthlyPerfomance_Report_2024[[#This Row],[Fusion Account code]],[1]COA!B:D,3,0)</f>
        <v>IT Systems &amp; Support expenses-Application/Systems Operation</v>
      </c>
      <c r="J77" s="6"/>
      <c r="K77" s="6"/>
      <c r="L77" s="6"/>
      <c r="M77" s="6"/>
      <c r="N77" s="6">
        <f>MonthlyPerfomance_Report_2024[[#This Row],[Actual_YTD 2026]]-MonthlyPerfomance_Report_2024[[#This Row],[Actual_YTD 2025]]</f>
        <v>0</v>
      </c>
      <c r="O77" s="1"/>
    </row>
    <row r="78" spans="2:15" x14ac:dyDescent="0.35">
      <c r="B78" s="1">
        <f t="shared" si="1"/>
        <v>451</v>
      </c>
      <c r="C78" s="1" t="str">
        <f>VLOOKUP(MonthlyPerfomance_Report_2024[[#This Row],[Entity Code]],[1]Entity!$B$3:$C$64,2,0)</f>
        <v>Department of Culture and Tourism - Abu Dhabi</v>
      </c>
      <c r="D78" s="1" t="s">
        <v>17</v>
      </c>
      <c r="E78" s="1">
        <v>200104</v>
      </c>
      <c r="F78" s="1" t="s">
        <v>23</v>
      </c>
      <c r="G78" s="1">
        <v>420812</v>
      </c>
      <c r="H78" s="1">
        <v>422213</v>
      </c>
      <c r="I78" s="1" t="str">
        <f>VLOOKUP(MonthlyPerfomance_Report_2024[[#This Row],[Fusion Account code]],[1]COA!B:D,3,0)</f>
        <v>IT Systems &amp; Support expenses-Security Services Operation</v>
      </c>
      <c r="J78" s="6"/>
      <c r="K78" s="6"/>
      <c r="L78" s="6"/>
      <c r="M78" s="6"/>
      <c r="N78" s="6">
        <f>MonthlyPerfomance_Report_2024[[#This Row],[Actual_YTD 2026]]-MonthlyPerfomance_Report_2024[[#This Row],[Actual_YTD 2025]]</f>
        <v>0</v>
      </c>
      <c r="O78" s="1"/>
    </row>
    <row r="79" spans="2:15" x14ac:dyDescent="0.35">
      <c r="B79" s="1">
        <f t="shared" si="1"/>
        <v>451</v>
      </c>
      <c r="C79" s="1" t="str">
        <f>VLOOKUP(MonthlyPerfomance_Report_2024[[#This Row],[Entity Code]],[1]Entity!$B$3:$C$64,2,0)</f>
        <v>Department of Culture and Tourism - Abu Dhabi</v>
      </c>
      <c r="D79" s="1" t="s">
        <v>17</v>
      </c>
      <c r="E79" s="1">
        <v>200104</v>
      </c>
      <c r="F79" s="1" t="s">
        <v>23</v>
      </c>
      <c r="G79" s="1">
        <v>420813</v>
      </c>
      <c r="H79" s="1">
        <v>422214</v>
      </c>
      <c r="I79" s="1" t="str">
        <f>VLOOKUP(MonthlyPerfomance_Report_2024[[#This Row],[Fusion Account code]],[1]COA!B:D,3,0)</f>
        <v>IT Systems &amp; Support expenses-Network Services Operation</v>
      </c>
      <c r="J79" s="6"/>
      <c r="K79" s="6"/>
      <c r="L79" s="6"/>
      <c r="M79" s="6"/>
      <c r="N79" s="6">
        <f>MonthlyPerfomance_Report_2024[[#This Row],[Actual_YTD 2026]]-MonthlyPerfomance_Report_2024[[#This Row],[Actual_YTD 2025]]</f>
        <v>0</v>
      </c>
      <c r="O79" s="1"/>
    </row>
    <row r="80" spans="2:15" x14ac:dyDescent="0.35">
      <c r="B80" s="1">
        <f t="shared" si="1"/>
        <v>451</v>
      </c>
      <c r="C80" s="1" t="str">
        <f>VLOOKUP(MonthlyPerfomance_Report_2024[[#This Row],[Entity Code]],[1]Entity!$B$3:$C$64,2,0)</f>
        <v>Department of Culture and Tourism - Abu Dhabi</v>
      </c>
      <c r="D80" s="1" t="s">
        <v>17</v>
      </c>
      <c r="E80" s="1">
        <v>200104</v>
      </c>
      <c r="F80" s="1" t="s">
        <v>23</v>
      </c>
      <c r="G80" s="1">
        <v>420814</v>
      </c>
      <c r="H80" s="1">
        <v>422218</v>
      </c>
      <c r="I80" s="1" t="str">
        <f>VLOOKUP(MonthlyPerfomance_Report_2024[[#This Row],[Fusion Account code]],[1]COA!B:D,3,0)</f>
        <v>Cloud and Infrastructure Operation</v>
      </c>
      <c r="J80" s="6"/>
      <c r="K80" s="6"/>
      <c r="L80" s="6"/>
      <c r="M80" s="6"/>
      <c r="N80" s="6">
        <f>MonthlyPerfomance_Report_2024[[#This Row],[Actual_YTD 2026]]-MonthlyPerfomance_Report_2024[[#This Row],[Actual_YTD 2025]]</f>
        <v>0</v>
      </c>
      <c r="O80" s="1"/>
    </row>
    <row r="81" spans="2:15" x14ac:dyDescent="0.35">
      <c r="B81" s="1">
        <f t="shared" si="1"/>
        <v>451</v>
      </c>
      <c r="C81" s="1" t="str">
        <f>VLOOKUP(MonthlyPerfomance_Report_2024[[#This Row],[Entity Code]],[1]Entity!$B$3:$C$64,2,0)</f>
        <v>Department of Culture and Tourism - Abu Dhabi</v>
      </c>
      <c r="D81" s="1" t="s">
        <v>17</v>
      </c>
      <c r="E81" s="1">
        <v>200104</v>
      </c>
      <c r="F81" s="1" t="s">
        <v>23</v>
      </c>
      <c r="G81" s="1">
        <v>420900</v>
      </c>
      <c r="H81" s="1">
        <v>421121</v>
      </c>
      <c r="I81" s="1" t="str">
        <f>VLOOKUP(MonthlyPerfomance_Report_2024[[#This Row],[Fusion Account code]],[1]COA!B:D,3,0)</f>
        <v xml:space="preserve">Legal services </v>
      </c>
      <c r="J81" s="6"/>
      <c r="K81" s="6"/>
      <c r="L81" s="6"/>
      <c r="M81" s="6"/>
      <c r="N81" s="6">
        <f>MonthlyPerfomance_Report_2024[[#This Row],[Actual_YTD 2026]]-MonthlyPerfomance_Report_2024[[#This Row],[Actual_YTD 2025]]</f>
        <v>0</v>
      </c>
      <c r="O81" s="1"/>
    </row>
    <row r="82" spans="2:15" x14ac:dyDescent="0.35">
      <c r="B82" s="1">
        <f t="shared" si="1"/>
        <v>451</v>
      </c>
      <c r="C82" s="1" t="str">
        <f>VLOOKUP(MonthlyPerfomance_Report_2024[[#This Row],[Entity Code]],[1]Entity!$B$3:$C$64,2,0)</f>
        <v>Department of Culture and Tourism - Abu Dhabi</v>
      </c>
      <c r="D82" s="1" t="s">
        <v>17</v>
      </c>
      <c r="E82" s="1">
        <v>200104</v>
      </c>
      <c r="F82" s="1" t="s">
        <v>23</v>
      </c>
      <c r="G82" s="1">
        <v>421000</v>
      </c>
      <c r="H82" s="1">
        <v>421122</v>
      </c>
      <c r="I82" s="1" t="str">
        <f>VLOOKUP(MonthlyPerfomance_Report_2024[[#This Row],[Fusion Account code]],[1]COA!B:D,3,0)</f>
        <v>Management consultancy</v>
      </c>
      <c r="J82" s="6"/>
      <c r="K82" s="6"/>
      <c r="L82" s="6"/>
      <c r="M82" s="6"/>
      <c r="N82" s="6">
        <f>MonthlyPerfomance_Report_2024[[#This Row],[Actual_YTD 2026]]-MonthlyPerfomance_Report_2024[[#This Row],[Actual_YTD 2025]]</f>
        <v>0</v>
      </c>
      <c r="O82" s="1"/>
    </row>
    <row r="83" spans="2:15" x14ac:dyDescent="0.35">
      <c r="B83" s="1">
        <f t="shared" si="1"/>
        <v>451</v>
      </c>
      <c r="C83" s="1" t="str">
        <f>VLOOKUP(MonthlyPerfomance_Report_2024[[#This Row],[Entity Code]],[1]Entity!$B$3:$C$64,2,0)</f>
        <v>Department of Culture and Tourism - Abu Dhabi</v>
      </c>
      <c r="D83" s="1" t="s">
        <v>17</v>
      </c>
      <c r="E83" s="1">
        <v>200104</v>
      </c>
      <c r="F83" s="1" t="s">
        <v>23</v>
      </c>
      <c r="G83" s="1">
        <v>421100</v>
      </c>
      <c r="H83" s="1">
        <v>424521</v>
      </c>
      <c r="I83" s="1" t="str">
        <f>VLOOKUP(MonthlyPerfomance_Report_2024[[#This Row],[Fusion Account code]],[1]COA!B:D,3,0)</f>
        <v>Manpower supply "Other Than IT Related"</v>
      </c>
      <c r="J83" s="6"/>
      <c r="K83" s="6"/>
      <c r="L83" s="6"/>
      <c r="M83" s="6"/>
      <c r="N83" s="6">
        <f>MonthlyPerfomance_Report_2024[[#This Row],[Actual_YTD 2026]]-MonthlyPerfomance_Report_2024[[#This Row],[Actual_YTD 2025]]</f>
        <v>0</v>
      </c>
      <c r="O83" s="1"/>
    </row>
    <row r="84" spans="2:15" x14ac:dyDescent="0.35">
      <c r="B84" s="1">
        <f t="shared" si="1"/>
        <v>451</v>
      </c>
      <c r="C84" s="1" t="str">
        <f>VLOOKUP(MonthlyPerfomance_Report_2024[[#This Row],[Entity Code]],[1]Entity!$B$3:$C$64,2,0)</f>
        <v>Department of Culture and Tourism - Abu Dhabi</v>
      </c>
      <c r="D84" s="1" t="s">
        <v>17</v>
      </c>
      <c r="E84" s="1">
        <v>200104</v>
      </c>
      <c r="F84" s="1" t="s">
        <v>23</v>
      </c>
      <c r="G84" s="1">
        <v>421200</v>
      </c>
      <c r="H84" s="1">
        <v>422191</v>
      </c>
      <c r="I84" s="1" t="str">
        <f>VLOOKUP(MonthlyPerfomance_Report_2024[[#This Row],[Fusion Account code]],[1]COA!B:D,3,0)</f>
        <v>Operations management expenses not mentioned elsewhere</v>
      </c>
      <c r="J84" s="6"/>
      <c r="K84" s="6"/>
      <c r="L84" s="6"/>
      <c r="M84" s="6"/>
      <c r="N84" s="6">
        <f>MonthlyPerfomance_Report_2024[[#This Row],[Actual_YTD 2026]]-MonthlyPerfomance_Report_2024[[#This Row],[Actual_YTD 2025]]</f>
        <v>0</v>
      </c>
      <c r="O84" s="1"/>
    </row>
    <row r="85" spans="2:15" x14ac:dyDescent="0.35">
      <c r="B85" s="1">
        <f t="shared" si="1"/>
        <v>451</v>
      </c>
      <c r="C85" s="1" t="str">
        <f>VLOOKUP(MonthlyPerfomance_Report_2024[[#This Row],[Entity Code]],[1]Entity!$B$3:$C$64,2,0)</f>
        <v>Department of Culture and Tourism - Abu Dhabi</v>
      </c>
      <c r="D85" s="1" t="s">
        <v>17</v>
      </c>
      <c r="E85" s="1">
        <v>200104</v>
      </c>
      <c r="F85" s="1" t="s">
        <v>23</v>
      </c>
      <c r="G85" s="1">
        <v>421250</v>
      </c>
      <c r="H85" s="1">
        <v>422111</v>
      </c>
      <c r="I85" s="1" t="str">
        <f>VLOOKUP(MonthlyPerfomance_Report_2024[[#This Row],[Fusion Account code]],[1]COA!B:D,3,0)</f>
        <v>Public Facility operations</v>
      </c>
      <c r="J85" s="6"/>
      <c r="K85" s="6"/>
      <c r="L85" s="6"/>
      <c r="M85" s="6"/>
      <c r="N85" s="6">
        <f>MonthlyPerfomance_Report_2024[[#This Row],[Actual_YTD 2026]]-MonthlyPerfomance_Report_2024[[#This Row],[Actual_YTD 2025]]</f>
        <v>0</v>
      </c>
      <c r="O85" s="1"/>
    </row>
    <row r="86" spans="2:15" x14ac:dyDescent="0.35">
      <c r="B86" s="1">
        <f t="shared" si="1"/>
        <v>451</v>
      </c>
      <c r="C86" s="1" t="str">
        <f>VLOOKUP(MonthlyPerfomance_Report_2024[[#This Row],[Entity Code]],[1]Entity!$B$3:$C$64,2,0)</f>
        <v>Department of Culture and Tourism - Abu Dhabi</v>
      </c>
      <c r="D86" s="1" t="s">
        <v>17</v>
      </c>
      <c r="E86" s="1">
        <v>200104</v>
      </c>
      <c r="F86" s="1" t="s">
        <v>23</v>
      </c>
      <c r="G86" s="1">
        <v>421600</v>
      </c>
      <c r="H86" s="1">
        <v>424551</v>
      </c>
      <c r="I86" s="1" t="str">
        <f>VLOOKUP(MonthlyPerfomance_Report_2024[[#This Row],[Fusion Account code]],[1]COA!B:D,3,0)</f>
        <v>Security service</v>
      </c>
      <c r="J86" s="6"/>
      <c r="K86" s="6"/>
      <c r="L86" s="6"/>
      <c r="M86" s="6"/>
      <c r="N86" s="6">
        <f>MonthlyPerfomance_Report_2024[[#This Row],[Actual_YTD 2026]]-MonthlyPerfomance_Report_2024[[#This Row],[Actual_YTD 2025]]</f>
        <v>0</v>
      </c>
      <c r="O86" s="1"/>
    </row>
    <row r="87" spans="2:15" x14ac:dyDescent="0.35">
      <c r="B87" s="1">
        <f t="shared" si="1"/>
        <v>451</v>
      </c>
      <c r="C87" s="1" t="str">
        <f>VLOOKUP(MonthlyPerfomance_Report_2024[[#This Row],[Entity Code]],[1]Entity!$B$3:$C$64,2,0)</f>
        <v>Department of Culture and Tourism - Abu Dhabi</v>
      </c>
      <c r="D87" s="1" t="s">
        <v>17</v>
      </c>
      <c r="E87" s="1">
        <v>200104</v>
      </c>
      <c r="F87" s="1" t="s">
        <v>23</v>
      </c>
      <c r="G87" s="1">
        <v>421700</v>
      </c>
      <c r="H87" s="1">
        <v>424561</v>
      </c>
      <c r="I87" s="1" t="str">
        <f>VLOOKUP(MonthlyPerfomance_Report_2024[[#This Row],[Fusion Account code]],[1]COA!B:D,3,0)</f>
        <v>Standards Certification Services (e.g. ISO)</v>
      </c>
      <c r="J87" s="6"/>
      <c r="K87" s="6"/>
      <c r="L87" s="6"/>
      <c r="M87" s="6"/>
      <c r="N87" s="6">
        <f>MonthlyPerfomance_Report_2024[[#This Row],[Actual_YTD 2026]]-MonthlyPerfomance_Report_2024[[#This Row],[Actual_YTD 2025]]</f>
        <v>0</v>
      </c>
      <c r="O87" s="1"/>
    </row>
    <row r="88" spans="2:15" x14ac:dyDescent="0.35">
      <c r="B88" s="1">
        <f t="shared" si="1"/>
        <v>451</v>
      </c>
      <c r="C88" s="1" t="str">
        <f>VLOOKUP(MonthlyPerfomance_Report_2024[[#This Row],[Entity Code]],[1]Entity!$B$3:$C$64,2,0)</f>
        <v>Department of Culture and Tourism - Abu Dhabi</v>
      </c>
      <c r="D88" s="1" t="s">
        <v>17</v>
      </c>
      <c r="E88" s="1">
        <v>200104</v>
      </c>
      <c r="F88" s="1" t="s">
        <v>23</v>
      </c>
      <c r="G88" s="1">
        <v>421800</v>
      </c>
      <c r="H88" s="1">
        <v>421123</v>
      </c>
      <c r="I88" s="1" t="str">
        <f>VLOOKUP(MonthlyPerfomance_Report_2024[[#This Row],[Fusion Account code]],[1]COA!B:D,3,0)</f>
        <v>Strategic planning consultancy</v>
      </c>
      <c r="J88" s="6"/>
      <c r="K88" s="6"/>
      <c r="L88" s="6"/>
      <c r="M88" s="6"/>
      <c r="N88" s="6">
        <f>MonthlyPerfomance_Report_2024[[#This Row],[Actual_YTD 2026]]-MonthlyPerfomance_Report_2024[[#This Row],[Actual_YTD 2025]]</f>
        <v>0</v>
      </c>
      <c r="O88" s="1"/>
    </row>
    <row r="89" spans="2:15" x14ac:dyDescent="0.35">
      <c r="B89" s="1">
        <f t="shared" si="1"/>
        <v>451</v>
      </c>
      <c r="C89" s="1" t="str">
        <f>VLOOKUP(MonthlyPerfomance_Report_2024[[#This Row],[Entity Code]],[1]Entity!$B$3:$C$64,2,0)</f>
        <v>Department of Culture and Tourism - Abu Dhabi</v>
      </c>
      <c r="D89" s="1" t="s">
        <v>17</v>
      </c>
      <c r="E89" s="1">
        <v>200104</v>
      </c>
      <c r="F89" s="1" t="s">
        <v>23</v>
      </c>
      <c r="G89" s="1">
        <v>422100</v>
      </c>
      <c r="H89" s="1">
        <v>424591</v>
      </c>
      <c r="I89" s="1" t="str">
        <f>VLOOKUP(MonthlyPerfomance_Report_2024[[#This Row],[Fusion Account code]],[1]COA!B:D,3,0)</f>
        <v>Waste management service</v>
      </c>
      <c r="J89" s="6"/>
      <c r="K89" s="6"/>
      <c r="L89" s="6"/>
      <c r="M89" s="6"/>
      <c r="N89" s="6">
        <f>MonthlyPerfomance_Report_2024[[#This Row],[Actual_YTD 2026]]-MonthlyPerfomance_Report_2024[[#This Row],[Actual_YTD 2025]]</f>
        <v>0</v>
      </c>
      <c r="O89" s="1"/>
    </row>
    <row r="90" spans="2:15" x14ac:dyDescent="0.35">
      <c r="B90" s="1">
        <f t="shared" si="1"/>
        <v>451</v>
      </c>
      <c r="C90" s="1" t="str">
        <f>VLOOKUP(MonthlyPerfomance_Report_2024[[#This Row],[Entity Code]],[1]Entity!$B$3:$C$64,2,0)</f>
        <v>Department of Culture and Tourism - Abu Dhabi</v>
      </c>
      <c r="D90" s="1" t="s">
        <v>17</v>
      </c>
      <c r="E90" s="1">
        <v>200104</v>
      </c>
      <c r="F90" s="1" t="s">
        <v>23</v>
      </c>
      <c r="G90" s="1">
        <v>422400</v>
      </c>
      <c r="H90" s="1">
        <v>423351</v>
      </c>
      <c r="I90" s="1" t="str">
        <f>VLOOKUP(MonthlyPerfomance_Report_2024[[#This Row],[Fusion Account code]],[1]COA!B:D,3,0)</f>
        <v>Medical services provided at workplace</v>
      </c>
      <c r="J90" s="6"/>
      <c r="K90" s="6"/>
      <c r="L90" s="6"/>
      <c r="M90" s="6"/>
      <c r="N90" s="6">
        <f>MonthlyPerfomance_Report_2024[[#This Row],[Actual_YTD 2026]]-MonthlyPerfomance_Report_2024[[#This Row],[Actual_YTD 2025]]</f>
        <v>0</v>
      </c>
      <c r="O90" s="1"/>
    </row>
    <row r="91" spans="2:15" x14ac:dyDescent="0.35">
      <c r="B91" s="1">
        <f t="shared" si="1"/>
        <v>451</v>
      </c>
      <c r="C91" s="1" t="str">
        <f>VLOOKUP(MonthlyPerfomance_Report_2024[[#This Row],[Entity Code]],[1]Entity!$B$3:$C$64,2,0)</f>
        <v>Department of Culture and Tourism - Abu Dhabi</v>
      </c>
      <c r="D91" s="1" t="s">
        <v>17</v>
      </c>
      <c r="E91" s="1">
        <v>200104</v>
      </c>
      <c r="F91" s="1" t="s">
        <v>23</v>
      </c>
      <c r="G91" s="1">
        <v>422900</v>
      </c>
      <c r="H91" s="1">
        <v>421191</v>
      </c>
      <c r="I91" s="1" t="str">
        <f>VLOOKUP(MonthlyPerfomance_Report_2024[[#This Row],[Fusion Account code]],[1]COA!B:D,3,0)</f>
        <v>Other specialised professional services, not mentioned elsewhere</v>
      </c>
      <c r="J91" s="6"/>
      <c r="K91" s="6"/>
      <c r="L91" s="6"/>
      <c r="M91" s="6"/>
      <c r="N91" s="6">
        <f>MonthlyPerfomance_Report_2024[[#This Row],[Actual_YTD 2026]]-MonthlyPerfomance_Report_2024[[#This Row],[Actual_YTD 2025]]</f>
        <v>0</v>
      </c>
      <c r="O91" s="1"/>
    </row>
    <row r="92" spans="2:15" x14ac:dyDescent="0.35">
      <c r="B92" s="1">
        <f t="shared" si="1"/>
        <v>451</v>
      </c>
      <c r="C92" s="1" t="str">
        <f>VLOOKUP(MonthlyPerfomance_Report_2024[[#This Row],[Entity Code]],[1]Entity!$B$3:$C$64,2,0)</f>
        <v>Department of Culture and Tourism - Abu Dhabi</v>
      </c>
      <c r="D92" s="1" t="s">
        <v>17</v>
      </c>
      <c r="E92" s="1">
        <v>200104</v>
      </c>
      <c r="F92" s="1" t="s">
        <v>23</v>
      </c>
      <c r="G92" s="1">
        <v>425100</v>
      </c>
      <c r="H92" s="1">
        <v>422511</v>
      </c>
      <c r="I92" s="1" t="str">
        <f>VLOOKUP(MonthlyPerfomance_Report_2024[[#This Row],[Fusion Account code]],[1]COA!B:D,3,0)</f>
        <v>Advertising Services (General)</v>
      </c>
      <c r="J92" s="6"/>
      <c r="K92" s="6"/>
      <c r="L92" s="6"/>
      <c r="M92" s="6"/>
      <c r="N92" s="6">
        <f>MonthlyPerfomance_Report_2024[[#This Row],[Actual_YTD 2026]]-MonthlyPerfomance_Report_2024[[#This Row],[Actual_YTD 2025]]</f>
        <v>0</v>
      </c>
      <c r="O92" s="1"/>
    </row>
    <row r="93" spans="2:15" x14ac:dyDescent="0.35">
      <c r="B93" s="1">
        <f t="shared" si="1"/>
        <v>451</v>
      </c>
      <c r="C93" s="1" t="str">
        <f>VLOOKUP(MonthlyPerfomance_Report_2024[[#This Row],[Entity Code]],[1]Entity!$B$3:$C$64,2,0)</f>
        <v>Department of Culture and Tourism - Abu Dhabi</v>
      </c>
      <c r="D93" s="1" t="s">
        <v>17</v>
      </c>
      <c r="E93" s="1">
        <v>200104</v>
      </c>
      <c r="F93" s="1" t="s">
        <v>23</v>
      </c>
      <c r="G93" s="1">
        <v>425130</v>
      </c>
      <c r="H93" s="1">
        <v>422541</v>
      </c>
      <c r="I93" s="1" t="str">
        <f>VLOOKUP(MonthlyPerfomance_Report_2024[[#This Row],[Fusion Account code]],[1]COA!B:D,3,0)</f>
        <v>Advertising-thru Hoardings &amp; Other means</v>
      </c>
      <c r="J93" s="6"/>
      <c r="K93" s="6"/>
      <c r="L93" s="6"/>
      <c r="M93" s="6"/>
      <c r="N93" s="6">
        <f>MonthlyPerfomance_Report_2024[[#This Row],[Actual_YTD 2026]]-MonthlyPerfomance_Report_2024[[#This Row],[Actual_YTD 2025]]</f>
        <v>0</v>
      </c>
      <c r="O93" s="1"/>
    </row>
    <row r="94" spans="2:15" x14ac:dyDescent="0.35">
      <c r="B94" s="1">
        <f t="shared" si="1"/>
        <v>451</v>
      </c>
      <c r="C94" s="1" t="str">
        <f>VLOOKUP(MonthlyPerfomance_Report_2024[[#This Row],[Entity Code]],[1]Entity!$B$3:$C$64,2,0)</f>
        <v>Department of Culture and Tourism - Abu Dhabi</v>
      </c>
      <c r="D94" s="1" t="s">
        <v>17</v>
      </c>
      <c r="E94" s="1">
        <v>200104</v>
      </c>
      <c r="F94" s="1" t="s">
        <v>23</v>
      </c>
      <c r="G94" s="1">
        <v>425300</v>
      </c>
      <c r="H94" s="1">
        <v>437111</v>
      </c>
      <c r="I94" s="1" t="str">
        <f>VLOOKUP(MonthlyPerfomance_Report_2024[[#This Row],[Fusion Account code]],[1]COA!B:D,3,0)</f>
        <v>Banking service charges</v>
      </c>
      <c r="J94" s="6"/>
      <c r="K94" s="6"/>
      <c r="L94" s="6"/>
      <c r="M94" s="6"/>
      <c r="N94" s="6">
        <f>MonthlyPerfomance_Report_2024[[#This Row],[Actual_YTD 2026]]-MonthlyPerfomance_Report_2024[[#This Row],[Actual_YTD 2025]]</f>
        <v>0</v>
      </c>
      <c r="O94" s="1"/>
    </row>
    <row r="95" spans="2:15" x14ac:dyDescent="0.35">
      <c r="B95" s="1">
        <f t="shared" si="1"/>
        <v>451</v>
      </c>
      <c r="C95" s="1" t="str">
        <f>VLOOKUP(MonthlyPerfomance_Report_2024[[#This Row],[Entity Code]],[1]Entity!$B$3:$C$64,2,0)</f>
        <v>Department of Culture and Tourism - Abu Dhabi</v>
      </c>
      <c r="D95" s="1" t="s">
        <v>17</v>
      </c>
      <c r="E95" s="1">
        <v>200104</v>
      </c>
      <c r="F95" s="1" t="s">
        <v>23</v>
      </c>
      <c r="G95" s="1">
        <v>425350</v>
      </c>
      <c r="H95" s="1">
        <v>437131</v>
      </c>
      <c r="I95" s="1" t="str">
        <f>VLOOKUP(MonthlyPerfomance_Report_2024[[#This Row],[Fusion Account code]],[1]COA!B:D,3,0)</f>
        <v>Fees for processing e-payments-e-Payment operation</v>
      </c>
      <c r="J95" s="6"/>
      <c r="K95" s="6"/>
      <c r="L95" s="6"/>
      <c r="M95" s="6"/>
      <c r="N95" s="6">
        <f>MonthlyPerfomance_Report_2024[[#This Row],[Actual_YTD 2026]]-MonthlyPerfomance_Report_2024[[#This Row],[Actual_YTD 2025]]</f>
        <v>0</v>
      </c>
      <c r="O95" s="1"/>
    </row>
    <row r="96" spans="2:15" x14ac:dyDescent="0.35">
      <c r="B96" s="1">
        <f t="shared" si="1"/>
        <v>451</v>
      </c>
      <c r="C96" s="1" t="str">
        <f>VLOOKUP(MonthlyPerfomance_Report_2024[[#This Row],[Entity Code]],[1]Entity!$B$3:$C$64,2,0)</f>
        <v>Department of Culture and Tourism - Abu Dhabi</v>
      </c>
      <c r="D96" s="1" t="s">
        <v>17</v>
      </c>
      <c r="E96" s="1">
        <v>200104</v>
      </c>
      <c r="F96" s="1" t="s">
        <v>23</v>
      </c>
      <c r="G96" s="1">
        <v>425400</v>
      </c>
      <c r="H96" s="1">
        <v>424641</v>
      </c>
      <c r="I96" s="1" t="str">
        <f>VLOOKUP(MonthlyPerfomance_Report_2024[[#This Row],[Fusion Account code]],[1]COA!B:D,3,0)</f>
        <v>Celebration and festivals</v>
      </c>
      <c r="J96" s="6"/>
      <c r="K96" s="6"/>
      <c r="L96" s="6"/>
      <c r="M96" s="6"/>
      <c r="N96" s="6">
        <f>MonthlyPerfomance_Report_2024[[#This Row],[Actual_YTD 2026]]-MonthlyPerfomance_Report_2024[[#This Row],[Actual_YTD 2025]]</f>
        <v>0</v>
      </c>
      <c r="O96" s="1"/>
    </row>
    <row r="97" spans="2:15" x14ac:dyDescent="0.35">
      <c r="B97" s="1">
        <f t="shared" si="1"/>
        <v>451</v>
      </c>
      <c r="C97" s="1" t="str">
        <f>VLOOKUP(MonthlyPerfomance_Report_2024[[#This Row],[Entity Code]],[1]Entity!$B$3:$C$64,2,0)</f>
        <v>Department of Culture and Tourism - Abu Dhabi</v>
      </c>
      <c r="D97" s="1" t="s">
        <v>17</v>
      </c>
      <c r="E97" s="1">
        <v>200104</v>
      </c>
      <c r="F97" s="1" t="s">
        <v>23</v>
      </c>
      <c r="G97" s="1">
        <v>425500</v>
      </c>
      <c r="H97" s="1">
        <v>422401</v>
      </c>
      <c r="I97" s="1" t="str">
        <f>VLOOKUP(MonthlyPerfomance_Report_2024[[#This Row],[Fusion Account code]],[1]COA!B:D,3,0)</f>
        <v>Conferences, seminars and exhibitions and other events: -deactivate</v>
      </c>
      <c r="J97" s="6"/>
      <c r="K97" s="6"/>
      <c r="L97" s="6"/>
      <c r="M97" s="6"/>
      <c r="N97" s="6">
        <f>MonthlyPerfomance_Report_2024[[#This Row],[Actual_YTD 2026]]-MonthlyPerfomance_Report_2024[[#This Row],[Actual_YTD 2025]]</f>
        <v>0</v>
      </c>
      <c r="O97" s="1"/>
    </row>
    <row r="98" spans="2:15" x14ac:dyDescent="0.35">
      <c r="B98" s="1">
        <f t="shared" si="1"/>
        <v>451</v>
      </c>
      <c r="C98" s="1" t="str">
        <f>VLOOKUP(MonthlyPerfomance_Report_2024[[#This Row],[Entity Code]],[1]Entity!$B$3:$C$64,2,0)</f>
        <v>Department of Culture and Tourism - Abu Dhabi</v>
      </c>
      <c r="D98" s="1" t="s">
        <v>17</v>
      </c>
      <c r="E98" s="1">
        <v>200104</v>
      </c>
      <c r="F98" s="1" t="s">
        <v>23</v>
      </c>
      <c r="G98" s="1">
        <v>425510</v>
      </c>
      <c r="H98" s="1">
        <v>422411</v>
      </c>
      <c r="I98" s="1" t="str">
        <f>VLOOKUP(MonthlyPerfomance_Report_2024[[#This Row],[Fusion Account code]],[1]COA!B:D,3,0)</f>
        <v>Conferences, seminars and exhibitions and other events: - Local Events</v>
      </c>
      <c r="J98" s="6"/>
      <c r="K98" s="6"/>
      <c r="L98" s="6"/>
      <c r="M98" s="6"/>
      <c r="N98" s="6">
        <f>MonthlyPerfomance_Report_2024[[#This Row],[Actual_YTD 2026]]-MonthlyPerfomance_Report_2024[[#This Row],[Actual_YTD 2025]]</f>
        <v>0</v>
      </c>
      <c r="O98" s="1"/>
    </row>
    <row r="99" spans="2:15" x14ac:dyDescent="0.35">
      <c r="B99" s="1">
        <f t="shared" si="1"/>
        <v>451</v>
      </c>
      <c r="C99" s="1" t="str">
        <f>VLOOKUP(MonthlyPerfomance_Report_2024[[#This Row],[Entity Code]],[1]Entity!$B$3:$C$64,2,0)</f>
        <v>Department of Culture and Tourism - Abu Dhabi</v>
      </c>
      <c r="D99" s="1" t="s">
        <v>17</v>
      </c>
      <c r="E99" s="1">
        <v>200104</v>
      </c>
      <c r="F99" s="1" t="s">
        <v>23</v>
      </c>
      <c r="G99" s="1">
        <v>425550</v>
      </c>
      <c r="H99" s="1">
        <v>422451</v>
      </c>
      <c r="I99" s="1" t="str">
        <f>VLOOKUP(MonthlyPerfomance_Report_2024[[#This Row],[Fusion Account code]],[1]COA!B:D,3,0)</f>
        <v>Conferences, seminars and exhibitions and other events: - Overseas event</v>
      </c>
      <c r="J99" s="6"/>
      <c r="K99" s="6"/>
      <c r="L99" s="6"/>
      <c r="M99" s="6"/>
      <c r="N99" s="6">
        <f>MonthlyPerfomance_Report_2024[[#This Row],[Actual_YTD 2026]]-MonthlyPerfomance_Report_2024[[#This Row],[Actual_YTD 2025]]</f>
        <v>0</v>
      </c>
      <c r="O99" s="1"/>
    </row>
    <row r="100" spans="2:15" x14ac:dyDescent="0.35">
      <c r="B100" s="1">
        <f t="shared" si="1"/>
        <v>451</v>
      </c>
      <c r="C100" s="1" t="str">
        <f>VLOOKUP(MonthlyPerfomance_Report_2024[[#This Row],[Entity Code]],[1]Entity!$B$3:$C$64,2,0)</f>
        <v>Department of Culture and Tourism - Abu Dhabi</v>
      </c>
      <c r="D100" s="1" t="s">
        <v>17</v>
      </c>
      <c r="E100" s="1">
        <v>200104</v>
      </c>
      <c r="F100" s="1" t="s">
        <v>23</v>
      </c>
      <c r="G100" s="1">
        <v>425740</v>
      </c>
      <c r="H100" s="1">
        <v>422619</v>
      </c>
      <c r="I100" s="1" t="str">
        <f>VLOOKUP(MonthlyPerfomance_Report_2024[[#This Row],[Fusion Account code]],[1]COA!B:D,3,0)</f>
        <v>Scholarships &amp; other financial aid</v>
      </c>
      <c r="J100" s="6"/>
      <c r="K100" s="6"/>
      <c r="L100" s="6"/>
      <c r="M100" s="6"/>
      <c r="N100" s="6">
        <f>MonthlyPerfomance_Report_2024[[#This Row],[Actual_YTD 2026]]-MonthlyPerfomance_Report_2024[[#This Row],[Actual_YTD 2025]]</f>
        <v>0</v>
      </c>
      <c r="O100" s="1"/>
    </row>
    <row r="101" spans="2:15" x14ac:dyDescent="0.35">
      <c r="B101" s="1">
        <f t="shared" si="1"/>
        <v>451</v>
      </c>
      <c r="C101" s="1" t="str">
        <f>VLOOKUP(MonthlyPerfomance_Report_2024[[#This Row],[Entity Code]],[1]Entity!$B$3:$C$64,2,0)</f>
        <v>Department of Culture and Tourism - Abu Dhabi</v>
      </c>
      <c r="D101" s="1" t="s">
        <v>17</v>
      </c>
      <c r="E101" s="1">
        <v>200104</v>
      </c>
      <c r="F101" s="1" t="s">
        <v>23</v>
      </c>
      <c r="G101" s="1">
        <v>425900</v>
      </c>
      <c r="H101" s="1">
        <v>424761</v>
      </c>
      <c r="I101" s="1" t="str">
        <f>VLOOKUP(MonthlyPerfomance_Report_2024[[#This Row],[Fusion Account code]],[1]COA!B:D,3,0)</f>
        <v>Entertainment and hospitality</v>
      </c>
      <c r="J101" s="6"/>
      <c r="K101" s="6"/>
      <c r="L101" s="6"/>
      <c r="M101" s="6"/>
      <c r="N101" s="6">
        <f>MonthlyPerfomance_Report_2024[[#This Row],[Actual_YTD 2026]]-MonthlyPerfomance_Report_2024[[#This Row],[Actual_YTD 2025]]</f>
        <v>0</v>
      </c>
      <c r="O101" s="1"/>
    </row>
    <row r="102" spans="2:15" x14ac:dyDescent="0.35">
      <c r="B102" s="1">
        <f t="shared" si="1"/>
        <v>451</v>
      </c>
      <c r="C102" s="1" t="str">
        <f>VLOOKUP(MonthlyPerfomance_Report_2024[[#This Row],[Entity Code]],[1]Entity!$B$3:$C$64,2,0)</f>
        <v>Department of Culture and Tourism - Abu Dhabi</v>
      </c>
      <c r="D102" s="1" t="s">
        <v>17</v>
      </c>
      <c r="E102" s="1">
        <v>200104</v>
      </c>
      <c r="F102" s="1" t="s">
        <v>23</v>
      </c>
      <c r="G102" s="1">
        <v>426100</v>
      </c>
      <c r="H102" s="1">
        <v>424671</v>
      </c>
      <c r="I102" s="1" t="str">
        <f>VLOOKUP(MonthlyPerfomance_Report_2024[[#This Row],[Fusion Account code]],[1]COA!B:D,3,0)</f>
        <v>Freight and shipping costs, not included elsewhere under purchase costs</v>
      </c>
      <c r="J102" s="6"/>
      <c r="K102" s="6"/>
      <c r="L102" s="6"/>
      <c r="M102" s="6"/>
      <c r="N102" s="6">
        <f>MonthlyPerfomance_Report_2024[[#This Row],[Actual_YTD 2026]]-MonthlyPerfomance_Report_2024[[#This Row],[Actual_YTD 2025]]</f>
        <v>0</v>
      </c>
      <c r="O102" s="1"/>
    </row>
    <row r="103" spans="2:15" x14ac:dyDescent="0.35">
      <c r="B103" s="1">
        <f t="shared" si="1"/>
        <v>451</v>
      </c>
      <c r="C103" s="1" t="str">
        <f>VLOOKUP(MonthlyPerfomance_Report_2024[[#This Row],[Entity Code]],[1]Entity!$B$3:$C$64,2,0)</f>
        <v>Department of Culture and Tourism - Abu Dhabi</v>
      </c>
      <c r="D103" s="1" t="s">
        <v>17</v>
      </c>
      <c r="E103" s="1">
        <v>200104</v>
      </c>
      <c r="F103" s="1" t="s">
        <v>23</v>
      </c>
      <c r="G103" s="1">
        <v>426280</v>
      </c>
      <c r="H103" s="1">
        <v>422718</v>
      </c>
      <c r="I103" s="1" t="str">
        <f>VLOOKUP(MonthlyPerfomance_Report_2024[[#This Row],[Fusion Account code]],[1]COA!B:D,3,0)</f>
        <v>Insurance - Fixed Assets</v>
      </c>
      <c r="J103" s="6"/>
      <c r="K103" s="6"/>
      <c r="L103" s="6"/>
      <c r="M103" s="6"/>
      <c r="N103" s="6">
        <f>MonthlyPerfomance_Report_2024[[#This Row],[Actual_YTD 2026]]-MonthlyPerfomance_Report_2024[[#This Row],[Actual_YTD 2025]]</f>
        <v>0</v>
      </c>
      <c r="O103" s="1"/>
    </row>
    <row r="104" spans="2:15" x14ac:dyDescent="0.35">
      <c r="B104" s="1">
        <f t="shared" si="1"/>
        <v>451</v>
      </c>
      <c r="C104" s="1" t="str">
        <f>VLOOKUP(MonthlyPerfomance_Report_2024[[#This Row],[Entity Code]],[1]Entity!$B$3:$C$64,2,0)</f>
        <v>Department of Culture and Tourism - Abu Dhabi</v>
      </c>
      <c r="D104" s="1" t="s">
        <v>17</v>
      </c>
      <c r="E104" s="1">
        <v>200104</v>
      </c>
      <c r="F104" s="1" t="s">
        <v>23</v>
      </c>
      <c r="G104" s="1">
        <v>426290</v>
      </c>
      <c r="H104" s="1">
        <v>422749</v>
      </c>
      <c r="I104" s="1" t="str">
        <f>VLOOKUP(MonthlyPerfomance_Report_2024[[#This Row],[Fusion Account code]],[1]COA!B:D,3,0)</f>
        <v>Insurance - Other</v>
      </c>
      <c r="J104" s="6"/>
      <c r="K104" s="6"/>
      <c r="L104" s="6"/>
      <c r="M104" s="6"/>
      <c r="N104" s="6">
        <f>MonthlyPerfomance_Report_2024[[#This Row],[Actual_YTD 2026]]-MonthlyPerfomance_Report_2024[[#This Row],[Actual_YTD 2025]]</f>
        <v>0</v>
      </c>
      <c r="O104" s="1"/>
    </row>
    <row r="105" spans="2:15" x14ac:dyDescent="0.35">
      <c r="B105" s="1">
        <f t="shared" si="1"/>
        <v>451</v>
      </c>
      <c r="C105" s="1" t="str">
        <f>VLOOKUP(MonthlyPerfomance_Report_2024[[#This Row],[Entity Code]],[1]Entity!$B$3:$C$64,2,0)</f>
        <v>Department of Culture and Tourism - Abu Dhabi</v>
      </c>
      <c r="D105" s="1" t="s">
        <v>17</v>
      </c>
      <c r="E105" s="1">
        <v>200104</v>
      </c>
      <c r="F105" s="1" t="s">
        <v>23</v>
      </c>
      <c r="G105" s="1">
        <v>426610</v>
      </c>
      <c r="H105" s="1">
        <v>422911</v>
      </c>
      <c r="I105" s="1" t="str">
        <f>VLOOKUP(MonthlyPerfomance_Report_2024[[#This Row],[Fusion Account code]],[1]COA!B:D,3,0)</f>
        <v>Computer software licenses-Software License Renewal</v>
      </c>
      <c r="J105" s="6"/>
      <c r="K105" s="6"/>
      <c r="L105" s="6"/>
      <c r="M105" s="6"/>
      <c r="N105" s="6">
        <f>MonthlyPerfomance_Report_2024[[#This Row],[Actual_YTD 2026]]-MonthlyPerfomance_Report_2024[[#This Row],[Actual_YTD 2025]]</f>
        <v>0</v>
      </c>
      <c r="O105" s="1"/>
    </row>
    <row r="106" spans="2:15" x14ac:dyDescent="0.35">
      <c r="B106" s="1">
        <f t="shared" si="1"/>
        <v>451</v>
      </c>
      <c r="C106" s="1" t="str">
        <f>VLOOKUP(MonthlyPerfomance_Report_2024[[#This Row],[Entity Code]],[1]Entity!$B$3:$C$64,2,0)</f>
        <v>Department of Culture and Tourism - Abu Dhabi</v>
      </c>
      <c r="D106" s="1" t="s">
        <v>17</v>
      </c>
      <c r="E106" s="1">
        <v>200104</v>
      </c>
      <c r="F106" s="1" t="s">
        <v>23</v>
      </c>
      <c r="G106" s="1">
        <v>426630</v>
      </c>
      <c r="H106" s="1">
        <v>422951</v>
      </c>
      <c r="I106" s="1" t="str">
        <f>VLOOKUP(MonthlyPerfomance_Report_2024[[#This Row],[Fusion Account code]],[1]COA!B:D,3,0)</f>
        <v>Other licenses, not mentioned elsewhere</v>
      </c>
      <c r="J106" s="6"/>
      <c r="K106" s="6"/>
      <c r="L106" s="6"/>
      <c r="M106" s="6"/>
      <c r="N106" s="6">
        <f>MonthlyPerfomance_Report_2024[[#This Row],[Actual_YTD 2026]]-MonthlyPerfomance_Report_2024[[#This Row],[Actual_YTD 2025]]</f>
        <v>0</v>
      </c>
      <c r="O106" s="1"/>
    </row>
    <row r="107" spans="2:15" x14ac:dyDescent="0.35">
      <c r="B107" s="1">
        <f t="shared" si="1"/>
        <v>451</v>
      </c>
      <c r="C107" s="1" t="str">
        <f>VLOOKUP(MonthlyPerfomance_Report_2024[[#This Row],[Entity Code]],[1]Entity!$B$3:$C$64,2,0)</f>
        <v>Department of Culture and Tourism - Abu Dhabi</v>
      </c>
      <c r="D107" s="1" t="s">
        <v>17</v>
      </c>
      <c r="E107" s="1">
        <v>200104</v>
      </c>
      <c r="F107" s="1" t="s">
        <v>23</v>
      </c>
      <c r="G107" s="1">
        <v>427100</v>
      </c>
      <c r="H107" s="1">
        <v>424781</v>
      </c>
      <c r="I107" s="1" t="str">
        <f>VLOOKUP(MonthlyPerfomance_Report_2024[[#This Row],[Fusion Account code]],[1]COA!B:D,3,0)</f>
        <v>Public relations</v>
      </c>
      <c r="J107" s="6"/>
      <c r="K107" s="6"/>
      <c r="L107" s="6"/>
      <c r="M107" s="6"/>
      <c r="N107" s="6">
        <f>MonthlyPerfomance_Report_2024[[#This Row],[Actual_YTD 2026]]-MonthlyPerfomance_Report_2024[[#This Row],[Actual_YTD 2025]]</f>
        <v>0</v>
      </c>
      <c r="O107" s="1"/>
    </row>
    <row r="108" spans="2:15" x14ac:dyDescent="0.35">
      <c r="B108" s="1">
        <f t="shared" si="1"/>
        <v>451</v>
      </c>
      <c r="C108" s="1" t="str">
        <f>VLOOKUP(MonthlyPerfomance_Report_2024[[#This Row],[Entity Code]],[1]Entity!$B$3:$C$64,2,0)</f>
        <v>Department of Culture and Tourism - Abu Dhabi</v>
      </c>
      <c r="D108" s="1" t="s">
        <v>17</v>
      </c>
      <c r="E108" s="1">
        <v>200104</v>
      </c>
      <c r="F108" s="1" t="s">
        <v>23</v>
      </c>
      <c r="G108" s="1">
        <v>427200</v>
      </c>
      <c r="H108" s="1">
        <v>424791</v>
      </c>
      <c r="I108" s="1" t="str">
        <f>VLOOKUP(MonthlyPerfomance_Report_2024[[#This Row],[Fusion Account code]],[1]COA!B:D,3,0)</f>
        <v>Printing and publishing</v>
      </c>
      <c r="J108" s="6"/>
      <c r="K108" s="6"/>
      <c r="L108" s="6"/>
      <c r="M108" s="6"/>
      <c r="N108" s="6">
        <f>MonthlyPerfomance_Report_2024[[#This Row],[Actual_YTD 2026]]-MonthlyPerfomance_Report_2024[[#This Row],[Actual_YTD 2025]]</f>
        <v>0</v>
      </c>
      <c r="O108" s="1"/>
    </row>
    <row r="109" spans="2:15" x14ac:dyDescent="0.35">
      <c r="B109" s="1">
        <f t="shared" si="1"/>
        <v>451</v>
      </c>
      <c r="C109" s="1" t="str">
        <f>VLOOKUP(MonthlyPerfomance_Report_2024[[#This Row],[Entity Code]],[1]Entity!$B$3:$C$64,2,0)</f>
        <v>Department of Culture and Tourism - Abu Dhabi</v>
      </c>
      <c r="D109" s="1" t="s">
        <v>17</v>
      </c>
      <c r="E109" s="1">
        <v>200104</v>
      </c>
      <c r="F109" s="1" t="s">
        <v>23</v>
      </c>
      <c r="G109" s="1">
        <v>427210</v>
      </c>
      <c r="H109" s="1">
        <v>424790</v>
      </c>
      <c r="I109" s="1" t="str">
        <f>VLOOKUP(MonthlyPerfomance_Report_2024[[#This Row],[Fusion Account code]],[1]COA!B:D,3,0)</f>
        <v>Printing and publishing</v>
      </c>
      <c r="J109" s="6"/>
      <c r="K109" s="6"/>
      <c r="L109" s="6"/>
      <c r="M109" s="6"/>
      <c r="N109" s="6">
        <f>MonthlyPerfomance_Report_2024[[#This Row],[Actual_YTD 2026]]-MonthlyPerfomance_Report_2024[[#This Row],[Actual_YTD 2025]]</f>
        <v>0</v>
      </c>
      <c r="O109" s="1"/>
    </row>
    <row r="110" spans="2:15" x14ac:dyDescent="0.35">
      <c r="B110" s="1">
        <f t="shared" si="1"/>
        <v>451</v>
      </c>
      <c r="C110" s="1" t="str">
        <f>VLOOKUP(MonthlyPerfomance_Report_2024[[#This Row],[Entity Code]],[1]Entity!$B$3:$C$64,2,0)</f>
        <v>Department of Culture and Tourism - Abu Dhabi</v>
      </c>
      <c r="D110" s="1" t="s">
        <v>17</v>
      </c>
      <c r="E110" s="1">
        <v>200104</v>
      </c>
      <c r="F110" s="1" t="s">
        <v>23</v>
      </c>
      <c r="G110" s="1">
        <v>427310</v>
      </c>
      <c r="H110" s="1">
        <v>423411</v>
      </c>
      <c r="I110" s="1" t="str">
        <f>VLOOKUP(MonthlyPerfomance_Report_2024[[#This Row],[Fusion Account code]],[1]COA!B:D,3,0)</f>
        <v>General research</v>
      </c>
      <c r="J110" s="6"/>
      <c r="K110" s="6"/>
      <c r="L110" s="6"/>
      <c r="M110" s="6"/>
      <c r="N110" s="6">
        <f>MonthlyPerfomance_Report_2024[[#This Row],[Actual_YTD 2026]]-MonthlyPerfomance_Report_2024[[#This Row],[Actual_YTD 2025]]</f>
        <v>0</v>
      </c>
      <c r="O110" s="1"/>
    </row>
    <row r="111" spans="2:15" x14ac:dyDescent="0.35">
      <c r="B111" s="1">
        <f t="shared" si="1"/>
        <v>451</v>
      </c>
      <c r="C111" s="1" t="str">
        <f>VLOOKUP(MonthlyPerfomance_Report_2024[[#This Row],[Entity Code]],[1]Entity!$B$3:$C$64,2,0)</f>
        <v>Department of Culture and Tourism - Abu Dhabi</v>
      </c>
      <c r="D111" s="1" t="s">
        <v>17</v>
      </c>
      <c r="E111" s="1">
        <v>200104</v>
      </c>
      <c r="F111" s="1" t="s">
        <v>23</v>
      </c>
      <c r="G111" s="1">
        <v>427520</v>
      </c>
      <c r="H111" s="1">
        <v>423531</v>
      </c>
      <c r="I111" s="1" t="str">
        <f>VLOOKUP(MonthlyPerfomance_Report_2024[[#This Row],[Fusion Account code]],[1]COA!B:D,3,0)</f>
        <v>International sports Events</v>
      </c>
      <c r="J111" s="6"/>
      <c r="K111" s="6"/>
      <c r="L111" s="6"/>
      <c r="M111" s="6"/>
      <c r="N111" s="6">
        <f>MonthlyPerfomance_Report_2024[[#This Row],[Actual_YTD 2026]]-MonthlyPerfomance_Report_2024[[#This Row],[Actual_YTD 2025]]</f>
        <v>0</v>
      </c>
      <c r="O111" s="1"/>
    </row>
    <row r="112" spans="2:15" x14ac:dyDescent="0.35">
      <c r="B112" s="1">
        <f t="shared" si="1"/>
        <v>451</v>
      </c>
      <c r="C112" s="1" t="str">
        <f>VLOOKUP(MonthlyPerfomance_Report_2024[[#This Row],[Entity Code]],[1]Entity!$B$3:$C$64,2,0)</f>
        <v>Department of Culture and Tourism - Abu Dhabi</v>
      </c>
      <c r="D112" s="1" t="s">
        <v>17</v>
      </c>
      <c r="E112" s="1">
        <v>200104</v>
      </c>
      <c r="F112" s="1" t="s">
        <v>23</v>
      </c>
      <c r="G112" s="1">
        <v>427810</v>
      </c>
      <c r="H112" s="1">
        <v>423711</v>
      </c>
      <c r="I112" s="1" t="str">
        <f>VLOOKUP(MonthlyPerfomance_Report_2024[[#This Row],[Fusion Account code]],[1]COA!B:D,3,0)</f>
        <v>Telephone and telefax charges-Telecommunication, Satellite  services</v>
      </c>
      <c r="J112" s="6"/>
      <c r="K112" s="6"/>
      <c r="L112" s="6"/>
      <c r="M112" s="6"/>
      <c r="N112" s="6">
        <f>MonthlyPerfomance_Report_2024[[#This Row],[Actual_YTD 2026]]-MonthlyPerfomance_Report_2024[[#This Row],[Actual_YTD 2025]]</f>
        <v>0</v>
      </c>
      <c r="O112" s="1"/>
    </row>
    <row r="113" spans="2:15" x14ac:dyDescent="0.35">
      <c r="B113" s="1">
        <f t="shared" si="1"/>
        <v>451</v>
      </c>
      <c r="C113" s="1" t="str">
        <f>VLOOKUP(MonthlyPerfomance_Report_2024[[#This Row],[Entity Code]],[1]Entity!$B$3:$C$64,2,0)</f>
        <v>Department of Culture and Tourism - Abu Dhabi</v>
      </c>
      <c r="D113" s="1" t="s">
        <v>17</v>
      </c>
      <c r="E113" s="1">
        <v>200104</v>
      </c>
      <c r="F113" s="1" t="s">
        <v>23</v>
      </c>
      <c r="G113" s="1">
        <v>427900</v>
      </c>
      <c r="H113" s="1">
        <v>424701</v>
      </c>
      <c r="I113" s="1" t="str">
        <f>VLOOKUP(MonthlyPerfomance_Report_2024[[#This Row],[Fusion Account code]],[1]COA!B:D,3,0)</f>
        <v>Translation and interpretation service</v>
      </c>
      <c r="J113" s="6"/>
      <c r="K113" s="6"/>
      <c r="L113" s="6"/>
      <c r="M113" s="6"/>
      <c r="N113" s="6">
        <f>MonthlyPerfomance_Report_2024[[#This Row],[Actual_YTD 2026]]-MonthlyPerfomance_Report_2024[[#This Row],[Actual_YTD 2025]]</f>
        <v>0</v>
      </c>
      <c r="O113" s="1"/>
    </row>
    <row r="114" spans="2:15" x14ac:dyDescent="0.35">
      <c r="B114" s="1">
        <f t="shared" si="1"/>
        <v>451</v>
      </c>
      <c r="C114" s="1" t="str">
        <f>VLOOKUP(MonthlyPerfomance_Report_2024[[#This Row],[Entity Code]],[1]Entity!$B$3:$C$64,2,0)</f>
        <v>Department of Culture and Tourism - Abu Dhabi</v>
      </c>
      <c r="D114" s="1" t="s">
        <v>17</v>
      </c>
      <c r="E114" s="1">
        <v>200104</v>
      </c>
      <c r="F114" s="1" t="s">
        <v>23</v>
      </c>
      <c r="G114" s="1">
        <v>428020</v>
      </c>
      <c r="H114" s="1">
        <v>423821</v>
      </c>
      <c r="I114" s="1" t="str">
        <f>VLOOKUP(MonthlyPerfomance_Report_2024[[#This Row],[Fusion Account code]],[1]COA!B:D,3,0)</f>
        <v>Business Travel - Per Diem Allowances</v>
      </c>
      <c r="J114" s="6"/>
      <c r="K114" s="6"/>
      <c r="L114" s="6"/>
      <c r="M114" s="6"/>
      <c r="N114" s="6">
        <f>MonthlyPerfomance_Report_2024[[#This Row],[Actual_YTD 2026]]-MonthlyPerfomance_Report_2024[[#This Row],[Actual_YTD 2025]]</f>
        <v>0</v>
      </c>
      <c r="O114" s="1"/>
    </row>
    <row r="115" spans="2:15" x14ac:dyDescent="0.35">
      <c r="B115" s="1">
        <f t="shared" si="1"/>
        <v>451</v>
      </c>
      <c r="C115" s="1" t="str">
        <f>VLOOKUP(MonthlyPerfomance_Report_2024[[#This Row],[Entity Code]],[1]Entity!$B$3:$C$64,2,0)</f>
        <v>Department of Culture and Tourism - Abu Dhabi</v>
      </c>
      <c r="D115" s="1" t="s">
        <v>17</v>
      </c>
      <c r="E115" s="1">
        <v>200104</v>
      </c>
      <c r="F115" s="1" t="s">
        <v>23</v>
      </c>
      <c r="G115" s="1">
        <v>428030</v>
      </c>
      <c r="H115" s="1">
        <v>423831</v>
      </c>
      <c r="I115" s="1" t="str">
        <f>VLOOKUP(MonthlyPerfomance_Report_2024[[#This Row],[Fusion Account code]],[1]COA!B:D,3,0)</f>
        <v>Business Travel - Accommodation expenses</v>
      </c>
      <c r="J115" s="6"/>
      <c r="K115" s="6"/>
      <c r="L115" s="6"/>
      <c r="M115" s="6"/>
      <c r="N115" s="6">
        <f>MonthlyPerfomance_Report_2024[[#This Row],[Actual_YTD 2026]]-MonthlyPerfomance_Report_2024[[#This Row],[Actual_YTD 2025]]</f>
        <v>0</v>
      </c>
      <c r="O115" s="1"/>
    </row>
    <row r="116" spans="2:15" x14ac:dyDescent="0.35">
      <c r="B116" s="1">
        <f t="shared" si="1"/>
        <v>451</v>
      </c>
      <c r="C116" s="1" t="str">
        <f>VLOOKUP(MonthlyPerfomance_Report_2024[[#This Row],[Entity Code]],[1]Entity!$B$3:$C$64,2,0)</f>
        <v>Department of Culture and Tourism - Abu Dhabi</v>
      </c>
      <c r="D116" s="1" t="s">
        <v>17</v>
      </c>
      <c r="E116" s="1">
        <v>200104</v>
      </c>
      <c r="F116" s="1" t="s">
        <v>23</v>
      </c>
      <c r="G116" s="1">
        <v>428110</v>
      </c>
      <c r="H116" s="1">
        <v>423931</v>
      </c>
      <c r="I116" s="1" t="str">
        <f>VLOOKUP(MonthlyPerfomance_Report_2024[[#This Row],[Fusion Account code]],[1]COA!B:D,3,0)</f>
        <v>Consumption charges-Water &amp; Electricity combined</v>
      </c>
      <c r="J116" s="6"/>
      <c r="K116" s="6"/>
      <c r="L116" s="6"/>
      <c r="M116" s="6"/>
      <c r="N116" s="6">
        <f>MonthlyPerfomance_Report_2024[[#This Row],[Actual_YTD 2026]]-MonthlyPerfomance_Report_2024[[#This Row],[Actual_YTD 2025]]</f>
        <v>0</v>
      </c>
      <c r="O116" s="1"/>
    </row>
    <row r="117" spans="2:15" x14ac:dyDescent="0.35">
      <c r="B117" s="1">
        <f t="shared" si="1"/>
        <v>451</v>
      </c>
      <c r="C117" s="1" t="str">
        <f>VLOOKUP(MonthlyPerfomance_Report_2024[[#This Row],[Entity Code]],[1]Entity!$B$3:$C$64,2,0)</f>
        <v>Department of Culture and Tourism - Abu Dhabi</v>
      </c>
      <c r="D117" s="1" t="s">
        <v>17</v>
      </c>
      <c r="E117" s="1">
        <v>200104</v>
      </c>
      <c r="F117" s="1" t="s">
        <v>23</v>
      </c>
      <c r="G117" s="1">
        <v>428200</v>
      </c>
      <c r="H117" s="1">
        <v>424721</v>
      </c>
      <c r="I117" s="1" t="str">
        <f>VLOOKUP(MonthlyPerfomance_Report_2024[[#This Row],[Fusion Account code]],[1]COA!B:D,3,0)</f>
        <v>Health,safety&amp;environment awareness</v>
      </c>
      <c r="J117" s="6"/>
      <c r="K117" s="6"/>
      <c r="L117" s="6"/>
      <c r="M117" s="6"/>
      <c r="N117" s="6">
        <f>MonthlyPerfomance_Report_2024[[#This Row],[Actual_YTD 2026]]-MonthlyPerfomance_Report_2024[[#This Row],[Actual_YTD 2025]]</f>
        <v>0</v>
      </c>
      <c r="O117" s="1"/>
    </row>
    <row r="118" spans="2:15" x14ac:dyDescent="0.35">
      <c r="B118" s="1">
        <f t="shared" si="1"/>
        <v>451</v>
      </c>
      <c r="C118" s="1" t="str">
        <f>VLOOKUP(MonthlyPerfomance_Report_2024[[#This Row],[Entity Code]],[1]Entity!$B$3:$C$64,2,0)</f>
        <v>Department of Culture and Tourism - Abu Dhabi</v>
      </c>
      <c r="D118" s="1" t="s">
        <v>17</v>
      </c>
      <c r="E118" s="1">
        <v>200104</v>
      </c>
      <c r="F118" s="1" t="s">
        <v>23</v>
      </c>
      <c r="G118" s="1">
        <v>428400</v>
      </c>
      <c r="H118" s="1">
        <v>424811</v>
      </c>
      <c r="I118" s="1" t="str">
        <f>VLOOKUP(MonthlyPerfomance_Report_2024[[#This Row],[Fusion Account code]],[1]COA!B:D,3,0)</f>
        <v>Sponsorship expenses/contributions</v>
      </c>
      <c r="J118" s="6"/>
      <c r="K118" s="6"/>
      <c r="L118" s="6"/>
      <c r="M118" s="6"/>
      <c r="N118" s="6">
        <f>MonthlyPerfomance_Report_2024[[#This Row],[Actual_YTD 2026]]-MonthlyPerfomance_Report_2024[[#This Row],[Actual_YTD 2025]]</f>
        <v>0</v>
      </c>
      <c r="O118" s="1"/>
    </row>
    <row r="119" spans="2:15" x14ac:dyDescent="0.35">
      <c r="B119" s="1">
        <f t="shared" si="1"/>
        <v>451</v>
      </c>
      <c r="C119" s="1" t="str">
        <f>VLOOKUP(MonthlyPerfomance_Report_2024[[#This Row],[Entity Code]],[1]Entity!$B$3:$C$64,2,0)</f>
        <v>Department of Culture and Tourism - Abu Dhabi</v>
      </c>
      <c r="D119" s="1" t="s">
        <v>17</v>
      </c>
      <c r="E119" s="1">
        <v>200104</v>
      </c>
      <c r="F119" s="1" t="s">
        <v>23</v>
      </c>
      <c r="G119" s="1">
        <v>428530</v>
      </c>
      <c r="H119" s="1">
        <v>424131</v>
      </c>
      <c r="I119" s="1" t="str">
        <f>VLOOKUP(MonthlyPerfomance_Report_2024[[#This Row],[Fusion Account code]],[1]COA!B:D,3,0)</f>
        <v>License Fee support - Related business</v>
      </c>
      <c r="J119" s="6"/>
      <c r="K119" s="6"/>
      <c r="L119" s="6"/>
      <c r="M119" s="6"/>
      <c r="N119" s="6">
        <f>MonthlyPerfomance_Report_2024[[#This Row],[Actual_YTD 2026]]-MonthlyPerfomance_Report_2024[[#This Row],[Actual_YTD 2025]]</f>
        <v>0</v>
      </c>
      <c r="O119" s="1"/>
    </row>
    <row r="120" spans="2:15" x14ac:dyDescent="0.35">
      <c r="B120" s="1">
        <f t="shared" si="1"/>
        <v>451</v>
      </c>
      <c r="C120" s="1" t="str">
        <f>VLOOKUP(MonthlyPerfomance_Report_2024[[#This Row],[Entity Code]],[1]Entity!$B$3:$C$64,2,0)</f>
        <v>Department of Culture and Tourism - Abu Dhabi</v>
      </c>
      <c r="D120" s="1" t="s">
        <v>17</v>
      </c>
      <c r="E120" s="1">
        <v>200104</v>
      </c>
      <c r="F120" s="1" t="s">
        <v>23</v>
      </c>
      <c r="G120" s="1">
        <v>428620</v>
      </c>
      <c r="H120" s="1">
        <v>424221</v>
      </c>
      <c r="I120" s="1" t="str">
        <f>VLOOKUP(MonthlyPerfomance_Report_2024[[#This Row],[Fusion Account code]],[1]COA!B:D,3,0)</f>
        <v>Events - Production costs</v>
      </c>
      <c r="J120" s="6"/>
      <c r="K120" s="6"/>
      <c r="L120" s="6"/>
      <c r="M120" s="6"/>
      <c r="N120" s="6">
        <f>MonthlyPerfomance_Report_2024[[#This Row],[Actual_YTD 2026]]-MonthlyPerfomance_Report_2024[[#This Row],[Actual_YTD 2025]]</f>
        <v>0</v>
      </c>
      <c r="O120" s="1"/>
    </row>
    <row r="121" spans="2:15" x14ac:dyDescent="0.35">
      <c r="B121" s="1">
        <f t="shared" si="1"/>
        <v>451</v>
      </c>
      <c r="C121" s="1" t="str">
        <f>VLOOKUP(MonthlyPerfomance_Report_2024[[#This Row],[Entity Code]],[1]Entity!$B$3:$C$64,2,0)</f>
        <v>Department of Culture and Tourism - Abu Dhabi</v>
      </c>
      <c r="D121" s="1" t="s">
        <v>17</v>
      </c>
      <c r="E121" s="1">
        <v>200104</v>
      </c>
      <c r="F121" s="1" t="s">
        <v>23</v>
      </c>
      <c r="G121" s="1">
        <v>428640</v>
      </c>
      <c r="H121" s="1">
        <v>424231</v>
      </c>
      <c r="I121" s="1" t="str">
        <f>VLOOKUP(MonthlyPerfomance_Report_2024[[#This Row],[Fusion Account code]],[1]COA!B:D,3,0)</f>
        <v>Events - Awards, prizes &amp; gifts</v>
      </c>
      <c r="J121" s="6"/>
      <c r="K121" s="6"/>
      <c r="L121" s="6"/>
      <c r="M121" s="6"/>
      <c r="N121" s="6">
        <f>MonthlyPerfomance_Report_2024[[#This Row],[Actual_YTD 2026]]-MonthlyPerfomance_Report_2024[[#This Row],[Actual_YTD 2025]]</f>
        <v>0</v>
      </c>
      <c r="O121" s="1"/>
    </row>
    <row r="122" spans="2:15" x14ac:dyDescent="0.35">
      <c r="B122" s="1">
        <f t="shared" si="1"/>
        <v>451</v>
      </c>
      <c r="C122" s="1" t="str">
        <f>VLOOKUP(MonthlyPerfomance_Report_2024[[#This Row],[Entity Code]],[1]Entity!$B$3:$C$64,2,0)</f>
        <v>Department of Culture and Tourism - Abu Dhabi</v>
      </c>
      <c r="D122" s="1" t="s">
        <v>17</v>
      </c>
      <c r="E122" s="1">
        <v>200104</v>
      </c>
      <c r="F122" s="1" t="s">
        <v>23</v>
      </c>
      <c r="G122" s="1">
        <v>428700</v>
      </c>
      <c r="H122" s="1">
        <v>424251</v>
      </c>
      <c r="I122" s="1" t="str">
        <f>VLOOKUP(MonthlyPerfomance_Report_2024[[#This Row],[Fusion Account code]],[1]COA!B:D,3,0)</f>
        <v>Tourism Promotion (include site improvements)</v>
      </c>
      <c r="J122" s="6"/>
      <c r="K122" s="6"/>
      <c r="L122" s="6"/>
      <c r="M122" s="6"/>
      <c r="N122" s="6">
        <f>MonthlyPerfomance_Report_2024[[#This Row],[Actual_YTD 2026]]-MonthlyPerfomance_Report_2024[[#This Row],[Actual_YTD 2025]]</f>
        <v>0</v>
      </c>
      <c r="O122" s="1"/>
    </row>
    <row r="123" spans="2:15" x14ac:dyDescent="0.35">
      <c r="B123" s="1">
        <f t="shared" si="1"/>
        <v>451</v>
      </c>
      <c r="C123" s="1" t="str">
        <f>VLOOKUP(MonthlyPerfomance_Report_2024[[#This Row],[Entity Code]],[1]Entity!$B$3:$C$64,2,0)</f>
        <v>Department of Culture and Tourism - Abu Dhabi</v>
      </c>
      <c r="D123" s="1" t="s">
        <v>17</v>
      </c>
      <c r="E123" s="1">
        <v>200104</v>
      </c>
      <c r="F123" s="1" t="s">
        <v>23</v>
      </c>
      <c r="G123" s="1">
        <v>428810</v>
      </c>
      <c r="H123" s="1">
        <v>421125</v>
      </c>
      <c r="I123" s="1" t="str">
        <f>VLOOKUP(MonthlyPerfomance_Report_2024[[#This Row],[Fusion Account code]],[1]COA!B:D,3,0)</f>
        <v>Professional Operational Service</v>
      </c>
      <c r="J123" s="6"/>
      <c r="K123" s="6"/>
      <c r="L123" s="6"/>
      <c r="M123" s="6"/>
      <c r="N123" s="6">
        <f>MonthlyPerfomance_Report_2024[[#This Row],[Actual_YTD 2026]]-MonthlyPerfomance_Report_2024[[#This Row],[Actual_YTD 2025]]</f>
        <v>0</v>
      </c>
      <c r="O123" s="1"/>
    </row>
    <row r="124" spans="2:15" x14ac:dyDescent="0.35">
      <c r="B124" s="1">
        <f t="shared" si="1"/>
        <v>451</v>
      </c>
      <c r="C124" s="1" t="str">
        <f>VLOOKUP(MonthlyPerfomance_Report_2024[[#This Row],[Entity Code]],[1]Entity!$B$3:$C$64,2,0)</f>
        <v>Department of Culture and Tourism - Abu Dhabi</v>
      </c>
      <c r="D124" s="1" t="s">
        <v>17</v>
      </c>
      <c r="E124" s="1">
        <v>200104</v>
      </c>
      <c r="F124" s="1" t="s">
        <v>23</v>
      </c>
      <c r="G124" s="1">
        <v>428910</v>
      </c>
      <c r="H124" s="1">
        <v>424311</v>
      </c>
      <c r="I124" s="1" t="str">
        <f>VLOOKUP(MonthlyPerfomance_Report_2024[[#This Row],[Fusion Account code]],[1]COA!B:D,3,0)</f>
        <v>Charges for delayed statutory payments / fines</v>
      </c>
      <c r="J124" s="6"/>
      <c r="K124" s="6"/>
      <c r="L124" s="6"/>
      <c r="M124" s="6"/>
      <c r="N124" s="6">
        <f>MonthlyPerfomance_Report_2024[[#This Row],[Actual_YTD 2026]]-MonthlyPerfomance_Report_2024[[#This Row],[Actual_YTD 2025]]</f>
        <v>0</v>
      </c>
      <c r="O124" s="1"/>
    </row>
    <row r="125" spans="2:15" x14ac:dyDescent="0.35">
      <c r="B125" s="1">
        <f t="shared" si="1"/>
        <v>451</v>
      </c>
      <c r="C125" s="1" t="str">
        <f>VLOOKUP(MonthlyPerfomance_Report_2024[[#This Row],[Entity Code]],[1]Entity!$B$3:$C$64,2,0)</f>
        <v>Department of Culture and Tourism - Abu Dhabi</v>
      </c>
      <c r="D125" s="1" t="s">
        <v>17</v>
      </c>
      <c r="E125" s="1">
        <v>200104</v>
      </c>
      <c r="F125" s="1" t="s">
        <v>23</v>
      </c>
      <c r="G125" s="1">
        <v>429900</v>
      </c>
      <c r="H125" s="1">
        <v>424991</v>
      </c>
      <c r="I125" s="1" t="str">
        <f>VLOOKUP(MonthlyPerfomance_Report_2024[[#This Row],[Fusion Account code]],[1]COA!B:D,3,0)</f>
        <v>Other services, not specifically mentioned elsewhere</v>
      </c>
      <c r="J125" s="6"/>
      <c r="K125" s="6"/>
      <c r="L125" s="6"/>
      <c r="M125" s="6"/>
      <c r="N125" s="6">
        <f>MonthlyPerfomance_Report_2024[[#This Row],[Actual_YTD 2026]]-MonthlyPerfomance_Report_2024[[#This Row],[Actual_YTD 2025]]</f>
        <v>0</v>
      </c>
      <c r="O125" s="1"/>
    </row>
    <row r="126" spans="2:15" x14ac:dyDescent="0.35">
      <c r="B126" s="1">
        <f t="shared" si="1"/>
        <v>451</v>
      </c>
      <c r="C126" s="1" t="str">
        <f>VLOOKUP(MonthlyPerfomance_Report_2024[[#This Row],[Entity Code]],[1]Entity!$B$3:$C$64,2,0)</f>
        <v>Department of Culture and Tourism - Abu Dhabi</v>
      </c>
      <c r="D126" s="1" t="s">
        <v>17</v>
      </c>
      <c r="E126" s="1">
        <v>200104</v>
      </c>
      <c r="F126" s="1" t="s">
        <v>23</v>
      </c>
      <c r="G126" s="1">
        <v>430120</v>
      </c>
      <c r="H126" s="1">
        <v>425112</v>
      </c>
      <c r="I126" s="1" t="str">
        <f>VLOOKUP(MonthlyPerfomance_Report_2024[[#This Row],[Fusion Account code]],[1]COA!B:D,3,0)</f>
        <v>Rental - Buildings, other than staff residences</v>
      </c>
      <c r="J126" s="6"/>
      <c r="K126" s="6"/>
      <c r="L126" s="6"/>
      <c r="M126" s="6"/>
      <c r="N126" s="6">
        <f>MonthlyPerfomance_Report_2024[[#This Row],[Actual_YTD 2026]]-MonthlyPerfomance_Report_2024[[#This Row],[Actual_YTD 2025]]</f>
        <v>0</v>
      </c>
      <c r="O126" s="1"/>
    </row>
    <row r="127" spans="2:15" x14ac:dyDescent="0.35">
      <c r="B127" s="1">
        <f t="shared" si="1"/>
        <v>451</v>
      </c>
      <c r="C127" s="1" t="str">
        <f>VLOOKUP(MonthlyPerfomance_Report_2024[[#This Row],[Entity Code]],[1]Entity!$B$3:$C$64,2,0)</f>
        <v>Department of Culture and Tourism - Abu Dhabi</v>
      </c>
      <c r="D127" s="1" t="s">
        <v>17</v>
      </c>
      <c r="E127" s="1">
        <v>200104</v>
      </c>
      <c r="F127" s="1" t="s">
        <v>23</v>
      </c>
      <c r="G127" s="1">
        <v>430330</v>
      </c>
      <c r="H127" s="1">
        <v>425203</v>
      </c>
      <c r="I127" s="1" t="str">
        <f>VLOOKUP(MonthlyPerfomance_Report_2024[[#This Row],[Fusion Account code]],[1]COA!B:D,3,0)</f>
        <v>Rental - Motor vehicles</v>
      </c>
      <c r="J127" s="6"/>
      <c r="K127" s="6"/>
      <c r="L127" s="6"/>
      <c r="M127" s="6"/>
      <c r="N127" s="6">
        <f>MonthlyPerfomance_Report_2024[[#This Row],[Actual_YTD 2026]]-MonthlyPerfomance_Report_2024[[#This Row],[Actual_YTD 2025]]</f>
        <v>0</v>
      </c>
      <c r="O127" s="1"/>
    </row>
    <row r="128" spans="2:15" x14ac:dyDescent="0.35">
      <c r="B128" s="1">
        <f t="shared" si="1"/>
        <v>451</v>
      </c>
      <c r="C128" s="1" t="str">
        <f>VLOOKUP(MonthlyPerfomance_Report_2024[[#This Row],[Entity Code]],[1]Entity!$B$3:$C$64,2,0)</f>
        <v>Department of Culture and Tourism - Abu Dhabi</v>
      </c>
      <c r="D128" s="1" t="s">
        <v>17</v>
      </c>
      <c r="E128" s="1">
        <v>200104</v>
      </c>
      <c r="F128" s="1" t="s">
        <v>23</v>
      </c>
      <c r="G128" s="1">
        <v>430920</v>
      </c>
      <c r="H128" s="1">
        <v>425252</v>
      </c>
      <c r="I128" s="1" t="str">
        <f>VLOOKUP(MonthlyPerfomance_Report_2024[[#This Row],[Fusion Account code]],[1]COA!B:D,3,0)</f>
        <v>Rental - Computer software-Rental/Subscription - Computer software</v>
      </c>
      <c r="J128" s="6"/>
      <c r="K128" s="6"/>
      <c r="L128" s="6"/>
      <c r="M128" s="6"/>
      <c r="N128" s="6">
        <f>MonthlyPerfomance_Report_2024[[#This Row],[Actual_YTD 2026]]-MonthlyPerfomance_Report_2024[[#This Row],[Actual_YTD 2025]]</f>
        <v>0</v>
      </c>
      <c r="O128" s="1"/>
    </row>
    <row r="129" spans="1:15" x14ac:dyDescent="0.35">
      <c r="B129" s="1">
        <f t="shared" si="1"/>
        <v>451</v>
      </c>
      <c r="C129" s="1" t="str">
        <f>VLOOKUP(MonthlyPerfomance_Report_2024[[#This Row],[Entity Code]],[1]Entity!$B$3:$C$64,2,0)</f>
        <v>Department of Culture and Tourism - Abu Dhabi</v>
      </c>
      <c r="D129" s="1" t="s">
        <v>17</v>
      </c>
      <c r="E129" s="1">
        <v>200104</v>
      </c>
      <c r="F129" s="1" t="s">
        <v>23</v>
      </c>
      <c r="G129" s="1">
        <v>430922</v>
      </c>
      <c r="H129" s="1">
        <v>425301</v>
      </c>
      <c r="I129" s="1" t="str">
        <f>VLOOKUP(MonthlyPerfomance_Report_2024[[#This Row],[Fusion Account code]],[1]COA!B:D,3,0)</f>
        <v>PaaS - Integration Platforms and Tools Subscription</v>
      </c>
      <c r="J129" s="6"/>
      <c r="K129" s="6"/>
      <c r="L129" s="6"/>
      <c r="M129" s="6"/>
      <c r="N129" s="6">
        <f>MonthlyPerfomance_Report_2024[[#This Row],[Actual_YTD 2026]]-MonthlyPerfomance_Report_2024[[#This Row],[Actual_YTD 2025]]</f>
        <v>0</v>
      </c>
      <c r="O129" s="1"/>
    </row>
    <row r="130" spans="1:15" x14ac:dyDescent="0.35">
      <c r="B130" s="1">
        <f t="shared" si="1"/>
        <v>451</v>
      </c>
      <c r="C130" s="1" t="str">
        <f>VLOOKUP(MonthlyPerfomance_Report_2024[[#This Row],[Entity Code]],[1]Entity!$B$3:$C$64,2,0)</f>
        <v>Department of Culture and Tourism - Abu Dhabi</v>
      </c>
      <c r="D130" s="1" t="s">
        <v>17</v>
      </c>
      <c r="E130" s="1">
        <v>200104</v>
      </c>
      <c r="F130" s="1" t="s">
        <v>23</v>
      </c>
      <c r="G130" s="1">
        <v>430923</v>
      </c>
      <c r="H130" s="1">
        <v>425302</v>
      </c>
      <c r="I130" s="1" t="str">
        <f>VLOOKUP(MonthlyPerfomance_Report_2024[[#This Row],[Fusion Account code]],[1]COA!B:D,3,0)</f>
        <v>SaaS - Security Software Subscription</v>
      </c>
      <c r="J130" s="6"/>
      <c r="K130" s="6"/>
      <c r="L130" s="6"/>
      <c r="M130" s="6"/>
      <c r="N130" s="6">
        <f>MonthlyPerfomance_Report_2024[[#This Row],[Actual_YTD 2026]]-MonthlyPerfomance_Report_2024[[#This Row],[Actual_YTD 2025]]</f>
        <v>0</v>
      </c>
      <c r="O130" s="1"/>
    </row>
    <row r="131" spans="1:15" x14ac:dyDescent="0.35">
      <c r="B131" s="1">
        <f t="shared" si="1"/>
        <v>451</v>
      </c>
      <c r="C131" s="1" t="str">
        <f>VLOOKUP(MonthlyPerfomance_Report_2024[[#This Row],[Entity Code]],[1]Entity!$B$3:$C$64,2,0)</f>
        <v>Department of Culture and Tourism - Abu Dhabi</v>
      </c>
      <c r="D131" s="1" t="s">
        <v>17</v>
      </c>
      <c r="E131" s="1">
        <v>200104</v>
      </c>
      <c r="F131" s="1" t="s">
        <v>23</v>
      </c>
      <c r="G131" s="1">
        <v>432120</v>
      </c>
      <c r="H131" s="1">
        <v>426212</v>
      </c>
      <c r="I131" s="1" t="str">
        <f>VLOOKUP(MonthlyPerfomance_Report_2024[[#This Row],[Fusion Account code]],[1]COA!B:D,3,0)</f>
        <v>Bldg maintenance-Business premises</v>
      </c>
      <c r="J131" s="6"/>
      <c r="K131" s="6"/>
      <c r="L131" s="6"/>
      <c r="M131" s="6"/>
      <c r="N131" s="6">
        <f>MonthlyPerfomance_Report_2024[[#This Row],[Actual_YTD 2026]]-MonthlyPerfomance_Report_2024[[#This Row],[Actual_YTD 2025]]</f>
        <v>0</v>
      </c>
      <c r="O131" s="1"/>
    </row>
    <row r="132" spans="1:15" x14ac:dyDescent="0.35">
      <c r="B132" s="1">
        <f t="shared" si="1"/>
        <v>451</v>
      </c>
      <c r="C132" s="1" t="str">
        <f>VLOOKUP(MonthlyPerfomance_Report_2024[[#This Row],[Entity Code]],[1]Entity!$B$3:$C$64,2,0)</f>
        <v>Department of Culture and Tourism - Abu Dhabi</v>
      </c>
      <c r="D132" s="1" t="s">
        <v>17</v>
      </c>
      <c r="E132" s="1">
        <v>200104</v>
      </c>
      <c r="F132" s="1" t="s">
        <v>23</v>
      </c>
      <c r="G132" s="1">
        <v>432222</v>
      </c>
      <c r="H132" s="1">
        <v>426427</v>
      </c>
      <c r="I132" s="1" t="str">
        <f>VLOOKUP(MonthlyPerfomance_Report_2024[[#This Row],[Fusion Account code]],[1]COA!B:D,3,0)</f>
        <v>Maintenance &amp; repair-Exhibition Stands, etc</v>
      </c>
      <c r="J132" s="6"/>
      <c r="K132" s="6"/>
      <c r="L132" s="6"/>
      <c r="M132" s="6"/>
      <c r="N132" s="6">
        <f>MonthlyPerfomance_Report_2024[[#This Row],[Actual_YTD 2026]]-MonthlyPerfomance_Report_2024[[#This Row],[Actual_YTD 2025]]</f>
        <v>0</v>
      </c>
      <c r="O132" s="1"/>
    </row>
    <row r="133" spans="1:15" x14ac:dyDescent="0.35">
      <c r="B133" s="1">
        <f t="shared" ref="B133:B195" si="2">$B$3</f>
        <v>451</v>
      </c>
      <c r="C133" s="1" t="str">
        <f>VLOOKUP(MonthlyPerfomance_Report_2024[[#This Row],[Entity Code]],[1]Entity!$B$3:$C$64,2,0)</f>
        <v>Department of Culture and Tourism - Abu Dhabi</v>
      </c>
      <c r="D133" s="1" t="s">
        <v>17</v>
      </c>
      <c r="E133" s="1">
        <v>200104</v>
      </c>
      <c r="F133" s="1" t="s">
        <v>23</v>
      </c>
      <c r="G133" s="1">
        <v>435330</v>
      </c>
      <c r="H133" s="1">
        <v>431113</v>
      </c>
      <c r="I133" s="1" t="str">
        <f>VLOOKUP(MonthlyPerfomance_Report_2024[[#This Row],[Fusion Account code]],[1]COA!B:D,3,0)</f>
        <v>Library books supplies</v>
      </c>
      <c r="J133" s="6"/>
      <c r="K133" s="6"/>
      <c r="L133" s="6"/>
      <c r="M133" s="6"/>
      <c r="N133" s="6">
        <f>MonthlyPerfomance_Report_2024[[#This Row],[Actual_YTD 2026]]-MonthlyPerfomance_Report_2024[[#This Row],[Actual_YTD 2025]]</f>
        <v>0</v>
      </c>
      <c r="O133" s="1"/>
    </row>
    <row r="134" spans="1:15" x14ac:dyDescent="0.35">
      <c r="B134" s="1">
        <f t="shared" si="2"/>
        <v>451</v>
      </c>
      <c r="C134" s="1" t="str">
        <f>VLOOKUP(MonthlyPerfomance_Report_2024[[#This Row],[Entity Code]],[1]Entity!$B$3:$C$64,2,0)</f>
        <v>Department of Culture and Tourism - Abu Dhabi</v>
      </c>
      <c r="D134" s="1" t="s">
        <v>17</v>
      </c>
      <c r="E134" s="1">
        <v>200104</v>
      </c>
      <c r="F134" s="1" t="s">
        <v>23</v>
      </c>
      <c r="G134" s="1">
        <v>435340</v>
      </c>
      <c r="H134" s="1">
        <v>431114</v>
      </c>
      <c r="I134" s="1" t="str">
        <f>VLOOKUP(MonthlyPerfomance_Report_2024[[#This Row],[Fusion Account code]],[1]COA!B:D,3,0)</f>
        <v>Text books and library books</v>
      </c>
      <c r="J134" s="6"/>
      <c r="K134" s="6"/>
      <c r="L134" s="6"/>
      <c r="M134" s="6"/>
      <c r="N134" s="6">
        <f>MonthlyPerfomance_Report_2024[[#This Row],[Actual_YTD 2026]]-MonthlyPerfomance_Report_2024[[#This Row],[Actual_YTD 2025]]</f>
        <v>0</v>
      </c>
      <c r="O134" s="1"/>
    </row>
    <row r="135" spans="1:15" x14ac:dyDescent="0.35">
      <c r="B135" s="1">
        <f t="shared" si="2"/>
        <v>451</v>
      </c>
      <c r="C135" s="1" t="str">
        <f>VLOOKUP(MonthlyPerfomance_Report_2024[[#This Row],[Entity Code]],[1]Entity!$B$3:$C$64,2,0)</f>
        <v>Department of Culture and Tourism - Abu Dhabi</v>
      </c>
      <c r="D135" s="1" t="s">
        <v>17</v>
      </c>
      <c r="E135" s="1">
        <v>200104</v>
      </c>
      <c r="F135" s="1" t="s">
        <v>23</v>
      </c>
      <c r="G135" s="1">
        <v>435460</v>
      </c>
      <c r="H135" s="1">
        <v>431316</v>
      </c>
      <c r="I135" s="1" t="str">
        <f>VLOOKUP(MonthlyPerfomance_Report_2024[[#This Row],[Fusion Account code]],[1]COA!B:D,3,0)</f>
        <v>Catering supplies- Kitchen</v>
      </c>
      <c r="J135" s="6"/>
      <c r="K135" s="6"/>
      <c r="L135" s="6"/>
      <c r="M135" s="6"/>
      <c r="N135" s="6">
        <f>MonthlyPerfomance_Report_2024[[#This Row],[Actual_YTD 2026]]-MonthlyPerfomance_Report_2024[[#This Row],[Actual_YTD 2025]]</f>
        <v>0</v>
      </c>
      <c r="O135" s="1"/>
    </row>
    <row r="136" spans="1:15" x14ac:dyDescent="0.35">
      <c r="B136" s="1">
        <f t="shared" si="2"/>
        <v>451</v>
      </c>
      <c r="C136" s="1" t="str">
        <f>VLOOKUP(MonthlyPerfomance_Report_2024[[#This Row],[Entity Code]],[1]Entity!$B$3:$C$64,2,0)</f>
        <v>Department of Culture and Tourism - Abu Dhabi</v>
      </c>
      <c r="D136" s="1" t="s">
        <v>17</v>
      </c>
      <c r="E136" s="1">
        <v>200104</v>
      </c>
      <c r="F136" s="1" t="s">
        <v>23</v>
      </c>
      <c r="G136" s="1">
        <v>435510</v>
      </c>
      <c r="H136" s="1">
        <v>432614</v>
      </c>
      <c r="I136" s="1" t="str">
        <f>VLOOKUP(MonthlyPerfomance_Report_2024[[#This Row],[Fusion Account code]],[1]COA!B:D,3,0)</f>
        <v>Landscaping and other horticulture</v>
      </c>
      <c r="J136" s="6"/>
      <c r="K136" s="6"/>
      <c r="L136" s="6"/>
      <c r="M136" s="6"/>
      <c r="N136" s="6">
        <f>MonthlyPerfomance_Report_2024[[#This Row],[Actual_YTD 2026]]-MonthlyPerfomance_Report_2024[[#This Row],[Actual_YTD 2025]]</f>
        <v>0</v>
      </c>
      <c r="O136" s="1"/>
    </row>
    <row r="137" spans="1:15" x14ac:dyDescent="0.35">
      <c r="B137" s="1">
        <f t="shared" si="2"/>
        <v>451</v>
      </c>
      <c r="C137" s="1" t="str">
        <f>VLOOKUP(MonthlyPerfomance_Report_2024[[#This Row],[Entity Code]],[1]Entity!$B$3:$C$64,2,0)</f>
        <v>Department of Culture and Tourism - Abu Dhabi</v>
      </c>
      <c r="D137" s="1" t="s">
        <v>17</v>
      </c>
      <c r="E137" s="1">
        <v>200104</v>
      </c>
      <c r="F137" s="1" t="s">
        <v>23</v>
      </c>
      <c r="G137" s="1">
        <v>435522</v>
      </c>
      <c r="H137" s="1">
        <v>431512</v>
      </c>
      <c r="I137" s="1" t="str">
        <f>VLOOKUP(MonthlyPerfomance_Report_2024[[#This Row],[Fusion Account code]],[1]COA!B:D,3,0)</f>
        <v>Heritage and historical</v>
      </c>
      <c r="J137" s="6"/>
      <c r="K137" s="6"/>
      <c r="L137" s="6"/>
      <c r="M137" s="6"/>
      <c r="N137" s="6">
        <f>MonthlyPerfomance_Report_2024[[#This Row],[Actual_YTD 2026]]-MonthlyPerfomance_Report_2024[[#This Row],[Actual_YTD 2025]]</f>
        <v>0</v>
      </c>
      <c r="O137" s="1"/>
    </row>
    <row r="138" spans="1:15" x14ac:dyDescent="0.35">
      <c r="B138" s="1">
        <f t="shared" si="2"/>
        <v>451</v>
      </c>
      <c r="C138" s="1" t="str">
        <f>VLOOKUP(MonthlyPerfomance_Report_2024[[#This Row],[Entity Code]],[1]Entity!$B$3:$C$64,2,0)</f>
        <v>Department of Culture and Tourism - Abu Dhabi</v>
      </c>
      <c r="D138" s="1" t="s">
        <v>17</v>
      </c>
      <c r="E138" s="1">
        <v>200104</v>
      </c>
      <c r="F138" s="1" t="s">
        <v>23</v>
      </c>
      <c r="G138" s="1">
        <v>435532</v>
      </c>
      <c r="H138" s="1">
        <v>432622</v>
      </c>
      <c r="I138" s="1" t="str">
        <f>VLOOKUP(MonthlyPerfomance_Report_2024[[#This Row],[Fusion Account code]],[1]COA!B:D,3,0)</f>
        <v>Training aid and other supplies</v>
      </c>
      <c r="J138" s="6"/>
      <c r="K138" s="6"/>
      <c r="L138" s="6"/>
      <c r="M138" s="6"/>
      <c r="N138" s="6">
        <f>MonthlyPerfomance_Report_2024[[#This Row],[Actual_YTD 2026]]-MonthlyPerfomance_Report_2024[[#This Row],[Actual_YTD 2025]]</f>
        <v>0</v>
      </c>
      <c r="O138" s="1"/>
    </row>
    <row r="139" spans="1:15" x14ac:dyDescent="0.35">
      <c r="B139" s="1">
        <f t="shared" si="2"/>
        <v>451</v>
      </c>
      <c r="C139" s="1" t="str">
        <f>VLOOKUP(MonthlyPerfomance_Report_2024[[#This Row],[Entity Code]],[1]Entity!$B$3:$C$64,2,0)</f>
        <v>Department of Culture and Tourism - Abu Dhabi</v>
      </c>
      <c r="D139" s="1" t="s">
        <v>17</v>
      </c>
      <c r="E139" s="1">
        <v>200104</v>
      </c>
      <c r="F139" s="1" t="s">
        <v>23</v>
      </c>
      <c r="G139" s="1">
        <v>435620</v>
      </c>
      <c r="H139" s="1">
        <v>432624</v>
      </c>
      <c r="I139" s="1" t="str">
        <f>VLOOKUP(MonthlyPerfomance_Report_2024[[#This Row],[Fusion Account code]],[1]COA!B:D,3,0)</f>
        <v>Exhibits: Museums</v>
      </c>
      <c r="J139" s="6"/>
      <c r="K139" s="6"/>
      <c r="L139" s="6"/>
      <c r="M139" s="6"/>
      <c r="N139" s="6">
        <f>MonthlyPerfomance_Report_2024[[#This Row],[Actual_YTD 2026]]-MonthlyPerfomance_Report_2024[[#This Row],[Actual_YTD 2025]]</f>
        <v>0</v>
      </c>
      <c r="O139" s="1"/>
    </row>
    <row r="140" spans="1:15" x14ac:dyDescent="0.35">
      <c r="B140" s="1">
        <f t="shared" si="2"/>
        <v>451</v>
      </c>
      <c r="C140" s="1" t="str">
        <f>VLOOKUP(MonthlyPerfomance_Report_2024[[#This Row],[Entity Code]],[1]Entity!$B$3:$C$64,2,0)</f>
        <v>Department of Culture and Tourism - Abu Dhabi</v>
      </c>
      <c r="D140" s="1" t="s">
        <v>17</v>
      </c>
      <c r="E140" s="1">
        <v>200104</v>
      </c>
      <c r="F140" s="1" t="s">
        <v>23</v>
      </c>
      <c r="G140" s="1">
        <v>435740</v>
      </c>
      <c r="H140" s="1">
        <v>431614</v>
      </c>
      <c r="I140" s="1" t="str">
        <f>VLOOKUP(MonthlyPerfomance_Report_2024[[#This Row],[Fusion Account code]],[1]COA!B:D,3,0)</f>
        <v>Fuel, oil and lubricants: Motor vehicles</v>
      </c>
      <c r="J140" s="6"/>
      <c r="K140" s="6"/>
      <c r="L140" s="6"/>
      <c r="M140" s="6"/>
      <c r="N140" s="6">
        <f>MonthlyPerfomance_Report_2024[[#This Row],[Actual_YTD 2026]]-MonthlyPerfomance_Report_2024[[#This Row],[Actual_YTD 2025]]</f>
        <v>0</v>
      </c>
      <c r="O140" s="1"/>
    </row>
    <row r="141" spans="1:15" x14ac:dyDescent="0.35">
      <c r="B141" s="1">
        <f t="shared" si="2"/>
        <v>451</v>
      </c>
      <c r="C141" s="1" t="str">
        <f>VLOOKUP(MonthlyPerfomance_Report_2024[[#This Row],[Entity Code]],[1]Entity!$B$3:$C$64,2,0)</f>
        <v>Department of Culture and Tourism - Abu Dhabi</v>
      </c>
      <c r="D141" s="1" t="s">
        <v>17</v>
      </c>
      <c r="E141" s="1">
        <v>200104</v>
      </c>
      <c r="F141" s="1" t="s">
        <v>23</v>
      </c>
      <c r="G141" s="1">
        <v>436120</v>
      </c>
      <c r="H141" s="1">
        <v>431812</v>
      </c>
      <c r="I141" s="1" t="str">
        <f>VLOOKUP(MonthlyPerfomance_Report_2024[[#This Row],[Fusion Account code]],[1]COA!B:D,3,0)</f>
        <v>Stationery</v>
      </c>
      <c r="J141" s="6"/>
      <c r="K141" s="6"/>
      <c r="L141" s="6"/>
      <c r="M141" s="6"/>
      <c r="N141" s="6">
        <f>MonthlyPerfomance_Report_2024[[#This Row],[Actual_YTD 2026]]-MonthlyPerfomance_Report_2024[[#This Row],[Actual_YTD 2025]]</f>
        <v>0</v>
      </c>
      <c r="O141" s="1"/>
    </row>
    <row r="142" spans="1:15" x14ac:dyDescent="0.35">
      <c r="B142" s="1">
        <f t="shared" si="2"/>
        <v>451</v>
      </c>
      <c r="C142" s="1" t="str">
        <f>VLOOKUP(MonthlyPerfomance_Report_2024[[#This Row],[Entity Code]],[1]Entity!$B$3:$C$64,2,0)</f>
        <v>Department of Culture and Tourism - Abu Dhabi</v>
      </c>
      <c r="D142" s="1" t="s">
        <v>17</v>
      </c>
      <c r="E142" s="1">
        <v>200104</v>
      </c>
      <c r="F142" s="1" t="s">
        <v>23</v>
      </c>
      <c r="G142" s="1">
        <v>436600</v>
      </c>
      <c r="H142" s="1">
        <v>432312</v>
      </c>
      <c r="I142" s="1" t="str">
        <f>VLOOKUP(MonthlyPerfomance_Report_2024[[#This Row],[Fusion Account code]],[1]COA!B:D,3,0)</f>
        <v>Training/Teaching equipment and other educational aid</v>
      </c>
      <c r="J142" s="6"/>
      <c r="K142" s="6"/>
      <c r="L142" s="6"/>
      <c r="M142" s="6"/>
      <c r="N142" s="6">
        <f>MonthlyPerfomance_Report_2024[[#This Row],[Actual_YTD 2026]]-MonthlyPerfomance_Report_2024[[#This Row],[Actual_YTD 2025]]</f>
        <v>0</v>
      </c>
      <c r="O142" s="1"/>
    </row>
    <row r="143" spans="1:15" x14ac:dyDescent="0.35">
      <c r="B143" s="1">
        <f t="shared" si="2"/>
        <v>451</v>
      </c>
      <c r="C143" s="1" t="str">
        <f>VLOOKUP(MonthlyPerfomance_Report_2024[[#This Row],[Entity Code]],[1]Entity!$B$3:$C$64,2,0)</f>
        <v>Department of Culture and Tourism - Abu Dhabi</v>
      </c>
      <c r="D143" s="1" t="s">
        <v>17</v>
      </c>
      <c r="E143" s="1">
        <v>200104</v>
      </c>
      <c r="F143" s="1" t="s">
        <v>23</v>
      </c>
      <c r="G143" s="1">
        <v>458131</v>
      </c>
      <c r="H143" s="1">
        <v>462512</v>
      </c>
      <c r="I143" s="1" t="str">
        <f>VLOOKUP(MonthlyPerfomance_Report_2024[[#This Row],[Fusion Account code]],[1]COA!B:D,3,0)</f>
        <v>Public-private partnerships</v>
      </c>
      <c r="J143" s="6"/>
      <c r="K143" s="6"/>
      <c r="L143" s="6"/>
      <c r="M143" s="6"/>
      <c r="N143" s="6">
        <f>MonthlyPerfomance_Report_2024[[#This Row],[Actual_YTD 2026]]-MonthlyPerfomance_Report_2024[[#This Row],[Actual_YTD 2025]]</f>
        <v>0</v>
      </c>
      <c r="O143" s="1"/>
    </row>
    <row r="144" spans="1:15" s="10" customFormat="1" ht="26.15" customHeight="1" x14ac:dyDescent="0.35">
      <c r="A144"/>
      <c r="B144" s="1">
        <f t="shared" si="2"/>
        <v>451</v>
      </c>
      <c r="C144" s="1" t="str">
        <f>VLOOKUP(MonthlyPerfomance_Report_2024[[#This Row],[Entity Code]],[1]Entity!$B$3:$C$64,2,0)</f>
        <v>Department of Culture and Tourism - Abu Dhabi</v>
      </c>
      <c r="D144" s="1" t="s">
        <v>17</v>
      </c>
      <c r="E144" s="1">
        <v>200104</v>
      </c>
      <c r="F144" s="1" t="s">
        <v>23</v>
      </c>
      <c r="G144" s="1">
        <v>458173</v>
      </c>
      <c r="H144" s="1">
        <v>461412</v>
      </c>
      <c r="I144" s="1" t="str">
        <f>VLOOKUP(MonthlyPerfomance_Report_2024[[#This Row],[Fusion Account code]],[1]COA!B:D,3,0)</f>
        <v>Support to AD tourism development program</v>
      </c>
      <c r="J144" s="6"/>
      <c r="K144" s="6"/>
      <c r="L144" s="6"/>
      <c r="M144" s="6"/>
      <c r="N144" s="6">
        <f>MonthlyPerfomance_Report_2024[[#This Row],[Actual_YTD 2026]]-MonthlyPerfomance_Report_2024[[#This Row],[Actual_YTD 2025]]</f>
        <v>0</v>
      </c>
      <c r="O144" s="1"/>
    </row>
    <row r="145" spans="2:15" x14ac:dyDescent="0.35">
      <c r="B145" s="1">
        <f t="shared" si="2"/>
        <v>451</v>
      </c>
      <c r="C145" s="1" t="str">
        <f>VLOOKUP(MonthlyPerfomance_Report_2024[[#This Row],[Entity Code]],[1]Entity!$B$3:$C$64,2,0)</f>
        <v>Department of Culture and Tourism - Abu Dhabi</v>
      </c>
      <c r="D145" s="1" t="s">
        <v>17</v>
      </c>
      <c r="E145" s="1">
        <v>200104</v>
      </c>
      <c r="F145" s="1" t="s">
        <v>23</v>
      </c>
      <c r="G145" s="1">
        <v>474000</v>
      </c>
      <c r="H145" s="1">
        <v>438900</v>
      </c>
      <c r="I145" s="1" t="str">
        <f>VLOOKUP(MonthlyPerfomance_Report_2024[[#This Row],[Fusion Account code]],[1]COA!B:D,3,0)</f>
        <v>Refund of prior years revenue collections</v>
      </c>
      <c r="J145" s="6"/>
      <c r="K145" s="6"/>
      <c r="L145" s="6"/>
      <c r="M145" s="6"/>
      <c r="N145" s="6">
        <f>MonthlyPerfomance_Report_2024[[#This Row],[Actual_YTD 2026]]-MonthlyPerfomance_Report_2024[[#This Row],[Actual_YTD 2025]]</f>
        <v>0</v>
      </c>
      <c r="O145" s="1"/>
    </row>
    <row r="146" spans="2:15" x14ac:dyDescent="0.35">
      <c r="B146" s="1">
        <f t="shared" si="2"/>
        <v>451</v>
      </c>
      <c r="C146" s="1" t="str">
        <f>VLOOKUP(MonthlyPerfomance_Report_2024[[#This Row],[Entity Code]],[1]Entity!$B$3:$C$64,2,0)</f>
        <v>Department of Culture and Tourism - Abu Dhabi</v>
      </c>
      <c r="D146" s="1" t="s">
        <v>17</v>
      </c>
      <c r="E146" s="1">
        <v>201096</v>
      </c>
      <c r="F146" s="1" t="s">
        <v>24</v>
      </c>
      <c r="G146" s="1">
        <v>428400</v>
      </c>
      <c r="H146" s="1">
        <v>424811</v>
      </c>
      <c r="I146" s="1" t="str">
        <f>VLOOKUP(MonthlyPerfomance_Report_2024[[#This Row],[Fusion Account code]],[1]COA!B:D,3,0)</f>
        <v>Sponsorship expenses/contributions</v>
      </c>
      <c r="J146" s="6"/>
      <c r="K146" s="6"/>
      <c r="L146" s="6"/>
      <c r="M146" s="6"/>
      <c r="N146" s="6">
        <f>MonthlyPerfomance_Report_2024[[#This Row],[Actual_YTD 2026]]-MonthlyPerfomance_Report_2024[[#This Row],[Actual_YTD 2025]]</f>
        <v>0</v>
      </c>
      <c r="O146" s="1"/>
    </row>
    <row r="147" spans="2:15" x14ac:dyDescent="0.35">
      <c r="B147" s="1">
        <f t="shared" si="2"/>
        <v>451</v>
      </c>
      <c r="C147" s="1" t="str">
        <f>VLOOKUP(MonthlyPerfomance_Report_2024[[#This Row],[Entity Code]],[1]Entity!$B$3:$C$64,2,0)</f>
        <v>Department of Culture and Tourism - Abu Dhabi</v>
      </c>
      <c r="D147" s="1" t="s">
        <v>17</v>
      </c>
      <c r="E147" s="1">
        <v>201760</v>
      </c>
      <c r="F147" s="1" t="s">
        <v>25</v>
      </c>
      <c r="G147" s="1">
        <v>427520</v>
      </c>
      <c r="H147" s="1">
        <v>423531</v>
      </c>
      <c r="I147" s="1" t="str">
        <f>VLOOKUP(MonthlyPerfomance_Report_2024[[#This Row],[Fusion Account code]],[1]COA!B:D,3,0)</f>
        <v>International sports Events</v>
      </c>
      <c r="J147" s="6"/>
      <c r="K147" s="6"/>
      <c r="L147" s="6"/>
      <c r="M147" s="6"/>
      <c r="N147" s="6">
        <f>MonthlyPerfomance_Report_2024[[#This Row],[Actual_YTD 2026]]-MonthlyPerfomance_Report_2024[[#This Row],[Actual_YTD 2025]]</f>
        <v>0</v>
      </c>
      <c r="O147" s="1"/>
    </row>
    <row r="148" spans="2:15" x14ac:dyDescent="0.35">
      <c r="B148" s="1">
        <f t="shared" si="2"/>
        <v>451</v>
      </c>
      <c r="C148" s="1" t="str">
        <f>VLOOKUP(MonthlyPerfomance_Report_2024[[#This Row],[Entity Code]],[1]Entity!$B$3:$C$64,2,0)</f>
        <v>Department of Culture and Tourism - Abu Dhabi</v>
      </c>
      <c r="D148" s="1" t="s">
        <v>17</v>
      </c>
      <c r="E148" s="1">
        <v>201868</v>
      </c>
      <c r="F148" s="1" t="s">
        <v>26</v>
      </c>
      <c r="G148" s="1">
        <v>421800</v>
      </c>
      <c r="H148" s="1">
        <v>421123</v>
      </c>
      <c r="I148" s="1" t="str">
        <f>VLOOKUP(MonthlyPerfomance_Report_2024[[#This Row],[Fusion Account code]],[1]COA!B:D,3,0)</f>
        <v>Strategic planning consultancy</v>
      </c>
      <c r="J148" s="6"/>
      <c r="K148" s="6"/>
      <c r="L148" s="6"/>
      <c r="M148" s="6"/>
      <c r="N148" s="6">
        <f>MonthlyPerfomance_Report_2024[[#This Row],[Actual_YTD 2026]]-MonthlyPerfomance_Report_2024[[#This Row],[Actual_YTD 2025]]</f>
        <v>0</v>
      </c>
      <c r="O148" s="1"/>
    </row>
    <row r="149" spans="2:15" x14ac:dyDescent="0.35">
      <c r="B149" s="1">
        <f t="shared" si="2"/>
        <v>451</v>
      </c>
      <c r="C149" s="1" t="str">
        <f>VLOOKUP(MonthlyPerfomance_Report_2024[[#This Row],[Entity Code]],[1]Entity!$B$3:$C$64,2,0)</f>
        <v>Department of Culture and Tourism - Abu Dhabi</v>
      </c>
      <c r="D149" s="1" t="s">
        <v>17</v>
      </c>
      <c r="E149" s="1">
        <v>201931</v>
      </c>
      <c r="F149" s="1" t="s">
        <v>27</v>
      </c>
      <c r="G149" s="1">
        <v>421100</v>
      </c>
      <c r="H149" s="1">
        <v>424521</v>
      </c>
      <c r="I149" s="1" t="str">
        <f>VLOOKUP(MonthlyPerfomance_Report_2024[[#This Row],[Fusion Account code]],[1]COA!B:D,3,0)</f>
        <v>Manpower supply "Other Than IT Related"</v>
      </c>
      <c r="J149" s="6"/>
      <c r="K149" s="6"/>
      <c r="L149" s="6"/>
      <c r="M149" s="6"/>
      <c r="N149" s="6">
        <f>MonthlyPerfomance_Report_2024[[#This Row],[Actual_YTD 2026]]-MonthlyPerfomance_Report_2024[[#This Row],[Actual_YTD 2025]]</f>
        <v>0</v>
      </c>
      <c r="O149" s="1"/>
    </row>
    <row r="150" spans="2:15" x14ac:dyDescent="0.35">
      <c r="B150" s="1">
        <f t="shared" si="2"/>
        <v>451</v>
      </c>
      <c r="C150" s="1" t="str">
        <f>VLOOKUP(MonthlyPerfomance_Report_2024[[#This Row],[Entity Code]],[1]Entity!$B$3:$C$64,2,0)</f>
        <v>Department of Culture and Tourism - Abu Dhabi</v>
      </c>
      <c r="D150" s="1" t="s">
        <v>17</v>
      </c>
      <c r="E150" s="1">
        <v>201931</v>
      </c>
      <c r="F150" s="1" t="s">
        <v>27</v>
      </c>
      <c r="G150" s="1">
        <v>421200</v>
      </c>
      <c r="H150" s="1">
        <v>422191</v>
      </c>
      <c r="I150" s="1" t="str">
        <f>VLOOKUP(MonthlyPerfomance_Report_2024[[#This Row],[Fusion Account code]],[1]COA!B:D,3,0)</f>
        <v>Operations management expenses not mentioned elsewhere</v>
      </c>
      <c r="J150" s="6"/>
      <c r="K150" s="6"/>
      <c r="L150" s="6"/>
      <c r="M150" s="6"/>
      <c r="N150" s="6">
        <f>MonthlyPerfomance_Report_2024[[#This Row],[Actual_YTD 2026]]-MonthlyPerfomance_Report_2024[[#This Row],[Actual_YTD 2025]]</f>
        <v>0</v>
      </c>
      <c r="O150" s="1"/>
    </row>
    <row r="151" spans="2:15" x14ac:dyDescent="0.35">
      <c r="B151" s="1">
        <f t="shared" si="2"/>
        <v>451</v>
      </c>
      <c r="C151" s="1" t="str">
        <f>VLOOKUP(MonthlyPerfomance_Report_2024[[#This Row],[Entity Code]],[1]Entity!$B$3:$C$64,2,0)</f>
        <v>Department of Culture and Tourism - Abu Dhabi</v>
      </c>
      <c r="D151" s="1" t="s">
        <v>17</v>
      </c>
      <c r="E151" s="1">
        <v>201931</v>
      </c>
      <c r="F151" s="1" t="s">
        <v>27</v>
      </c>
      <c r="G151" s="1">
        <v>421800</v>
      </c>
      <c r="H151" s="1">
        <v>421123</v>
      </c>
      <c r="I151" s="1" t="str">
        <f>VLOOKUP(MonthlyPerfomance_Report_2024[[#This Row],[Fusion Account code]],[1]COA!B:D,3,0)</f>
        <v>Strategic planning consultancy</v>
      </c>
      <c r="J151" s="6"/>
      <c r="K151" s="6"/>
      <c r="L151" s="6"/>
      <c r="M151" s="6"/>
      <c r="N151" s="6">
        <f>MonthlyPerfomance_Report_2024[[#This Row],[Actual_YTD 2026]]-MonthlyPerfomance_Report_2024[[#This Row],[Actual_YTD 2025]]</f>
        <v>0</v>
      </c>
      <c r="O151" s="1"/>
    </row>
    <row r="152" spans="2:15" x14ac:dyDescent="0.35">
      <c r="B152" s="1">
        <f t="shared" si="2"/>
        <v>451</v>
      </c>
      <c r="C152" s="1" t="str">
        <f>VLOOKUP(MonthlyPerfomance_Report_2024[[#This Row],[Entity Code]],[1]Entity!$B$3:$C$64,2,0)</f>
        <v>Department of Culture and Tourism - Abu Dhabi</v>
      </c>
      <c r="D152" s="1" t="s">
        <v>17</v>
      </c>
      <c r="E152" s="1">
        <v>201931</v>
      </c>
      <c r="F152" s="1" t="s">
        <v>27</v>
      </c>
      <c r="G152" s="1">
        <v>425100</v>
      </c>
      <c r="H152" s="1">
        <v>422511</v>
      </c>
      <c r="I152" s="1" t="str">
        <f>VLOOKUP(MonthlyPerfomance_Report_2024[[#This Row],[Fusion Account code]],[1]COA!B:D,3,0)</f>
        <v>Advertising Services (General)</v>
      </c>
      <c r="J152" s="6"/>
      <c r="K152" s="6"/>
      <c r="L152" s="6"/>
      <c r="M152" s="6"/>
      <c r="N152" s="6">
        <f>MonthlyPerfomance_Report_2024[[#This Row],[Actual_YTD 2026]]-MonthlyPerfomance_Report_2024[[#This Row],[Actual_YTD 2025]]</f>
        <v>0</v>
      </c>
      <c r="O152" s="1"/>
    </row>
    <row r="153" spans="2:15" x14ac:dyDescent="0.35">
      <c r="B153" s="1">
        <f t="shared" si="2"/>
        <v>451</v>
      </c>
      <c r="C153" s="1" t="str">
        <f>VLOOKUP(MonthlyPerfomance_Report_2024[[#This Row],[Entity Code]],[1]Entity!$B$3:$C$64,2,0)</f>
        <v>Department of Culture and Tourism - Abu Dhabi</v>
      </c>
      <c r="D153" s="1" t="s">
        <v>17</v>
      </c>
      <c r="E153" s="1">
        <v>201931</v>
      </c>
      <c r="F153" s="1" t="s">
        <v>27</v>
      </c>
      <c r="G153" s="1">
        <v>425500</v>
      </c>
      <c r="H153" s="1">
        <v>422401</v>
      </c>
      <c r="I153" s="1" t="str">
        <f>VLOOKUP(MonthlyPerfomance_Report_2024[[#This Row],[Fusion Account code]],[1]COA!B:D,3,0)</f>
        <v>Conferences, seminars and exhibitions and other events: -deactivate</v>
      </c>
      <c r="J153" s="6"/>
      <c r="K153" s="6"/>
      <c r="L153" s="6"/>
      <c r="M153" s="6"/>
      <c r="N153" s="6">
        <f>MonthlyPerfomance_Report_2024[[#This Row],[Actual_YTD 2026]]-MonthlyPerfomance_Report_2024[[#This Row],[Actual_YTD 2025]]</f>
        <v>0</v>
      </c>
      <c r="O153" s="1"/>
    </row>
    <row r="154" spans="2:15" x14ac:dyDescent="0.35">
      <c r="B154" s="1">
        <f t="shared" si="2"/>
        <v>451</v>
      </c>
      <c r="C154" s="1" t="str">
        <f>VLOOKUP(MonthlyPerfomance_Report_2024[[#This Row],[Entity Code]],[1]Entity!$B$3:$C$64,2,0)</f>
        <v>Department of Culture and Tourism - Abu Dhabi</v>
      </c>
      <c r="D154" s="1" t="s">
        <v>17</v>
      </c>
      <c r="E154" s="1">
        <v>201931</v>
      </c>
      <c r="F154" s="1" t="s">
        <v>27</v>
      </c>
      <c r="G154" s="1">
        <v>425900</v>
      </c>
      <c r="H154" s="1">
        <v>424761</v>
      </c>
      <c r="I154" s="1" t="str">
        <f>VLOOKUP(MonthlyPerfomance_Report_2024[[#This Row],[Fusion Account code]],[1]COA!B:D,3,0)</f>
        <v>Entertainment and hospitality</v>
      </c>
      <c r="J154" s="6"/>
      <c r="K154" s="6"/>
      <c r="L154" s="6"/>
      <c r="M154" s="6"/>
      <c r="N154" s="6">
        <f>MonthlyPerfomance_Report_2024[[#This Row],[Actual_YTD 2026]]-MonthlyPerfomance_Report_2024[[#This Row],[Actual_YTD 2025]]</f>
        <v>0</v>
      </c>
      <c r="O154" s="1"/>
    </row>
    <row r="155" spans="2:15" x14ac:dyDescent="0.35">
      <c r="B155" s="1">
        <f t="shared" si="2"/>
        <v>451</v>
      </c>
      <c r="C155" s="1" t="str">
        <f>VLOOKUP(MonthlyPerfomance_Report_2024[[#This Row],[Entity Code]],[1]Entity!$B$3:$C$64,2,0)</f>
        <v>Department of Culture and Tourism - Abu Dhabi</v>
      </c>
      <c r="D155" s="1" t="s">
        <v>17</v>
      </c>
      <c r="E155" s="1">
        <v>201931</v>
      </c>
      <c r="F155" s="1" t="s">
        <v>27</v>
      </c>
      <c r="G155" s="1">
        <v>427100</v>
      </c>
      <c r="H155" s="1">
        <v>424781</v>
      </c>
      <c r="I155" s="1" t="str">
        <f>VLOOKUP(MonthlyPerfomance_Report_2024[[#This Row],[Fusion Account code]],[1]COA!B:D,3,0)</f>
        <v>Public relations</v>
      </c>
      <c r="J155" s="6"/>
      <c r="K155" s="6"/>
      <c r="L155" s="6"/>
      <c r="M155" s="6"/>
      <c r="N155" s="6">
        <f>MonthlyPerfomance_Report_2024[[#This Row],[Actual_YTD 2026]]-MonthlyPerfomance_Report_2024[[#This Row],[Actual_YTD 2025]]</f>
        <v>0</v>
      </c>
      <c r="O155" s="1"/>
    </row>
    <row r="156" spans="2:15" x14ac:dyDescent="0.35">
      <c r="B156" s="1">
        <f t="shared" si="2"/>
        <v>451</v>
      </c>
      <c r="C156" s="1" t="str">
        <f>VLOOKUP(MonthlyPerfomance_Report_2024[[#This Row],[Entity Code]],[1]Entity!$B$3:$C$64,2,0)</f>
        <v>Department of Culture and Tourism - Abu Dhabi</v>
      </c>
      <c r="D156" s="1" t="s">
        <v>17</v>
      </c>
      <c r="E156" s="1">
        <v>201931</v>
      </c>
      <c r="F156" s="1" t="s">
        <v>27</v>
      </c>
      <c r="G156" s="1">
        <v>427310</v>
      </c>
      <c r="H156" s="1">
        <v>423411</v>
      </c>
      <c r="I156" s="1" t="str">
        <f>VLOOKUP(MonthlyPerfomance_Report_2024[[#This Row],[Fusion Account code]],[1]COA!B:D,3,0)</f>
        <v>General research</v>
      </c>
      <c r="J156" s="6"/>
      <c r="K156" s="6"/>
      <c r="L156" s="6"/>
      <c r="M156" s="6"/>
      <c r="N156" s="6">
        <f>MonthlyPerfomance_Report_2024[[#This Row],[Actual_YTD 2026]]-MonthlyPerfomance_Report_2024[[#This Row],[Actual_YTD 2025]]</f>
        <v>0</v>
      </c>
      <c r="O156" s="1"/>
    </row>
    <row r="157" spans="2:15" x14ac:dyDescent="0.35">
      <c r="B157" s="1">
        <f t="shared" si="2"/>
        <v>451</v>
      </c>
      <c r="C157" s="1" t="str">
        <f>VLOOKUP(MonthlyPerfomance_Report_2024[[#This Row],[Entity Code]],[1]Entity!$B$3:$C$64,2,0)</f>
        <v>Department of Culture and Tourism - Abu Dhabi</v>
      </c>
      <c r="D157" s="1" t="s">
        <v>17</v>
      </c>
      <c r="E157" s="1">
        <v>201931</v>
      </c>
      <c r="F157" s="1" t="s">
        <v>27</v>
      </c>
      <c r="G157" s="1">
        <v>428020</v>
      </c>
      <c r="H157" s="1">
        <v>423821</v>
      </c>
      <c r="I157" s="1" t="str">
        <f>VLOOKUP(MonthlyPerfomance_Report_2024[[#This Row],[Fusion Account code]],[1]COA!B:D,3,0)</f>
        <v>Business Travel - Per Diem Allowances</v>
      </c>
      <c r="J157" s="6"/>
      <c r="K157" s="6"/>
      <c r="L157" s="6"/>
      <c r="M157" s="6"/>
      <c r="N157" s="6">
        <f>MonthlyPerfomance_Report_2024[[#This Row],[Actual_YTD 2026]]-MonthlyPerfomance_Report_2024[[#This Row],[Actual_YTD 2025]]</f>
        <v>0</v>
      </c>
      <c r="O157" s="1"/>
    </row>
    <row r="158" spans="2:15" x14ac:dyDescent="0.35">
      <c r="B158" s="1">
        <f t="shared" si="2"/>
        <v>451</v>
      </c>
      <c r="C158" s="1" t="str">
        <f>VLOOKUP(MonthlyPerfomance_Report_2024[[#This Row],[Entity Code]],[1]Entity!$B$3:$C$64,2,0)</f>
        <v>Department of Culture and Tourism - Abu Dhabi</v>
      </c>
      <c r="D158" s="1" t="s">
        <v>17</v>
      </c>
      <c r="E158" s="1">
        <v>201931</v>
      </c>
      <c r="F158" s="1" t="s">
        <v>27</v>
      </c>
      <c r="G158" s="1">
        <v>428400</v>
      </c>
      <c r="H158" s="1">
        <v>424811</v>
      </c>
      <c r="I158" s="1" t="str">
        <f>VLOOKUP(MonthlyPerfomance_Report_2024[[#This Row],[Fusion Account code]],[1]COA!B:D,3,0)</f>
        <v>Sponsorship expenses/contributions</v>
      </c>
      <c r="J158" s="6"/>
      <c r="K158" s="6"/>
      <c r="L158" s="6"/>
      <c r="M158" s="6"/>
      <c r="N158" s="6">
        <f>MonthlyPerfomance_Report_2024[[#This Row],[Actual_YTD 2026]]-MonthlyPerfomance_Report_2024[[#This Row],[Actual_YTD 2025]]</f>
        <v>0</v>
      </c>
      <c r="O158" s="1"/>
    </row>
    <row r="159" spans="2:15" x14ac:dyDescent="0.35">
      <c r="B159" s="1">
        <f t="shared" si="2"/>
        <v>451</v>
      </c>
      <c r="C159" s="1" t="str">
        <f>VLOOKUP(MonthlyPerfomance_Report_2024[[#This Row],[Entity Code]],[1]Entity!$B$3:$C$64,2,0)</f>
        <v>Department of Culture and Tourism - Abu Dhabi</v>
      </c>
      <c r="D159" s="1" t="s">
        <v>17</v>
      </c>
      <c r="E159" s="1">
        <v>201931</v>
      </c>
      <c r="F159" s="1" t="s">
        <v>27</v>
      </c>
      <c r="G159" s="1">
        <v>428620</v>
      </c>
      <c r="H159" s="1">
        <v>424221</v>
      </c>
      <c r="I159" s="1" t="str">
        <f>VLOOKUP(MonthlyPerfomance_Report_2024[[#This Row],[Fusion Account code]],[1]COA!B:D,3,0)</f>
        <v>Events - Production costs</v>
      </c>
      <c r="J159" s="6"/>
      <c r="K159" s="6"/>
      <c r="L159" s="6"/>
      <c r="M159" s="6"/>
      <c r="N159" s="6">
        <f>MonthlyPerfomance_Report_2024[[#This Row],[Actual_YTD 2026]]-MonthlyPerfomance_Report_2024[[#This Row],[Actual_YTD 2025]]</f>
        <v>0</v>
      </c>
      <c r="O159" s="1"/>
    </row>
    <row r="160" spans="2:15" x14ac:dyDescent="0.35">
      <c r="B160" s="1">
        <f t="shared" si="2"/>
        <v>451</v>
      </c>
      <c r="C160" s="1" t="str">
        <f>VLOOKUP(MonthlyPerfomance_Report_2024[[#This Row],[Entity Code]],[1]Entity!$B$3:$C$64,2,0)</f>
        <v>Department of Culture and Tourism - Abu Dhabi</v>
      </c>
      <c r="D160" s="1" t="s">
        <v>17</v>
      </c>
      <c r="E160" s="1">
        <v>201931</v>
      </c>
      <c r="F160" s="1" t="s">
        <v>27</v>
      </c>
      <c r="G160" s="1">
        <v>428640</v>
      </c>
      <c r="H160" s="1">
        <v>424231</v>
      </c>
      <c r="I160" s="1" t="str">
        <f>VLOOKUP(MonthlyPerfomance_Report_2024[[#This Row],[Fusion Account code]],[1]COA!B:D,3,0)</f>
        <v>Events - Awards, prizes &amp; gifts</v>
      </c>
      <c r="J160" s="6"/>
      <c r="K160" s="6"/>
      <c r="L160" s="6"/>
      <c r="M160" s="6"/>
      <c r="N160" s="6">
        <f>MonthlyPerfomance_Report_2024[[#This Row],[Actual_YTD 2026]]-MonthlyPerfomance_Report_2024[[#This Row],[Actual_YTD 2025]]</f>
        <v>0</v>
      </c>
      <c r="O160" s="1"/>
    </row>
    <row r="161" spans="2:15" x14ac:dyDescent="0.35">
      <c r="B161" s="1">
        <f t="shared" si="2"/>
        <v>451</v>
      </c>
      <c r="C161" s="1" t="str">
        <f>VLOOKUP(MonthlyPerfomance_Report_2024[[#This Row],[Entity Code]],[1]Entity!$B$3:$C$64,2,0)</f>
        <v>Department of Culture and Tourism - Abu Dhabi</v>
      </c>
      <c r="D161" s="1" t="s">
        <v>17</v>
      </c>
      <c r="E161" s="1">
        <v>201931</v>
      </c>
      <c r="F161" s="1" t="s">
        <v>27</v>
      </c>
      <c r="G161" s="1">
        <v>428700</v>
      </c>
      <c r="H161" s="1">
        <v>424251</v>
      </c>
      <c r="I161" s="1" t="str">
        <f>VLOOKUP(MonthlyPerfomance_Report_2024[[#This Row],[Fusion Account code]],[1]COA!B:D,3,0)</f>
        <v>Tourism Promotion (include site improvements)</v>
      </c>
      <c r="J161" s="6"/>
      <c r="K161" s="6"/>
      <c r="L161" s="6"/>
      <c r="M161" s="6"/>
      <c r="N161" s="6">
        <f>MonthlyPerfomance_Report_2024[[#This Row],[Actual_YTD 2026]]-MonthlyPerfomance_Report_2024[[#This Row],[Actual_YTD 2025]]</f>
        <v>0</v>
      </c>
      <c r="O161" s="1"/>
    </row>
    <row r="162" spans="2:15" x14ac:dyDescent="0.35">
      <c r="B162" s="1">
        <f t="shared" si="2"/>
        <v>451</v>
      </c>
      <c r="C162" s="1" t="str">
        <f>VLOOKUP(MonthlyPerfomance_Report_2024[[#This Row],[Entity Code]],[1]Entity!$B$3:$C$64,2,0)</f>
        <v>Department of Culture and Tourism - Abu Dhabi</v>
      </c>
      <c r="D162" s="1" t="s">
        <v>17</v>
      </c>
      <c r="E162" s="1">
        <v>201931</v>
      </c>
      <c r="F162" s="1" t="s">
        <v>27</v>
      </c>
      <c r="G162" s="1">
        <v>428810</v>
      </c>
      <c r="H162" s="1">
        <v>421125</v>
      </c>
      <c r="I162" s="1" t="str">
        <f>VLOOKUP(MonthlyPerfomance_Report_2024[[#This Row],[Fusion Account code]],[1]COA!B:D,3,0)</f>
        <v>Professional Operational Service</v>
      </c>
      <c r="J162" s="6"/>
      <c r="K162" s="6"/>
      <c r="L162" s="6"/>
      <c r="M162" s="6"/>
      <c r="N162" s="6">
        <f>MonthlyPerfomance_Report_2024[[#This Row],[Actual_YTD 2026]]-MonthlyPerfomance_Report_2024[[#This Row],[Actual_YTD 2025]]</f>
        <v>0</v>
      </c>
      <c r="O162" s="1"/>
    </row>
    <row r="163" spans="2:15" x14ac:dyDescent="0.35">
      <c r="B163" s="1">
        <f t="shared" si="2"/>
        <v>451</v>
      </c>
      <c r="C163" s="1" t="str">
        <f>VLOOKUP(MonthlyPerfomance_Report_2024[[#This Row],[Entity Code]],[1]Entity!$B$3:$C$64,2,0)</f>
        <v>Department of Culture and Tourism - Abu Dhabi</v>
      </c>
      <c r="D163" s="1" t="s">
        <v>17</v>
      </c>
      <c r="E163" s="1">
        <v>201931</v>
      </c>
      <c r="F163" s="1" t="s">
        <v>27</v>
      </c>
      <c r="G163" s="1">
        <v>430920</v>
      </c>
      <c r="H163" s="1">
        <v>425252</v>
      </c>
      <c r="I163" s="1" t="str">
        <f>VLOOKUP(MonthlyPerfomance_Report_2024[[#This Row],[Fusion Account code]],[1]COA!B:D,3,0)</f>
        <v>Rental - Computer software-Rental/Subscription - Computer software</v>
      </c>
      <c r="J163" s="6"/>
      <c r="K163" s="6"/>
      <c r="L163" s="6"/>
      <c r="M163" s="6"/>
      <c r="N163" s="6">
        <f>MonthlyPerfomance_Report_2024[[#This Row],[Actual_YTD 2026]]-MonthlyPerfomance_Report_2024[[#This Row],[Actual_YTD 2025]]</f>
        <v>0</v>
      </c>
      <c r="O163" s="1"/>
    </row>
    <row r="164" spans="2:15" x14ac:dyDescent="0.35">
      <c r="B164" s="1">
        <f t="shared" si="2"/>
        <v>451</v>
      </c>
      <c r="C164" s="1" t="str">
        <f>VLOOKUP(MonthlyPerfomance_Report_2024[[#This Row],[Entity Code]],[1]Entity!$B$3:$C$64,2,0)</f>
        <v>Department of Culture and Tourism - Abu Dhabi</v>
      </c>
      <c r="D164" s="1" t="s">
        <v>17</v>
      </c>
      <c r="E164" s="1">
        <v>201931</v>
      </c>
      <c r="F164" s="1" t="s">
        <v>27</v>
      </c>
      <c r="G164" s="1">
        <v>458173</v>
      </c>
      <c r="H164" s="1">
        <v>461412</v>
      </c>
      <c r="I164" s="1" t="str">
        <f>VLOOKUP(MonthlyPerfomance_Report_2024[[#This Row],[Fusion Account code]],[1]COA!B:D,3,0)</f>
        <v>Support to AD tourism development program</v>
      </c>
      <c r="J164" s="6"/>
      <c r="K164" s="6"/>
      <c r="L164" s="6"/>
      <c r="M164" s="6"/>
      <c r="N164" s="6">
        <f>MonthlyPerfomance_Report_2024[[#This Row],[Actual_YTD 2026]]-MonthlyPerfomance_Report_2024[[#This Row],[Actual_YTD 2025]]</f>
        <v>0</v>
      </c>
      <c r="O164" s="1"/>
    </row>
    <row r="165" spans="2:15" x14ac:dyDescent="0.35">
      <c r="B165" s="1">
        <f t="shared" si="2"/>
        <v>451</v>
      </c>
      <c r="C165" s="1" t="str">
        <f>VLOOKUP(MonthlyPerfomance_Report_2024[[#This Row],[Entity Code]],[1]Entity!$B$3:$C$64,2,0)</f>
        <v>Department of Culture and Tourism - Abu Dhabi</v>
      </c>
      <c r="D165" s="1" t="s">
        <v>17</v>
      </c>
      <c r="E165" s="1">
        <v>201932</v>
      </c>
      <c r="F165" s="1" t="s">
        <v>28</v>
      </c>
      <c r="G165" s="1">
        <v>428400</v>
      </c>
      <c r="H165" s="1">
        <v>424811</v>
      </c>
      <c r="I165" s="1" t="str">
        <f>VLOOKUP(MonthlyPerfomance_Report_2024[[#This Row],[Fusion Account code]],[1]COA!B:D,3,0)</f>
        <v>Sponsorship expenses/contributions</v>
      </c>
      <c r="J165" s="6"/>
      <c r="K165" s="6"/>
      <c r="L165" s="6"/>
      <c r="M165" s="6"/>
      <c r="N165" s="6">
        <f>MonthlyPerfomance_Report_2024[[#This Row],[Actual_YTD 2026]]-MonthlyPerfomance_Report_2024[[#This Row],[Actual_YTD 2025]]</f>
        <v>0</v>
      </c>
      <c r="O165" s="1"/>
    </row>
    <row r="166" spans="2:15" x14ac:dyDescent="0.35">
      <c r="B166" s="1">
        <f t="shared" si="2"/>
        <v>451</v>
      </c>
      <c r="C166" s="1" t="str">
        <f>VLOOKUP(MonthlyPerfomance_Report_2024[[#This Row],[Entity Code]],[1]Entity!$B$3:$C$64,2,0)</f>
        <v>Department of Culture and Tourism - Abu Dhabi</v>
      </c>
      <c r="D166" s="1" t="s">
        <v>17</v>
      </c>
      <c r="E166" s="1">
        <v>202061</v>
      </c>
      <c r="F166" s="1" t="s">
        <v>29</v>
      </c>
      <c r="G166" s="1">
        <v>425500</v>
      </c>
      <c r="H166" s="1">
        <v>422401</v>
      </c>
      <c r="I166" s="1" t="str">
        <f>VLOOKUP(MonthlyPerfomance_Report_2024[[#This Row],[Fusion Account code]],[1]COA!B:D,3,0)</f>
        <v>Conferences, seminars and exhibitions and other events: -deactivate</v>
      </c>
      <c r="J166" s="6"/>
      <c r="K166" s="6"/>
      <c r="L166" s="6"/>
      <c r="M166" s="6"/>
      <c r="N166" s="6">
        <f>MonthlyPerfomance_Report_2024[[#This Row],[Actual_YTD 2026]]-MonthlyPerfomance_Report_2024[[#This Row],[Actual_YTD 2025]]</f>
        <v>0</v>
      </c>
      <c r="O166" s="1"/>
    </row>
    <row r="167" spans="2:15" x14ac:dyDescent="0.35">
      <c r="B167" s="1">
        <f t="shared" si="2"/>
        <v>451</v>
      </c>
      <c r="C167" s="1" t="str">
        <f>VLOOKUP(MonthlyPerfomance_Report_2024[[#This Row],[Entity Code]],[1]Entity!$B$3:$C$64,2,0)</f>
        <v>Department of Culture and Tourism - Abu Dhabi</v>
      </c>
      <c r="D167" s="1" t="s">
        <v>17</v>
      </c>
      <c r="E167" s="1">
        <v>202067</v>
      </c>
      <c r="F167" s="1" t="s">
        <v>30</v>
      </c>
      <c r="G167" s="1">
        <v>425100</v>
      </c>
      <c r="H167" s="1">
        <v>422511</v>
      </c>
      <c r="I167" s="1" t="str">
        <f>VLOOKUP(MonthlyPerfomance_Report_2024[[#This Row],[Fusion Account code]],[1]COA!B:D,3,0)</f>
        <v>Advertising Services (General)</v>
      </c>
      <c r="J167" s="6"/>
      <c r="K167" s="6"/>
      <c r="L167" s="6"/>
      <c r="M167" s="6"/>
      <c r="N167" s="6">
        <f>MonthlyPerfomance_Report_2024[[#This Row],[Actual_YTD 2026]]-MonthlyPerfomance_Report_2024[[#This Row],[Actual_YTD 2025]]</f>
        <v>0</v>
      </c>
      <c r="O167" s="1"/>
    </row>
    <row r="168" spans="2:15" x14ac:dyDescent="0.35">
      <c r="B168" s="1">
        <f t="shared" si="2"/>
        <v>451</v>
      </c>
      <c r="C168" s="1" t="str">
        <f>VLOOKUP(MonthlyPerfomance_Report_2024[[#This Row],[Entity Code]],[1]Entity!$B$3:$C$64,2,0)</f>
        <v>Department of Culture and Tourism - Abu Dhabi</v>
      </c>
      <c r="D168" s="1" t="s">
        <v>17</v>
      </c>
      <c r="E168" s="1">
        <v>50730</v>
      </c>
      <c r="F168" s="1" t="s">
        <v>21</v>
      </c>
      <c r="G168" s="1">
        <v>425500</v>
      </c>
      <c r="H168" s="1">
        <v>422401</v>
      </c>
      <c r="I168" s="1" t="str">
        <f>VLOOKUP(MonthlyPerfomance_Report_2024[[#This Row],[Fusion Account code]],[1]COA!B:D,3,0)</f>
        <v>Conferences, seminars and exhibitions and other events: -deactivate</v>
      </c>
      <c r="J168" s="6"/>
      <c r="K168" s="6"/>
      <c r="L168" s="6"/>
      <c r="M168" s="6"/>
      <c r="N168" s="6">
        <f>MonthlyPerfomance_Report_2024[[#This Row],[Actual_YTD 2026]]-MonthlyPerfomance_Report_2024[[#This Row],[Actual_YTD 2025]]</f>
        <v>0</v>
      </c>
      <c r="O168" s="1"/>
    </row>
    <row r="169" spans="2:15" x14ac:dyDescent="0.35">
      <c r="B169" s="1">
        <f t="shared" si="2"/>
        <v>451</v>
      </c>
      <c r="C169" s="1" t="str">
        <f>VLOOKUP(MonthlyPerfomance_Report_2024[[#This Row],[Entity Code]],[1]Entity!$B$3:$C$64,2,0)</f>
        <v>Department of Culture and Tourism - Abu Dhabi</v>
      </c>
      <c r="D169" s="1" t="s">
        <v>17</v>
      </c>
      <c r="E169" s="1">
        <v>200104</v>
      </c>
      <c r="F169" s="1" t="s">
        <v>23</v>
      </c>
      <c r="G169" s="1">
        <v>420570</v>
      </c>
      <c r="H169" s="1">
        <v>421116</v>
      </c>
      <c r="I169" s="1" t="str">
        <f>VLOOKUP(MonthlyPerfomance_Report_2024[[#This Row],[Fusion Account code]],[1]COA!B:D,3,0)</f>
        <v>Academic Collaborative Partnership Services</v>
      </c>
      <c r="J169" s="6"/>
      <c r="K169" s="6"/>
      <c r="L169" s="6"/>
      <c r="M169" s="6"/>
      <c r="N169" s="6">
        <f>MonthlyPerfomance_Report_2024[[#This Row],[Actual_YTD 2026]]-MonthlyPerfomance_Report_2024[[#This Row],[Actual_YTD 2025]]</f>
        <v>0</v>
      </c>
      <c r="O169" s="1"/>
    </row>
    <row r="170" spans="2:15" x14ac:dyDescent="0.35">
      <c r="B170" s="1">
        <f t="shared" si="2"/>
        <v>451</v>
      </c>
      <c r="C170" s="1" t="str">
        <f>VLOOKUP(MonthlyPerfomance_Report_2024[[#This Row],[Entity Code]],[1]Entity!$B$3:$C$64,2,0)</f>
        <v>Department of Culture and Tourism - Abu Dhabi</v>
      </c>
      <c r="D170" s="1" t="s">
        <v>17</v>
      </c>
      <c r="E170" s="1">
        <v>200104</v>
      </c>
      <c r="F170" s="1" t="s">
        <v>23</v>
      </c>
      <c r="G170" s="1">
        <v>425720</v>
      </c>
      <c r="H170" s="1">
        <v>422612</v>
      </c>
      <c r="I170" s="1" t="str">
        <f>VLOOKUP(MonthlyPerfomance_Report_2024[[#This Row],[Fusion Account code]],[1]COA!B:D,3,0)</f>
        <v>Education-Outsourced training service</v>
      </c>
      <c r="J170" s="6"/>
      <c r="K170" s="6"/>
      <c r="L170" s="6"/>
      <c r="M170" s="6"/>
      <c r="N170" s="6">
        <f>MonthlyPerfomance_Report_2024[[#This Row],[Actual_YTD 2026]]-MonthlyPerfomance_Report_2024[[#This Row],[Actual_YTD 2025]]</f>
        <v>0</v>
      </c>
      <c r="O170" s="1"/>
    </row>
    <row r="171" spans="2:15" x14ac:dyDescent="0.35">
      <c r="B171" s="1">
        <f t="shared" si="2"/>
        <v>451</v>
      </c>
      <c r="C171" s="1" t="str">
        <f>VLOOKUP(MonthlyPerfomance_Report_2024[[#This Row],[Entity Code]],[1]Entity!$B$3:$C$64,2,0)</f>
        <v>Department of Culture and Tourism - Abu Dhabi</v>
      </c>
      <c r="D171" s="1" t="s">
        <v>17</v>
      </c>
      <c r="E171" s="1">
        <v>200104</v>
      </c>
      <c r="F171" s="1" t="s">
        <v>23</v>
      </c>
      <c r="G171" s="1">
        <v>425710</v>
      </c>
      <c r="H171" s="1">
        <v>422621</v>
      </c>
      <c r="I171" s="1" t="str">
        <f>VLOOKUP(MonthlyPerfomance_Report_2024[[#This Row],[Fusion Account code]],[1]COA!B:D,3,0)</f>
        <v>Higher education and specialisation incentives</v>
      </c>
      <c r="J171" s="6"/>
      <c r="K171" s="6"/>
      <c r="L171" s="6"/>
      <c r="M171" s="6"/>
      <c r="N171" s="6">
        <f>MonthlyPerfomance_Report_2024[[#This Row],[Actual_YTD 2026]]-MonthlyPerfomance_Report_2024[[#This Row],[Actual_YTD 2025]]</f>
        <v>0</v>
      </c>
      <c r="O171" s="1"/>
    </row>
    <row r="172" spans="2:15" x14ac:dyDescent="0.35">
      <c r="B172" s="1">
        <f t="shared" si="2"/>
        <v>451</v>
      </c>
      <c r="C172" s="1" t="str">
        <f>VLOOKUP(MonthlyPerfomance_Report_2024[[#This Row],[Entity Code]],[1]Entity!$B$3:$C$64,2,0)</f>
        <v>Department of Culture and Tourism - Abu Dhabi</v>
      </c>
      <c r="D172" s="1" t="s">
        <v>17</v>
      </c>
      <c r="E172" s="1">
        <v>200104</v>
      </c>
      <c r="F172" s="1" t="s">
        <v>23</v>
      </c>
      <c r="G172" s="1">
        <v>427320</v>
      </c>
      <c r="H172" s="1">
        <v>423421</v>
      </c>
      <c r="I172" s="1" t="str">
        <f>VLOOKUP(MonthlyPerfomance_Report_2024[[#This Row],[Fusion Account code]],[1]COA!B:D,3,0)</f>
        <v>Historical research</v>
      </c>
      <c r="J172" s="6"/>
      <c r="K172" s="6"/>
      <c r="L172" s="6"/>
      <c r="M172" s="6"/>
      <c r="N172" s="6">
        <f>MonthlyPerfomance_Report_2024[[#This Row],[Actual_YTD 2026]]-MonthlyPerfomance_Report_2024[[#This Row],[Actual_YTD 2025]]</f>
        <v>0</v>
      </c>
      <c r="O172" s="1"/>
    </row>
    <row r="173" spans="2:15" x14ac:dyDescent="0.35">
      <c r="B173" s="1">
        <f t="shared" si="2"/>
        <v>451</v>
      </c>
      <c r="C173" s="1" t="str">
        <f>VLOOKUP(MonthlyPerfomance_Report_2024[[#This Row],[Entity Code]],[1]Entity!$B$3:$C$64,2,0)</f>
        <v>Department of Culture and Tourism - Abu Dhabi</v>
      </c>
      <c r="D173" s="1" t="s">
        <v>17</v>
      </c>
      <c r="E173" s="1">
        <v>200104</v>
      </c>
      <c r="F173" s="1" t="s">
        <v>23</v>
      </c>
      <c r="G173" s="1">
        <v>427340</v>
      </c>
      <c r="H173" s="1">
        <v>423441</v>
      </c>
      <c r="I173" s="1" t="str">
        <f>VLOOKUP(MonthlyPerfomance_Report_2024[[#This Row],[Fusion Account code]],[1]COA!B:D,3,0)</f>
        <v>Scientific &amp; Technology research</v>
      </c>
      <c r="J173" s="6"/>
      <c r="K173" s="6"/>
      <c r="L173" s="6"/>
      <c r="M173" s="6"/>
      <c r="N173" s="6">
        <f>MonthlyPerfomance_Report_2024[[#This Row],[Actual_YTD 2026]]-MonthlyPerfomance_Report_2024[[#This Row],[Actual_YTD 2025]]</f>
        <v>0</v>
      </c>
      <c r="O173" s="1"/>
    </row>
    <row r="174" spans="2:15" x14ac:dyDescent="0.35">
      <c r="B174" s="1">
        <f t="shared" si="2"/>
        <v>451</v>
      </c>
      <c r="C174" s="1" t="str">
        <f>VLOOKUP(MonthlyPerfomance_Report_2024[[#This Row],[Entity Code]],[1]Entity!$B$3:$C$64,2,0)</f>
        <v>Department of Culture and Tourism - Abu Dhabi</v>
      </c>
      <c r="D174" s="1" t="s">
        <v>17</v>
      </c>
      <c r="E174" s="1">
        <v>200104</v>
      </c>
      <c r="F174" s="1" t="s">
        <v>23</v>
      </c>
      <c r="G174" s="1">
        <v>428090</v>
      </c>
      <c r="H174" s="1">
        <v>423891</v>
      </c>
      <c r="I174" s="1" t="str">
        <f>VLOOKUP(MonthlyPerfomance_Report_2024[[#This Row],[Fusion Account code]],[1]COA!B:D,3,0)</f>
        <v>Business Travel - Combined expenses</v>
      </c>
      <c r="J174" s="6"/>
      <c r="K174" s="6"/>
      <c r="L174" s="6"/>
      <c r="M174" s="6"/>
      <c r="N174" s="6">
        <f>MonthlyPerfomance_Report_2024[[#This Row],[Actual_YTD 2026]]-MonthlyPerfomance_Report_2024[[#This Row],[Actual_YTD 2025]]</f>
        <v>0</v>
      </c>
      <c r="O174" s="1"/>
    </row>
    <row r="175" spans="2:15" x14ac:dyDescent="0.35">
      <c r="B175" s="1">
        <f t="shared" si="2"/>
        <v>451</v>
      </c>
      <c r="C175" s="1" t="str">
        <f>VLOOKUP(MonthlyPerfomance_Report_2024[[#This Row],[Entity Code]],[1]Entity!$B$3:$C$64,2,0)</f>
        <v>Department of Culture and Tourism - Abu Dhabi</v>
      </c>
      <c r="D175" s="1" t="s">
        <v>17</v>
      </c>
      <c r="E175" s="1">
        <v>200104</v>
      </c>
      <c r="F175" s="1" t="s">
        <v>23</v>
      </c>
      <c r="G175" s="1">
        <v>428111</v>
      </c>
      <c r="H175" s="1">
        <v>423911</v>
      </c>
      <c r="I175" s="1" t="str">
        <f>VLOOKUP(MonthlyPerfomance_Report_2024[[#This Row],[Fusion Account code]],[1]COA!B:D,3,0)</f>
        <v>Electricity consumption charges</v>
      </c>
      <c r="J175" s="6"/>
      <c r="K175" s="6"/>
      <c r="L175" s="6"/>
      <c r="M175" s="6"/>
      <c r="N175" s="6">
        <f>MonthlyPerfomance_Report_2024[[#This Row],[Actual_YTD 2026]]-MonthlyPerfomance_Report_2024[[#This Row],[Actual_YTD 2025]]</f>
        <v>0</v>
      </c>
      <c r="O175" s="1"/>
    </row>
    <row r="176" spans="2:15" x14ac:dyDescent="0.35">
      <c r="B176" s="1">
        <f t="shared" si="2"/>
        <v>451</v>
      </c>
      <c r="C176" s="1" t="str">
        <f>VLOOKUP(MonthlyPerfomance_Report_2024[[#This Row],[Entity Code]],[1]Entity!$B$3:$C$64,2,0)</f>
        <v>Department of Culture and Tourism - Abu Dhabi</v>
      </c>
      <c r="D176" s="1" t="s">
        <v>17</v>
      </c>
      <c r="E176" s="1">
        <v>200104</v>
      </c>
      <c r="F176" s="1" t="s">
        <v>23</v>
      </c>
      <c r="G176" s="1">
        <v>428112</v>
      </c>
      <c r="H176" s="1">
        <v>423921</v>
      </c>
      <c r="I176" s="1" t="str">
        <f>VLOOKUP(MonthlyPerfomance_Report_2024[[#This Row],[Fusion Account code]],[1]COA!B:D,3,0)</f>
        <v>Water consumption charges</v>
      </c>
      <c r="J176" s="6"/>
      <c r="K176" s="6"/>
      <c r="L176" s="6"/>
      <c r="M176" s="6"/>
      <c r="N176" s="6">
        <f>MonthlyPerfomance_Report_2024[[#This Row],[Actual_YTD 2026]]-MonthlyPerfomance_Report_2024[[#This Row],[Actual_YTD 2025]]</f>
        <v>0</v>
      </c>
      <c r="O176" s="1"/>
    </row>
    <row r="177" spans="2:15" x14ac:dyDescent="0.35">
      <c r="B177" s="1">
        <f t="shared" si="2"/>
        <v>451</v>
      </c>
      <c r="C177" s="1" t="str">
        <f>VLOOKUP(MonthlyPerfomance_Report_2024[[#This Row],[Entity Code]],[1]Entity!$B$3:$C$64,2,0)</f>
        <v>Department of Culture and Tourism - Abu Dhabi</v>
      </c>
      <c r="D177" s="1" t="s">
        <v>17</v>
      </c>
      <c r="E177" s="1">
        <v>200104</v>
      </c>
      <c r="F177" s="1" t="s">
        <v>23</v>
      </c>
      <c r="G177" s="1">
        <v>428510</v>
      </c>
      <c r="H177" s="1">
        <v>424111</v>
      </c>
      <c r="I177" s="1" t="str">
        <f>VLOOKUP(MonthlyPerfomance_Report_2024[[#This Row],[Fusion Account code]],[1]COA!B:D,3,0)</f>
        <v>Promotion announcement/advertisement exps</v>
      </c>
      <c r="J177" s="6"/>
      <c r="K177" s="6"/>
      <c r="L177" s="6"/>
      <c r="M177" s="6"/>
      <c r="N177" s="6">
        <f>MonthlyPerfomance_Report_2024[[#This Row],[Actual_YTD 2026]]-MonthlyPerfomance_Report_2024[[#This Row],[Actual_YTD 2025]]</f>
        <v>0</v>
      </c>
      <c r="O177" s="1"/>
    </row>
    <row r="178" spans="2:15" x14ac:dyDescent="0.35">
      <c r="B178" s="1">
        <f t="shared" si="2"/>
        <v>451</v>
      </c>
      <c r="C178" s="1" t="str">
        <f>VLOOKUP(MonthlyPerfomance_Report_2024[[#This Row],[Entity Code]],[1]Entity!$B$3:$C$64,2,0)</f>
        <v>Department of Culture and Tourism - Abu Dhabi</v>
      </c>
      <c r="D178" s="1" t="s">
        <v>17</v>
      </c>
      <c r="E178" s="1">
        <v>200104</v>
      </c>
      <c r="F178" s="1" t="s">
        <v>23</v>
      </c>
      <c r="G178" s="1">
        <v>428580</v>
      </c>
      <c r="H178" s="1">
        <v>424141</v>
      </c>
      <c r="I178" s="1" t="str">
        <f>VLOOKUP(MonthlyPerfomance_Report_2024[[#This Row],[Fusion Account code]],[1]COA!B:D,3,0)</f>
        <v>Other Sales expenditure not mentioned elsewhere</v>
      </c>
      <c r="J178" s="6"/>
      <c r="K178" s="6"/>
      <c r="L178" s="6"/>
      <c r="M178" s="6"/>
      <c r="N178" s="6">
        <f>MonthlyPerfomance_Report_2024[[#This Row],[Actual_YTD 2026]]-MonthlyPerfomance_Report_2024[[#This Row],[Actual_YTD 2025]]</f>
        <v>0</v>
      </c>
      <c r="O178" s="1"/>
    </row>
    <row r="179" spans="2:15" x14ac:dyDescent="0.35">
      <c r="B179" s="1">
        <f t="shared" si="2"/>
        <v>451</v>
      </c>
      <c r="C179" s="1" t="str">
        <f>VLOOKUP(MonthlyPerfomance_Report_2024[[#This Row],[Entity Code]],[1]Entity!$B$3:$C$64,2,0)</f>
        <v>Department of Culture and Tourism - Abu Dhabi</v>
      </c>
      <c r="D179" s="1" t="s">
        <v>17</v>
      </c>
      <c r="E179" s="1">
        <v>200104</v>
      </c>
      <c r="F179" s="1" t="s">
        <v>23</v>
      </c>
      <c r="G179" s="1">
        <v>428590</v>
      </c>
      <c r="H179" s="1">
        <v>424151</v>
      </c>
      <c r="I179" s="1" t="str">
        <f>VLOOKUP(MonthlyPerfomance_Report_2024[[#This Row],[Fusion Account code]],[1]COA!B:D,3,0)</f>
        <v>Other Marketing expenditure not mentioned elsewhere</v>
      </c>
      <c r="J179" s="6"/>
      <c r="K179" s="6"/>
      <c r="L179" s="6"/>
      <c r="M179" s="6"/>
      <c r="N179" s="6">
        <f>MonthlyPerfomance_Report_2024[[#This Row],[Actual_YTD 2026]]-MonthlyPerfomance_Report_2024[[#This Row],[Actual_YTD 2025]]</f>
        <v>0</v>
      </c>
      <c r="O179" s="1"/>
    </row>
    <row r="180" spans="2:15" x14ac:dyDescent="0.35">
      <c r="B180" s="1">
        <f t="shared" si="2"/>
        <v>451</v>
      </c>
      <c r="C180" s="1" t="str">
        <f>VLOOKUP(MonthlyPerfomance_Report_2024[[#This Row],[Entity Code]],[1]Entity!$B$3:$C$64,2,0)</f>
        <v>Department of Culture and Tourism - Abu Dhabi</v>
      </c>
      <c r="D180" s="1" t="s">
        <v>17</v>
      </c>
      <c r="E180" s="1">
        <v>200104</v>
      </c>
      <c r="F180" s="1" t="s">
        <v>23</v>
      </c>
      <c r="G180" s="1">
        <v>425810</v>
      </c>
      <c r="H180" s="1">
        <v>424661</v>
      </c>
      <c r="I180" s="1" t="str">
        <f>VLOOKUP(MonthlyPerfomance_Report_2024[[#This Row],[Fusion Account code]],[1]COA!B:D,3,0)</f>
        <v>Emergency, Crisis and Disaster Management</v>
      </c>
      <c r="J180" s="6"/>
      <c r="K180" s="6"/>
      <c r="L180" s="6"/>
      <c r="M180" s="6"/>
      <c r="N180" s="6">
        <f>MonthlyPerfomance_Report_2024[[#This Row],[Actual_YTD 2026]]-MonthlyPerfomance_Report_2024[[#This Row],[Actual_YTD 2025]]</f>
        <v>0</v>
      </c>
      <c r="O180" s="1"/>
    </row>
    <row r="181" spans="2:15" x14ac:dyDescent="0.35">
      <c r="B181" s="1">
        <f t="shared" si="2"/>
        <v>451</v>
      </c>
      <c r="C181" s="1" t="str">
        <f>VLOOKUP(MonthlyPerfomance_Report_2024[[#This Row],[Entity Code]],[1]Entity!$B$3:$C$64,2,0)</f>
        <v>Department of Culture and Tourism - Abu Dhabi</v>
      </c>
      <c r="D181" s="1" t="s">
        <v>17</v>
      </c>
      <c r="E181" s="1">
        <v>200104</v>
      </c>
      <c r="F181" s="1" t="s">
        <v>23</v>
      </c>
      <c r="G181" s="1">
        <v>426900</v>
      </c>
      <c r="H181" s="1">
        <v>424681</v>
      </c>
      <c r="I181" s="1" t="str">
        <f>VLOOKUP(MonthlyPerfomance_Report_2024[[#This Row],[Fusion Account code]],[1]COA!B:D,3,0)</f>
        <v>Postal, courier and other document delivery expenses</v>
      </c>
      <c r="J181" s="6"/>
      <c r="K181" s="6"/>
      <c r="L181" s="6"/>
      <c r="M181" s="6"/>
      <c r="N181" s="6">
        <f>MonthlyPerfomance_Report_2024[[#This Row],[Actual_YTD 2026]]-MonthlyPerfomance_Report_2024[[#This Row],[Actual_YTD 2025]]</f>
        <v>0</v>
      </c>
      <c r="O181" s="1"/>
    </row>
    <row r="182" spans="2:15" x14ac:dyDescent="0.35">
      <c r="B182" s="1">
        <f t="shared" si="2"/>
        <v>451</v>
      </c>
      <c r="C182" s="1" t="str">
        <f>VLOOKUP(MonthlyPerfomance_Report_2024[[#This Row],[Entity Code]],[1]Entity!$B$3:$C$64,2,0)</f>
        <v>Department of Culture and Tourism - Abu Dhabi</v>
      </c>
      <c r="D182" s="1" t="s">
        <v>17</v>
      </c>
      <c r="E182" s="1">
        <v>200104</v>
      </c>
      <c r="F182" s="1" t="s">
        <v>23</v>
      </c>
      <c r="G182" s="1">
        <v>425910</v>
      </c>
      <c r="H182" s="1">
        <v>424760</v>
      </c>
      <c r="I182" s="1" t="str">
        <f>VLOOKUP(MonthlyPerfomance_Report_2024[[#This Row],[Fusion Account code]],[1]COA!B:D,3,0)</f>
        <v>Entertainment and hospitality expenses</v>
      </c>
      <c r="J182" s="6"/>
      <c r="K182" s="6"/>
      <c r="L182" s="6"/>
      <c r="M182" s="6"/>
      <c r="N182" s="6">
        <f>MonthlyPerfomance_Report_2024[[#This Row],[Actual_YTD 2026]]-MonthlyPerfomance_Report_2024[[#This Row],[Actual_YTD 2025]]</f>
        <v>0</v>
      </c>
      <c r="O182" s="1"/>
    </row>
    <row r="183" spans="2:15" x14ac:dyDescent="0.35">
      <c r="B183" s="1">
        <f t="shared" si="2"/>
        <v>451</v>
      </c>
      <c r="C183" s="1" t="str">
        <f>VLOOKUP(MonthlyPerfomance_Report_2024[[#This Row],[Entity Code]],[1]Entity!$B$3:$C$64,2,0)</f>
        <v>Department of Culture and Tourism - Abu Dhabi</v>
      </c>
      <c r="D183" s="1" t="s">
        <v>17</v>
      </c>
      <c r="E183" s="1">
        <v>200104</v>
      </c>
      <c r="F183" s="1" t="s">
        <v>23</v>
      </c>
      <c r="G183" s="1">
        <v>430924</v>
      </c>
      <c r="H183" s="1">
        <v>425303</v>
      </c>
      <c r="I183" s="1" t="str">
        <f>VLOOKUP(MonthlyPerfomance_Report_2024[[#This Row],[Fusion Account code]],[1]COA!B:D,3,0)</f>
        <v>SaaS - Network &amp; Infrastructure Software Subscription</v>
      </c>
      <c r="J183" s="6"/>
      <c r="K183" s="6"/>
      <c r="L183" s="6"/>
      <c r="M183" s="6"/>
      <c r="N183" s="6">
        <f>MonthlyPerfomance_Report_2024[[#This Row],[Actual_YTD 2026]]-MonthlyPerfomance_Report_2024[[#This Row],[Actual_YTD 2025]]</f>
        <v>0</v>
      </c>
      <c r="O183" s="1"/>
    </row>
    <row r="184" spans="2:15" x14ac:dyDescent="0.35">
      <c r="B184" s="1">
        <f t="shared" si="2"/>
        <v>451</v>
      </c>
      <c r="C184" s="1" t="str">
        <f>VLOOKUP(MonthlyPerfomance_Report_2024[[#This Row],[Entity Code]],[1]Entity!$B$3:$C$64,2,0)</f>
        <v>Department of Culture and Tourism - Abu Dhabi</v>
      </c>
      <c r="D184" s="1" t="s">
        <v>17</v>
      </c>
      <c r="E184" s="1">
        <v>200104</v>
      </c>
      <c r="F184" s="1" t="s">
        <v>23</v>
      </c>
      <c r="G184" s="1">
        <v>430929</v>
      </c>
      <c r="H184" s="1">
        <v>425308</v>
      </c>
      <c r="I184" s="1" t="str">
        <f>VLOOKUP(MonthlyPerfomance_Report_2024[[#This Row],[Fusion Account code]],[1]COA!B:D,3,0)</f>
        <v>SaaS - Business Specific Solutions Subscription</v>
      </c>
      <c r="J184" s="6"/>
      <c r="K184" s="6"/>
      <c r="L184" s="6"/>
      <c r="M184" s="6"/>
      <c r="N184" s="6">
        <f>MonthlyPerfomance_Report_2024[[#This Row],[Actual_YTD 2026]]-MonthlyPerfomance_Report_2024[[#This Row],[Actual_YTD 2025]]</f>
        <v>0</v>
      </c>
      <c r="O184" s="1"/>
    </row>
    <row r="185" spans="2:15" x14ac:dyDescent="0.35">
      <c r="B185" s="1">
        <f t="shared" si="2"/>
        <v>451</v>
      </c>
      <c r="C185" s="1" t="str">
        <f>VLOOKUP(MonthlyPerfomance_Report_2024[[#This Row],[Entity Code]],[1]Entity!$B$3:$C$64,2,0)</f>
        <v>Department of Culture and Tourism - Abu Dhabi</v>
      </c>
      <c r="D185" s="1" t="s">
        <v>17</v>
      </c>
      <c r="E185" s="1">
        <v>200104</v>
      </c>
      <c r="F185" s="1" t="s">
        <v>23</v>
      </c>
      <c r="G185" s="1">
        <v>432140</v>
      </c>
      <c r="H185" s="1">
        <v>426214</v>
      </c>
      <c r="I185" s="1" t="str">
        <f>VLOOKUP(MonthlyPerfomance_Report_2024[[#This Row],[Fusion Account code]],[1]COA!B:D,3,0)</f>
        <v>Public buildings</v>
      </c>
      <c r="J185" s="6"/>
      <c r="K185" s="6"/>
      <c r="L185" s="6"/>
      <c r="M185" s="6"/>
      <c r="N185" s="6">
        <f>MonthlyPerfomance_Report_2024[[#This Row],[Actual_YTD 2026]]-MonthlyPerfomance_Report_2024[[#This Row],[Actual_YTD 2025]]</f>
        <v>0</v>
      </c>
      <c r="O185" s="1"/>
    </row>
    <row r="186" spans="2:15" x14ac:dyDescent="0.35">
      <c r="B186" s="1">
        <f t="shared" si="2"/>
        <v>451</v>
      </c>
      <c r="C186" s="1" t="str">
        <f>VLOOKUP(MonthlyPerfomance_Report_2024[[#This Row],[Entity Code]],[1]Entity!$B$3:$C$64,2,0)</f>
        <v>Department of Culture and Tourism - Abu Dhabi</v>
      </c>
      <c r="D186" s="1" t="s">
        <v>17</v>
      </c>
      <c r="E186" s="1">
        <v>200104</v>
      </c>
      <c r="F186" s="1" t="s">
        <v>23</v>
      </c>
      <c r="G186" s="1">
        <v>432690</v>
      </c>
      <c r="H186" s="1">
        <v>426319</v>
      </c>
      <c r="I186" s="1" t="str">
        <f>VLOOKUP(MonthlyPerfomance_Report_2024[[#This Row],[Fusion Account code]],[1]COA!B:D,3,0)</f>
        <v>Maintenance : Plant, machinery and heavy equipment, nme</v>
      </c>
      <c r="J186" s="6"/>
      <c r="K186" s="6"/>
      <c r="L186" s="6"/>
      <c r="M186" s="6"/>
      <c r="N186" s="6">
        <f>MonthlyPerfomance_Report_2024[[#This Row],[Actual_YTD 2026]]-MonthlyPerfomance_Report_2024[[#This Row],[Actual_YTD 2025]]</f>
        <v>0</v>
      </c>
      <c r="O186" s="1"/>
    </row>
    <row r="187" spans="2:15" x14ac:dyDescent="0.35">
      <c r="B187" s="1">
        <f t="shared" si="2"/>
        <v>451</v>
      </c>
      <c r="C187" s="1" t="str">
        <f>VLOOKUP(MonthlyPerfomance_Report_2024[[#This Row],[Entity Code]],[1]Entity!$B$3:$C$64,2,0)</f>
        <v>Department of Culture and Tourism - Abu Dhabi</v>
      </c>
      <c r="D187" s="1" t="s">
        <v>17</v>
      </c>
      <c r="E187" s="1">
        <v>200104</v>
      </c>
      <c r="F187" s="1" t="s">
        <v>23</v>
      </c>
      <c r="G187" s="1">
        <v>435310</v>
      </c>
      <c r="H187" s="1">
        <v>431111</v>
      </c>
      <c r="I187" s="1" t="str">
        <f>VLOOKUP(MonthlyPerfomance_Report_2024[[#This Row],[Fusion Account code]],[1]COA!B:D,3,0)</f>
        <v>Newspapers, magazines, journals, etc</v>
      </c>
      <c r="J187" s="6"/>
      <c r="K187" s="6"/>
      <c r="L187" s="6"/>
      <c r="M187" s="6"/>
      <c r="N187" s="6">
        <f>MonthlyPerfomance_Report_2024[[#This Row],[Actual_YTD 2026]]-MonthlyPerfomance_Report_2024[[#This Row],[Actual_YTD 2025]]</f>
        <v>0</v>
      </c>
      <c r="O187" s="1"/>
    </row>
    <row r="188" spans="2:15" x14ac:dyDescent="0.35">
      <c r="B188" s="1">
        <f t="shared" si="2"/>
        <v>451</v>
      </c>
      <c r="C188" s="1" t="str">
        <f>VLOOKUP(MonthlyPerfomance_Report_2024[[#This Row],[Entity Code]],[1]Entity!$B$3:$C$64,2,0)</f>
        <v>Department of Culture and Tourism - Abu Dhabi</v>
      </c>
      <c r="D188" s="1" t="s">
        <v>17</v>
      </c>
      <c r="E188" s="1">
        <v>200104</v>
      </c>
      <c r="F188" s="1" t="s">
        <v>23</v>
      </c>
      <c r="G188" s="1">
        <v>435350</v>
      </c>
      <c r="H188" s="1">
        <v>431115</v>
      </c>
      <c r="I188" s="1" t="str">
        <f>VLOOKUP(MonthlyPerfomance_Report_2024[[#This Row],[Fusion Account code]],[1]COA!B:D,3,0)</f>
        <v>Academic Publications</v>
      </c>
      <c r="J188" s="6"/>
      <c r="K188" s="6"/>
      <c r="L188" s="6"/>
      <c r="M188" s="6"/>
      <c r="N188" s="6">
        <f>MonthlyPerfomance_Report_2024[[#This Row],[Actual_YTD 2026]]-MonthlyPerfomance_Report_2024[[#This Row],[Actual_YTD 2025]]</f>
        <v>0</v>
      </c>
      <c r="O188" s="1"/>
    </row>
    <row r="189" spans="2:15" x14ac:dyDescent="0.35">
      <c r="B189" s="1">
        <f t="shared" si="2"/>
        <v>451</v>
      </c>
      <c r="C189" s="1" t="str">
        <f>VLOOKUP(MonthlyPerfomance_Report_2024[[#This Row],[Entity Code]],[1]Entity!$B$3:$C$64,2,0)</f>
        <v>Department of Culture and Tourism - Abu Dhabi</v>
      </c>
      <c r="D189" s="1" t="s">
        <v>17</v>
      </c>
      <c r="E189" s="1">
        <v>200104</v>
      </c>
      <c r="F189" s="1" t="s">
        <v>23</v>
      </c>
      <c r="G189" s="1">
        <v>435508</v>
      </c>
      <c r="H189" s="1">
        <v>431413</v>
      </c>
      <c r="I189" s="1" t="str">
        <f>VLOOKUP(MonthlyPerfomance_Report_2024[[#This Row],[Fusion Account code]],[1]COA!B:D,3,0)</f>
        <v>Laboratory - Scientific</v>
      </c>
      <c r="J189" s="6"/>
      <c r="K189" s="6"/>
      <c r="L189" s="6"/>
      <c r="M189" s="6"/>
      <c r="N189" s="6">
        <f>MonthlyPerfomance_Report_2024[[#This Row],[Actual_YTD 2026]]-MonthlyPerfomance_Report_2024[[#This Row],[Actual_YTD 2025]]</f>
        <v>0</v>
      </c>
      <c r="O189" s="1"/>
    </row>
    <row r="190" spans="2:15" x14ac:dyDescent="0.35">
      <c r="B190" s="1">
        <f t="shared" si="2"/>
        <v>451</v>
      </c>
      <c r="C190" s="1" t="str">
        <f>VLOOKUP(MonthlyPerfomance_Report_2024[[#This Row],[Entity Code]],[1]Entity!$B$3:$C$64,2,0)</f>
        <v>Department of Culture and Tourism - Abu Dhabi</v>
      </c>
      <c r="D190" s="1" t="s">
        <v>17</v>
      </c>
      <c r="E190" s="1">
        <v>200104</v>
      </c>
      <c r="F190" s="1" t="s">
        <v>23</v>
      </c>
      <c r="G190" s="1">
        <v>436110</v>
      </c>
      <c r="H190" s="1">
        <v>431811</v>
      </c>
      <c r="I190" s="1" t="str">
        <f>VLOOKUP(MonthlyPerfomance_Report_2024[[#This Row],[Fusion Account code]],[1]COA!B:D,3,0)</f>
        <v>Printing supplies</v>
      </c>
      <c r="J190" s="6"/>
      <c r="K190" s="6"/>
      <c r="L190" s="6"/>
      <c r="M190" s="6"/>
      <c r="N190" s="6">
        <f>MonthlyPerfomance_Report_2024[[#This Row],[Actual_YTD 2026]]-MonthlyPerfomance_Report_2024[[#This Row],[Actual_YTD 2025]]</f>
        <v>0</v>
      </c>
      <c r="O190" s="1"/>
    </row>
    <row r="191" spans="2:15" x14ac:dyDescent="0.35">
      <c r="B191" s="1">
        <f t="shared" si="2"/>
        <v>451</v>
      </c>
      <c r="C191" s="1" t="str">
        <f>VLOOKUP(MonthlyPerfomance_Report_2024[[#This Row],[Entity Code]],[1]Entity!$B$3:$C$64,2,0)</f>
        <v>Department of Culture and Tourism - Abu Dhabi</v>
      </c>
      <c r="D191" s="1" t="s">
        <v>17</v>
      </c>
      <c r="E191" s="1">
        <v>200104</v>
      </c>
      <c r="F191" s="1" t="s">
        <v>23</v>
      </c>
      <c r="G191" s="1">
        <v>436710</v>
      </c>
      <c r="H191" s="1">
        <v>432411</v>
      </c>
      <c r="I191" s="1" t="str">
        <f>VLOOKUP(MonthlyPerfomance_Report_2024[[#This Row],[Fusion Account code]],[1]COA!B:D,3,0)</f>
        <v>Uniforms and accessories for Employees</v>
      </c>
      <c r="J191" s="6"/>
      <c r="K191" s="6"/>
      <c r="L191" s="6"/>
      <c r="M191" s="6"/>
      <c r="N191" s="6">
        <f>MonthlyPerfomance_Report_2024[[#This Row],[Actual_YTD 2026]]-MonthlyPerfomance_Report_2024[[#This Row],[Actual_YTD 2025]]</f>
        <v>0</v>
      </c>
      <c r="O191" s="1"/>
    </row>
    <row r="192" spans="2:15" x14ac:dyDescent="0.35">
      <c r="B192" s="1">
        <f t="shared" si="2"/>
        <v>451</v>
      </c>
      <c r="C192" s="1" t="str">
        <f>VLOOKUP(MonthlyPerfomance_Report_2024[[#This Row],[Entity Code]],[1]Entity!$B$3:$C$64,2,0)</f>
        <v>Department of Culture and Tourism - Abu Dhabi</v>
      </c>
      <c r="D192" s="1" t="s">
        <v>17</v>
      </c>
      <c r="E192" s="1">
        <v>200104</v>
      </c>
      <c r="F192" s="1" t="s">
        <v>23</v>
      </c>
      <c r="G192" s="1">
        <v>435590</v>
      </c>
      <c r="H192" s="1">
        <v>432623</v>
      </c>
      <c r="I192" s="1" t="str">
        <f>VLOOKUP(MonthlyPerfomance_Report_2024[[#This Row],[Fusion Account code]],[1]COA!B:D,3,0)</f>
        <v>Supplies for other purpose, not specified elsewhere</v>
      </c>
      <c r="J192" s="6"/>
      <c r="K192" s="6"/>
      <c r="L192" s="6"/>
      <c r="M192" s="6"/>
      <c r="N192" s="6">
        <f>MonthlyPerfomance_Report_2024[[#This Row],[Actual_YTD 2026]]-MonthlyPerfomance_Report_2024[[#This Row],[Actual_YTD 2025]]</f>
        <v>0</v>
      </c>
      <c r="O192" s="1"/>
    </row>
    <row r="193" spans="2:15" x14ac:dyDescent="0.35">
      <c r="B193" s="1">
        <f t="shared" si="2"/>
        <v>451</v>
      </c>
      <c r="C193" s="1" t="str">
        <f>VLOOKUP(MonthlyPerfomance_Report_2024[[#This Row],[Entity Code]],[1]Entity!$B$3:$C$64,2,0)</f>
        <v>Department of Culture and Tourism - Abu Dhabi</v>
      </c>
      <c r="D193" s="1" t="s">
        <v>17</v>
      </c>
      <c r="E193" s="1">
        <v>200104</v>
      </c>
      <c r="F193" s="1" t="s">
        <v>23</v>
      </c>
      <c r="G193" s="1">
        <v>436910</v>
      </c>
      <c r="H193" s="1">
        <v>432625</v>
      </c>
      <c r="I193" s="1" t="str">
        <f>VLOOKUP(MonthlyPerfomance_Report_2024[[#This Row],[Fusion Account code]],[1]COA!B:D,3,0)</f>
        <v>Charges for Artwork/Exhibits on Loan</v>
      </c>
      <c r="J193" s="6"/>
      <c r="K193" s="6"/>
      <c r="L193" s="6"/>
      <c r="M193" s="6"/>
      <c r="N193" s="6">
        <f>MonthlyPerfomance_Report_2024[[#This Row],[Actual_YTD 2026]]-MonthlyPerfomance_Report_2024[[#This Row],[Actual_YTD 2025]]</f>
        <v>0</v>
      </c>
      <c r="O193" s="1"/>
    </row>
    <row r="194" spans="2:15" x14ac:dyDescent="0.35">
      <c r="B194" s="1">
        <f t="shared" si="2"/>
        <v>451</v>
      </c>
      <c r="C194" s="1" t="str">
        <f>VLOOKUP(MonthlyPerfomance_Report_2024[[#This Row],[Entity Code]],[1]Entity!$B$3:$C$64,2,0)</f>
        <v>Department of Culture and Tourism - Abu Dhabi</v>
      </c>
      <c r="D194" s="1" t="s">
        <v>17</v>
      </c>
      <c r="E194" s="1">
        <v>200104</v>
      </c>
      <c r="F194" s="1" t="s">
        <v>23</v>
      </c>
      <c r="G194" s="1">
        <v>435514</v>
      </c>
      <c r="H194" s="1">
        <v>432626</v>
      </c>
      <c r="I194" s="1" t="str">
        <f>VLOOKUP(MonthlyPerfomance_Report_2024[[#This Row],[Fusion Account code]],[1]COA!B:D,3,0)</f>
        <v>Music Band  related items</v>
      </c>
      <c r="J194" s="6"/>
      <c r="K194" s="6"/>
      <c r="L194" s="6"/>
      <c r="M194" s="6"/>
      <c r="N194" s="6">
        <f>MonthlyPerfomance_Report_2024[[#This Row],[Actual_YTD 2026]]-MonthlyPerfomance_Report_2024[[#This Row],[Actual_YTD 2025]]</f>
        <v>0</v>
      </c>
      <c r="O194" s="1"/>
    </row>
    <row r="195" spans="2:15" x14ac:dyDescent="0.35">
      <c r="B195" s="1">
        <f t="shared" si="2"/>
        <v>451</v>
      </c>
      <c r="C195" s="1" t="str">
        <f>VLOOKUP(MonthlyPerfomance_Report_2024[[#This Row],[Entity Code]],[1]Entity!$B$3:$C$64,2,0)</f>
        <v>Department of Culture and Tourism - Abu Dhabi</v>
      </c>
      <c r="D195" s="1" t="s">
        <v>17</v>
      </c>
      <c r="E195" s="1">
        <v>202067</v>
      </c>
      <c r="F195" s="1" t="s">
        <v>30</v>
      </c>
      <c r="G195" s="1">
        <v>420550</v>
      </c>
      <c r="H195" s="1">
        <v>421115</v>
      </c>
      <c r="I195" s="1" t="str">
        <f>VLOOKUP(MonthlyPerfomance_Report_2024[[#This Row],[Fusion Account code]],[1]COA!B:D,3,0)</f>
        <v>Academic Advisory Service</v>
      </c>
      <c r="J195" s="6"/>
      <c r="K195" s="6"/>
      <c r="L195" s="6"/>
      <c r="M195" s="6"/>
      <c r="N195" s="6">
        <f>MonthlyPerfomance_Report_2024[[#This Row],[Actual_YTD 2026]]-MonthlyPerfomance_Report_2024[[#This Row],[Actual_YTD 2025]]</f>
        <v>0</v>
      </c>
      <c r="O195" s="1"/>
    </row>
    <row r="196" spans="2:15" x14ac:dyDescent="0.35">
      <c r="B196" s="1">
        <f>$B$3</f>
        <v>451</v>
      </c>
      <c r="C196" s="1" t="str">
        <f>VLOOKUP(MonthlyPerfomance_Report_2024[[#This Row],[Entity Code]],[1]Entity!$B$3:$C$64,2,0)</f>
        <v>Department of Culture and Tourism - Abu Dhabi</v>
      </c>
      <c r="D196" s="1" t="s">
        <v>17</v>
      </c>
      <c r="E196" s="1">
        <v>202067</v>
      </c>
      <c r="F196" s="1" t="s">
        <v>30</v>
      </c>
      <c r="G196" s="1">
        <v>421100</v>
      </c>
      <c r="H196" s="1">
        <v>424521</v>
      </c>
      <c r="I196" s="1" t="str">
        <f>VLOOKUP(MonthlyPerfomance_Report_2024[[#This Row],[Fusion Account code]],[1]COA!B:D,3,0)</f>
        <v>Manpower supply "Other Than IT Related"</v>
      </c>
      <c r="J196" s="6"/>
      <c r="K196" s="6"/>
      <c r="L196" s="6"/>
      <c r="M196" s="6"/>
      <c r="N196" s="6">
        <f>MonthlyPerfomance_Report_2024[[#This Row],[Actual_YTD 2026]]-MonthlyPerfomance_Report_2024[[#This Row],[Actual_YTD 2025]]</f>
        <v>0</v>
      </c>
      <c r="O196" s="1"/>
    </row>
    <row r="197" spans="2:15" x14ac:dyDescent="0.35">
      <c r="B197" s="1">
        <f t="shared" ref="B197" si="3">$B$3</f>
        <v>451</v>
      </c>
      <c r="C197" s="1" t="str">
        <f>VLOOKUP(MonthlyPerfomance_Report_2024[[#This Row],[Entity Code]],[1]Entity!$B$3:$C$64,2,0)</f>
        <v>Department of Culture and Tourism - Abu Dhabi</v>
      </c>
      <c r="D197" s="1" t="s">
        <v>17</v>
      </c>
      <c r="E197" s="1">
        <v>202067</v>
      </c>
      <c r="F197" s="1" t="s">
        <v>30</v>
      </c>
      <c r="G197" s="1">
        <v>420811</v>
      </c>
      <c r="H197" s="1">
        <v>422212</v>
      </c>
      <c r="I197" s="1" t="str">
        <f>VLOOKUP(MonthlyPerfomance_Report_2024[[#This Row],[Fusion Account code]],[1]COA!B:D,3,0)</f>
        <v>IT Systems &amp; Support expenses-Application/Systems Operation</v>
      </c>
      <c r="J197" s="6"/>
      <c r="K197" s="6"/>
      <c r="L197" s="6"/>
      <c r="M197" s="6"/>
      <c r="N197" s="6">
        <f>MonthlyPerfomance_Report_2024[[#This Row],[Actual_YTD 2026]]-MonthlyPerfomance_Report_2024[[#This Row],[Actual_YTD 2025]]</f>
        <v>0</v>
      </c>
      <c r="O197" s="1"/>
    </row>
    <row r="198" spans="2:15" x14ac:dyDescent="0.35">
      <c r="B198" s="1">
        <f>$B$3</f>
        <v>451</v>
      </c>
      <c r="C198" s="1" t="str">
        <f>VLOOKUP(MonthlyPerfomance_Report_2024[[#This Row],[Entity Code]],[1]Entity!$B$3:$C$64,2,0)</f>
        <v>Department of Culture and Tourism - Abu Dhabi</v>
      </c>
      <c r="D198" s="1" t="s">
        <v>17</v>
      </c>
      <c r="E198" s="1">
        <v>202185</v>
      </c>
      <c r="F198" s="1" t="s">
        <v>31</v>
      </c>
      <c r="G198" s="1">
        <v>425500</v>
      </c>
      <c r="H198" s="1">
        <v>422401</v>
      </c>
      <c r="I198" s="1" t="str">
        <f>VLOOKUP(MonthlyPerfomance_Report_2024[[#This Row],[Fusion Account code]],[1]COA!B:D,3,0)</f>
        <v>Conferences, seminars and exhibitions and other events: -deactivate</v>
      </c>
      <c r="J198" s="6"/>
      <c r="K198" s="6"/>
      <c r="L198" s="6"/>
      <c r="M198" s="6"/>
      <c r="N198" s="6">
        <f>MonthlyPerfomance_Report_2024[[#This Row],[Actual_YTD 2026]]-MonthlyPerfomance_Report_2024[[#This Row],[Actual_YTD 2025]]</f>
        <v>0</v>
      </c>
      <c r="O198" s="1"/>
    </row>
    <row r="199" spans="2:15" x14ac:dyDescent="0.35">
      <c r="B199" s="1">
        <f t="shared" ref="B199:B224" si="4">$B$3</f>
        <v>451</v>
      </c>
      <c r="C199" s="1" t="str">
        <f>VLOOKUP(MonthlyPerfomance_Report_2024[[#This Row],[Entity Code]],[1]Entity!$B$3:$C$64,2,0)</f>
        <v>Department of Culture and Tourism - Abu Dhabi</v>
      </c>
      <c r="D199" s="1" t="s">
        <v>17</v>
      </c>
      <c r="E199" s="1">
        <v>250044</v>
      </c>
      <c r="F199" s="1" t="s">
        <v>32</v>
      </c>
      <c r="G199" s="1">
        <v>425510</v>
      </c>
      <c r="H199" s="1">
        <v>422411</v>
      </c>
      <c r="I199" s="1" t="str">
        <f>VLOOKUP(MonthlyPerfomance_Report_2024[[#This Row],[Fusion Account code]],[1]COA!B:D,3,0)</f>
        <v>Conferences, seminars and exhibitions and other events: - Local Events</v>
      </c>
      <c r="J199" s="6"/>
      <c r="K199" s="6"/>
      <c r="L199" s="6"/>
      <c r="M199" s="6"/>
      <c r="N199" s="6">
        <f>MonthlyPerfomance_Report_2024[[#This Row],[Actual_YTD 2026]]-MonthlyPerfomance_Report_2024[[#This Row],[Actual_YTD 2025]]</f>
        <v>0</v>
      </c>
      <c r="O199" s="1"/>
    </row>
    <row r="200" spans="2:15" ht="15.5" x14ac:dyDescent="0.35">
      <c r="B200" s="7"/>
      <c r="C200" s="7"/>
      <c r="D200" s="8" t="s">
        <v>33</v>
      </c>
      <c r="E200" s="7"/>
      <c r="F200" s="7"/>
      <c r="G200" s="7"/>
      <c r="H200" s="7"/>
      <c r="I200" s="7"/>
      <c r="J200" s="11"/>
      <c r="K200" s="11"/>
      <c r="L200" s="11"/>
      <c r="M200" s="11"/>
      <c r="N200" s="9">
        <f>MonthlyPerfomance_Report_2024[[#This Row],[Actual_YTD 2026]]-MonthlyPerfomance_Report_2024[[#This Row],[Actual_YTD 2025]]</f>
        <v>0</v>
      </c>
      <c r="O200" s="7"/>
    </row>
    <row r="201" spans="2:15" x14ac:dyDescent="0.35">
      <c r="B201" s="1">
        <f t="shared" si="4"/>
        <v>451</v>
      </c>
      <c r="C201" s="1" t="str">
        <f>VLOOKUP(MonthlyPerfomance_Report_2024[[#This Row],[Entity Code]],[1]Entity!$B$3:$C$64,2,0)</f>
        <v>Department of Culture and Tourism - Abu Dhabi</v>
      </c>
      <c r="D201" s="1" t="s">
        <v>34</v>
      </c>
      <c r="E201" s="1">
        <v>50727</v>
      </c>
      <c r="F201" s="1" t="s">
        <v>35</v>
      </c>
      <c r="G201" s="1">
        <v>492700</v>
      </c>
      <c r="H201" s="1">
        <v>491811</v>
      </c>
      <c r="I201" s="1" t="str">
        <f>VLOOKUP(MonthlyPerfomance_Report_2024[[#This Row],[Fusion Account code]],[1]COA!B:D,3,0)</f>
        <v>Heritage and cultural assets</v>
      </c>
      <c r="J201" s="6"/>
      <c r="K201" s="6"/>
      <c r="L201" s="6"/>
      <c r="M201" s="6"/>
      <c r="N201" s="6">
        <f>MonthlyPerfomance_Report_2024[[#This Row],[Actual_YTD 2026]]-MonthlyPerfomance_Report_2024[[#This Row],[Actual_YTD 2025]]</f>
        <v>0</v>
      </c>
      <c r="O201" s="1"/>
    </row>
    <row r="202" spans="2:15" x14ac:dyDescent="0.35">
      <c r="B202" s="1">
        <f t="shared" si="4"/>
        <v>451</v>
      </c>
      <c r="C202" s="1" t="str">
        <f>VLOOKUP(MonthlyPerfomance_Report_2024[[#This Row],[Entity Code]],[1]Entity!$B$3:$C$64,2,0)</f>
        <v>Department of Culture and Tourism - Abu Dhabi</v>
      </c>
      <c r="D202" s="1" t="s">
        <v>34</v>
      </c>
      <c r="E202" s="1">
        <v>300105</v>
      </c>
      <c r="F202" s="1" t="s">
        <v>36</v>
      </c>
      <c r="G202" s="1">
        <v>490600</v>
      </c>
      <c r="H202" s="1">
        <v>490600</v>
      </c>
      <c r="I202" s="1" t="str">
        <f>VLOOKUP(MonthlyPerfomance_Report_2024[[#This Row],[Fusion Account code]],[1]COA!B:D,3,0)</f>
        <v>Leaseholds - Other Infrastructure assets</v>
      </c>
      <c r="J202" s="6"/>
      <c r="K202" s="6"/>
      <c r="L202" s="6"/>
      <c r="M202" s="6"/>
      <c r="N202" s="6">
        <f>MonthlyPerfomance_Report_2024[[#This Row],[Actual_YTD 2026]]-MonthlyPerfomance_Report_2024[[#This Row],[Actual_YTD 2025]]</f>
        <v>0</v>
      </c>
      <c r="O202" s="1"/>
    </row>
    <row r="203" spans="2:15" x14ac:dyDescent="0.35">
      <c r="B203" s="1">
        <f t="shared" si="4"/>
        <v>451</v>
      </c>
      <c r="C203" s="1" t="str">
        <f>VLOOKUP(MonthlyPerfomance_Report_2024[[#This Row],[Entity Code]],[1]Entity!$B$3:$C$64,2,0)</f>
        <v>Department of Culture and Tourism - Abu Dhabi</v>
      </c>
      <c r="D203" s="1" t="s">
        <v>34</v>
      </c>
      <c r="E203" s="1">
        <v>300105</v>
      </c>
      <c r="F203" s="1" t="s">
        <v>36</v>
      </c>
      <c r="G203" s="1">
        <v>492200</v>
      </c>
      <c r="H203" s="1">
        <v>491211</v>
      </c>
      <c r="I203" s="1" t="str">
        <f>VLOOKUP(MonthlyPerfomance_Report_2024[[#This Row],[Fusion Account code]],[1]COA!B:D,3,0)</f>
        <v>Capital expense - Buildings</v>
      </c>
      <c r="J203" s="6"/>
      <c r="K203" s="6"/>
      <c r="L203" s="6"/>
      <c r="M203" s="6"/>
      <c r="N203" s="6">
        <f>MonthlyPerfomance_Report_2024[[#This Row],[Actual_YTD 2026]]-MonthlyPerfomance_Report_2024[[#This Row],[Actual_YTD 2025]]</f>
        <v>0</v>
      </c>
      <c r="O203" s="1"/>
    </row>
    <row r="204" spans="2:15" x14ac:dyDescent="0.35">
      <c r="B204" s="1">
        <f t="shared" si="4"/>
        <v>451</v>
      </c>
      <c r="C204" s="1" t="str">
        <f>VLOOKUP(MonthlyPerfomance_Report_2024[[#This Row],[Entity Code]],[1]Entity!$B$3:$C$64,2,0)</f>
        <v>Department of Culture and Tourism - Abu Dhabi</v>
      </c>
      <c r="D204" s="1" t="s">
        <v>34</v>
      </c>
      <c r="E204" s="1">
        <v>300105</v>
      </c>
      <c r="F204" s="1" t="s">
        <v>36</v>
      </c>
      <c r="G204" s="1">
        <v>492310</v>
      </c>
      <c r="H204" s="1">
        <v>491320</v>
      </c>
      <c r="I204" s="1" t="str">
        <f>VLOOKUP(MonthlyPerfomance_Report_2024[[#This Row],[Fusion Account code]],[1]COA!B:D,3,0)</f>
        <v>Hardware &amp; peripherals</v>
      </c>
      <c r="J204" s="6"/>
      <c r="K204" s="6"/>
      <c r="L204" s="6"/>
      <c r="M204" s="6"/>
      <c r="N204" s="6">
        <f>MonthlyPerfomance_Report_2024[[#This Row],[Actual_YTD 2026]]-MonthlyPerfomance_Report_2024[[#This Row],[Actual_YTD 2025]]</f>
        <v>0</v>
      </c>
      <c r="O204" s="1"/>
    </row>
    <row r="205" spans="2:15" x14ac:dyDescent="0.35">
      <c r="B205" s="1">
        <f t="shared" si="4"/>
        <v>451</v>
      </c>
      <c r="C205" s="1" t="str">
        <f>VLOOKUP(MonthlyPerfomance_Report_2024[[#This Row],[Entity Code]],[1]Entity!$B$3:$C$64,2,0)</f>
        <v>Department of Culture and Tourism - Abu Dhabi</v>
      </c>
      <c r="D205" s="1" t="s">
        <v>34</v>
      </c>
      <c r="E205" s="1">
        <v>300105</v>
      </c>
      <c r="F205" s="1" t="s">
        <v>36</v>
      </c>
      <c r="G205" s="1">
        <v>492322</v>
      </c>
      <c r="H205" s="1">
        <v>491332</v>
      </c>
      <c r="I205" s="1" t="str">
        <f>VLOOKUP(MonthlyPerfomance_Report_2024[[#This Row],[Fusion Account code]],[1]COA!B:D,3,0)</f>
        <v>Music band instruments</v>
      </c>
      <c r="J205" s="6"/>
      <c r="K205" s="6"/>
      <c r="L205" s="6"/>
      <c r="M205" s="6"/>
      <c r="N205" s="6">
        <f>MonthlyPerfomance_Report_2024[[#This Row],[Actual_YTD 2026]]-MonthlyPerfomance_Report_2024[[#This Row],[Actual_YTD 2025]]</f>
        <v>0</v>
      </c>
      <c r="O205" s="1"/>
    </row>
    <row r="206" spans="2:15" x14ac:dyDescent="0.35">
      <c r="B206" s="1">
        <f t="shared" si="4"/>
        <v>451</v>
      </c>
      <c r="C206" s="1" t="str">
        <f>VLOOKUP(MonthlyPerfomance_Report_2024[[#This Row],[Entity Code]],[1]Entity!$B$3:$C$64,2,0)</f>
        <v>Department of Culture and Tourism - Abu Dhabi</v>
      </c>
      <c r="D206" s="1" t="s">
        <v>34</v>
      </c>
      <c r="E206" s="1">
        <v>300105</v>
      </c>
      <c r="F206" s="1" t="s">
        <v>36</v>
      </c>
      <c r="G206" s="1">
        <v>492325</v>
      </c>
      <c r="H206" s="1">
        <v>491335</v>
      </c>
      <c r="I206" s="1" t="str">
        <f>VLOOKUP(MonthlyPerfomance_Report_2024[[#This Row],[Fusion Account code]],[1]COA!B:D,3,0)</f>
        <v>Photographic &amp; theatre equip (including cameras, film processors, etc)</v>
      </c>
      <c r="J206" s="6"/>
      <c r="K206" s="6"/>
      <c r="L206" s="6"/>
      <c r="M206" s="6"/>
      <c r="N206" s="6">
        <f>MonthlyPerfomance_Report_2024[[#This Row],[Actual_YTD 2026]]-MonthlyPerfomance_Report_2024[[#This Row],[Actual_YTD 2025]]</f>
        <v>0</v>
      </c>
      <c r="O206" s="1"/>
    </row>
    <row r="207" spans="2:15" x14ac:dyDescent="0.35">
      <c r="B207" s="1">
        <f t="shared" si="4"/>
        <v>451</v>
      </c>
      <c r="C207" s="1" t="str">
        <f>VLOOKUP(MonthlyPerfomance_Report_2024[[#This Row],[Entity Code]],[1]Entity!$B$3:$C$64,2,0)</f>
        <v>Department of Culture and Tourism - Abu Dhabi</v>
      </c>
      <c r="D207" s="1" t="s">
        <v>34</v>
      </c>
      <c r="E207" s="1">
        <v>300105</v>
      </c>
      <c r="F207" s="1" t="s">
        <v>36</v>
      </c>
      <c r="G207" s="1">
        <v>492341</v>
      </c>
      <c r="H207" s="1">
        <v>491351</v>
      </c>
      <c r="I207" s="1" t="str">
        <f>VLOOKUP(MonthlyPerfomance_Report_2024[[#This Row],[Fusion Account code]],[1]COA!B:D,3,0)</f>
        <v>Plant,Machinery&amp;Equip - Workshop equipment</v>
      </c>
      <c r="J207" s="6"/>
      <c r="K207" s="6"/>
      <c r="L207" s="6"/>
      <c r="M207" s="6"/>
      <c r="N207" s="6">
        <f>MonthlyPerfomance_Report_2024[[#This Row],[Actual_YTD 2026]]-MonthlyPerfomance_Report_2024[[#This Row],[Actual_YTD 2025]]</f>
        <v>0</v>
      </c>
      <c r="O207" s="1"/>
    </row>
    <row r="208" spans="2:15" x14ac:dyDescent="0.35">
      <c r="B208" s="1">
        <f t="shared" si="4"/>
        <v>451</v>
      </c>
      <c r="C208" s="1" t="str">
        <f>VLOOKUP(MonthlyPerfomance_Report_2024[[#This Row],[Entity Code]],[1]Entity!$B$3:$C$64,2,0)</f>
        <v>Department of Culture and Tourism - Abu Dhabi</v>
      </c>
      <c r="D208" s="1" t="s">
        <v>34</v>
      </c>
      <c r="E208" s="1">
        <v>300105</v>
      </c>
      <c r="F208" s="1" t="s">
        <v>36</v>
      </c>
      <c r="G208" s="1">
        <v>492352</v>
      </c>
      <c r="H208" s="1">
        <v>491356</v>
      </c>
      <c r="I208" s="1" t="str">
        <f>VLOOKUP(MonthlyPerfomance_Report_2024[[#This Row],[Fusion Account code]],[1]COA!B:D,3,0)</f>
        <v>Hardware &amp; peripherals-Network Devices</v>
      </c>
      <c r="J208" s="6"/>
      <c r="K208" s="6"/>
      <c r="L208" s="6"/>
      <c r="M208" s="6"/>
      <c r="N208" s="6">
        <f>MonthlyPerfomance_Report_2024[[#This Row],[Actual_YTD 2026]]-MonthlyPerfomance_Report_2024[[#This Row],[Actual_YTD 2025]]</f>
        <v>0</v>
      </c>
      <c r="O208" s="1"/>
    </row>
    <row r="209" spans="2:15" x14ac:dyDescent="0.35">
      <c r="B209" s="1">
        <f t="shared" si="4"/>
        <v>451</v>
      </c>
      <c r="C209" s="1" t="str">
        <f>VLOOKUP(MonthlyPerfomance_Report_2024[[#This Row],[Entity Code]],[1]Entity!$B$3:$C$64,2,0)</f>
        <v>Department of Culture and Tourism - Abu Dhabi</v>
      </c>
      <c r="D209" s="1" t="s">
        <v>34</v>
      </c>
      <c r="E209" s="1">
        <v>300105</v>
      </c>
      <c r="F209" s="1" t="s">
        <v>36</v>
      </c>
      <c r="G209" s="1">
        <v>492610</v>
      </c>
      <c r="H209" s="1">
        <v>491711</v>
      </c>
      <c r="I209" s="1" t="str">
        <f>VLOOKUP(MonthlyPerfomance_Report_2024[[#This Row],[Fusion Account code]],[1]COA!B:D,3,0)</f>
        <v>Furniture &amp; Fixtures - Offices</v>
      </c>
      <c r="J209" s="6"/>
      <c r="K209" s="6"/>
      <c r="L209" s="6"/>
      <c r="M209" s="6"/>
      <c r="N209" s="6">
        <f>MonthlyPerfomance_Report_2024[[#This Row],[Actual_YTD 2026]]-MonthlyPerfomance_Report_2024[[#This Row],[Actual_YTD 2025]]</f>
        <v>0</v>
      </c>
      <c r="O209" s="1"/>
    </row>
    <row r="210" spans="2:15" x14ac:dyDescent="0.35">
      <c r="B210" s="1">
        <f t="shared" si="4"/>
        <v>451</v>
      </c>
      <c r="C210" s="1" t="str">
        <f>VLOOKUP(MonthlyPerfomance_Report_2024[[#This Row],[Entity Code]],[1]Entity!$B$3:$C$64,2,0)</f>
        <v>Department of Culture and Tourism - Abu Dhabi</v>
      </c>
      <c r="D210" s="1" t="s">
        <v>34</v>
      </c>
      <c r="E210" s="1">
        <v>300105</v>
      </c>
      <c r="F210" s="1" t="s">
        <v>36</v>
      </c>
      <c r="G210" s="1">
        <v>492700</v>
      </c>
      <c r="H210" s="1">
        <v>491811</v>
      </c>
      <c r="I210" s="1" t="str">
        <f>VLOOKUP(MonthlyPerfomance_Report_2024[[#This Row],[Fusion Account code]],[1]COA!B:D,3,0)</f>
        <v>Heritage and cultural assets</v>
      </c>
      <c r="J210" s="6"/>
      <c r="K210" s="6"/>
      <c r="L210" s="6"/>
      <c r="M210" s="6"/>
      <c r="N210" s="6">
        <f>MonthlyPerfomance_Report_2024[[#This Row],[Actual_YTD 2026]]-MonthlyPerfomance_Report_2024[[#This Row],[Actual_YTD 2025]]</f>
        <v>0</v>
      </c>
      <c r="O210" s="1"/>
    </row>
    <row r="211" spans="2:15" x14ac:dyDescent="0.35">
      <c r="B211" s="1">
        <f t="shared" si="4"/>
        <v>451</v>
      </c>
      <c r="C211" s="1" t="str">
        <f>VLOOKUP(MonthlyPerfomance_Report_2024[[#This Row],[Entity Code]],[1]Entity!$B$3:$C$64,2,0)</f>
        <v>Department of Culture and Tourism - Abu Dhabi</v>
      </c>
      <c r="D211" s="1" t="s">
        <v>34</v>
      </c>
      <c r="E211" s="1">
        <v>300105</v>
      </c>
      <c r="F211" s="1" t="s">
        <v>36</v>
      </c>
      <c r="G211" s="1">
        <v>492900</v>
      </c>
      <c r="H211" s="1">
        <v>491911</v>
      </c>
      <c r="I211" s="1" t="str">
        <f>VLOOKUP(MonthlyPerfomance_Report_2024[[#This Row],[Fusion Account code]],[1]COA!B:D,3,0)</f>
        <v>Other fixed assets</v>
      </c>
      <c r="J211" s="6"/>
      <c r="K211" s="6"/>
      <c r="L211" s="6"/>
      <c r="M211" s="6"/>
      <c r="N211" s="6">
        <f>MonthlyPerfomance_Report_2024[[#This Row],[Actual_YTD 2026]]-MonthlyPerfomance_Report_2024[[#This Row],[Actual_YTD 2025]]</f>
        <v>0</v>
      </c>
      <c r="O211" s="1"/>
    </row>
    <row r="212" spans="2:15" x14ac:dyDescent="0.35">
      <c r="B212" s="1">
        <f t="shared" si="4"/>
        <v>451</v>
      </c>
      <c r="C212" s="1" t="str">
        <f>VLOOKUP(MonthlyPerfomance_Report_2024[[#This Row],[Entity Code]],[1]Entity!$B$3:$C$64,2,0)</f>
        <v>Department of Culture and Tourism - Abu Dhabi</v>
      </c>
      <c r="D212" s="1" t="s">
        <v>34</v>
      </c>
      <c r="E212" s="1">
        <v>300105</v>
      </c>
      <c r="F212" s="1" t="s">
        <v>36</v>
      </c>
      <c r="G212" s="1">
        <v>495111</v>
      </c>
      <c r="H212" s="1">
        <v>493120</v>
      </c>
      <c r="I212" s="1" t="str">
        <f>VLOOKUP(MonthlyPerfomance_Report_2024[[#This Row],[Fusion Account code]],[1]COA!B:D,3,0)</f>
        <v>Computer software-Operating System, Virtualization</v>
      </c>
      <c r="J212" s="6"/>
      <c r="K212" s="6"/>
      <c r="L212" s="6"/>
      <c r="M212" s="6"/>
      <c r="N212" s="6">
        <f>MonthlyPerfomance_Report_2024[[#This Row],[Actual_YTD 2026]]-MonthlyPerfomance_Report_2024[[#This Row],[Actual_YTD 2025]]</f>
        <v>0</v>
      </c>
      <c r="O212" s="1"/>
    </row>
    <row r="213" spans="2:15" x14ac:dyDescent="0.35">
      <c r="B213" s="1">
        <f t="shared" si="4"/>
        <v>451</v>
      </c>
      <c r="C213" s="1" t="str">
        <f>VLOOKUP(MonthlyPerfomance_Report_2024[[#This Row],[Entity Code]],[1]Entity!$B$3:$C$64,2,0)</f>
        <v>Department of Culture and Tourism - Abu Dhabi</v>
      </c>
      <c r="D213" s="1" t="s">
        <v>34</v>
      </c>
      <c r="E213" s="1">
        <v>300105</v>
      </c>
      <c r="F213" s="1" t="s">
        <v>36</v>
      </c>
      <c r="G213" s="1">
        <v>495113</v>
      </c>
      <c r="H213" s="1">
        <v>493140</v>
      </c>
      <c r="I213" s="1" t="str">
        <f>VLOOKUP(MonthlyPerfomance_Report_2024[[#This Row],[Fusion Account code]],[1]COA!B:D,3,0)</f>
        <v>Computer software-Application, Platform</v>
      </c>
      <c r="J213" s="6"/>
      <c r="K213" s="6"/>
      <c r="L213" s="6"/>
      <c r="M213" s="6"/>
      <c r="N213" s="6">
        <f>MonthlyPerfomance_Report_2024[[#This Row],[Actual_YTD 2026]]-MonthlyPerfomance_Report_2024[[#This Row],[Actual_YTD 2025]]</f>
        <v>0</v>
      </c>
      <c r="O213" s="1"/>
    </row>
    <row r="214" spans="2:15" x14ac:dyDescent="0.35">
      <c r="B214" s="1">
        <f t="shared" si="4"/>
        <v>451</v>
      </c>
      <c r="C214" s="1" t="str">
        <f>VLOOKUP(MonthlyPerfomance_Report_2024[[#This Row],[Entity Code]],[1]Entity!$B$3:$C$64,2,0)</f>
        <v>Department of Culture and Tourism - Abu Dhabi</v>
      </c>
      <c r="D214" s="1" t="s">
        <v>34</v>
      </c>
      <c r="E214" s="1">
        <v>300105</v>
      </c>
      <c r="F214" s="1" t="s">
        <v>36</v>
      </c>
      <c r="G214" s="1">
        <v>495114</v>
      </c>
      <c r="H214" s="1">
        <v>493150</v>
      </c>
      <c r="I214" s="1" t="str">
        <f>VLOOKUP(MonthlyPerfomance_Report_2024[[#This Row],[Fusion Account code]],[1]COA!B:D,3,0)</f>
        <v>Computer software-Security</v>
      </c>
      <c r="J214" s="6"/>
      <c r="K214" s="6"/>
      <c r="L214" s="6"/>
      <c r="M214" s="6"/>
      <c r="N214" s="6">
        <f>MonthlyPerfomance_Report_2024[[#This Row],[Actual_YTD 2026]]-MonthlyPerfomance_Report_2024[[#This Row],[Actual_YTD 2025]]</f>
        <v>0</v>
      </c>
      <c r="O214" s="1"/>
    </row>
    <row r="215" spans="2:15" x14ac:dyDescent="0.35">
      <c r="B215" s="1">
        <f t="shared" si="4"/>
        <v>451</v>
      </c>
      <c r="C215" s="1" t="str">
        <f>VLOOKUP(MonthlyPerfomance_Report_2024[[#This Row],[Entity Code]],[1]Entity!$B$3:$C$64,2,0)</f>
        <v>Department of Culture and Tourism - Abu Dhabi</v>
      </c>
      <c r="D215" s="1" t="s">
        <v>34</v>
      </c>
      <c r="E215" s="1">
        <v>300105</v>
      </c>
      <c r="F215" s="1" t="s">
        <v>36</v>
      </c>
      <c r="G215" s="1">
        <v>495120</v>
      </c>
      <c r="H215" s="1">
        <v>493180</v>
      </c>
      <c r="I215" s="1" t="str">
        <f>VLOOKUP(MonthlyPerfomance_Report_2024[[#This Row],[Fusion Account code]],[1]COA!B:D,3,0)</f>
        <v>System development &amp; implemention costs</v>
      </c>
      <c r="J215" s="6"/>
      <c r="K215" s="6"/>
      <c r="L215" s="6"/>
      <c r="M215" s="6"/>
      <c r="N215" s="6">
        <f>MonthlyPerfomance_Report_2024[[#This Row],[Actual_YTD 2026]]-MonthlyPerfomance_Report_2024[[#This Row],[Actual_YTD 2025]]</f>
        <v>0</v>
      </c>
      <c r="O215" s="1"/>
    </row>
    <row r="216" spans="2:15" x14ac:dyDescent="0.35">
      <c r="B216" s="1">
        <f t="shared" si="4"/>
        <v>451</v>
      </c>
      <c r="C216" s="1" t="str">
        <f>VLOOKUP(MonthlyPerfomance_Report_2024[[#This Row],[Entity Code]],[1]Entity!$B$3:$C$64,2,0)</f>
        <v>Department of Culture and Tourism - Abu Dhabi</v>
      </c>
      <c r="D216" s="1" t="s">
        <v>34</v>
      </c>
      <c r="E216" s="1">
        <v>300105</v>
      </c>
      <c r="F216" s="1" t="s">
        <v>36</v>
      </c>
      <c r="G216" s="1">
        <v>492311</v>
      </c>
      <c r="H216" s="1">
        <v>491321</v>
      </c>
      <c r="I216" s="1" t="str">
        <f>VLOOKUP(MonthlyPerfomance_Report_2024[[#This Row],[Fusion Account code]],[1]COA!B:D,3,0)</f>
        <v>Heavy equipment, plant &amp; machinery</v>
      </c>
      <c r="J216" s="6"/>
      <c r="K216" s="6"/>
      <c r="L216" s="6"/>
      <c r="M216" s="6"/>
      <c r="N216" s="6">
        <f>MonthlyPerfomance_Report_2024[[#This Row],[Actual_YTD 2026]]-MonthlyPerfomance_Report_2024[[#This Row],[Actual_YTD 2025]]</f>
        <v>0</v>
      </c>
      <c r="O216" s="1"/>
    </row>
    <row r="217" spans="2:15" x14ac:dyDescent="0.35">
      <c r="B217" s="1">
        <f t="shared" si="4"/>
        <v>451</v>
      </c>
      <c r="C217" s="1" t="str">
        <f>VLOOKUP(MonthlyPerfomance_Report_2024[[#This Row],[Entity Code]],[1]Entity!$B$3:$C$64,2,0)</f>
        <v>Department of Culture and Tourism - Abu Dhabi</v>
      </c>
      <c r="D217" s="1" t="s">
        <v>34</v>
      </c>
      <c r="E217" s="1">
        <v>300105</v>
      </c>
      <c r="F217" s="1" t="s">
        <v>36</v>
      </c>
      <c r="G217" s="1">
        <v>492316</v>
      </c>
      <c r="H217" s="1">
        <v>491326</v>
      </c>
      <c r="I217" s="1" t="str">
        <f>VLOOKUP(MonthlyPerfomance_Report_2024[[#This Row],[Fusion Account code]],[1]COA!B:D,3,0)</f>
        <v>Laboratory equipment</v>
      </c>
      <c r="J217" s="6"/>
      <c r="K217" s="6"/>
      <c r="L217" s="6"/>
      <c r="M217" s="6"/>
      <c r="N217" s="6">
        <f>MonthlyPerfomance_Report_2024[[#This Row],[Actual_YTD 2026]]-MonthlyPerfomance_Report_2024[[#This Row],[Actual_YTD 2025]]</f>
        <v>0</v>
      </c>
      <c r="O217" s="1"/>
    </row>
    <row r="218" spans="2:15" x14ac:dyDescent="0.35">
      <c r="B218" s="1">
        <f t="shared" si="4"/>
        <v>451</v>
      </c>
      <c r="C218" s="1" t="str">
        <f>VLOOKUP(MonthlyPerfomance_Report_2024[[#This Row],[Entity Code]],[1]Entity!$B$3:$C$64,2,0)</f>
        <v>Department of Culture and Tourism - Abu Dhabi</v>
      </c>
      <c r="D218" s="1" t="s">
        <v>34</v>
      </c>
      <c r="E218" s="1">
        <v>300105</v>
      </c>
      <c r="F218" s="1" t="s">
        <v>36</v>
      </c>
      <c r="G218" s="1">
        <v>492356</v>
      </c>
      <c r="H218" s="1">
        <v>491360</v>
      </c>
      <c r="I218" s="1" t="str">
        <f>VLOOKUP(MonthlyPerfomance_Report_2024[[#This Row],[Fusion Account code]],[1]COA!B:D,3,0)</f>
        <v>Hardware &amp; peripherals-Conferencing &amp; AV</v>
      </c>
      <c r="J218" s="6"/>
      <c r="K218" s="6"/>
      <c r="L218" s="6"/>
      <c r="M218" s="6"/>
      <c r="N218" s="6">
        <f>MonthlyPerfomance_Report_2024[[#This Row],[Actual_YTD 2026]]-MonthlyPerfomance_Report_2024[[#This Row],[Actual_YTD 2025]]</f>
        <v>0</v>
      </c>
      <c r="O218" s="1"/>
    </row>
    <row r="219" spans="2:15" x14ac:dyDescent="0.35">
      <c r="B219" s="1">
        <f t="shared" si="4"/>
        <v>451</v>
      </c>
      <c r="C219" s="1" t="str">
        <f>VLOOKUP(MonthlyPerfomance_Report_2024[[#This Row],[Entity Code]],[1]Entity!$B$3:$C$64,2,0)</f>
        <v>Department of Culture and Tourism - Abu Dhabi</v>
      </c>
      <c r="D219" s="1" t="s">
        <v>34</v>
      </c>
      <c r="E219" s="1">
        <v>300105</v>
      </c>
      <c r="F219" s="1" t="s">
        <v>36</v>
      </c>
      <c r="G219" s="1">
        <v>492371</v>
      </c>
      <c r="H219" s="1">
        <v>491411</v>
      </c>
      <c r="I219" s="1" t="str">
        <f>VLOOKUP(MonthlyPerfomance_Report_2024[[#This Row],[Fusion Account code]],[1]COA!B:D,3,0)</f>
        <v>Electricity distribution spares</v>
      </c>
      <c r="J219" s="6"/>
      <c r="K219" s="6"/>
      <c r="L219" s="6"/>
      <c r="M219" s="6"/>
      <c r="N219" s="6">
        <f>MonthlyPerfomance_Report_2024[[#This Row],[Actual_YTD 2026]]-MonthlyPerfomance_Report_2024[[#This Row],[Actual_YTD 2025]]</f>
        <v>0</v>
      </c>
      <c r="O219" s="1"/>
    </row>
    <row r="220" spans="2:15" x14ac:dyDescent="0.35">
      <c r="B220" s="1">
        <f t="shared" si="4"/>
        <v>451</v>
      </c>
      <c r="C220" s="1" t="str">
        <f>VLOOKUP(MonthlyPerfomance_Report_2024[[#This Row],[Entity Code]],[1]Entity!$B$3:$C$64,2,0)</f>
        <v>Department of Culture and Tourism - Abu Dhabi</v>
      </c>
      <c r="D220" s="1" t="s">
        <v>34</v>
      </c>
      <c r="E220" s="1">
        <v>300105</v>
      </c>
      <c r="F220" s="1" t="s">
        <v>36</v>
      </c>
      <c r="G220" s="1">
        <v>492790</v>
      </c>
      <c r="H220" s="1">
        <v>491821</v>
      </c>
      <c r="I220" s="1" t="str">
        <f>VLOOKUP(MonthlyPerfomance_Report_2024[[#This Row],[Fusion Account code]],[1]COA!B:D,3,0)</f>
        <v>Library Books</v>
      </c>
      <c r="J220" s="6"/>
      <c r="K220" s="6"/>
      <c r="L220" s="6"/>
      <c r="M220" s="6"/>
      <c r="N220" s="6">
        <f>MonthlyPerfomance_Report_2024[[#This Row],[Actual_YTD 2026]]-MonthlyPerfomance_Report_2024[[#This Row],[Actual_YTD 2025]]</f>
        <v>0</v>
      </c>
      <c r="O220" s="1"/>
    </row>
    <row r="221" spans="2:15" x14ac:dyDescent="0.35">
      <c r="B221" s="1">
        <f t="shared" si="4"/>
        <v>451</v>
      </c>
      <c r="C221" s="1" t="str">
        <f>VLOOKUP(MonthlyPerfomance_Report_2024[[#This Row],[Entity Code]],[1]Entity!$B$3:$C$64,2,0)</f>
        <v>Department of Culture and Tourism - Abu Dhabi</v>
      </c>
      <c r="D221" s="1" t="s">
        <v>34</v>
      </c>
      <c r="E221" s="1">
        <v>300105</v>
      </c>
      <c r="F221" s="1" t="s">
        <v>36</v>
      </c>
      <c r="G221" s="1">
        <v>495110</v>
      </c>
      <c r="H221" s="1">
        <v>493110</v>
      </c>
      <c r="I221" s="1" t="str">
        <f>VLOOKUP(MonthlyPerfomance_Report_2024[[#This Row],[Fusion Account code]],[1]COA!B:D,3,0)</f>
        <v>Computer software</v>
      </c>
      <c r="J221" s="6"/>
      <c r="K221" s="6"/>
      <c r="L221" s="6"/>
      <c r="M221" s="6"/>
      <c r="N221" s="6">
        <f>MonthlyPerfomance_Report_2024[[#This Row],[Actual_YTD 2026]]-MonthlyPerfomance_Report_2024[[#This Row],[Actual_YTD 2025]]</f>
        <v>0</v>
      </c>
      <c r="O221" s="1"/>
    </row>
    <row r="222" spans="2:15" x14ac:dyDescent="0.35">
      <c r="B222" s="1">
        <f t="shared" si="4"/>
        <v>451</v>
      </c>
      <c r="C222" s="1" t="str">
        <f>VLOOKUP(MonthlyPerfomance_Report_2024[[#This Row],[Entity Code]],[1]Entity!$B$3:$C$64,2,0)</f>
        <v>Department of Culture and Tourism - Abu Dhabi</v>
      </c>
      <c r="D222" s="1" t="s">
        <v>34</v>
      </c>
      <c r="E222" s="1">
        <v>300105</v>
      </c>
      <c r="F222" s="1" t="s">
        <v>36</v>
      </c>
      <c r="G222" s="1">
        <v>497135</v>
      </c>
      <c r="H222" s="1">
        <v>495215</v>
      </c>
      <c r="I222" s="1" t="str">
        <f>VLOOKUP(MonthlyPerfomance_Report_2024[[#This Row],[Fusion Account code]],[1]COA!B:D,3,0)</f>
        <v>Saadiyat Museums Roads &amp; Parking</v>
      </c>
      <c r="J222" s="6"/>
      <c r="K222" s="6"/>
      <c r="L222" s="6"/>
      <c r="M222" s="6"/>
      <c r="N222" s="6">
        <f>MonthlyPerfomance_Report_2024[[#This Row],[Actual_YTD 2026]]-MonthlyPerfomance_Report_2024[[#This Row],[Actual_YTD 2025]]</f>
        <v>0</v>
      </c>
      <c r="O222" s="1"/>
    </row>
    <row r="223" spans="2:15" x14ac:dyDescent="0.35">
      <c r="B223" s="1">
        <f t="shared" si="4"/>
        <v>451</v>
      </c>
      <c r="C223" s="1" t="str">
        <f>VLOOKUP(MonthlyPerfomance_Report_2024[[#This Row],[Entity Code]],[1]Entity!$B$3:$C$64,2,0)</f>
        <v>Department of Culture and Tourism - Abu Dhabi</v>
      </c>
      <c r="D223" s="1" t="s">
        <v>34</v>
      </c>
      <c r="E223" s="1">
        <v>300105</v>
      </c>
      <c r="F223" s="1" t="s">
        <v>36</v>
      </c>
      <c r="G223" s="1">
        <v>497410</v>
      </c>
      <c r="H223" s="1">
        <v>495511</v>
      </c>
      <c r="I223" s="1" t="str">
        <f>VLOOKUP(MonthlyPerfomance_Report_2024[[#This Row],[Fusion Account code]],[1]COA!B:D,3,0)</f>
        <v>Survey and planning</v>
      </c>
      <c r="J223" s="6"/>
      <c r="K223" s="6"/>
      <c r="L223" s="6"/>
      <c r="M223" s="6"/>
      <c r="N223" s="6">
        <f>MonthlyPerfomance_Report_2024[[#This Row],[Actual_YTD 2026]]-MonthlyPerfomance_Report_2024[[#This Row],[Actual_YTD 2025]]</f>
        <v>0</v>
      </c>
      <c r="O223" s="1"/>
    </row>
    <row r="224" spans="2:15" x14ac:dyDescent="0.35">
      <c r="B224" s="1">
        <f t="shared" si="4"/>
        <v>451</v>
      </c>
      <c r="C224" s="1" t="str">
        <f>VLOOKUP(MonthlyPerfomance_Report_2024[[#This Row],[Entity Code]],[1]Entity!$B$3:$C$64,2,0)</f>
        <v>Department of Culture and Tourism - Abu Dhabi</v>
      </c>
      <c r="D224" s="1" t="s">
        <v>34</v>
      </c>
      <c r="E224" s="1">
        <v>301439</v>
      </c>
      <c r="F224" s="1" t="s">
        <v>37</v>
      </c>
      <c r="G224" s="1">
        <v>492700</v>
      </c>
      <c r="H224" s="1">
        <v>491811</v>
      </c>
      <c r="I224" s="1" t="str">
        <f>VLOOKUP(MonthlyPerfomance_Report_2024[[#This Row],[Fusion Account code]],[1]COA!B:D,3,0)</f>
        <v>Heritage and cultural assets</v>
      </c>
      <c r="J224" s="6"/>
      <c r="K224" s="6"/>
      <c r="L224" s="6"/>
      <c r="M224" s="6"/>
      <c r="N224" s="6">
        <f>MonthlyPerfomance_Report_2024[[#This Row],[Actual_YTD 2026]]-MonthlyPerfomance_Report_2024[[#This Row],[Actual_YTD 2025]]</f>
        <v>0</v>
      </c>
      <c r="O224" s="1"/>
    </row>
    <row r="225" spans="2:15" ht="15.5" x14ac:dyDescent="0.35">
      <c r="B225" s="7"/>
      <c r="C225" s="7"/>
      <c r="D225" s="8" t="s">
        <v>38</v>
      </c>
      <c r="E225" s="7"/>
      <c r="F225" s="7"/>
      <c r="G225" s="7"/>
      <c r="H225" s="7"/>
      <c r="I225" s="7"/>
      <c r="J225" s="11"/>
      <c r="K225" s="11"/>
      <c r="L225" s="11"/>
      <c r="M225" s="11"/>
      <c r="N225" s="9">
        <f>MonthlyPerfomance_Report_2024[[#This Row],[Actual_YTD 2026]]-MonthlyPerfomance_Report_2024[[#This Row],[Actual_YTD 2025]]</f>
        <v>0</v>
      </c>
      <c r="O225" s="7"/>
    </row>
    <row r="226" spans="2:15" ht="15.5" x14ac:dyDescent="0.35">
      <c r="B226" s="7"/>
      <c r="C226" s="7"/>
      <c r="D226" s="8"/>
      <c r="E226" s="7"/>
      <c r="F226" s="7"/>
      <c r="G226" s="7"/>
      <c r="H226" s="7"/>
      <c r="I226" s="7"/>
      <c r="J226" s="11"/>
      <c r="K226" s="11"/>
      <c r="L226" s="11"/>
      <c r="M226" s="11"/>
      <c r="N226" s="9">
        <f>MonthlyPerfomance_Report_2024[[#This Row],[Actual_YTD 2026]]-MonthlyPerfomance_Report_2024[[#This Row],[Actual_YTD 2025]]</f>
        <v>0</v>
      </c>
      <c r="O226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6905-CE64-418E-9C40-F5AA9D6D7BF8}">
  <sheetPr>
    <tabColor rgb="FF92D050"/>
  </sheetPr>
  <dimension ref="B1:AA144"/>
  <sheetViews>
    <sheetView tabSelected="1" topLeftCell="D1" workbookViewId="0">
      <selection activeCell="N3" sqref="N3"/>
    </sheetView>
  </sheetViews>
  <sheetFormatPr defaultColWidth="10.453125" defaultRowHeight="15.5" x14ac:dyDescent="0.35"/>
  <cols>
    <col min="1" max="1" width="1.81640625" style="12" customWidth="1"/>
    <col min="2" max="2" width="18.90625" style="12" bestFit="1" customWidth="1"/>
    <col min="3" max="3" width="49.7265625" style="12" customWidth="1"/>
    <col min="4" max="4" width="39.54296875" style="12" customWidth="1"/>
    <col min="5" max="5" width="28" style="12" customWidth="1"/>
    <col min="6" max="6" width="46.7265625" style="12" bestFit="1" customWidth="1"/>
    <col min="7" max="7" width="18.7265625" style="12" customWidth="1"/>
    <col min="8" max="9" width="26.26953125" style="12" customWidth="1"/>
    <col min="10" max="10" width="26.26953125" style="12" hidden="1" customWidth="1"/>
    <col min="11" max="12" width="26.26953125" style="12" customWidth="1"/>
    <col min="13" max="14" width="25.453125" style="12" customWidth="1"/>
    <col min="15" max="19" width="16.6328125" style="12" customWidth="1"/>
    <col min="20" max="23" width="17.54296875" style="12" customWidth="1"/>
    <col min="24" max="24" width="25.81640625" style="12" customWidth="1"/>
    <col min="25" max="25" width="15.7265625" style="12" bestFit="1" customWidth="1"/>
    <col min="26" max="26" width="15.1796875" style="12" customWidth="1"/>
    <col min="27" max="16384" width="10.453125" style="12"/>
  </cols>
  <sheetData>
    <row r="1" spans="2:17" ht="15.65" customHeight="1" x14ac:dyDescent="0.35">
      <c r="G1" s="25">
        <f>SUBTOTAL(9,G3:G20)</f>
        <v>0</v>
      </c>
      <c r="H1" s="25">
        <f>SUBTOTAL(9,H3:H20)</f>
        <v>0</v>
      </c>
      <c r="I1" s="25">
        <f>SUBTOTAL(9,I3:I20)</f>
        <v>0</v>
      </c>
      <c r="J1" s="25">
        <f>SUBTOTAL(9,J3:J20)</f>
        <v>0</v>
      </c>
      <c r="K1" s="25">
        <f>SUBTOTAL(9,K3:K20)</f>
        <v>0</v>
      </c>
      <c r="L1" s="25">
        <f>SUBTOTAL(9,L3:L20)</f>
        <v>0</v>
      </c>
    </row>
    <row r="2" spans="2:17" ht="37" x14ac:dyDescent="0.35">
      <c r="B2" s="23" t="s">
        <v>0</v>
      </c>
      <c r="C2" s="23" t="s">
        <v>53</v>
      </c>
      <c r="D2" s="24" t="s">
        <v>2</v>
      </c>
      <c r="E2" s="24" t="s">
        <v>3</v>
      </c>
      <c r="F2" s="24" t="s">
        <v>4</v>
      </c>
      <c r="G2" s="24" t="s">
        <v>52</v>
      </c>
      <c r="H2" s="24" t="s">
        <v>51</v>
      </c>
      <c r="I2" s="24" t="s">
        <v>50</v>
      </c>
      <c r="J2" s="24" t="s">
        <v>49</v>
      </c>
      <c r="K2" s="23" t="s">
        <v>48</v>
      </c>
      <c r="L2" s="23" t="s">
        <v>12</v>
      </c>
      <c r="M2" s="23" t="s">
        <v>47</v>
      </c>
      <c r="N2" s="23" t="s">
        <v>46</v>
      </c>
    </row>
    <row r="3" spans="2:17" x14ac:dyDescent="0.35">
      <c r="B3" s="22">
        <v>451</v>
      </c>
      <c r="C3" s="22" t="s">
        <v>41</v>
      </c>
      <c r="D3" s="21" t="s">
        <v>14</v>
      </c>
      <c r="E3" s="21">
        <v>100103</v>
      </c>
      <c r="F3" s="20" t="s">
        <v>15</v>
      </c>
      <c r="G3" s="19"/>
      <c r="H3" s="19"/>
      <c r="I3" s="19"/>
      <c r="J3" s="19"/>
      <c r="K3" s="19"/>
      <c r="L3" s="19">
        <f>Expenditure_CashFlow_202446[[#This Row],[Revised Budget YTD Cashflow]]-Expenditure_CashFlow_202446[[#This Row],[Actual YTD]]</f>
        <v>0</v>
      </c>
      <c r="M3" s="18" t="e">
        <f>Expenditure_CashFlow_202446[[#This Row],[Actual YTD]]/Expenditure_CashFlow_202446[[#This Row],[Revised Budget YTD Cashflow]]</f>
        <v>#DIV/0!</v>
      </c>
      <c r="N3" s="17"/>
      <c r="P3" s="14"/>
      <c r="Q3" s="14"/>
    </row>
    <row r="4" spans="2:17" x14ac:dyDescent="0.35">
      <c r="B4" s="22">
        <v>451</v>
      </c>
      <c r="C4" s="22" t="s">
        <v>41</v>
      </c>
      <c r="D4" s="21" t="s">
        <v>17</v>
      </c>
      <c r="E4" s="21">
        <v>50723</v>
      </c>
      <c r="F4" s="20" t="s">
        <v>18</v>
      </c>
      <c r="G4" s="19"/>
      <c r="H4" s="19"/>
      <c r="I4" s="19"/>
      <c r="J4" s="19"/>
      <c r="K4" s="19"/>
      <c r="L4" s="19">
        <f>Expenditure_CashFlow_202446[[#This Row],[Revised Budget YTD Cashflow]]-Expenditure_CashFlow_202446[[#This Row],[Actual YTD]]</f>
        <v>0</v>
      </c>
      <c r="M4" s="18" t="e">
        <f>Expenditure_CashFlow_202446[[#This Row],[Actual YTD]]/Expenditure_CashFlow_202446[[#This Row],[Revised Budget YTD Cashflow]]</f>
        <v>#DIV/0!</v>
      </c>
      <c r="N4" s="17"/>
      <c r="P4" s="14"/>
      <c r="Q4" s="14"/>
    </row>
    <row r="5" spans="2:17" x14ac:dyDescent="0.35">
      <c r="B5" s="22">
        <v>451</v>
      </c>
      <c r="C5" s="22" t="s">
        <v>41</v>
      </c>
      <c r="D5" s="21" t="s">
        <v>17</v>
      </c>
      <c r="E5" s="21">
        <v>50729</v>
      </c>
      <c r="F5" s="20" t="s">
        <v>20</v>
      </c>
      <c r="G5" s="19"/>
      <c r="H5" s="19"/>
      <c r="I5" s="19"/>
      <c r="J5" s="19"/>
      <c r="K5" s="19"/>
      <c r="L5" s="19">
        <f>Expenditure_CashFlow_202446[[#This Row],[Revised Budget YTD Cashflow]]-Expenditure_CashFlow_202446[[#This Row],[Actual YTD]]</f>
        <v>0</v>
      </c>
      <c r="M5" s="18" t="e">
        <f>Expenditure_CashFlow_202446[[#This Row],[Actual YTD]]/Expenditure_CashFlow_202446[[#This Row],[Revised Budget YTD Cashflow]]</f>
        <v>#DIV/0!</v>
      </c>
      <c r="N5" s="17"/>
      <c r="P5" s="14"/>
      <c r="Q5" s="14"/>
    </row>
    <row r="6" spans="2:17" x14ac:dyDescent="0.35">
      <c r="B6" s="22">
        <v>451</v>
      </c>
      <c r="C6" s="22" t="s">
        <v>41</v>
      </c>
      <c r="D6" s="21" t="s">
        <v>17</v>
      </c>
      <c r="E6" s="21">
        <v>50730</v>
      </c>
      <c r="F6" s="20" t="s">
        <v>21</v>
      </c>
      <c r="G6" s="19"/>
      <c r="H6" s="19"/>
      <c r="I6" s="19"/>
      <c r="J6" s="19"/>
      <c r="K6" s="19"/>
      <c r="L6" s="19">
        <f>Expenditure_CashFlow_202446[[#This Row],[Revised Budget YTD Cashflow]]-Expenditure_CashFlow_202446[[#This Row],[Actual YTD]]</f>
        <v>0</v>
      </c>
      <c r="M6" s="18" t="e">
        <f>Expenditure_CashFlow_202446[[#This Row],[Actual YTD]]/Expenditure_CashFlow_202446[[#This Row],[Revised Budget YTD Cashflow]]</f>
        <v>#DIV/0!</v>
      </c>
      <c r="N6" s="17"/>
      <c r="P6" s="14"/>
      <c r="Q6" s="14"/>
    </row>
    <row r="7" spans="2:17" x14ac:dyDescent="0.35">
      <c r="B7" s="22">
        <v>451</v>
      </c>
      <c r="C7" s="22" t="s">
        <v>41</v>
      </c>
      <c r="D7" s="21" t="s">
        <v>17</v>
      </c>
      <c r="E7" s="21">
        <v>200104</v>
      </c>
      <c r="F7" s="20" t="s">
        <v>23</v>
      </c>
      <c r="G7" s="19"/>
      <c r="H7" s="19"/>
      <c r="I7" s="19"/>
      <c r="J7" s="19"/>
      <c r="K7" s="19"/>
      <c r="L7" s="19">
        <f>Expenditure_CashFlow_202446[[#This Row],[Revised Budget YTD Cashflow]]-Expenditure_CashFlow_202446[[#This Row],[Actual YTD]]</f>
        <v>0</v>
      </c>
      <c r="M7" s="18" t="e">
        <f>Expenditure_CashFlow_202446[[#This Row],[Actual YTD]]/Expenditure_CashFlow_202446[[#This Row],[Revised Budget YTD Cashflow]]</f>
        <v>#DIV/0!</v>
      </c>
      <c r="N7" s="17"/>
      <c r="P7" s="14"/>
      <c r="Q7" s="14"/>
    </row>
    <row r="8" spans="2:17" x14ac:dyDescent="0.35">
      <c r="B8" s="22">
        <v>451</v>
      </c>
      <c r="C8" s="22" t="s">
        <v>41</v>
      </c>
      <c r="D8" s="21" t="s">
        <v>17</v>
      </c>
      <c r="E8" s="21">
        <v>201096</v>
      </c>
      <c r="F8" s="20" t="s">
        <v>24</v>
      </c>
      <c r="G8" s="19"/>
      <c r="H8" s="19"/>
      <c r="I8" s="19"/>
      <c r="J8" s="19"/>
      <c r="K8" s="19"/>
      <c r="L8" s="19">
        <f>Expenditure_CashFlow_202446[[#This Row],[Revised Budget YTD Cashflow]]-Expenditure_CashFlow_202446[[#This Row],[Actual YTD]]</f>
        <v>0</v>
      </c>
      <c r="M8" s="18" t="e">
        <f>Expenditure_CashFlow_202446[[#This Row],[Actual YTD]]/Expenditure_CashFlow_202446[[#This Row],[Revised Budget YTD Cashflow]]</f>
        <v>#DIV/0!</v>
      </c>
      <c r="N8" s="17"/>
      <c r="P8" s="14"/>
      <c r="Q8" s="14"/>
    </row>
    <row r="9" spans="2:17" x14ac:dyDescent="0.35">
      <c r="B9" s="22">
        <v>451</v>
      </c>
      <c r="C9" s="22" t="s">
        <v>41</v>
      </c>
      <c r="D9" s="21" t="s">
        <v>17</v>
      </c>
      <c r="E9" s="21">
        <v>201760</v>
      </c>
      <c r="F9" s="20" t="s">
        <v>25</v>
      </c>
      <c r="G9" s="19"/>
      <c r="H9" s="19"/>
      <c r="I9" s="19"/>
      <c r="J9" s="19"/>
      <c r="K9" s="19"/>
      <c r="L9" s="19">
        <f>Expenditure_CashFlow_202446[[#This Row],[Revised Budget YTD Cashflow]]-Expenditure_CashFlow_202446[[#This Row],[Actual YTD]]</f>
        <v>0</v>
      </c>
      <c r="M9" s="18" t="e">
        <f>Expenditure_CashFlow_202446[[#This Row],[Actual YTD]]/Expenditure_CashFlow_202446[[#This Row],[Revised Budget YTD Cashflow]]</f>
        <v>#DIV/0!</v>
      </c>
      <c r="N9" s="17"/>
      <c r="P9" s="14"/>
      <c r="Q9" s="14"/>
    </row>
    <row r="10" spans="2:17" x14ac:dyDescent="0.35">
      <c r="B10" s="22">
        <v>451</v>
      </c>
      <c r="C10" s="22" t="s">
        <v>41</v>
      </c>
      <c r="D10" s="21" t="s">
        <v>17</v>
      </c>
      <c r="E10" s="21">
        <v>201931</v>
      </c>
      <c r="F10" s="20" t="s">
        <v>27</v>
      </c>
      <c r="G10" s="19"/>
      <c r="H10" s="19"/>
      <c r="I10" s="19"/>
      <c r="J10" s="19"/>
      <c r="K10" s="19"/>
      <c r="L10" s="19">
        <f>Expenditure_CashFlow_202446[[#This Row],[Revised Budget YTD Cashflow]]-Expenditure_CashFlow_202446[[#This Row],[Actual YTD]]</f>
        <v>0</v>
      </c>
      <c r="M10" s="18" t="e">
        <f>Expenditure_CashFlow_202446[[#This Row],[Actual YTD]]/Expenditure_CashFlow_202446[[#This Row],[Revised Budget YTD Cashflow]]</f>
        <v>#DIV/0!</v>
      </c>
      <c r="N10" s="17"/>
      <c r="P10" s="14"/>
      <c r="Q10" s="14"/>
    </row>
    <row r="11" spans="2:17" x14ac:dyDescent="0.35">
      <c r="B11" s="22">
        <v>451</v>
      </c>
      <c r="C11" s="22" t="s">
        <v>41</v>
      </c>
      <c r="D11" s="21" t="s">
        <v>17</v>
      </c>
      <c r="E11" s="21">
        <v>201932</v>
      </c>
      <c r="F11" s="20" t="s">
        <v>28</v>
      </c>
      <c r="G11" s="19"/>
      <c r="H11" s="19"/>
      <c r="I11" s="19"/>
      <c r="J11" s="19"/>
      <c r="K11" s="19"/>
      <c r="L11" s="19">
        <f>Expenditure_CashFlow_202446[[#This Row],[Revised Budget YTD Cashflow]]-Expenditure_CashFlow_202446[[#This Row],[Actual YTD]]</f>
        <v>0</v>
      </c>
      <c r="M11" s="18" t="e">
        <f>Expenditure_CashFlow_202446[[#This Row],[Actual YTD]]/Expenditure_CashFlow_202446[[#This Row],[Revised Budget YTD Cashflow]]</f>
        <v>#DIV/0!</v>
      </c>
      <c r="N11" s="17"/>
      <c r="P11" s="14"/>
      <c r="Q11" s="14"/>
    </row>
    <row r="12" spans="2:17" x14ac:dyDescent="0.35">
      <c r="B12" s="22">
        <v>451</v>
      </c>
      <c r="C12" s="22" t="s">
        <v>41</v>
      </c>
      <c r="D12" s="21" t="s">
        <v>17</v>
      </c>
      <c r="E12" s="21">
        <v>202061</v>
      </c>
      <c r="F12" s="20" t="s">
        <v>29</v>
      </c>
      <c r="G12" s="19"/>
      <c r="H12" s="19"/>
      <c r="I12" s="19"/>
      <c r="J12" s="19"/>
      <c r="K12" s="19"/>
      <c r="L12" s="19">
        <f>Expenditure_CashFlow_202446[[#This Row],[Revised Budget YTD Cashflow]]-Expenditure_CashFlow_202446[[#This Row],[Actual YTD]]</f>
        <v>0</v>
      </c>
      <c r="M12" s="18" t="e">
        <f>Expenditure_CashFlow_202446[[#This Row],[Actual YTD]]/Expenditure_CashFlow_202446[[#This Row],[Revised Budget YTD Cashflow]]</f>
        <v>#DIV/0!</v>
      </c>
      <c r="N12" s="17"/>
      <c r="P12" s="14"/>
      <c r="Q12" s="14"/>
    </row>
    <row r="13" spans="2:17" x14ac:dyDescent="0.35">
      <c r="B13" s="22">
        <v>451</v>
      </c>
      <c r="C13" s="22" t="s">
        <v>41</v>
      </c>
      <c r="D13" s="21" t="s">
        <v>17</v>
      </c>
      <c r="E13" s="21">
        <v>202067</v>
      </c>
      <c r="F13" s="20" t="s">
        <v>30</v>
      </c>
      <c r="G13" s="19"/>
      <c r="H13" s="19"/>
      <c r="I13" s="19"/>
      <c r="J13" s="19"/>
      <c r="K13" s="19"/>
      <c r="L13" s="19">
        <f>Expenditure_CashFlow_202446[[#This Row],[Revised Budget YTD Cashflow]]-Expenditure_CashFlow_202446[[#This Row],[Actual YTD]]</f>
        <v>0</v>
      </c>
      <c r="M13" s="18" t="e">
        <f>Expenditure_CashFlow_202446[[#This Row],[Actual YTD]]/Expenditure_CashFlow_202446[[#This Row],[Revised Budget YTD Cashflow]]</f>
        <v>#DIV/0!</v>
      </c>
      <c r="N13" s="17"/>
      <c r="P13" s="14"/>
      <c r="Q13" s="14"/>
    </row>
    <row r="14" spans="2:17" x14ac:dyDescent="0.35">
      <c r="B14" s="22">
        <v>451</v>
      </c>
      <c r="C14" s="22" t="s">
        <v>41</v>
      </c>
      <c r="D14" s="21" t="s">
        <v>17</v>
      </c>
      <c r="E14" s="21">
        <v>202185</v>
      </c>
      <c r="F14" s="20" t="s">
        <v>31</v>
      </c>
      <c r="G14" s="19"/>
      <c r="H14" s="19"/>
      <c r="I14" s="19"/>
      <c r="J14" s="19"/>
      <c r="K14" s="19"/>
      <c r="L14" s="19">
        <f>Expenditure_CashFlow_202446[[#This Row],[Revised Budget YTD Cashflow]]-Expenditure_CashFlow_202446[[#This Row],[Actual YTD]]</f>
        <v>0</v>
      </c>
      <c r="M14" s="18" t="e">
        <f>Expenditure_CashFlow_202446[[#This Row],[Actual YTD]]/Expenditure_CashFlow_202446[[#This Row],[Revised Budget YTD Cashflow]]</f>
        <v>#DIV/0!</v>
      </c>
      <c r="N14" s="17"/>
      <c r="P14" s="14"/>
      <c r="Q14" s="14"/>
    </row>
    <row r="15" spans="2:17" x14ac:dyDescent="0.35">
      <c r="B15" s="22">
        <v>451</v>
      </c>
      <c r="C15" s="22" t="s">
        <v>41</v>
      </c>
      <c r="D15" s="21" t="s">
        <v>34</v>
      </c>
      <c r="E15" s="21">
        <v>300105</v>
      </c>
      <c r="F15" s="20" t="s">
        <v>36</v>
      </c>
      <c r="G15" s="19"/>
      <c r="H15" s="19"/>
      <c r="I15" s="19"/>
      <c r="J15" s="19"/>
      <c r="K15" s="19"/>
      <c r="L15" s="19">
        <f>Expenditure_CashFlow_202446[[#This Row],[Revised Budget YTD Cashflow]]-Expenditure_CashFlow_202446[[#This Row],[Actual YTD]]</f>
        <v>0</v>
      </c>
      <c r="M15" s="18" t="e">
        <f>Expenditure_CashFlow_202446[[#This Row],[Actual YTD]]/Expenditure_CashFlow_202446[[#This Row],[Revised Budget YTD Cashflow]]</f>
        <v>#DIV/0!</v>
      </c>
      <c r="N15" s="17"/>
      <c r="P15" s="14"/>
      <c r="Q15" s="14"/>
    </row>
    <row r="16" spans="2:17" x14ac:dyDescent="0.35">
      <c r="B16" s="22">
        <v>451</v>
      </c>
      <c r="C16" s="22" t="s">
        <v>41</v>
      </c>
      <c r="D16" s="21" t="s">
        <v>34</v>
      </c>
      <c r="E16" s="21">
        <v>301439</v>
      </c>
      <c r="F16" s="20" t="s">
        <v>37</v>
      </c>
      <c r="G16" s="19"/>
      <c r="H16" s="19"/>
      <c r="I16" s="19"/>
      <c r="J16" s="19"/>
      <c r="K16" s="19"/>
      <c r="L16" s="19">
        <f>Expenditure_CashFlow_202446[[#This Row],[Revised Budget YTD Cashflow]]-Expenditure_CashFlow_202446[[#This Row],[Actual YTD]]</f>
        <v>0</v>
      </c>
      <c r="M16" s="18" t="e">
        <f>Expenditure_CashFlow_202446[[#This Row],[Actual YTD]]/Expenditure_CashFlow_202446[[#This Row],[Revised Budget YTD Cashflow]]</f>
        <v>#DIV/0!</v>
      </c>
      <c r="N16" s="17"/>
      <c r="P16" s="14"/>
      <c r="Q16" s="14"/>
    </row>
    <row r="17" spans="2:18" x14ac:dyDescent="0.35">
      <c r="B17" s="22">
        <v>451</v>
      </c>
      <c r="C17" s="22" t="s">
        <v>41</v>
      </c>
      <c r="D17" s="21" t="s">
        <v>44</v>
      </c>
      <c r="E17" s="21">
        <v>402025</v>
      </c>
      <c r="F17" s="20" t="s">
        <v>45</v>
      </c>
      <c r="G17" s="19"/>
      <c r="H17" s="19"/>
      <c r="I17" s="19"/>
      <c r="J17" s="19"/>
      <c r="K17" s="19"/>
      <c r="L17" s="19">
        <f>Expenditure_CashFlow_202446[[#This Row],[Revised Budget YTD Cashflow]]-Expenditure_CashFlow_202446[[#This Row],[Actual YTD]]</f>
        <v>0</v>
      </c>
      <c r="M17" s="18" t="e">
        <f>Expenditure_CashFlow_202446[[#This Row],[Actual YTD]]/Expenditure_CashFlow_202446[[#This Row],[Revised Budget YTD Cashflow]]</f>
        <v>#DIV/0!</v>
      </c>
      <c r="N17" s="17"/>
      <c r="P17" s="14"/>
      <c r="Q17" s="14"/>
    </row>
    <row r="18" spans="2:18" x14ac:dyDescent="0.35">
      <c r="B18" s="22">
        <v>451</v>
      </c>
      <c r="C18" s="22" t="s">
        <v>41</v>
      </c>
      <c r="D18" s="21" t="s">
        <v>44</v>
      </c>
      <c r="E18" s="21">
        <v>402066</v>
      </c>
      <c r="F18" s="20" t="s">
        <v>43</v>
      </c>
      <c r="G18" s="19"/>
      <c r="H18" s="19"/>
      <c r="I18" s="19"/>
      <c r="J18" s="19"/>
      <c r="K18" s="19"/>
      <c r="L18" s="19">
        <f>Expenditure_CashFlow_202446[[#This Row],[Revised Budget YTD Cashflow]]-Expenditure_CashFlow_202446[[#This Row],[Actual YTD]]</f>
        <v>0</v>
      </c>
      <c r="M18" s="18" t="e">
        <f>Expenditure_CashFlow_202446[[#This Row],[Actual YTD]]/Expenditure_CashFlow_202446[[#This Row],[Revised Budget YTD Cashflow]]</f>
        <v>#DIV/0!</v>
      </c>
      <c r="N18" s="17"/>
      <c r="P18" s="14"/>
      <c r="Q18" s="14"/>
    </row>
    <row r="19" spans="2:18" x14ac:dyDescent="0.35">
      <c r="B19" s="22">
        <v>451</v>
      </c>
      <c r="C19" s="22" t="s">
        <v>41</v>
      </c>
      <c r="D19" s="21" t="s">
        <v>40</v>
      </c>
      <c r="E19" s="21">
        <v>502026</v>
      </c>
      <c r="F19" s="20" t="s">
        <v>42</v>
      </c>
      <c r="G19" s="19"/>
      <c r="H19" s="19"/>
      <c r="I19" s="19"/>
      <c r="J19" s="19"/>
      <c r="K19" s="19"/>
      <c r="L19" s="19">
        <f>Expenditure_CashFlow_202446[[#This Row],[Revised Budget YTD Cashflow]]-Expenditure_CashFlow_202446[[#This Row],[Actual YTD]]</f>
        <v>0</v>
      </c>
      <c r="M19" s="18" t="e">
        <f>Expenditure_CashFlow_202446[[#This Row],[Actual YTD]]/Expenditure_CashFlow_202446[[#This Row],[Revised Budget YTD Cashflow]]</f>
        <v>#DIV/0!</v>
      </c>
      <c r="N19" s="17"/>
      <c r="P19" s="14"/>
      <c r="Q19" s="14"/>
    </row>
    <row r="20" spans="2:18" x14ac:dyDescent="0.35">
      <c r="B20" s="22">
        <v>451</v>
      </c>
      <c r="C20" s="22" t="s">
        <v>41</v>
      </c>
      <c r="D20" s="21" t="s">
        <v>40</v>
      </c>
      <c r="E20" s="21">
        <v>502175</v>
      </c>
      <c r="F20" s="20" t="s">
        <v>39</v>
      </c>
      <c r="G20" s="19"/>
      <c r="H20" s="19"/>
      <c r="I20" s="19"/>
      <c r="J20" s="19"/>
      <c r="K20" s="19"/>
      <c r="L20" s="19">
        <f>Expenditure_CashFlow_202446[[#This Row],[Revised Budget YTD Cashflow]]-Expenditure_CashFlow_202446[[#This Row],[Actual YTD]]</f>
        <v>0</v>
      </c>
      <c r="M20" s="18" t="e">
        <f>Expenditure_CashFlow_202446[[#This Row],[Actual YTD]]/Expenditure_CashFlow_202446[[#This Row],[Revised Budget YTD Cashflow]]</f>
        <v>#DIV/0!</v>
      </c>
      <c r="N20" s="17"/>
      <c r="P20" s="14"/>
      <c r="Q20" s="14"/>
    </row>
    <row r="22" spans="2:18" x14ac:dyDescent="0.35">
      <c r="H22" s="15"/>
      <c r="I22" s="15"/>
      <c r="J22" s="16"/>
      <c r="K22" s="15"/>
    </row>
    <row r="23" spans="2:18" x14ac:dyDescent="0.35">
      <c r="G23" s="14"/>
    </row>
    <row r="24" spans="2:18" x14ac:dyDescent="0.35">
      <c r="Q24" s="14"/>
      <c r="R24" s="14"/>
    </row>
    <row r="144" spans="2:27" s="13" customFormat="1" ht="26.15" customHeight="1" x14ac:dyDescent="0.3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DOF - YoY performance Report</vt:lpstr>
      <vt:lpstr>DOF - Budget Utilization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khadiga Hany</dc:creator>
  <cp:lastModifiedBy>khadiga Hany</cp:lastModifiedBy>
  <dcterms:created xsi:type="dcterms:W3CDTF">2026-07-29T19:24:37Z</dcterms:created>
  <dcterms:modified xsi:type="dcterms:W3CDTF">2026-07-29T19:25:56Z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