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omments4.xml" ContentType="application/vnd.openxmlformats-officedocument.spreadsheetml.comments+xml"/>
  <Override PartName="/xl/threadedComments/threadedComment3.xml" ContentType="application/vnd.ms-excel.threaded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threadedComments/threadedComment4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02"/>
  <workbookPr/>
  <mc:AlternateContent xmlns:mc="http://schemas.openxmlformats.org/markup-compatibility/2006">
    <mc:Choice Requires="x15">
      <x15ac:absPath xmlns:x15ac="http://schemas.microsoft.com/office/spreadsheetml/2010/11/ac" url="/Volumes/DepartmentFolders2/InterDepartmentProjects/TPC Common/05 ContractsNcost/02CAdmin/00 Gen/07CAC_Auotmation/CACVOAutomation/"/>
    </mc:Choice>
  </mc:AlternateContent>
  <xr:revisionPtr revIDLastSave="0" documentId="13_ncr:1_{52AABA8D-B962-8747-A024-680715D08918}" xr6:coauthVersionLast="47" xr6:coauthVersionMax="47" xr10:uidLastSave="{00000000-0000-0000-0000-000000000000}"/>
  <bookViews>
    <workbookView xWindow="39100" yWindow="1440" windowWidth="20320" windowHeight="25720" activeTab="4" xr2:uid="{00000000-000D-0000-FFFF-FFFF00000000}"/>
  </bookViews>
  <sheets>
    <sheet name="Variation Request VAR" sheetId="10" r:id="rId1"/>
    <sheet name="BM Summary" sheetId="8" r:id="rId2"/>
    <sheet name="VO_Form" sheetId="7" r:id="rId3"/>
    <sheet name="PACOF" sheetId="5" state="hidden" r:id="rId4"/>
    <sheet name="PCD" sheetId="4" r:id="rId5"/>
  </sheets>
  <definedNames>
    <definedName name="_Hlk79401529" localSheetId="4">PCD!#REF!</definedName>
    <definedName name="_Hlk79401551" localSheetId="4">PCD!#REF!</definedName>
    <definedName name="_Hlk79401910" localSheetId="4">PCD!$B$10</definedName>
    <definedName name="A">#REF!</definedName>
    <definedName name="B">#REF!+1</definedName>
    <definedName name="Check3" localSheetId="4">PCD!$G$11</definedName>
    <definedName name="g">#REF!</definedName>
    <definedName name="_xlnm.Print_Area" localSheetId="1">'BM Summary'!$B$3:$K$64</definedName>
    <definedName name="_xlnm.Print_Area" localSheetId="3">PACOF!$A$1:$L$46</definedName>
    <definedName name="_xlnm.Print_Area" localSheetId="4">PCD!$B$5:$I$60</definedName>
    <definedName name="_xlnm.Print_Area" localSheetId="0">'Variation Request VAR'!$A$1:$G$51</definedName>
    <definedName name="_xlnm.Print_Area" localSheetId="2">VO_Form!$B$1:$N$67</definedName>
    <definedName name="_xlnm.Print_Titles" localSheetId="4">PCD!$1:$4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26" i="5" l="1"/>
  <c r="O26" i="5"/>
  <c r="N26" i="5"/>
  <c r="G34" i="7"/>
  <c r="M25" i="7"/>
  <c r="G29" i="7" s="1"/>
  <c r="G30" i="7" s="1"/>
  <c r="M12" i="7"/>
  <c r="G12" i="7"/>
  <c r="I26" i="5"/>
  <c r="N24" i="5"/>
  <c r="K25" i="5"/>
  <c r="I25" i="5"/>
  <c r="K24" i="5"/>
  <c r="I24" i="5"/>
  <c r="P23" i="7"/>
  <c r="P28" i="7" l="1"/>
  <c r="P29" i="7" s="1"/>
  <c r="P30" i="7" s="1"/>
  <c r="I27" i="5" l="1"/>
  <c r="L21" i="5"/>
  <c r="L20" i="5"/>
  <c r="N23" i="5" l="1"/>
  <c r="N25" i="5" l="1"/>
  <c r="K27" i="5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</author>
    <author>tc={5583B20D-9E87-4E1E-BB57-8F1D99D64663}</author>
  </authors>
  <commentList>
    <comment ref="B9" authorId="0" shapeId="0" xr:uid="{E089338E-ECD0-461C-945E-FEB88970A75C}">
      <text>
        <r>
          <rPr>
            <sz val="9"/>
            <color indexed="81"/>
            <rFont val="Tahoma"/>
            <family val="2"/>
          </rPr>
          <t>Drop down from i_Finance</t>
        </r>
      </text>
    </comment>
    <comment ref="B10" authorId="0" shapeId="0" xr:uid="{A02C478C-A0C1-4B37-8FB4-C6A81B45A397}">
      <text>
        <r>
          <rPr>
            <sz val="9"/>
            <color indexed="81"/>
            <rFont val="Tahoma"/>
            <family val="2"/>
          </rPr>
          <t>Drop down from i_Finance</t>
        </r>
      </text>
    </comment>
    <comment ref="B11" authorId="0" shapeId="0" xr:uid="{BA560B7A-216C-46DF-8D84-6F7BD3E76FC5}">
      <text>
        <r>
          <rPr>
            <sz val="9"/>
            <color indexed="81"/>
            <rFont val="Tahoma"/>
            <family val="2"/>
          </rPr>
          <t>Drop down from i_Finance</t>
        </r>
      </text>
    </comment>
    <comment ref="D28" authorId="1" shapeId="0" xr:uid="{5583B20D-9E87-4E1E-BB57-8F1D99D64663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Insert from i-Finance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</author>
  </authors>
  <commentList>
    <comment ref="D8" authorId="0" shapeId="0" xr:uid="{A026A6BE-602F-4B07-ABCC-3A4D25F59C38}">
      <text>
        <r>
          <rPr>
            <sz val="9"/>
            <color indexed="81"/>
            <rFont val="Tahoma"/>
            <family val="2"/>
          </rPr>
          <t>Drop down from i_Finance</t>
        </r>
      </text>
    </comment>
    <comment ref="H8" authorId="0" shapeId="0" xr:uid="{4F38004C-F54F-487D-A109-AA2C16B9F515}">
      <text>
        <r>
          <rPr>
            <sz val="9"/>
            <color indexed="81"/>
            <rFont val="Tahoma"/>
            <family val="2"/>
          </rPr>
          <t>Drop down from i_Finance</t>
        </r>
      </text>
    </comment>
    <comment ref="D10" authorId="0" shapeId="0" xr:uid="{E666847E-9112-4E48-854C-0A1CEDBBACF9}">
      <text>
        <r>
          <rPr>
            <sz val="9"/>
            <color indexed="81"/>
            <rFont val="Tahoma"/>
            <family val="2"/>
          </rPr>
          <t xml:space="preserve">First manual entry, then sequance </t>
        </r>
      </text>
    </comment>
    <comment ref="H10" authorId="0" shapeId="0" xr:uid="{E97E560F-DC6F-4D70-B54B-7F0A75847D37}">
      <text>
        <r>
          <rPr>
            <sz val="9"/>
            <color indexed="81"/>
            <rFont val="Tahoma"/>
            <family val="2"/>
          </rPr>
          <t>Date of submission</t>
        </r>
      </text>
    </comment>
    <comment ref="D44" authorId="0" shapeId="0" xr:uid="{9BBDB1B9-2D51-442C-8835-4056FAC9E49B}">
      <text>
        <r>
          <rPr>
            <b/>
            <sz val="9"/>
            <color indexed="81"/>
            <rFont val="Tahoma"/>
            <family val="2"/>
          </rPr>
          <t>Jay:</t>
        </r>
        <r>
          <rPr>
            <sz val="9"/>
            <color indexed="81"/>
            <rFont val="Tahoma"/>
            <family val="2"/>
          </rPr>
          <t xml:space="preserve">
[Engineer / Cost consultant to complete the comparison summary included in Appendix A along with relevant substantiations for the recommended rates]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tc={BF664C54-9126-4988-B05A-1242B588F44D}</author>
    <author>tc={DF41B037-5502-4B78-8A94-5427D1572FEC}</author>
    <author>tc={4B48C205-BED8-4E0D-B25E-E26B49F2C806}</author>
    <author>tc={98A7ED61-2BB0-431A-BE03-FA184FF9C8A0}</author>
    <author>tc={8385A431-1E3D-4B12-9877-DDD28938D73D}</author>
    <author>tc={244D66A4-9CA6-42FD-9E50-DEC168EF6619}</author>
    <author>tc={3779DDEB-49FA-4FCB-8E8D-81EE34676A0E}</author>
    <author>tc={C0A19D08-8627-4804-9AE4-4A7A6004D724}</author>
    <author>tc={5881B536-FB55-4DCD-8B98-AF9D7F27F561}</author>
    <author>tc={CADCA58A-308B-4225-8619-79BD2A331B10}</author>
    <author>tc={019D7110-7BA2-4223-945B-D24CFD9CF0EB}</author>
    <author>tc={AF41A3DD-9FA6-4C85-A1FC-1EF9931BFE96}</author>
    <author>tc={2308B181-5760-4CFF-ADDF-4E5CF703E3FD}</author>
    <author>tc={FD11183F-BDBD-4DF9-80D5-02387123C69F}</author>
    <author>tc={2B1988A1-19FC-498E-B9C7-1751725CC668}</author>
    <author>Jay</author>
    <author>tc={6411C7E2-AB80-429F-B7BE-7D5465A1353B}</author>
    <author>tc={E48B365C-5533-443F-A7C4-423652DFE6EC}</author>
    <author>TPC</author>
  </authors>
  <commentList>
    <comment ref="H5" authorId="0" shapeId="0" xr:uid="{BF664C54-9126-4988-B05A-1242B588F44D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 down from I-finance</t>
      </text>
    </comment>
    <comment ref="E6" authorId="1" shapeId="0" xr:uid="{DF41B037-5502-4B78-8A94-5427D1572FEC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 entry</t>
      </text>
    </comment>
    <comment ref="M6" authorId="2" shapeId="0" xr:uid="{4B48C205-BED8-4E0D-B25E-E26B49F2C806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 down from I-finance</t>
      </text>
    </comment>
    <comment ref="E7" authorId="3" shapeId="0" xr:uid="{98A7ED61-2BB0-431A-BE03-FA184FF9C8A0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Automatic from i-finance</t>
      </text>
    </comment>
    <comment ref="G9" authorId="4" shapeId="0" xr:uid="{8385A431-1E3D-4B12-9877-DDD28938D73D}">
      <text>
        <t>[Threaded comment]
Your version of Excel allows you to read this threaded comment; however, any edits to it will get removed if the file is opened in a newer version of Excel. Learn more: https://go.microsoft.com/fwlink/?linkid=870924
Comment:
    From I-finance</t>
      </text>
    </comment>
    <comment ref="M9" authorId="5" shapeId="0" xr:uid="{244D66A4-9CA6-42FD-9E50-DEC168EF6619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 entry</t>
      </text>
    </comment>
    <comment ref="G10" authorId="6" shapeId="0" xr:uid="{3779DDEB-49FA-4FCB-8E8D-81EE34676A0E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 to the  latest approved VO number</t>
      </text>
    </comment>
    <comment ref="M10" authorId="7" shapeId="0" xr:uid="{C0A19D08-8627-4804-9AE4-4A7A6004D724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 entry</t>
      </text>
    </comment>
    <comment ref="G11" authorId="8" shapeId="0" xr:uid="{5881B536-FB55-4DCD-8B98-AF9D7F27F561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 to the cumulative of previously approved VOs</t>
      </text>
    </comment>
    <comment ref="M11" authorId="9" shapeId="0" xr:uid="{CADCA58A-308B-4225-8619-79BD2A331B10}">
      <text>
        <t>[Threaded comment]
Your version of Excel allows you to read this threaded comment; however, any edits to it will get removed if the file is opened in a newer version of Excel. Learn more: https://go.microsoft.com/fwlink/?linkid=870924
Comment:
    Link to the cumulative of previously approved VO duration</t>
      </text>
    </comment>
    <comment ref="G12" authorId="10" shapeId="0" xr:uid="{019D7110-7BA2-4223-945B-D24CFD9CF0EB}">
      <text>
        <t>[Threaded comment]
Your version of Excel allows you to read this threaded comment; however, any edits to it will get removed if the file is opened in a newer version of Excel. Learn more: https://go.microsoft.com/fwlink/?linkid=870924
Comment:
    Sum of above Contract Value and Approved Vos (Value)</t>
      </text>
    </comment>
    <comment ref="M12" authorId="11" shapeId="0" xr:uid="{AF41A3DD-9FA6-4C85-A1FC-1EF9931BFE96}">
      <text>
        <t>[Threaded comment]
Your version of Excel allows you to read this threaded comment; however, any edits to it will get removed if the file is opened in a newer version of Excel. Learn more: https://go.microsoft.com/fwlink/?linkid=870924
Comment:
    Sum of days of above time for completion and approved extensions</t>
      </text>
    </comment>
    <comment ref="E15" authorId="12" shapeId="0" xr:uid="{2308B181-5760-4CFF-ADDF-4E5CF703E3FD}">
      <text>
        <t>[Threaded comment]
Your version of Excel allows you to read this threaded comment; however, any edits to it will get removed if the file is opened in a newer version of Excel. Learn more: https://go.microsoft.com/fwlink/?linkid=870924
Comment:
    First manual entry, then sequence</t>
      </text>
    </comment>
    <comment ref="M25" authorId="13" shapeId="0" xr:uid="{FD11183F-BDBD-4DF9-80D5-02387123C69F}">
      <text>
        <t>[Threaded comment]
Your version of Excel allows you to read this threaded comment; however, any edits to it will get removed if the file is opened in a newer version of Excel. Learn more: https://go.microsoft.com/fwlink/?linkid=870924
Comment:
    Sum of above</t>
      </text>
    </comment>
    <comment ref="G33" authorId="14" shapeId="0" xr:uid="{2B1988A1-19FC-498E-B9C7-1751725CC668}">
      <text>
        <t>[Threaded comment]
Your version of Excel allows you to read this threaded comment; however, any edits to it will get removed if the file is opened in a newer version of Excel. Learn more: https://go.microsoft.com/fwlink/?linkid=870924
Comment:
    Manual entry</t>
      </text>
    </comment>
    <comment ref="G37" authorId="15" shapeId="0" xr:uid="{9BE52491-1D35-43B2-8B92-A04E23FF8BD0}">
      <text>
        <r>
          <rPr>
            <sz val="9"/>
            <color indexed="81"/>
            <rFont val="Tahoma"/>
            <family val="2"/>
          </rPr>
          <t>Automatic from i_Finance</t>
        </r>
      </text>
    </comment>
    <comment ref="G44" authorId="15" shapeId="0" xr:uid="{CF4968C4-7106-4B2B-AC7E-4D0C8236E4E3}">
      <text>
        <r>
          <rPr>
            <sz val="9"/>
            <color indexed="81"/>
            <rFont val="Tahoma"/>
            <family val="2"/>
          </rPr>
          <t>Automatic from i_Finance</t>
        </r>
      </text>
    </comment>
    <comment ref="E52" authorId="16" shapeId="0" xr:uid="{6411C7E2-AB80-429F-B7BE-7D5465A1353B}">
      <text>
        <t>[Threaded comment]
Your version of Excel allows you to read this threaded comment; however, any edits to it will get removed if the file is opened in a newer version of Excel. Learn more: https://go.microsoft.com/fwlink/?linkid=870924
Comment:
    Insert from i-Finance</t>
      </text>
    </comment>
    <comment ref="C60" authorId="17" shapeId="0" xr:uid="{E48B365C-5533-443F-A7C4-423652DFE6EC}">
      <text>
        <t>[Threaded comment]
Your version of Excel allows you to read this threaded comment; however, any edits to it will get removed if the file is opened in a newer version of Excel. Learn more: https://go.microsoft.com/fwlink/?linkid=870924
Comment:
    BSS, US or Chairman based on the contract signatory - Drop down list</t>
      </text>
    </comment>
    <comment ref="E60" authorId="18" shapeId="0" xr:uid="{B2D18DC9-4358-4F0E-BDC7-3FA0A03CE8B8}">
      <text>
        <r>
          <rPr>
            <b/>
            <sz val="9"/>
            <color indexed="81"/>
            <rFont val="Tahoma"/>
            <family val="2"/>
          </rPr>
          <t>TPC:</t>
        </r>
        <r>
          <rPr>
            <sz val="9"/>
            <color indexed="81"/>
            <rFont val="Tahoma"/>
            <family val="2"/>
          </rPr>
          <t xml:space="preserve">
Update automatically based on the selection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tc={9361811F-AACA-4A01-A7A9-F1A0542495CC}</author>
    <author>tc={B8D3A9F7-AE0D-4480-94D2-2261C1DC862F}</author>
    <author>tc={8A8C96DF-4404-4D27-8D54-19AAF2EA4C2E}</author>
    <author>tc={787A5A95-401F-4721-B6F7-15F836D631D1}</author>
    <author>tc={4FC79229-5E03-4CC4-BDE4-EC57E9FDA18D}</author>
  </authors>
  <commentList>
    <comment ref="I19" authorId="0" shapeId="0" xr:uid="{9361811F-AACA-4A01-A7A9-F1A0542495CC}">
      <text>
        <t>[Threaded comment]
Your version of Excel allows you to read this threaded comment; however, any edits to it will get removed if the file is opened in a newer version of Excel. Learn more: https://go.microsoft.com/fwlink/?linkid=870924
Comment:
    Should take it from the PR value</t>
      </text>
    </comment>
    <comment ref="K23" authorId="1" shapeId="0" xr:uid="{B8D3A9F7-AE0D-4480-94D2-2261C1DC862F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manually inserted for the first VO, therafter to be automatic</t>
      </text>
    </comment>
    <comment ref="I24" authorId="2" shapeId="0" xr:uid="{8A8C96DF-4404-4D27-8D54-19AAF2EA4C2E}">
      <text>
        <t>[Threaded comment]
Your version of Excel allows you to read this threaded comment; however, any edits to it will get removed if the file is opened in a newer version of Excel. Learn more: https://go.microsoft.com/fwlink/?linkid=870924
Comment:
    L23 +1</t>
      </text>
    </comment>
    <comment ref="I27" authorId="3" shapeId="0" xr:uid="{787A5A95-401F-4721-B6F7-15F836D631D1}">
      <text>
        <t>[Threaded comment]
Your version of Excel allows you to read this threaded comment; however, any edits to it will get removed if the file is opened in a newer version of Excel. Learn more: https://go.microsoft.com/fwlink/?linkid=870924
Comment:
    I23</t>
      </text>
    </comment>
    <comment ref="K27" authorId="4" shapeId="0" xr:uid="{4FC79229-5E03-4CC4-BDE4-EC57E9FDA18D}">
      <text>
        <t>[Threaded comment]
Your version of Excel allows you to read this threaded comment; however, any edits to it will get removed if the file is opened in a newer version of Excel. Learn more: https://go.microsoft.com/fwlink/?linkid=870924
Comment:
    L25</t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Jay</author>
    <author>tc={8021EF18-1653-45A0-A75E-8D3CD63756BD}</author>
    <author>tc={D29CD774-3670-4F8C-8020-8FDFD58EFFCA}</author>
  </authors>
  <commentList>
    <comment ref="C9" authorId="0" shapeId="0" xr:uid="{CD304501-2483-45ED-A8EB-B7F20C45FFA9}">
      <text>
        <r>
          <rPr>
            <sz val="9"/>
            <color indexed="81"/>
            <rFont val="Tahoma"/>
            <family val="2"/>
          </rPr>
          <t>Drop down from i_Finance</t>
        </r>
      </text>
    </comment>
    <comment ref="G9" authorId="0" shapeId="0" xr:uid="{88530818-5F68-4A4B-96F7-284FA8E04594}">
      <text>
        <r>
          <rPr>
            <sz val="9"/>
            <color indexed="81"/>
            <rFont val="Tahoma"/>
            <family val="2"/>
          </rPr>
          <t>Automatic from i_Finance</t>
        </r>
      </text>
    </comment>
    <comment ref="C10" authorId="0" shapeId="0" xr:uid="{AC189ADF-BD53-4E4D-95BA-16BE8D8FE89D}">
      <text>
        <r>
          <rPr>
            <sz val="9"/>
            <color indexed="81"/>
            <rFont val="Tahoma"/>
            <family val="2"/>
          </rPr>
          <t>Drop down from i_Finance</t>
        </r>
      </text>
    </comment>
    <comment ref="D26" authorId="1" shapeId="0" xr:uid="{8021EF18-1653-45A0-A75E-8D3CD63756BD}">
      <text>
        <t>[Threaded comment]
Your version of Excel allows you to read this threaded comment; however, any edits to it will get removed if the file is opened in a newer version of Excel. Learn more: https://go.microsoft.com/fwlink/?linkid=870924
Comment:
    Automatic from i_Finance</t>
      </text>
    </comment>
    <comment ref="B32" authorId="2" shapeId="0" xr:uid="{D29CD774-3670-4F8C-8020-8FDFD58EFFCA}">
      <text>
        <t>[Threaded comment]
Your version of Excel allows you to read this threaded comment; however, any edits to it will get removed if the file is opened in a newer version of Excel. Learn more: https://go.microsoft.com/fwlink/?linkid=870924
Comment:
    Drop down for Shabeer TM &amp; Jayakumar Sekhar</t>
      </text>
    </comment>
  </commentList>
</comments>
</file>

<file path=xl/sharedStrings.xml><?xml version="1.0" encoding="utf-8"?>
<sst xmlns="http://schemas.openxmlformats.org/spreadsheetml/2006/main" count="426" uniqueCount="277">
  <si>
    <t>DEPARTMENT OF CULTURE AND TOURISM</t>
  </si>
  <si>
    <t>Project</t>
  </si>
  <si>
    <t>Agreement Title</t>
  </si>
  <si>
    <t>Contracting Party</t>
  </si>
  <si>
    <t>BM REF</t>
  </si>
  <si>
    <t>:</t>
  </si>
  <si>
    <t>Agreement Ref</t>
  </si>
  <si>
    <t>Date</t>
  </si>
  <si>
    <t>Headline Scope</t>
  </si>
  <si>
    <t>Detailed Scope</t>
  </si>
  <si>
    <t>Scope basis</t>
  </si>
  <si>
    <t>Scope basis Ref</t>
  </si>
  <si>
    <t>Month &amp; year of the Works</t>
  </si>
  <si>
    <t>[Include a brief narrative of the scope - use additional sheet if required]</t>
  </si>
  <si>
    <t>[Insert Tender No. / EI ref. / Claim Ref. here]</t>
  </si>
  <si>
    <t>[Insert the time of the Works executed / to be executed]</t>
  </si>
  <si>
    <t>Duration of the Works</t>
  </si>
  <si>
    <t>[Insert the actual / estimated duration of the proposed Works]</t>
  </si>
  <si>
    <t>[Title of the scope to identify the major Works]</t>
  </si>
  <si>
    <t>Drawings / Specifications for the Scope</t>
  </si>
  <si>
    <t>Engineer's comments and recommendations</t>
  </si>
  <si>
    <t>Recommendation</t>
  </si>
  <si>
    <t>xxx</t>
  </si>
  <si>
    <t>Signature &amp; Date</t>
  </si>
  <si>
    <t>TPC Director</t>
  </si>
  <si>
    <t>Comments</t>
  </si>
  <si>
    <t>Appendix B: Substantiation of recommended rates</t>
  </si>
  <si>
    <t>[Attach relevant drawings / specs / images clearly indicating the location and scope of Works]</t>
  </si>
  <si>
    <t>[specific recommendation for the amount /bidder]</t>
  </si>
  <si>
    <t>Appendix D: Any other documents such as site images etc.</t>
  </si>
  <si>
    <t xml:space="preserve">Signature </t>
  </si>
  <si>
    <t>CONTRACT VARIATIONS</t>
  </si>
  <si>
    <t>COST BENCHMARKING REQUEST</t>
  </si>
  <si>
    <t>Scope of Varied Works</t>
  </si>
  <si>
    <t>Original Contract Details</t>
  </si>
  <si>
    <t>DCT Approvals</t>
  </si>
  <si>
    <t>Jayagopalan Ullattil</t>
  </si>
  <si>
    <t>Khader Abu Ghannam</t>
  </si>
  <si>
    <t>Commercial Evaluation</t>
  </si>
  <si>
    <t>Method of Valuation</t>
  </si>
  <si>
    <t xml:space="preserve">Valuation Details </t>
  </si>
  <si>
    <t>Appendix A: Comparison Summary / Tender details</t>
  </si>
  <si>
    <t>Appendix C: Copy of RFP/ EI / VR, Drawings and Specifications</t>
  </si>
  <si>
    <t>Engineer / PMC comments / recommendations</t>
  </si>
  <si>
    <t>Engineer / PMC Representative</t>
  </si>
  <si>
    <t>Drop down list</t>
  </si>
  <si>
    <r>
      <rPr>
        <b/>
        <sz val="11"/>
        <color theme="1"/>
        <rFont val="Calibri"/>
        <family val="2"/>
        <scheme val="minor"/>
      </rPr>
      <t>Instruction:</t>
    </r>
    <r>
      <rPr>
        <sz val="11"/>
        <color theme="1"/>
        <rFont val="Calibri"/>
        <family val="2"/>
        <scheme val="minor"/>
      </rPr>
      <t xml:space="preserve"> &lt;Use this form to request a variation after Agreement has been issued.&gt;</t>
    </r>
  </si>
  <si>
    <t>Submission Details</t>
  </si>
  <si>
    <t xml:space="preserve">Agreement/PO Title: </t>
  </si>
  <si>
    <t>Date:</t>
  </si>
  <si>
    <t>End User Name:</t>
  </si>
  <si>
    <t>User/Requester Division:</t>
  </si>
  <si>
    <t>Supplier:</t>
  </si>
  <si>
    <t>Award Recommendation Date:</t>
  </si>
  <si>
    <t>PR Number:</t>
  </si>
  <si>
    <t>PR Approval Date:</t>
  </si>
  <si>
    <t>PR Value:</t>
  </si>
  <si>
    <t>PO Number:</t>
  </si>
  <si>
    <t>Agreement Number:</t>
  </si>
  <si>
    <t>Change Requested</t>
  </si>
  <si>
    <t>Change to Agreement Value</t>
  </si>
  <si>
    <t>AED</t>
  </si>
  <si>
    <t>Previous VOs (if applicable)</t>
  </si>
  <si>
    <t>Additional Value of this VO:</t>
  </si>
  <si>
    <t>% Cumulative Change over Original Agreement Value:</t>
  </si>
  <si>
    <t>%</t>
  </si>
  <si>
    <t>Revised Agreement Value:</t>
  </si>
  <si>
    <t>Budget availability confirmed?</t>
  </si>
  <si>
    <t>Yes/No</t>
  </si>
  <si>
    <t>Change to Agreement Duration</t>
  </si>
  <si>
    <t xml:space="preserve">Original Agreement Duration: </t>
  </si>
  <si>
    <t>From</t>
  </si>
  <si>
    <t>to</t>
  </si>
  <si>
    <t>Previous Variation  Orders (if applicable)</t>
  </si>
  <si>
    <t>Proposed Duration of this CO:</t>
  </si>
  <si>
    <t>% Cumulative Change over Original Agreement Duration</t>
  </si>
  <si>
    <t>Revised Agreement Duration:</t>
  </si>
  <si>
    <t xml:space="preserve">Notes : </t>
  </si>
  <si>
    <t>Recommendation, Review and Endorsement</t>
  </si>
  <si>
    <t>End User (Project Management &amp; Engineering)</t>
  </si>
  <si>
    <t>Tendering and Projects Control</t>
  </si>
  <si>
    <t>Project Manager</t>
  </si>
  <si>
    <t>Director</t>
  </si>
  <si>
    <t>Manager - Contracts Admin</t>
  </si>
  <si>
    <t xml:space="preserve">Name: </t>
  </si>
  <si>
    <t>Said Ali Al Khatib</t>
  </si>
  <si>
    <t>Jayagopalan U</t>
  </si>
  <si>
    <t>Signature:</t>
  </si>
  <si>
    <t xml:space="preserve">Date:  </t>
  </si>
  <si>
    <t>Approvals - Up to AED 3 million</t>
  </si>
  <si>
    <t>Executive Director Joint Business Support (approval authority up to AED 3 million)</t>
  </si>
  <si>
    <t xml:space="preserve">Not applicable </t>
  </si>
  <si>
    <t>Approve</t>
  </si>
  <si>
    <t>Reject</t>
  </si>
  <si>
    <t>Further Recommendation, Review and Endorsement -  above AED 3 million</t>
  </si>
  <si>
    <t>Tender &amp; Auctions Committee</t>
  </si>
  <si>
    <t>Drop down yes/no</t>
  </si>
  <si>
    <t>Submission No.:</t>
  </si>
  <si>
    <t>Item No.:</t>
  </si>
  <si>
    <t>Meeting No.:</t>
  </si>
  <si>
    <t>Purpose:</t>
  </si>
  <si>
    <t>Duration:</t>
  </si>
  <si>
    <t>Tender No.:</t>
  </si>
  <si>
    <t>Tender Title:</t>
  </si>
  <si>
    <t>Prepared by:</t>
  </si>
  <si>
    <t>End User:</t>
  </si>
  <si>
    <t xml:space="preserve">Estimated Value:  </t>
  </si>
  <si>
    <t>Budgeted:</t>
  </si>
  <si>
    <r>
      <t xml:space="preserve">Brief Scope: </t>
    </r>
    <r>
      <rPr>
        <sz val="9"/>
        <color rgb="FF000000"/>
        <rFont val="Arial"/>
        <family val="2"/>
      </rPr>
      <t>&lt;Provide more details on additional pages, if required&gt;</t>
    </r>
  </si>
  <si>
    <t xml:space="preserve">Recommendation: </t>
  </si>
  <si>
    <r>
      <t xml:space="preserve">Reviewers: </t>
    </r>
    <r>
      <rPr>
        <sz val="9"/>
        <color rgb="FF000000"/>
        <rFont val="Arial"/>
        <family val="2"/>
      </rPr>
      <t>In signing below you are providing endorsement &amp; declaring no conflict of interest</t>
    </r>
    <r>
      <rPr>
        <b/>
        <sz val="9"/>
        <color rgb="FF000000"/>
        <rFont val="Arial"/>
        <family val="2"/>
      </rPr>
      <t>*</t>
    </r>
  </si>
  <si>
    <t>Director of TPC</t>
  </si>
  <si>
    <t>Initial:</t>
  </si>
  <si>
    <r>
      <t xml:space="preserve">Procurement Committee Members: </t>
    </r>
    <r>
      <rPr>
        <sz val="9"/>
        <color rgb="FF000000"/>
        <rFont val="Arial"/>
        <family val="2"/>
      </rPr>
      <t>In signing below you are providing endorsement &amp; declaring no conflict of interest*</t>
    </r>
  </si>
  <si>
    <r>
      <t>Procurement Committee Decision:</t>
    </r>
    <r>
      <rPr>
        <sz val="9"/>
        <color rgb="FF000000"/>
        <rFont val="Arial"/>
        <family val="2"/>
      </rPr>
      <t xml:space="preserve"> In signing you are providing endorsement and declaring no conflict of interest*</t>
    </r>
  </si>
  <si>
    <t>Endorsed:</t>
  </si>
  <si>
    <t>Endorsed with condition:</t>
  </si>
  <si>
    <t>To be Resubmitted:</t>
  </si>
  <si>
    <t>Rejected:</t>
  </si>
  <si>
    <t>Remarks / Modifications:</t>
  </si>
  <si>
    <t>Procurement Committee Chairman:</t>
  </si>
  <si>
    <r>
      <t xml:space="preserve">Instruction: </t>
    </r>
    <r>
      <rPr>
        <sz val="9"/>
        <color rgb="FF000000"/>
        <rFont val="Arial"/>
        <family val="2"/>
      </rPr>
      <t xml:space="preserve">&lt;Use this form to record Procurement Committee decisions&gt;                     </t>
    </r>
  </si>
  <si>
    <t>Capital Project</t>
  </si>
  <si>
    <t>Original Contract Value</t>
  </si>
  <si>
    <t>Original Agreement Duration</t>
  </si>
  <si>
    <t>Previous Variation Orders</t>
  </si>
  <si>
    <t>Revised Contract Value</t>
  </si>
  <si>
    <t>Revised Completion Date</t>
  </si>
  <si>
    <t xml:space="preserve">Revised Contract details following this VO are noted below </t>
  </si>
  <si>
    <t>Drop down list - PM of the Project</t>
  </si>
  <si>
    <t>Drop down list Yes / No</t>
  </si>
  <si>
    <t>VARIATION ORDER (VO)</t>
  </si>
  <si>
    <t>Contract Details</t>
  </si>
  <si>
    <t>Agreement Ref / Nr</t>
  </si>
  <si>
    <t>Contract Stage</t>
  </si>
  <si>
    <t xml:space="preserve">Cost and Schedule prior to this Variation Order </t>
  </si>
  <si>
    <t>Contract Value</t>
  </si>
  <si>
    <t>Commencement date</t>
  </si>
  <si>
    <t>Approved VOs (nr)</t>
  </si>
  <si>
    <t>Time for completion</t>
  </si>
  <si>
    <t>Approved VOs (Value)</t>
  </si>
  <si>
    <t>Approved extensions</t>
  </si>
  <si>
    <t>Revised completion date</t>
  </si>
  <si>
    <t>Variation Details</t>
  </si>
  <si>
    <t xml:space="preserve">Subject : </t>
  </si>
  <si>
    <t>Brief description</t>
  </si>
  <si>
    <t>Under the terms of the above referenced Agreement, the following variation (s) is agreed:</t>
  </si>
  <si>
    <t xml:space="preserve">   Amount of Variation Order </t>
  </si>
  <si>
    <t xml:space="preserve">Except as otherwise stated in this Variation Order and / or previous Variation Orders, all other terms and conditions of the above referenced Contract shall remain unchanged and in full effect. </t>
  </si>
  <si>
    <t xml:space="preserve">   Value of this VO</t>
  </si>
  <si>
    <t xml:space="preserve">   Revised Contract Value</t>
  </si>
  <si>
    <t xml:space="preserve">   Following this VO</t>
  </si>
  <si>
    <t xml:space="preserve">   Method of payment</t>
  </si>
  <si>
    <t>Interim Payments in accordance with the Contract</t>
  </si>
  <si>
    <t xml:space="preserve">   Schedule impact</t>
  </si>
  <si>
    <t xml:space="preserve">   Revised  Completion Date</t>
  </si>
  <si>
    <t>Acceptance by the Contracting Party</t>
  </si>
  <si>
    <t xml:space="preserve">   Contractor</t>
  </si>
  <si>
    <t xml:space="preserve">   Authorised Signatory</t>
  </si>
  <si>
    <t xml:space="preserve">   Designation</t>
  </si>
  <si>
    <t xml:space="preserve">   Signature &amp; Date</t>
  </si>
  <si>
    <t>Recommendation by Project Manager</t>
  </si>
  <si>
    <t xml:space="preserve">   PM Consultant</t>
  </si>
  <si>
    <t>Approvals</t>
  </si>
  <si>
    <t xml:space="preserve">DCT Project Management &amp; Engineering </t>
  </si>
  <si>
    <t>DCT Tendering &amp; Projects Control</t>
  </si>
  <si>
    <t>DCT Authorised Signatory</t>
  </si>
  <si>
    <t>DCT Stamp</t>
  </si>
  <si>
    <t>VO Nr</t>
  </si>
  <si>
    <t xml:space="preserve"> : </t>
  </si>
  <si>
    <t>To be manually entered</t>
  </si>
  <si>
    <t>To be manually enetered</t>
  </si>
  <si>
    <t>days</t>
  </si>
  <si>
    <t>xxxxxx</t>
  </si>
  <si>
    <t xml:space="preserve">xx </t>
  </si>
  <si>
    <t>XXXX</t>
  </si>
  <si>
    <t>XXX</t>
  </si>
  <si>
    <t xml:space="preserve">   Appendix A</t>
  </si>
  <si>
    <t xml:space="preserve">   Appendix B</t>
  </si>
  <si>
    <t>Proposed Duration of the VO</t>
  </si>
  <si>
    <t>Value of the VO</t>
  </si>
  <si>
    <t>Tender</t>
  </si>
  <si>
    <r>
      <t xml:space="preserve">Attachments: </t>
    </r>
    <r>
      <rPr>
        <sz val="9"/>
        <color rgb="FFFF0000"/>
        <rFont val="Arial"/>
        <family val="2"/>
      </rPr>
      <t>To be manually listed</t>
    </r>
    <r>
      <rPr>
        <sz val="9"/>
        <color theme="1"/>
        <rFont val="Arial"/>
        <family val="2"/>
      </rPr>
      <t xml:space="preserve">
</t>
    </r>
  </si>
  <si>
    <t>To be manually inserted</t>
  </si>
  <si>
    <t>Design</t>
  </si>
  <si>
    <t>Construction</t>
  </si>
  <si>
    <t>DNP</t>
  </si>
  <si>
    <t>drop down</t>
  </si>
  <si>
    <t>Form No.: PC-TO-34</t>
  </si>
  <si>
    <t>Rev.  No.: 10</t>
  </si>
  <si>
    <t>Effective Date: 21-Jun-2017</t>
  </si>
  <si>
    <t>Page No.:  1 of 1</t>
  </si>
  <si>
    <t>Post Award Change Order Form – Variation Request</t>
  </si>
  <si>
    <t>Procurement Committee Decision Form</t>
  </si>
  <si>
    <t>Appendix C</t>
  </si>
  <si>
    <t>Draft Variation Order (VO) Number:</t>
  </si>
  <si>
    <t>01</t>
  </si>
  <si>
    <t>BM Ref 1</t>
  </si>
  <si>
    <t>Original Agreement</t>
  </si>
  <si>
    <t>Insert Manually</t>
  </si>
  <si>
    <t>From PR value</t>
  </si>
  <si>
    <t>18+19</t>
  </si>
  <si>
    <t>/</t>
  </si>
  <si>
    <t>17+18+19</t>
  </si>
  <si>
    <t>BM Ref 2</t>
  </si>
  <si>
    <t>[Specify whether the works are based on Tender / Engineer's Instruction / Claims etc.]</t>
  </si>
  <si>
    <t>Competitive Tender / Contract Rates / New rates / Quotations [ As appropriate]</t>
  </si>
  <si>
    <t>Contractor's Proposed amount  (Total)</t>
  </si>
  <si>
    <t>Input</t>
  </si>
  <si>
    <t>%age value using Contract rates</t>
  </si>
  <si>
    <t>%age value using New rates</t>
  </si>
  <si>
    <t>Engineer's / ER's Assessement</t>
  </si>
  <si>
    <t>sequence</t>
  </si>
  <si>
    <t xml:space="preserve">COST SUMMARY </t>
  </si>
  <si>
    <t>XXXX (All below details to be manually entered)</t>
  </si>
  <si>
    <t>(All below details to be manually entered)</t>
  </si>
  <si>
    <t xml:space="preserve"> (If the cummulative change is more than 25% or the value is more than 50millionAED, ADEO approval is required after PCD approval )</t>
  </si>
  <si>
    <t xml:space="preserve">Once the PCD is approved, notification should go to the PMC /initiator to submit the final VO </t>
  </si>
  <si>
    <t>For VO value less than 1 million, notification should go to the PMC/Initiator to submit the final VO</t>
  </si>
  <si>
    <t>For VO with ADEO approval, notification shall be sent after ADEO approval</t>
  </si>
  <si>
    <t>Contracts and Cost Estimation Engineer</t>
  </si>
  <si>
    <t>Saliny Paul</t>
  </si>
  <si>
    <t>VARIATION REQUEST</t>
  </si>
  <si>
    <t xml:space="preserve">Project: </t>
  </si>
  <si>
    <t>Description of Change:</t>
  </si>
  <si>
    <t>[Insert Details]
* Attach document showing details if space provided is not sufficient.</t>
  </si>
  <si>
    <t xml:space="preserve">Agreement Title:  </t>
  </si>
  <si>
    <t xml:space="preserve">Contracting Party:  </t>
  </si>
  <si>
    <t xml:space="preserve">Agreement Ref. No.: </t>
  </si>
  <si>
    <t xml:space="preserve">Subject: </t>
  </si>
  <si>
    <t xml:space="preserve">Purpose:  </t>
  </si>
  <si>
    <t>Reason for Change:</t>
  </si>
  <si>
    <t>Client Change</t>
  </si>
  <si>
    <t>Design Development</t>
  </si>
  <si>
    <t>Site Conditions</t>
  </si>
  <si>
    <t>Statutory Requirements</t>
  </si>
  <si>
    <t>Tenant Requirement</t>
  </si>
  <si>
    <t>Provisional Sum</t>
  </si>
  <si>
    <t>Other</t>
  </si>
  <si>
    <t>Cost and Time Impact:</t>
  </si>
  <si>
    <t>Estimated Time Impact (Days):</t>
  </si>
  <si>
    <t>Estimated Cost Impact (AED):</t>
  </si>
  <si>
    <t>Professional Fee(s):</t>
  </si>
  <si>
    <t>Included</t>
  </si>
  <si>
    <t>Excluded</t>
  </si>
  <si>
    <t>Basis of Estimate(s):</t>
  </si>
  <si>
    <t>QS Estimate</t>
  </si>
  <si>
    <t>Con. Estimate/Quotation</t>
  </si>
  <si>
    <t>Source of Funding:</t>
  </si>
  <si>
    <t>Contingency</t>
  </si>
  <si>
    <t>Budget Increase</t>
  </si>
  <si>
    <t>Quality Assessment:</t>
  </si>
  <si>
    <r>
      <t xml:space="preserve">Design Assessment of Proposed Change, Including Functionality, Durability, Maintainability, Etc
</t>
    </r>
    <r>
      <rPr>
        <i/>
        <sz val="11"/>
        <rFont val="Arial"/>
        <family val="2"/>
      </rPr>
      <t>* Attach document showing details if space provided is not sufficient.</t>
    </r>
  </si>
  <si>
    <t>Recommended by:</t>
  </si>
  <si>
    <r>
      <rPr>
        <b/>
        <sz val="12"/>
        <color theme="1"/>
        <rFont val="Arial"/>
        <family val="2"/>
      </rPr>
      <t xml:space="preserve">Project Manager:
</t>
    </r>
    <r>
      <rPr>
        <sz val="12"/>
        <color theme="1"/>
        <rFont val="Arial"/>
        <family val="2"/>
      </rPr>
      <t xml:space="preserve">
</t>
    </r>
    <r>
      <rPr>
        <b/>
        <sz val="12"/>
        <color theme="1"/>
        <rFont val="Arial"/>
        <family val="2"/>
      </rPr>
      <t>PM&amp;E Department</t>
    </r>
    <r>
      <rPr>
        <sz val="10"/>
        <color theme="1"/>
        <rFont val="Arial"/>
        <family val="2"/>
      </rPr>
      <t xml:space="preserve">
</t>
    </r>
    <r>
      <rPr>
        <sz val="11"/>
        <color theme="1"/>
        <rFont val="Arial"/>
        <family val="2"/>
      </rPr>
      <t>Department of Culture and Tourism (DCT)</t>
    </r>
  </si>
  <si>
    <t>Name:</t>
  </si>
  <si>
    <t>Endorsed By :</t>
  </si>
  <si>
    <r>
      <rPr>
        <b/>
        <sz val="12"/>
        <color theme="1"/>
        <rFont val="Arial"/>
        <family val="2"/>
      </rPr>
      <t xml:space="preserve">Culture Sector Executive Director:
</t>
    </r>
    <r>
      <rPr>
        <sz val="10"/>
        <color theme="1"/>
        <rFont val="Arial"/>
        <family val="2"/>
      </rPr>
      <t xml:space="preserve">
</t>
    </r>
    <r>
      <rPr>
        <sz val="11"/>
        <color theme="1"/>
        <rFont val="Arial"/>
        <family val="2"/>
      </rPr>
      <t>Department of Culture and Tourism (DCT)</t>
    </r>
  </si>
  <si>
    <t>Approved By:</t>
  </si>
  <si>
    <t>Verified By:</t>
  </si>
  <si>
    <r>
      <rPr>
        <b/>
        <sz val="12"/>
        <color theme="1"/>
        <rFont val="Arial"/>
        <family val="2"/>
      </rPr>
      <t xml:space="preserve">Director of TPC Department:
</t>
    </r>
    <r>
      <rPr>
        <sz val="10"/>
        <color theme="1"/>
        <rFont val="Arial"/>
        <family val="2"/>
      </rPr>
      <t xml:space="preserve">
</t>
    </r>
    <r>
      <rPr>
        <sz val="11"/>
        <color theme="1"/>
        <rFont val="Arial"/>
        <family val="2"/>
      </rPr>
      <t>Department of Culture and Tourism (DCT)</t>
    </r>
  </si>
  <si>
    <t xml:space="preserve">Reference No: </t>
  </si>
  <si>
    <t>IF CS input is applicable</t>
  </si>
  <si>
    <t>Design Defficiency</t>
  </si>
  <si>
    <r>
      <rPr>
        <b/>
        <sz val="12"/>
        <color theme="1"/>
        <rFont val="Arial"/>
        <family val="2"/>
      </rPr>
      <t xml:space="preserve">End-User Project Director / Manager:
</t>
    </r>
    <r>
      <rPr>
        <sz val="12"/>
        <color theme="1"/>
        <rFont val="Arial"/>
        <family val="2"/>
      </rPr>
      <t xml:space="preserve">
</t>
    </r>
    <r>
      <rPr>
        <b/>
        <sz val="12"/>
        <color theme="1"/>
        <rFont val="Arial"/>
        <family val="2"/>
      </rPr>
      <t>Culture Sector</t>
    </r>
    <r>
      <rPr>
        <sz val="12"/>
        <color theme="1"/>
        <rFont val="Arial"/>
        <family val="2"/>
      </rPr>
      <t xml:space="preserve">
</t>
    </r>
    <r>
      <rPr>
        <sz val="11"/>
        <color theme="1"/>
        <rFont val="Arial"/>
        <family val="2"/>
      </rPr>
      <t>Department of Culture and Tourism (DCT)</t>
    </r>
  </si>
  <si>
    <r>
      <rPr>
        <b/>
        <sz val="12"/>
        <color theme="1"/>
        <rFont val="Arial"/>
        <family val="2"/>
      </rPr>
      <t xml:space="preserve">Acting Director of PM&amp;E Department:
</t>
    </r>
    <r>
      <rPr>
        <sz val="10"/>
        <color theme="1"/>
        <rFont val="Arial"/>
        <family val="2"/>
      </rPr>
      <t xml:space="preserve">
</t>
    </r>
    <r>
      <rPr>
        <sz val="11"/>
        <color theme="1"/>
        <rFont val="Arial"/>
        <family val="2"/>
      </rPr>
      <t>Department of Culture and Tourism (DCT)</t>
    </r>
  </si>
  <si>
    <t>Basel AbuYousef</t>
  </si>
  <si>
    <t>Contracts Admin &amp; Cost Estimation Director</t>
  </si>
  <si>
    <t>DCT Project Director / Manager</t>
  </si>
  <si>
    <t xml:space="preserve">  Project Director / Senior PM</t>
  </si>
  <si>
    <t xml:space="preserve">   Acting Director</t>
  </si>
  <si>
    <t>Contracts Director</t>
  </si>
  <si>
    <t>Contracts and Cost  Estimation Manager</t>
  </si>
  <si>
    <t>Contracts Section Director</t>
  </si>
  <si>
    <t xml:space="preserve">End User Director </t>
  </si>
  <si>
    <t>Basel  AbuYousef</t>
  </si>
  <si>
    <t>Chairman (For single source approvals only):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</si>
</sst>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_-* #,##0.00_-;\-* #,##0.00_-;_-* &quot;-&quot;??_-;_-@_-"/>
    <numFmt numFmtId="165" formatCode="[$-409]d\-mmm\-yy;@"/>
    <numFmt numFmtId="166" formatCode="0.0%"/>
    <numFmt numFmtId="167" formatCode="_([$AED]\ * #,##0.00_);_([$AED]\ * \(#,##0.00\);_([$AED]\ * &quot;-&quot;??_);_(@_)"/>
    <numFmt numFmtId="168" formatCode="[$AED]\ #,##0.00"/>
    <numFmt numFmtId="169" formatCode="dd\-mmm\-yyyy"/>
    <numFmt numFmtId="170" formatCode="dd\ mmm\ yyyy"/>
  </numFmts>
  <fonts count="6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8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sz val="11"/>
      <color rgb="FFC00000"/>
      <name val="Calibri"/>
      <family val="2"/>
      <scheme val="minor"/>
    </font>
    <font>
      <sz val="10"/>
      <color rgb="FFC00000"/>
      <name val="Arial"/>
      <family val="2"/>
    </font>
    <font>
      <sz val="11"/>
      <name val="Calibri"/>
      <family val="2"/>
      <scheme val="minor"/>
    </font>
    <font>
      <sz val="14"/>
      <name val="Arial"/>
      <family val="2"/>
    </font>
    <font>
      <b/>
      <sz val="9"/>
      <name val="Arial"/>
      <family val="2"/>
    </font>
    <font>
      <i/>
      <sz val="11"/>
      <color theme="1"/>
      <name val="Calibri"/>
      <family val="2"/>
      <scheme val="minor"/>
    </font>
    <font>
      <b/>
      <u/>
      <sz val="10"/>
      <name val="Arial"/>
      <family val="2"/>
    </font>
    <font>
      <sz val="9"/>
      <color rgb="FFC00000"/>
      <name val="Calibri"/>
      <family val="2"/>
      <scheme val="minor"/>
    </font>
    <font>
      <u/>
      <sz val="1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theme="1"/>
      <name val="Times New Roman"/>
      <family val="1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11"/>
      <color theme="1"/>
      <name val="Arial"/>
      <family val="2"/>
    </font>
    <font>
      <sz val="9"/>
      <color rgb="FFFF0000"/>
      <name val="Arial"/>
      <family val="2"/>
    </font>
    <font>
      <sz val="7"/>
      <color theme="1"/>
      <name val="Arial"/>
      <family val="2"/>
    </font>
    <font>
      <b/>
      <i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7"/>
      <name val="Calibri"/>
      <family val="2"/>
      <scheme val="minor"/>
    </font>
    <font>
      <i/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0"/>
      <name val="Calibri"/>
      <family val="2"/>
      <scheme val="minor"/>
    </font>
    <font>
      <b/>
      <sz val="16"/>
      <name val="Calibri"/>
      <family val="2"/>
      <scheme val="minor"/>
    </font>
    <font>
      <i/>
      <sz val="10"/>
      <name val="Calibri"/>
      <family val="2"/>
      <scheme val="minor"/>
    </font>
    <font>
      <sz val="10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i/>
      <sz val="9"/>
      <color rgb="FFC00000"/>
      <name val="Arial"/>
      <family val="2"/>
    </font>
    <font>
      <i/>
      <sz val="9"/>
      <color rgb="FFC00000"/>
      <name val="Arial"/>
      <family val="2"/>
    </font>
    <font>
      <sz val="9"/>
      <color indexed="81"/>
      <name val="Tahoma"/>
      <family val="2"/>
    </font>
    <font>
      <b/>
      <sz val="1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indexed="81"/>
      <name val="Tahoma"/>
      <family val="2"/>
    </font>
    <font>
      <b/>
      <sz val="12"/>
      <color rgb="FFFF0000"/>
      <name val="Arial"/>
      <family val="2"/>
    </font>
    <font>
      <b/>
      <sz val="12"/>
      <color rgb="FF800000"/>
      <name val="Arial"/>
      <family val="2"/>
    </font>
    <font>
      <sz val="8"/>
      <color theme="1"/>
      <name val="Arial"/>
      <family val="2"/>
    </font>
    <font>
      <sz val="9"/>
      <color theme="1"/>
      <name val="Segoe UI"/>
      <family val="2"/>
    </font>
    <font>
      <sz val="10"/>
      <color theme="1"/>
      <name val="Arial"/>
      <family val="2"/>
    </font>
    <font>
      <sz val="12"/>
      <color rgb="FF963634"/>
      <name val="Arial"/>
      <family val="2"/>
    </font>
    <font>
      <sz val="14"/>
      <color rgb="FF8A2412"/>
      <name val="Arial"/>
      <family val="2"/>
    </font>
    <font>
      <sz val="9"/>
      <name val="Arial"/>
      <family val="2"/>
    </font>
    <font>
      <b/>
      <sz val="16"/>
      <color rgb="FF8A2412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1"/>
      <name val="Arial"/>
      <family val="2"/>
    </font>
    <font>
      <i/>
      <sz val="1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2" tint="-0.2499465926084170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A6A6A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</fills>
  <borders count="100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indexed="64"/>
      </bottom>
      <diagonal/>
    </border>
    <border>
      <left/>
      <right style="medium">
        <color auto="1"/>
      </right>
      <top/>
      <bottom style="medium">
        <color indexed="64"/>
      </bottom>
      <diagonal/>
    </border>
    <border>
      <left/>
      <right/>
      <top style="dotted">
        <color auto="1"/>
      </top>
      <bottom/>
      <diagonal/>
    </border>
    <border>
      <left style="medium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dotted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ck">
        <color rgb="FFC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/>
      <bottom/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/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thick">
        <color indexed="64"/>
      </bottom>
      <diagonal/>
    </border>
    <border>
      <left style="medium">
        <color auto="1"/>
      </left>
      <right style="thin">
        <color auto="1"/>
      </right>
      <top style="thick">
        <color indexed="64"/>
      </top>
      <bottom style="medium">
        <color rgb="FF808080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medium">
        <color rgb="FF808080"/>
      </bottom>
      <diagonal/>
    </border>
    <border>
      <left style="medium">
        <color auto="1"/>
      </left>
      <right style="thin">
        <color auto="1"/>
      </right>
      <top style="medium">
        <color rgb="FF808080"/>
      </top>
      <bottom style="medium">
        <color rgb="FF808080"/>
      </bottom>
      <diagonal/>
    </border>
    <border>
      <left style="thin">
        <color auto="1"/>
      </left>
      <right style="thin">
        <color auto="1"/>
      </right>
      <top style="medium">
        <color rgb="FF808080"/>
      </top>
      <bottom style="medium">
        <color rgb="FF808080"/>
      </bottom>
      <diagonal/>
    </border>
    <border>
      <left style="medium">
        <color auto="1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indexed="64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ck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rgb="FF808080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rgb="FF808080"/>
      </top>
      <bottom style="thick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ck">
        <color indexed="64"/>
      </bottom>
      <diagonal/>
    </border>
    <border>
      <left/>
      <right/>
      <top style="medium">
        <color indexed="64"/>
      </top>
      <bottom style="thick">
        <color indexed="64"/>
      </bottom>
      <diagonal/>
    </border>
    <border>
      <left/>
      <right style="medium">
        <color indexed="64"/>
      </right>
      <top style="medium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indexed="64"/>
      </left>
      <right/>
      <top style="thick">
        <color indexed="64"/>
      </top>
      <bottom style="medium">
        <color indexed="64"/>
      </bottom>
      <diagonal/>
    </border>
    <border>
      <left/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8"/>
      </left>
      <right/>
      <top/>
      <bottom style="thin">
        <color indexed="64"/>
      </bottom>
      <diagonal/>
    </border>
    <border>
      <left/>
      <right/>
      <top/>
      <bottom style="thick">
        <color rgb="FFFF0000"/>
      </bottom>
      <diagonal/>
    </border>
    <border>
      <left/>
      <right/>
      <top style="thick">
        <color rgb="FFFF0000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tted">
        <color auto="1"/>
      </top>
      <bottom style="dotted">
        <color auto="1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07">
    <xf numFmtId="0" fontId="0" fillId="0" borderId="0" xfId="0"/>
    <xf numFmtId="0" fontId="3" fillId="0" borderId="0" xfId="0" applyFont="1"/>
    <xf numFmtId="0" fontId="5" fillId="0" borderId="0" xfId="0" applyFont="1"/>
    <xf numFmtId="0" fontId="6" fillId="0" borderId="1" xfId="0" applyFont="1" applyBorder="1"/>
    <xf numFmtId="0" fontId="3" fillId="0" borderId="1" xfId="0" applyFont="1" applyBorder="1"/>
    <xf numFmtId="0" fontId="7" fillId="0" borderId="1" xfId="0" applyFont="1" applyBorder="1"/>
    <xf numFmtId="0" fontId="8" fillId="2" borderId="2" xfId="0" applyFont="1" applyFill="1" applyBorder="1" applyAlignment="1">
      <alignment horizontal="centerContinuous" vertical="center"/>
    </xf>
    <xf numFmtId="0" fontId="9" fillId="2" borderId="3" xfId="0" applyFont="1" applyFill="1" applyBorder="1" applyAlignment="1">
      <alignment horizontal="centerContinuous" vertical="center"/>
    </xf>
    <xf numFmtId="0" fontId="6" fillId="0" borderId="0" xfId="0" applyFont="1"/>
    <xf numFmtId="0" fontId="7" fillId="0" borderId="0" xfId="0" applyFont="1"/>
    <xf numFmtId="0" fontId="0" fillId="0" borderId="0" xfId="0" applyAlignment="1">
      <alignment horizontal="right"/>
    </xf>
    <xf numFmtId="0" fontId="0" fillId="0" borderId="9" xfId="0" applyBorder="1"/>
    <xf numFmtId="0" fontId="6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6" fillId="0" borderId="0" xfId="0" applyFont="1" applyAlignment="1">
      <alignment vertical="center"/>
    </xf>
    <xf numFmtId="0" fontId="6" fillId="2" borderId="4" xfId="0" applyFont="1" applyFill="1" applyBorder="1" applyAlignment="1">
      <alignment horizontal="centerContinuous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2" fillId="0" borderId="0" xfId="0" applyFont="1"/>
    <xf numFmtId="0" fontId="12" fillId="0" borderId="0" xfId="0" applyFont="1" applyAlignment="1">
      <alignment vertical="center"/>
    </xf>
    <xf numFmtId="0" fontId="4" fillId="0" borderId="1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6" fillId="0" borderId="15" xfId="0" applyFont="1" applyBorder="1"/>
    <xf numFmtId="0" fontId="5" fillId="0" borderId="16" xfId="0" applyFont="1" applyBorder="1"/>
    <xf numFmtId="0" fontId="0" fillId="0" borderId="13" xfId="0" applyBorder="1"/>
    <xf numFmtId="0" fontId="0" fillId="0" borderId="14" xfId="0" applyBorder="1"/>
    <xf numFmtId="0" fontId="6" fillId="0" borderId="13" xfId="0" applyFont="1" applyBorder="1"/>
    <xf numFmtId="0" fontId="5" fillId="0" borderId="14" xfId="0" applyFont="1" applyBorder="1"/>
    <xf numFmtId="0" fontId="0" fillId="0" borderId="13" xfId="0" applyBorder="1" applyAlignment="1">
      <alignment wrapText="1"/>
    </xf>
    <xf numFmtId="0" fontId="0" fillId="0" borderId="1" xfId="0" applyBorder="1"/>
    <xf numFmtId="0" fontId="0" fillId="0" borderId="16" xfId="0" applyBorder="1"/>
    <xf numFmtId="0" fontId="9" fillId="0" borderId="17" xfId="0" applyFont="1" applyBorder="1" applyAlignment="1">
      <alignment horizontal="left" indent="1"/>
    </xf>
    <xf numFmtId="0" fontId="0" fillId="0" borderId="1" xfId="0" applyBorder="1" applyAlignment="1">
      <alignment horizontal="center" vertical="center"/>
    </xf>
    <xf numFmtId="0" fontId="0" fillId="0" borderId="11" xfId="0" applyBorder="1"/>
    <xf numFmtId="0" fontId="0" fillId="0" borderId="11" xfId="0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15" fillId="0" borderId="0" xfId="0" applyFont="1"/>
    <xf numFmtId="0" fontId="16" fillId="0" borderId="10" xfId="0" applyFont="1" applyBorder="1"/>
    <xf numFmtId="0" fontId="16" fillId="0" borderId="18" xfId="0" applyFont="1" applyBorder="1"/>
    <xf numFmtId="0" fontId="14" fillId="0" borderId="1" xfId="0" applyFont="1" applyBorder="1"/>
    <xf numFmtId="0" fontId="18" fillId="0" borderId="13" xfId="0" applyFont="1" applyBorder="1"/>
    <xf numFmtId="0" fontId="6" fillId="0" borderId="18" xfId="0" applyFont="1" applyBorder="1"/>
    <xf numFmtId="0" fontId="6" fillId="0" borderId="19" xfId="0" applyFont="1" applyBorder="1" applyAlignment="1">
      <alignment horizontal="center" vertical="center"/>
    </xf>
    <xf numFmtId="0" fontId="6" fillId="0" borderId="19" xfId="0" applyFont="1" applyBorder="1"/>
    <xf numFmtId="0" fontId="3" fillId="0" borderId="19" xfId="0" applyFont="1" applyBorder="1"/>
    <xf numFmtId="0" fontId="7" fillId="0" borderId="19" xfId="0" applyFont="1" applyBorder="1"/>
    <xf numFmtId="0" fontId="19" fillId="0" borderId="19" xfId="0" applyFont="1" applyBorder="1" applyAlignment="1">
      <alignment vertical="center"/>
    </xf>
    <xf numFmtId="0" fontId="6" fillId="3" borderId="23" xfId="0" applyFont="1" applyFill="1" applyBorder="1" applyAlignment="1">
      <alignment horizontal="center" vertical="center"/>
    </xf>
    <xf numFmtId="0" fontId="6" fillId="3" borderId="23" xfId="0" applyFont="1" applyFill="1" applyBorder="1"/>
    <xf numFmtId="0" fontId="3" fillId="3" borderId="23" xfId="0" applyFont="1" applyFill="1" applyBorder="1"/>
    <xf numFmtId="0" fontId="7" fillId="3" borderId="23" xfId="0" applyFont="1" applyFill="1" applyBorder="1"/>
    <xf numFmtId="0" fontId="5" fillId="3" borderId="25" xfId="0" applyFont="1" applyFill="1" applyBorder="1"/>
    <xf numFmtId="0" fontId="0" fillId="0" borderId="9" xfId="0" applyBorder="1" applyAlignment="1">
      <alignment horizontal="left" indent="1"/>
    </xf>
    <xf numFmtId="0" fontId="3" fillId="0" borderId="26" xfId="0" applyFont="1" applyBorder="1"/>
    <xf numFmtId="0" fontId="0" fillId="0" borderId="28" xfId="0" applyBorder="1"/>
    <xf numFmtId="0" fontId="3" fillId="0" borderId="29" xfId="0" applyFont="1" applyBorder="1"/>
    <xf numFmtId="0" fontId="6" fillId="4" borderId="0" xfId="0" applyFont="1" applyFill="1"/>
    <xf numFmtId="0" fontId="2" fillId="0" borderId="30" xfId="0" applyFont="1" applyBorder="1"/>
    <xf numFmtId="0" fontId="0" fillId="0" borderId="30" xfId="0" applyBorder="1"/>
    <xf numFmtId="0" fontId="23" fillId="6" borderId="9" xfId="0" applyFont="1" applyFill="1" applyBorder="1"/>
    <xf numFmtId="0" fontId="23" fillId="6" borderId="0" xfId="0" applyFont="1" applyFill="1"/>
    <xf numFmtId="0" fontId="23" fillId="6" borderId="0" xfId="0" applyFont="1" applyFill="1" applyProtection="1">
      <protection hidden="1"/>
    </xf>
    <xf numFmtId="0" fontId="23" fillId="6" borderId="9" xfId="0" applyFont="1" applyFill="1" applyBorder="1" applyProtection="1">
      <protection hidden="1"/>
    </xf>
    <xf numFmtId="0" fontId="23" fillId="6" borderId="23" xfId="0" applyFont="1" applyFill="1" applyBorder="1"/>
    <xf numFmtId="0" fontId="23" fillId="6" borderId="9" xfId="0" applyFont="1" applyFill="1" applyBorder="1" applyAlignment="1" applyProtection="1">
      <alignment vertical="center"/>
      <protection hidden="1"/>
    </xf>
    <xf numFmtId="0" fontId="23" fillId="6" borderId="23" xfId="0" applyFont="1" applyFill="1" applyBorder="1" applyAlignment="1" applyProtection="1">
      <alignment vertical="center"/>
      <protection hidden="1"/>
    </xf>
    <xf numFmtId="4" fontId="23" fillId="6" borderId="23" xfId="0" applyNumberFormat="1" applyFont="1" applyFill="1" applyBorder="1" applyAlignment="1" applyProtection="1">
      <alignment horizontal="right" vertical="center" indent="1"/>
      <protection hidden="1"/>
    </xf>
    <xf numFmtId="4" fontId="23" fillId="6" borderId="33" xfId="0" applyNumberFormat="1" applyFont="1" applyFill="1" applyBorder="1" applyAlignment="1" applyProtection="1">
      <alignment horizontal="right" vertical="center" indent="1"/>
      <protection hidden="1"/>
    </xf>
    <xf numFmtId="0" fontId="23" fillId="6" borderId="24" xfId="0" applyFont="1" applyFill="1" applyBorder="1" applyProtection="1">
      <protection hidden="1"/>
    </xf>
    <xf numFmtId="0" fontId="23" fillId="6" borderId="34" xfId="0" applyFont="1" applyFill="1" applyBorder="1" applyProtection="1">
      <protection hidden="1"/>
    </xf>
    <xf numFmtId="0" fontId="23" fillId="6" borderId="19" xfId="0" applyFont="1" applyFill="1" applyBorder="1"/>
    <xf numFmtId="0" fontId="23" fillId="6" borderId="19" xfId="0" applyFont="1" applyFill="1" applyBorder="1" applyAlignment="1" applyProtection="1">
      <alignment vertical="center"/>
      <protection hidden="1"/>
    </xf>
    <xf numFmtId="10" fontId="23" fillId="6" borderId="23" xfId="3" applyNumberFormat="1" applyFont="1" applyFill="1" applyBorder="1" applyAlignment="1" applyProtection="1">
      <alignment horizontal="right" vertical="center"/>
      <protection hidden="1"/>
    </xf>
    <xf numFmtId="0" fontId="23" fillId="6" borderId="23" xfId="0" applyFont="1" applyFill="1" applyBorder="1" applyProtection="1">
      <protection hidden="1"/>
    </xf>
    <xf numFmtId="0" fontId="23" fillId="6" borderId="23" xfId="0" applyFont="1" applyFill="1" applyBorder="1" applyAlignment="1" applyProtection="1">
      <alignment horizontal="center"/>
      <protection hidden="1"/>
    </xf>
    <xf numFmtId="43" fontId="0" fillId="0" borderId="0" xfId="1" applyFont="1"/>
    <xf numFmtId="9" fontId="23" fillId="6" borderId="23" xfId="0" applyNumberFormat="1" applyFont="1" applyFill="1" applyBorder="1" applyAlignment="1" applyProtection="1">
      <alignment horizontal="left"/>
      <protection hidden="1"/>
    </xf>
    <xf numFmtId="0" fontId="24" fillId="6" borderId="24" xfId="0" applyFont="1" applyFill="1" applyBorder="1" applyAlignment="1">
      <alignment horizontal="centerContinuous"/>
    </xf>
    <xf numFmtId="0" fontId="24" fillId="6" borderId="23" xfId="0" applyFont="1" applyFill="1" applyBorder="1" applyAlignment="1">
      <alignment horizontal="centerContinuous"/>
    </xf>
    <xf numFmtId="0" fontId="24" fillId="6" borderId="33" xfId="0" applyFont="1" applyFill="1" applyBorder="1" applyAlignment="1">
      <alignment horizontal="centerContinuous"/>
    </xf>
    <xf numFmtId="0" fontId="24" fillId="6" borderId="24" xfId="0" applyFont="1" applyFill="1" applyBorder="1" applyAlignment="1" applyProtection="1">
      <alignment horizontal="centerContinuous"/>
      <protection hidden="1"/>
    </xf>
    <xf numFmtId="0" fontId="24" fillId="6" borderId="23" xfId="0" applyFont="1" applyFill="1" applyBorder="1" applyAlignment="1" applyProtection="1">
      <alignment horizontal="centerContinuous"/>
      <protection hidden="1"/>
    </xf>
    <xf numFmtId="0" fontId="24" fillId="6" borderId="33" xfId="0" applyFont="1" applyFill="1" applyBorder="1" applyAlignment="1" applyProtection="1">
      <alignment horizontal="centerContinuous"/>
      <protection hidden="1"/>
    </xf>
    <xf numFmtId="0" fontId="24" fillId="0" borderId="0" xfId="0" applyFont="1" applyProtection="1">
      <protection hidden="1"/>
    </xf>
    <xf numFmtId="0" fontId="24" fillId="6" borderId="9" xfId="0" applyFont="1" applyFill="1" applyBorder="1" applyAlignment="1">
      <alignment horizontal="centerContinuous"/>
    </xf>
    <xf numFmtId="0" fontId="24" fillId="6" borderId="0" xfId="0" applyFont="1" applyFill="1" applyAlignment="1">
      <alignment horizontal="centerContinuous"/>
    </xf>
    <xf numFmtId="0" fontId="24" fillId="6" borderId="21" xfId="0" applyFont="1" applyFill="1" applyBorder="1" applyAlignment="1">
      <alignment horizontal="centerContinuous"/>
    </xf>
    <xf numFmtId="0" fontId="23" fillId="6" borderId="21" xfId="0" applyFont="1" applyFill="1" applyBorder="1"/>
    <xf numFmtId="0" fontId="23" fillId="6" borderId="32" xfId="0" applyFont="1" applyFill="1" applyBorder="1"/>
    <xf numFmtId="0" fontId="23" fillId="6" borderId="26" xfId="0" applyFont="1" applyFill="1" applyBorder="1" applyProtection="1">
      <protection hidden="1"/>
    </xf>
    <xf numFmtId="0" fontId="23" fillId="6" borderId="29" xfId="0" applyFont="1" applyFill="1" applyBorder="1"/>
    <xf numFmtId="0" fontId="23" fillId="6" borderId="32" xfId="0" applyFont="1" applyFill="1" applyBorder="1" applyProtection="1">
      <protection hidden="1"/>
    </xf>
    <xf numFmtId="0" fontId="23" fillId="6" borderId="21" xfId="0" applyFont="1" applyFill="1" applyBorder="1" applyProtection="1">
      <protection hidden="1"/>
    </xf>
    <xf numFmtId="0" fontId="23" fillId="6" borderId="22" xfId="0" applyFont="1" applyFill="1" applyBorder="1"/>
    <xf numFmtId="0" fontId="23" fillId="6" borderId="22" xfId="0" applyFont="1" applyFill="1" applyBorder="1" applyProtection="1">
      <protection hidden="1"/>
    </xf>
    <xf numFmtId="0" fontId="23" fillId="6" borderId="19" xfId="0" applyFont="1" applyFill="1" applyBorder="1" applyProtection="1">
      <protection hidden="1"/>
    </xf>
    <xf numFmtId="0" fontId="23" fillId="4" borderId="23" xfId="0" applyFont="1" applyFill="1" applyBorder="1"/>
    <xf numFmtId="0" fontId="23" fillId="4" borderId="23" xfId="0" applyFont="1" applyFill="1" applyBorder="1" applyAlignment="1" applyProtection="1">
      <alignment vertical="center"/>
      <protection hidden="1"/>
    </xf>
    <xf numFmtId="165" fontId="23" fillId="4" borderId="23" xfId="0" applyNumberFormat="1" applyFont="1" applyFill="1" applyBorder="1" applyProtection="1">
      <protection hidden="1"/>
    </xf>
    <xf numFmtId="0" fontId="28" fillId="0" borderId="0" xfId="0" applyFont="1" applyAlignment="1">
      <alignment horizontal="left" vertical="center" wrapText="1" indent="8"/>
    </xf>
    <xf numFmtId="0" fontId="23" fillId="0" borderId="38" xfId="0" applyFont="1" applyBorder="1" applyAlignment="1">
      <alignment vertical="center" wrapText="1"/>
    </xf>
    <xf numFmtId="0" fontId="23" fillId="0" borderId="39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3" fillId="0" borderId="1" xfId="0" applyFont="1" applyBorder="1" applyAlignment="1">
      <alignment vertical="center" wrapText="1"/>
    </xf>
    <xf numFmtId="0" fontId="0" fillId="0" borderId="44" xfId="0" applyBorder="1"/>
    <xf numFmtId="0" fontId="30" fillId="0" borderId="42" xfId="0" applyFont="1" applyBorder="1" applyAlignment="1">
      <alignment vertical="center" wrapText="1"/>
    </xf>
    <xf numFmtId="0" fontId="30" fillId="0" borderId="38" xfId="0" applyFont="1" applyBorder="1" applyAlignment="1">
      <alignment vertical="center" wrapText="1"/>
    </xf>
    <xf numFmtId="0" fontId="0" fillId="0" borderId="42" xfId="0" applyBorder="1"/>
    <xf numFmtId="0" fontId="25" fillId="0" borderId="0" xfId="0" applyFont="1" applyAlignment="1">
      <alignment vertical="center" wrapText="1"/>
    </xf>
    <xf numFmtId="0" fontId="23" fillId="0" borderId="36" xfId="0" applyFont="1" applyBorder="1" applyAlignment="1">
      <alignment vertical="center" wrapText="1"/>
    </xf>
    <xf numFmtId="0" fontId="26" fillId="8" borderId="36" xfId="0" applyFont="1" applyFill="1" applyBorder="1" applyAlignment="1">
      <alignment vertical="center" wrapText="1"/>
    </xf>
    <xf numFmtId="0" fontId="26" fillId="8" borderId="37" xfId="0" applyFont="1" applyFill="1" applyBorder="1" applyAlignment="1">
      <alignment vertical="center" wrapText="1"/>
    </xf>
    <xf numFmtId="0" fontId="26" fillId="8" borderId="36" xfId="0" applyFont="1" applyFill="1" applyBorder="1" applyAlignment="1">
      <alignment horizontal="left" vertical="center" wrapText="1"/>
    </xf>
    <xf numFmtId="0" fontId="23" fillId="0" borderId="35" xfId="0" applyFont="1" applyBorder="1" applyAlignment="1">
      <alignment vertical="center" wrapText="1"/>
    </xf>
    <xf numFmtId="0" fontId="24" fillId="0" borderId="8" xfId="0" applyFont="1" applyBorder="1" applyAlignment="1">
      <alignment vertical="center" wrapText="1"/>
    </xf>
    <xf numFmtId="0" fontId="23" fillId="0" borderId="49" xfId="0" applyFont="1" applyBorder="1" applyAlignment="1">
      <alignment vertical="center" wrapText="1"/>
    </xf>
    <xf numFmtId="0" fontId="23" fillId="0" borderId="8" xfId="0" applyFont="1" applyBorder="1" applyAlignment="1">
      <alignment vertical="center" wrapText="1"/>
    </xf>
    <xf numFmtId="0" fontId="30" fillId="0" borderId="45" xfId="0" applyFont="1" applyBorder="1" applyAlignment="1">
      <alignment vertical="center" wrapText="1"/>
    </xf>
    <xf numFmtId="0" fontId="29" fillId="0" borderId="36" xfId="0" applyFont="1" applyBorder="1" applyAlignment="1">
      <alignment vertical="center" wrapText="1"/>
    </xf>
    <xf numFmtId="0" fontId="23" fillId="0" borderId="46" xfId="0" applyFont="1" applyBorder="1" applyAlignment="1">
      <alignment vertical="center" wrapText="1"/>
    </xf>
    <xf numFmtId="0" fontId="23" fillId="0" borderId="0" xfId="0" applyFont="1" applyAlignment="1">
      <alignment vertical="center" wrapText="1"/>
    </xf>
    <xf numFmtId="0" fontId="23" fillId="0" borderId="37" xfId="0" applyFont="1" applyBorder="1" applyAlignment="1">
      <alignment vertical="center" wrapText="1"/>
    </xf>
    <xf numFmtId="0" fontId="28" fillId="0" borderId="42" xfId="0" applyFont="1" applyBorder="1" applyAlignment="1">
      <alignment horizontal="left" vertical="center" wrapText="1" indent="8"/>
    </xf>
    <xf numFmtId="0" fontId="24" fillId="0" borderId="6" xfId="0" applyFont="1" applyBorder="1" applyAlignment="1">
      <alignment vertical="center" wrapText="1"/>
    </xf>
    <xf numFmtId="0" fontId="23" fillId="0" borderId="6" xfId="0" applyFont="1" applyBorder="1" applyAlignment="1">
      <alignment vertical="center" wrapText="1"/>
    </xf>
    <xf numFmtId="0" fontId="23" fillId="0" borderId="7" xfId="0" applyFont="1" applyBorder="1" applyAlignment="1">
      <alignment vertical="center" wrapText="1"/>
    </xf>
    <xf numFmtId="0" fontId="23" fillId="4" borderId="36" xfId="0" applyFont="1" applyFill="1" applyBorder="1" applyAlignment="1">
      <alignment vertical="center" wrapText="1"/>
    </xf>
    <xf numFmtId="0" fontId="13" fillId="0" borderId="0" xfId="0" applyFont="1"/>
    <xf numFmtId="0" fontId="0" fillId="0" borderId="0" xfId="0" applyAlignment="1">
      <alignment wrapText="1"/>
    </xf>
    <xf numFmtId="0" fontId="10" fillId="0" borderId="0" xfId="0" applyFont="1"/>
    <xf numFmtId="0" fontId="9" fillId="0" borderId="0" xfId="0" applyFont="1" applyAlignment="1">
      <alignment horizontal="left" indent="1"/>
    </xf>
    <xf numFmtId="0" fontId="4" fillId="0" borderId="0" xfId="0" applyFont="1" applyAlignment="1">
      <alignment horizontal="left" indent="1"/>
    </xf>
    <xf numFmtId="0" fontId="6" fillId="0" borderId="14" xfId="0" applyFont="1" applyBorder="1"/>
    <xf numFmtId="0" fontId="6" fillId="0" borderId="5" xfId="0" applyFont="1" applyBorder="1"/>
    <xf numFmtId="0" fontId="0" fillId="0" borderId="5" xfId="0" applyBorder="1" applyAlignment="1">
      <alignment wrapText="1"/>
    </xf>
    <xf numFmtId="0" fontId="9" fillId="0" borderId="0" xfId="0" applyFont="1" applyAlignment="1">
      <alignment horizontal="right"/>
    </xf>
    <xf numFmtId="0" fontId="6" fillId="0" borderId="17" xfId="0" applyFont="1" applyBorder="1"/>
    <xf numFmtId="0" fontId="0" fillId="0" borderId="0" xfId="0" applyAlignment="1">
      <alignment horizontal="left" indent="1"/>
    </xf>
    <xf numFmtId="0" fontId="0" fillId="0" borderId="27" xfId="0" applyBorder="1" applyAlignment="1">
      <alignment horizontal="left" indent="1"/>
    </xf>
    <xf numFmtId="0" fontId="0" fillId="0" borderId="5" xfId="0" applyBorder="1" applyAlignment="1">
      <alignment horizontal="left" indent="1"/>
    </xf>
    <xf numFmtId="0" fontId="0" fillId="0" borderId="27" xfId="0" applyBorder="1" applyAlignment="1">
      <alignment wrapText="1"/>
    </xf>
    <xf numFmtId="0" fontId="0" fillId="0" borderId="15" xfId="0" applyBorder="1" applyAlignment="1">
      <alignment wrapText="1"/>
    </xf>
    <xf numFmtId="0" fontId="14" fillId="0" borderId="0" xfId="0" applyFont="1"/>
    <xf numFmtId="0" fontId="23" fillId="0" borderId="11" xfId="0" applyFont="1" applyBorder="1" applyAlignment="1">
      <alignment vertical="center" wrapText="1"/>
    </xf>
    <xf numFmtId="0" fontId="23" fillId="0" borderId="12" xfId="0" applyFont="1" applyBorder="1" applyAlignment="1">
      <alignment vertical="center" wrapText="1"/>
    </xf>
    <xf numFmtId="0" fontId="23" fillId="0" borderId="44" xfId="0" applyFont="1" applyBorder="1" applyAlignment="1">
      <alignment vertical="center" wrapText="1"/>
    </xf>
    <xf numFmtId="0" fontId="23" fillId="0" borderId="10" xfId="0" applyFont="1" applyBorder="1" applyAlignment="1">
      <alignment vertical="center" wrapText="1"/>
    </xf>
    <xf numFmtId="0" fontId="23" fillId="0" borderId="51" xfId="0" applyFont="1" applyBorder="1" applyAlignment="1">
      <alignment vertical="center" wrapText="1"/>
    </xf>
    <xf numFmtId="0" fontId="30" fillId="0" borderId="65" xfId="0" applyFont="1" applyBorder="1" applyAlignment="1">
      <alignment vertical="center" wrapText="1"/>
    </xf>
    <xf numFmtId="0" fontId="30" fillId="0" borderId="66" xfId="0" applyFont="1" applyBorder="1" applyAlignment="1">
      <alignment vertical="center" wrapText="1"/>
    </xf>
    <xf numFmtId="0" fontId="30" fillId="0" borderId="41" xfId="0" applyFont="1" applyBorder="1" applyAlignment="1">
      <alignment vertical="center" wrapText="1"/>
    </xf>
    <xf numFmtId="0" fontId="24" fillId="0" borderId="6" xfId="0" applyFont="1" applyBorder="1" applyAlignment="1">
      <alignment horizontal="centerContinuous" vertical="center" wrapText="1"/>
    </xf>
    <xf numFmtId="0" fontId="23" fillId="0" borderId="6" xfId="0" applyFont="1" applyBorder="1" applyAlignment="1">
      <alignment horizontal="centerContinuous" vertical="center" wrapText="1"/>
    </xf>
    <xf numFmtId="0" fontId="23" fillId="0" borderId="8" xfId="0" applyFont="1" applyBorder="1" applyAlignment="1">
      <alignment horizontal="centerContinuous" vertical="center" wrapText="1"/>
    </xf>
    <xf numFmtId="0" fontId="24" fillId="0" borderId="46" xfId="0" applyFont="1" applyBorder="1" applyAlignment="1">
      <alignment vertical="center" wrapText="1"/>
    </xf>
    <xf numFmtId="0" fontId="24" fillId="0" borderId="0" xfId="0" applyFont="1" applyAlignment="1">
      <alignment vertical="center" wrapText="1"/>
    </xf>
    <xf numFmtId="0" fontId="23" fillId="0" borderId="13" xfId="0" applyFont="1" applyBorder="1" applyAlignment="1">
      <alignment vertical="center" wrapText="1"/>
    </xf>
    <xf numFmtId="0" fontId="23" fillId="0" borderId="14" xfId="0" applyFont="1" applyBorder="1" applyAlignment="1">
      <alignment vertical="center" wrapText="1"/>
    </xf>
    <xf numFmtId="0" fontId="23" fillId="0" borderId="70" xfId="0" applyFont="1" applyBorder="1" applyAlignment="1">
      <alignment vertical="center" wrapText="1"/>
    </xf>
    <xf numFmtId="0" fontId="24" fillId="0" borderId="13" xfId="0" applyFont="1" applyBorder="1" applyAlignment="1">
      <alignment vertical="center" wrapText="1"/>
    </xf>
    <xf numFmtId="0" fontId="24" fillId="0" borderId="15" xfId="0" applyFont="1" applyBorder="1" applyAlignment="1">
      <alignment vertical="center" wrapText="1"/>
    </xf>
    <xf numFmtId="0" fontId="23" fillId="0" borderId="16" xfId="0" applyFont="1" applyBorder="1" applyAlignment="1">
      <alignment vertical="center" wrapText="1"/>
    </xf>
    <xf numFmtId="0" fontId="30" fillId="0" borderId="69" xfId="0" applyFont="1" applyBorder="1" applyAlignment="1">
      <alignment vertical="center" wrapText="1"/>
    </xf>
    <xf numFmtId="0" fontId="30" fillId="0" borderId="13" xfId="0" applyFont="1" applyBorder="1" applyAlignment="1">
      <alignment vertical="center" wrapText="1"/>
    </xf>
    <xf numFmtId="0" fontId="30" fillId="0" borderId="51" xfId="0" applyFont="1" applyBorder="1" applyAlignment="1">
      <alignment vertical="center" wrapText="1"/>
    </xf>
    <xf numFmtId="0" fontId="33" fillId="0" borderId="10" xfId="0" applyFont="1" applyBorder="1"/>
    <xf numFmtId="0" fontId="33" fillId="0" borderId="11" xfId="0" applyFont="1" applyBorder="1"/>
    <xf numFmtId="0" fontId="34" fillId="0" borderId="11" xfId="0" applyFont="1" applyBorder="1"/>
    <xf numFmtId="0" fontId="33" fillId="0" borderId="11" xfId="0" applyFont="1" applyBorder="1" applyAlignment="1">
      <alignment horizontal="center"/>
    </xf>
    <xf numFmtId="0" fontId="33" fillId="0" borderId="12" xfId="0" applyFont="1" applyBorder="1" applyAlignment="1">
      <alignment horizontal="center"/>
    </xf>
    <xf numFmtId="0" fontId="34" fillId="0" borderId="0" xfId="0" applyFont="1"/>
    <xf numFmtId="0" fontId="33" fillId="0" borderId="13" xfId="0" applyFont="1" applyBorder="1" applyAlignment="1">
      <alignment horizontal="left"/>
    </xf>
    <xf numFmtId="0" fontId="33" fillId="0" borderId="0" xfId="0" applyFont="1" applyAlignment="1">
      <alignment horizontal="left"/>
    </xf>
    <xf numFmtId="0" fontId="33" fillId="0" borderId="0" xfId="0" applyFont="1" applyAlignment="1">
      <alignment horizontal="center"/>
    </xf>
    <xf numFmtId="0" fontId="33" fillId="0" borderId="14" xfId="0" applyFont="1" applyBorder="1" applyAlignment="1">
      <alignment horizontal="center"/>
    </xf>
    <xf numFmtId="0" fontId="34" fillId="0" borderId="15" xfId="0" applyFont="1" applyBorder="1"/>
    <xf numFmtId="0" fontId="34" fillId="0" borderId="1" xfId="0" applyFont="1" applyBorder="1"/>
    <xf numFmtId="0" fontId="33" fillId="0" borderId="1" xfId="0" applyFont="1" applyBorder="1"/>
    <xf numFmtId="0" fontId="34" fillId="0" borderId="16" xfId="0" applyFont="1" applyBorder="1"/>
    <xf numFmtId="0" fontId="33" fillId="2" borderId="2" xfId="0" applyFont="1" applyFill="1" applyBorder="1" applyAlignment="1">
      <alignment horizontal="centerContinuous" vertical="center"/>
    </xf>
    <xf numFmtId="0" fontId="33" fillId="2" borderId="3" xfId="0" applyFont="1" applyFill="1" applyBorder="1" applyAlignment="1">
      <alignment horizontal="centerContinuous" vertical="center"/>
    </xf>
    <xf numFmtId="0" fontId="34" fillId="2" borderId="4" xfId="0" applyFont="1" applyFill="1" applyBorder="1"/>
    <xf numFmtId="0" fontId="34" fillId="0" borderId="13" xfId="0" applyFont="1" applyBorder="1" applyAlignment="1">
      <alignment horizontal="left" vertical="center"/>
    </xf>
    <xf numFmtId="0" fontId="34" fillId="0" borderId="0" xfId="0" applyFont="1" applyAlignment="1">
      <alignment vertical="center"/>
    </xf>
    <xf numFmtId="0" fontId="34" fillId="0" borderId="0" xfId="0" applyFont="1" applyAlignment="1" applyProtection="1">
      <alignment vertical="center"/>
      <protection locked="0"/>
    </xf>
    <xf numFmtId="0" fontId="34" fillId="0" borderId="0" xfId="0" applyFont="1" applyAlignment="1">
      <alignment horizontal="center" vertical="center"/>
    </xf>
    <xf numFmtId="0" fontId="34" fillId="0" borderId="0" xfId="0" applyFont="1" applyAlignment="1">
      <alignment horizontal="right" vertical="center"/>
    </xf>
    <xf numFmtId="0" fontId="34" fillId="0" borderId="0" xfId="0" applyFont="1" applyAlignment="1">
      <alignment horizontal="left" vertical="center"/>
    </xf>
    <xf numFmtId="0" fontId="34" fillId="0" borderId="14" xfId="0" applyFont="1" applyBorder="1" applyAlignment="1">
      <alignment vertical="center"/>
    </xf>
    <xf numFmtId="0" fontId="34" fillId="0" borderId="13" xfId="0" applyFont="1" applyBorder="1" applyAlignment="1">
      <alignment vertical="top"/>
    </xf>
    <xf numFmtId="0" fontId="34" fillId="0" borderId="0" xfId="0" applyFont="1" applyAlignment="1">
      <alignment horizontal="left" vertical="top"/>
    </xf>
    <xf numFmtId="0" fontId="34" fillId="0" borderId="13" xfId="0" applyFont="1" applyBorder="1" applyAlignment="1">
      <alignment vertical="center"/>
    </xf>
    <xf numFmtId="0" fontId="34" fillId="0" borderId="0" xfId="0" applyFont="1" applyProtection="1">
      <protection locked="0"/>
    </xf>
    <xf numFmtId="0" fontId="34" fillId="0" borderId="14" xfId="0" applyFont="1" applyBorder="1"/>
    <xf numFmtId="0" fontId="34" fillId="0" borderId="0" xfId="0" applyFont="1" applyAlignment="1">
      <alignment horizontal="left"/>
    </xf>
    <xf numFmtId="0" fontId="34" fillId="0" borderId="19" xfId="0" applyFont="1" applyBorder="1"/>
    <xf numFmtId="0" fontId="34" fillId="0" borderId="20" xfId="0" applyFont="1" applyBorder="1"/>
    <xf numFmtId="0" fontId="34" fillId="0" borderId="21" xfId="0" applyFont="1" applyBorder="1" applyAlignment="1">
      <alignment vertical="center"/>
    </xf>
    <xf numFmtId="0" fontId="35" fillId="0" borderId="21" xfId="0" applyFont="1" applyBorder="1" applyAlignment="1">
      <alignment vertical="center"/>
    </xf>
    <xf numFmtId="15" fontId="34" fillId="0" borderId="0" xfId="0" applyNumberFormat="1" applyFont="1" applyAlignment="1">
      <alignment horizontal="left" vertical="center"/>
    </xf>
    <xf numFmtId="15" fontId="34" fillId="0" borderId="0" xfId="0" applyNumberFormat="1" applyFont="1" applyAlignment="1">
      <alignment vertical="center"/>
    </xf>
    <xf numFmtId="0" fontId="34" fillId="0" borderId="78" xfId="0" applyFont="1" applyBorder="1"/>
    <xf numFmtId="0" fontId="33" fillId="0" borderId="78" xfId="0" applyFont="1" applyBorder="1" applyAlignment="1">
      <alignment horizontal="left" vertical="center"/>
    </xf>
    <xf numFmtId="0" fontId="34" fillId="0" borderId="79" xfId="0" applyFont="1" applyBorder="1"/>
    <xf numFmtId="0" fontId="34" fillId="0" borderId="0" xfId="0" applyFont="1" applyAlignment="1">
      <alignment horizontal="left" indent="1"/>
    </xf>
    <xf numFmtId="0" fontId="38" fillId="0" borderId="13" xfId="0" applyFont="1" applyBorder="1" applyAlignment="1">
      <alignment horizontal="left" vertical="center"/>
    </xf>
    <xf numFmtId="0" fontId="38" fillId="0" borderId="0" xfId="0" applyFont="1" applyAlignment="1">
      <alignment vertical="center"/>
    </xf>
    <xf numFmtId="0" fontId="34" fillId="0" borderId="13" xfId="0" applyFont="1" applyBorder="1" applyAlignment="1">
      <alignment horizontal="center" vertical="center"/>
    </xf>
    <xf numFmtId="0" fontId="34" fillId="0" borderId="13" xfId="0" applyFont="1" applyBorder="1" applyAlignment="1">
      <alignment horizontal="center"/>
    </xf>
    <xf numFmtId="39" fontId="34" fillId="0" borderId="0" xfId="0" applyNumberFormat="1" applyFont="1"/>
    <xf numFmtId="0" fontId="34" fillId="0" borderId="0" xfId="0" applyFont="1" applyAlignment="1">
      <alignment horizontal="left" vertical="top" wrapText="1"/>
    </xf>
    <xf numFmtId="0" fontId="34" fillId="0" borderId="90" xfId="0" applyFont="1" applyBorder="1" applyAlignment="1">
      <alignment horizontal="left" indent="2"/>
    </xf>
    <xf numFmtId="0" fontId="34" fillId="0" borderId="91" xfId="0" applyFont="1" applyBorder="1"/>
    <xf numFmtId="0" fontId="34" fillId="6" borderId="0" xfId="0" applyFont="1" applyFill="1" applyAlignment="1" applyProtection="1">
      <alignment vertical="center"/>
      <protection locked="0"/>
    </xf>
    <xf numFmtId="39" fontId="34" fillId="0" borderId="0" xfId="0" applyNumberFormat="1" applyFont="1" applyAlignment="1">
      <alignment vertical="center"/>
    </xf>
    <xf numFmtId="0" fontId="33" fillId="0" borderId="13" xfId="0" applyFont="1" applyBorder="1" applyAlignment="1">
      <alignment vertical="center"/>
    </xf>
    <xf numFmtId="168" fontId="34" fillId="6" borderId="0" xfId="0" applyNumberFormat="1" applyFont="1" applyFill="1" applyAlignment="1" applyProtection="1">
      <alignment horizontal="left" vertical="center"/>
      <protection locked="0"/>
    </xf>
    <xf numFmtId="0" fontId="33" fillId="9" borderId="2" xfId="0" applyFont="1" applyFill="1" applyBorder="1" applyAlignment="1">
      <alignment horizontal="centerContinuous" vertical="center"/>
    </xf>
    <xf numFmtId="0" fontId="33" fillId="9" borderId="3" xfId="0" applyFont="1" applyFill="1" applyBorder="1" applyAlignment="1">
      <alignment horizontal="centerContinuous" vertical="center"/>
    </xf>
    <xf numFmtId="0" fontId="34" fillId="9" borderId="4" xfId="0" applyFont="1" applyFill="1" applyBorder="1" applyAlignment="1">
      <alignment horizontal="centerContinuous"/>
    </xf>
    <xf numFmtId="0" fontId="33" fillId="0" borderId="13" xfId="0" applyFont="1" applyBorder="1" applyAlignment="1">
      <alignment horizontal="left" vertical="center" indent="1"/>
    </xf>
    <xf numFmtId="0" fontId="33" fillId="0" borderId="0" xfId="0" applyFont="1" applyAlignment="1">
      <alignment horizontal="left" vertical="center"/>
    </xf>
    <xf numFmtId="0" fontId="33" fillId="0" borderId="0" xfId="0" applyFont="1" applyAlignment="1">
      <alignment horizontal="right" vertical="center"/>
    </xf>
    <xf numFmtId="0" fontId="34" fillId="0" borderId="29" xfId="0" applyFont="1" applyBorder="1"/>
    <xf numFmtId="0" fontId="34" fillId="0" borderId="92" xfId="0" applyFont="1" applyBorder="1"/>
    <xf numFmtId="0" fontId="33" fillId="0" borderId="0" xfId="0" applyFont="1" applyAlignment="1">
      <alignment horizontal="left" indent="1"/>
    </xf>
    <xf numFmtId="0" fontId="33" fillId="0" borderId="13" xfId="0" applyFont="1" applyBorder="1"/>
    <xf numFmtId="0" fontId="33" fillId="0" borderId="0" xfId="0" applyFont="1" applyAlignment="1">
      <alignment horizontal="right"/>
    </xf>
    <xf numFmtId="0" fontId="34" fillId="0" borderId="5" xfId="0" applyFont="1" applyBorder="1" applyProtection="1">
      <protection locked="0"/>
    </xf>
    <xf numFmtId="0" fontId="34" fillId="0" borderId="5" xfId="0" applyFont="1" applyBorder="1"/>
    <xf numFmtId="0" fontId="33" fillId="0" borderId="5" xfId="0" applyFont="1" applyBorder="1" applyAlignment="1">
      <alignment horizontal="left" indent="1"/>
    </xf>
    <xf numFmtId="0" fontId="34" fillId="0" borderId="18" xfId="0" applyFont="1" applyBorder="1"/>
    <xf numFmtId="0" fontId="33" fillId="0" borderId="19" xfId="0" applyFont="1" applyBorder="1" applyAlignment="1">
      <alignment horizontal="center"/>
    </xf>
    <xf numFmtId="0" fontId="33" fillId="0" borderId="18" xfId="0" applyFont="1" applyBorder="1" applyAlignment="1">
      <alignment horizontal="centerContinuous" vertical="center"/>
    </xf>
    <xf numFmtId="0" fontId="33" fillId="0" borderId="19" xfId="0" applyFont="1" applyBorder="1" applyAlignment="1">
      <alignment horizontal="centerContinuous" vertical="center"/>
    </xf>
    <xf numFmtId="0" fontId="33" fillId="0" borderId="33" xfId="0" applyFont="1" applyBorder="1" applyAlignment="1">
      <alignment horizontal="centerContinuous" vertical="center"/>
    </xf>
    <xf numFmtId="0" fontId="33" fillId="0" borderId="20" xfId="0" applyFont="1" applyBorder="1" applyAlignment="1">
      <alignment horizontal="centerContinuous" vertical="center"/>
    </xf>
    <xf numFmtId="0" fontId="34" fillId="0" borderId="21" xfId="0" applyFont="1" applyBorder="1"/>
    <xf numFmtId="0" fontId="33" fillId="0" borderId="13" xfId="0" applyFont="1" applyBorder="1" applyProtection="1">
      <protection locked="0"/>
    </xf>
    <xf numFmtId="0" fontId="33" fillId="0" borderId="0" xfId="0" applyFont="1" applyAlignment="1" applyProtection="1">
      <alignment horizontal="left" indent="1"/>
      <protection locked="0"/>
    </xf>
    <xf numFmtId="0" fontId="33" fillId="0" borderId="5" xfId="0" applyFont="1" applyBorder="1" applyAlignment="1" applyProtection="1">
      <alignment horizontal="right"/>
      <protection locked="0"/>
    </xf>
    <xf numFmtId="0" fontId="33" fillId="0" borderId="5" xfId="0" applyFont="1" applyBorder="1" applyAlignment="1">
      <alignment horizontal="right"/>
    </xf>
    <xf numFmtId="0" fontId="34" fillId="0" borderId="93" xfId="0" applyFont="1" applyBorder="1"/>
    <xf numFmtId="0" fontId="34" fillId="0" borderId="94" xfId="0" applyFont="1" applyBorder="1"/>
    <xf numFmtId="0" fontId="40" fillId="0" borderId="0" xfId="0" applyFont="1"/>
    <xf numFmtId="0" fontId="40" fillId="0" borderId="21" xfId="0" applyFont="1" applyBorder="1"/>
    <xf numFmtId="0" fontId="33" fillId="0" borderId="0" xfId="0" applyFont="1" applyAlignment="1" applyProtection="1">
      <alignment horizontal="left"/>
      <protection locked="0"/>
    </xf>
    <xf numFmtId="0" fontId="34" fillId="0" borderId="22" xfId="0" applyFont="1" applyBorder="1"/>
    <xf numFmtId="0" fontId="33" fillId="0" borderId="95" xfId="0" applyFont="1" applyBorder="1" applyAlignment="1">
      <alignment horizontal="centerContinuous" vertical="center"/>
    </xf>
    <xf numFmtId="0" fontId="33" fillId="0" borderId="13" xfId="0" applyFont="1" applyBorder="1" applyAlignment="1">
      <alignment horizontal="centerContinuous" vertical="center"/>
    </xf>
    <xf numFmtId="0" fontId="33" fillId="0" borderId="0" xfId="0" applyFont="1" applyAlignment="1">
      <alignment horizontal="centerContinuous" vertical="center"/>
    </xf>
    <xf numFmtId="0" fontId="33" fillId="0" borderId="14" xfId="0" applyFont="1" applyBorder="1" applyAlignment="1">
      <alignment horizontal="centerContinuous" vertical="center"/>
    </xf>
    <xf numFmtId="0" fontId="33" fillId="0" borderId="1" xfId="0" applyFont="1" applyBorder="1" applyAlignment="1">
      <alignment horizontal="center"/>
    </xf>
    <xf numFmtId="0" fontId="34" fillId="0" borderId="10" xfId="0" applyFont="1" applyBorder="1"/>
    <xf numFmtId="0" fontId="34" fillId="0" borderId="12" xfId="0" applyFont="1" applyBorder="1"/>
    <xf numFmtId="0" fontId="34" fillId="0" borderId="13" xfId="0" applyFont="1" applyBorder="1"/>
    <xf numFmtId="0" fontId="34" fillId="4" borderId="29" xfId="0" applyFont="1" applyFill="1" applyBorder="1" applyAlignment="1" applyProtection="1">
      <alignment horizontal="left" vertical="center"/>
      <protection locked="0"/>
    </xf>
    <xf numFmtId="0" fontId="34" fillId="4" borderId="0" xfId="0" applyFont="1" applyFill="1" applyAlignment="1" applyProtection="1">
      <alignment vertical="center"/>
      <protection locked="0"/>
    </xf>
    <xf numFmtId="0" fontId="34" fillId="4" borderId="0" xfId="0" applyFont="1" applyFill="1" applyAlignment="1" applyProtection="1">
      <alignment horizontal="left" vertical="center"/>
      <protection locked="0"/>
    </xf>
    <xf numFmtId="0" fontId="34" fillId="4" borderId="21" xfId="0" applyFont="1" applyFill="1" applyBorder="1" applyAlignment="1" applyProtection="1">
      <alignment horizontal="center" vertical="center"/>
      <protection locked="0"/>
    </xf>
    <xf numFmtId="167" fontId="34" fillId="4" borderId="0" xfId="1" applyNumberFormat="1" applyFont="1" applyFill="1" applyBorder="1" applyAlignment="1" applyProtection="1">
      <alignment horizontal="center" vertical="center"/>
      <protection locked="0"/>
    </xf>
    <xf numFmtId="15" fontId="34" fillId="4" borderId="0" xfId="0" applyNumberFormat="1" applyFont="1" applyFill="1" applyAlignment="1" applyProtection="1">
      <alignment horizontal="center" vertical="center"/>
      <protection locked="0"/>
    </xf>
    <xf numFmtId="0" fontId="34" fillId="4" borderId="0" xfId="0" applyFont="1" applyFill="1" applyAlignment="1" applyProtection="1">
      <alignment horizontal="center" vertical="center"/>
      <protection locked="0"/>
    </xf>
    <xf numFmtId="0" fontId="33" fillId="0" borderId="77" xfId="0" applyFont="1" applyBorder="1" applyAlignment="1">
      <alignment vertical="center"/>
    </xf>
    <xf numFmtId="0" fontId="0" fillId="0" borderId="78" xfId="0" applyBorder="1"/>
    <xf numFmtId="0" fontId="0" fillId="0" borderId="78" xfId="0" applyBorder="1" applyAlignment="1">
      <alignment horizontal="right"/>
    </xf>
    <xf numFmtId="0" fontId="0" fillId="4" borderId="78" xfId="0" applyFill="1" applyBorder="1"/>
    <xf numFmtId="15" fontId="34" fillId="4" borderId="0" xfId="0" applyNumberFormat="1" applyFont="1" applyFill="1" applyAlignment="1" applyProtection="1">
      <alignment horizontal="left" vertical="center"/>
      <protection locked="0"/>
    </xf>
    <xf numFmtId="0" fontId="12" fillId="6" borderId="0" xfId="0" applyFont="1" applyFill="1" applyAlignment="1">
      <alignment horizontal="center" vertical="top"/>
    </xf>
    <xf numFmtId="39" fontId="12" fillId="6" borderId="86" xfId="1" quotePrefix="1" applyNumberFormat="1" applyFont="1" applyFill="1" applyBorder="1" applyAlignment="1">
      <alignment horizontal="left" vertical="top" wrapText="1"/>
    </xf>
    <xf numFmtId="0" fontId="12" fillId="6" borderId="85" xfId="0" applyFont="1" applyFill="1" applyBorder="1" applyAlignment="1">
      <alignment vertical="top"/>
    </xf>
    <xf numFmtId="0" fontId="12" fillId="6" borderId="0" xfId="0" applyFont="1" applyFill="1" applyAlignment="1">
      <alignment vertical="top" wrapText="1"/>
    </xf>
    <xf numFmtId="39" fontId="12" fillId="0" borderId="86" xfId="1" quotePrefix="1" applyNumberFormat="1" applyFont="1" applyFill="1" applyBorder="1" applyAlignment="1">
      <alignment horizontal="left" vertical="top" wrapText="1"/>
    </xf>
    <xf numFmtId="0" fontId="42" fillId="6" borderId="0" xfId="0" applyFont="1" applyFill="1" applyAlignment="1">
      <alignment horizontal="left" vertical="top" wrapText="1"/>
    </xf>
    <xf numFmtId="0" fontId="42" fillId="6" borderId="0" xfId="0" applyFont="1" applyFill="1" applyAlignment="1">
      <alignment vertical="top" wrapText="1"/>
    </xf>
    <xf numFmtId="0" fontId="12" fillId="6" borderId="87" xfId="0" applyFont="1" applyFill="1" applyBorder="1" applyAlignment="1">
      <alignment vertical="top" wrapText="1"/>
    </xf>
    <xf numFmtId="0" fontId="12" fillId="6" borderId="88" xfId="0" applyFont="1" applyFill="1" applyBorder="1" applyAlignment="1">
      <alignment vertical="top" wrapText="1"/>
    </xf>
    <xf numFmtId="0" fontId="12" fillId="6" borderId="89" xfId="0" applyFont="1" applyFill="1" applyBorder="1" applyAlignment="1">
      <alignment vertical="top" wrapText="1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center" vertical="center"/>
    </xf>
    <xf numFmtId="167" fontId="41" fillId="6" borderId="0" xfId="0" applyNumberFormat="1" applyFont="1" applyFill="1" applyAlignment="1" applyProtection="1">
      <alignment horizontal="left" vertical="center"/>
      <protection locked="0"/>
    </xf>
    <xf numFmtId="0" fontId="34" fillId="4" borderId="0" xfId="0" applyFont="1" applyFill="1" applyProtection="1">
      <protection locked="0"/>
    </xf>
    <xf numFmtId="0" fontId="34" fillId="4" borderId="0" xfId="0" applyFont="1" applyFill="1"/>
    <xf numFmtId="0" fontId="0" fillId="4" borderId="0" xfId="0" applyFill="1" applyAlignment="1">
      <alignment horizontal="left"/>
    </xf>
    <xf numFmtId="0" fontId="46" fillId="6" borderId="85" xfId="0" applyFont="1" applyFill="1" applyBorder="1" applyAlignment="1">
      <alignment horizontal="left" vertical="top"/>
    </xf>
    <xf numFmtId="0" fontId="46" fillId="6" borderId="0" xfId="0" applyFont="1" applyFill="1" applyAlignment="1">
      <alignment horizontal="center" vertical="top"/>
    </xf>
    <xf numFmtId="0" fontId="47" fillId="0" borderId="5" xfId="0" applyFont="1" applyBorder="1" applyProtection="1">
      <protection locked="0"/>
    </xf>
    <xf numFmtId="0" fontId="47" fillId="0" borderId="5" xfId="0" applyFont="1" applyBorder="1"/>
    <xf numFmtId="0" fontId="48" fillId="0" borderId="5" xfId="0" applyFont="1" applyBorder="1" applyAlignment="1">
      <alignment horizontal="left" indent="1"/>
    </xf>
    <xf numFmtId="0" fontId="34" fillId="0" borderId="0" xfId="0" applyFont="1" applyAlignment="1">
      <alignment horizontal="right"/>
    </xf>
    <xf numFmtId="0" fontId="47" fillId="0" borderId="0" xfId="0" applyFont="1"/>
    <xf numFmtId="0" fontId="33" fillId="4" borderId="5" xfId="0" applyFont="1" applyFill="1" applyBorder="1" applyAlignment="1">
      <alignment horizontal="right"/>
    </xf>
    <xf numFmtId="0" fontId="23" fillId="4" borderId="37" xfId="0" applyFont="1" applyFill="1" applyBorder="1" applyAlignment="1">
      <alignment vertical="center" wrapText="1"/>
    </xf>
    <xf numFmtId="0" fontId="0" fillId="4" borderId="36" xfId="0" applyFill="1" applyBorder="1" applyAlignment="1">
      <alignment horizontal="left"/>
    </xf>
    <xf numFmtId="0" fontId="50" fillId="0" borderId="0" xfId="0" applyFont="1" applyAlignment="1">
      <alignment horizontal="right"/>
    </xf>
    <xf numFmtId="0" fontId="28" fillId="0" borderId="0" xfId="0" applyFont="1" applyAlignment="1">
      <alignment wrapText="1"/>
    </xf>
    <xf numFmtId="0" fontId="51" fillId="0" borderId="0" xfId="0" applyFont="1" applyAlignment="1">
      <alignment vertical="top" wrapText="1"/>
    </xf>
    <xf numFmtId="0" fontId="52" fillId="0" borderId="0" xfId="0" applyFont="1" applyAlignment="1">
      <alignment vertical="center" wrapText="1"/>
    </xf>
    <xf numFmtId="0" fontId="52" fillId="0" borderId="0" xfId="0" applyFont="1" applyAlignment="1">
      <alignment horizontal="left" vertical="center" wrapText="1"/>
    </xf>
    <xf numFmtId="15" fontId="52" fillId="0" borderId="0" xfId="0" applyNumberFormat="1" applyFont="1" applyAlignment="1">
      <alignment horizontal="left" vertical="center" wrapText="1"/>
    </xf>
    <xf numFmtId="0" fontId="52" fillId="0" borderId="96" xfId="0" applyFont="1" applyBorder="1" applyAlignment="1">
      <alignment vertical="center" wrapText="1"/>
    </xf>
    <xf numFmtId="0" fontId="0" fillId="0" borderId="96" xfId="0" applyBorder="1"/>
    <xf numFmtId="0" fontId="28" fillId="0" borderId="96" xfId="0" applyFont="1" applyBorder="1" applyAlignment="1">
      <alignment wrapText="1"/>
    </xf>
    <xf numFmtId="0" fontId="25" fillId="0" borderId="96" xfId="0" applyFont="1" applyBorder="1" applyAlignment="1">
      <alignment vertical="center" wrapText="1"/>
    </xf>
    <xf numFmtId="0" fontId="0" fillId="0" borderId="97" xfId="0" applyBorder="1"/>
    <xf numFmtId="0" fontId="23" fillId="0" borderId="24" xfId="0" applyFont="1" applyBorder="1" applyAlignment="1">
      <alignment horizontal="left" wrapText="1"/>
    </xf>
    <xf numFmtId="0" fontId="23" fillId="10" borderId="23" xfId="0" applyFont="1" applyFill="1" applyBorder="1" applyAlignment="1">
      <alignment horizontal="center" wrapText="1"/>
    </xf>
    <xf numFmtId="0" fontId="23" fillId="10" borderId="33" xfId="0" applyFont="1" applyFill="1" applyBorder="1" applyAlignment="1">
      <alignment horizontal="center" wrapText="1"/>
    </xf>
    <xf numFmtId="0" fontId="23" fillId="0" borderId="23" xfId="0" quotePrefix="1" applyFont="1" applyBorder="1"/>
    <xf numFmtId="0" fontId="23" fillId="0" borderId="23" xfId="0" applyFont="1" applyBorder="1"/>
    <xf numFmtId="4" fontId="23" fillId="4" borderId="33" xfId="0" applyNumberFormat="1" applyFont="1" applyFill="1" applyBorder="1" applyAlignment="1" applyProtection="1">
      <alignment horizontal="right" vertical="center" indent="1"/>
      <protection hidden="1"/>
    </xf>
    <xf numFmtId="0" fontId="0" fillId="0" borderId="0" xfId="0" quotePrefix="1"/>
    <xf numFmtId="10" fontId="23" fillId="4" borderId="33" xfId="3" applyNumberFormat="1" applyFont="1" applyFill="1" applyBorder="1" applyAlignment="1" applyProtection="1">
      <alignment horizontal="right" vertical="center" indent="1"/>
      <protection hidden="1"/>
    </xf>
    <xf numFmtId="165" fontId="29" fillId="6" borderId="23" xfId="0" applyNumberFormat="1" applyFont="1" applyFill="1" applyBorder="1" applyProtection="1">
      <protection hidden="1"/>
    </xf>
    <xf numFmtId="0" fontId="8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14" xfId="0" applyFont="1" applyBorder="1" applyAlignment="1">
      <alignment horizontal="center"/>
    </xf>
    <xf numFmtId="0" fontId="17" fillId="0" borderId="0" xfId="0" applyFont="1"/>
    <xf numFmtId="0" fontId="20" fillId="3" borderId="24" xfId="0" applyFont="1" applyFill="1" applyBorder="1"/>
    <xf numFmtId="0" fontId="6" fillId="0" borderId="9" xfId="0" applyFont="1" applyBorder="1" applyAlignment="1">
      <alignment horizontal="left" indent="1"/>
    </xf>
    <xf numFmtId="0" fontId="6" fillId="0" borderId="21" xfId="0" applyFont="1" applyBorder="1"/>
    <xf numFmtId="0" fontId="0" fillId="0" borderId="21" xfId="0" applyBorder="1"/>
    <xf numFmtId="0" fontId="6" fillId="0" borderId="22" xfId="0" applyFont="1" applyBorder="1"/>
    <xf numFmtId="0" fontId="53" fillId="0" borderId="0" xfId="0" applyFont="1"/>
    <xf numFmtId="39" fontId="46" fillId="11" borderId="86" xfId="0" quotePrefix="1" applyNumberFormat="1" applyFont="1" applyFill="1" applyBorder="1" applyAlignment="1">
      <alignment horizontal="left" vertical="top" wrapText="1"/>
    </xf>
    <xf numFmtId="4" fontId="23" fillId="12" borderId="33" xfId="0" applyNumberFormat="1" applyFont="1" applyFill="1" applyBorder="1" applyAlignment="1" applyProtection="1">
      <alignment horizontal="right" vertical="center" indent="1"/>
      <protection hidden="1"/>
    </xf>
    <xf numFmtId="165" fontId="23" fillId="14" borderId="23" xfId="0" applyNumberFormat="1" applyFont="1" applyFill="1" applyBorder="1" applyProtection="1">
      <protection hidden="1"/>
    </xf>
    <xf numFmtId="43" fontId="0" fillId="0" borderId="0" xfId="0" applyNumberFormat="1"/>
    <xf numFmtId="0" fontId="23" fillId="14" borderId="6" xfId="0" applyFont="1" applyFill="1" applyBorder="1" applyAlignment="1">
      <alignment vertical="center" wrapText="1"/>
    </xf>
    <xf numFmtId="0" fontId="54" fillId="0" borderId="9" xfId="0" applyFont="1" applyBorder="1" applyAlignment="1" applyProtection="1">
      <alignment horizontal="left" vertical="center" wrapText="1" indent="1"/>
      <protection locked="0"/>
    </xf>
    <xf numFmtId="0" fontId="54" fillId="0" borderId="0" xfId="0" applyFont="1" applyAlignment="1" applyProtection="1">
      <alignment horizontal="left" vertical="center" wrapText="1" indent="1"/>
      <protection locked="0"/>
    </xf>
    <xf numFmtId="0" fontId="59" fillId="0" borderId="98" xfId="0" applyFont="1" applyBorder="1" applyAlignment="1" applyProtection="1">
      <alignment vertical="center"/>
      <protection locked="0"/>
    </xf>
    <xf numFmtId="0" fontId="54" fillId="0" borderId="0" xfId="0" applyFont="1"/>
    <xf numFmtId="0" fontId="55" fillId="0" borderId="0" xfId="0" applyFont="1"/>
    <xf numFmtId="0" fontId="56" fillId="0" borderId="0" xfId="0" applyFont="1"/>
    <xf numFmtId="0" fontId="6" fillId="0" borderId="0" xfId="0" applyFont="1" applyAlignment="1">
      <alignment vertical="top"/>
    </xf>
    <xf numFmtId="0" fontId="6" fillId="0" borderId="0" xfId="0" applyFont="1" applyAlignment="1">
      <alignment horizontal="center" vertical="top" wrapText="1"/>
    </xf>
    <xf numFmtId="0" fontId="57" fillId="0" borderId="0" xfId="0" applyFont="1" applyAlignment="1">
      <alignment vertical="center"/>
    </xf>
    <xf numFmtId="0" fontId="23" fillId="0" borderId="0" xfId="0" applyFont="1" applyAlignment="1">
      <alignment horizontal="left" vertical="center" indent="1"/>
    </xf>
    <xf numFmtId="0" fontId="57" fillId="0" borderId="0" xfId="0" applyFont="1" applyAlignment="1">
      <alignment vertical="top" wrapText="1"/>
    </xf>
    <xf numFmtId="0" fontId="57" fillId="0" borderId="0" xfId="0" applyFont="1"/>
    <xf numFmtId="0" fontId="57" fillId="0" borderId="0" xfId="0" applyFont="1" applyAlignment="1">
      <alignment vertical="top"/>
    </xf>
    <xf numFmtId="2" fontId="57" fillId="0" borderId="0" xfId="1" applyNumberFormat="1" applyFont="1" applyBorder="1" applyAlignment="1">
      <alignment vertical="top"/>
    </xf>
    <xf numFmtId="2" fontId="57" fillId="0" borderId="0" xfId="1" applyNumberFormat="1" applyFont="1" applyBorder="1" applyAlignment="1">
      <alignment vertical="center"/>
    </xf>
    <xf numFmtId="0" fontId="57" fillId="0" borderId="0" xfId="0" applyFont="1" applyAlignment="1">
      <alignment horizontal="left" vertical="top" wrapText="1" indent="1"/>
    </xf>
    <xf numFmtId="0" fontId="57" fillId="0" borderId="0" xfId="0" applyFont="1" applyAlignment="1">
      <alignment horizontal="left" vertical="top" indent="1"/>
    </xf>
    <xf numFmtId="0" fontId="54" fillId="0" borderId="34" xfId="0" applyFont="1" applyBorder="1" applyAlignment="1" applyProtection="1">
      <alignment horizontal="left" vertical="center" wrapText="1" indent="1"/>
      <protection locked="0"/>
    </xf>
    <xf numFmtId="0" fontId="54" fillId="0" borderId="19" xfId="0" applyFont="1" applyBorder="1" applyAlignment="1" applyProtection="1">
      <alignment horizontal="left" vertical="center" wrapText="1" indent="1"/>
      <protection locked="0"/>
    </xf>
    <xf numFmtId="0" fontId="21" fillId="0" borderId="0" xfId="0" applyFont="1" applyAlignment="1">
      <alignment horizontal="right" vertical="center" wrapText="1"/>
    </xf>
    <xf numFmtId="0" fontId="28" fillId="0" borderId="9" xfId="0" applyFont="1" applyBorder="1" applyAlignment="1">
      <alignment horizontal="left" vertical="center" wrapText="1" indent="1"/>
    </xf>
    <xf numFmtId="0" fontId="28" fillId="0" borderId="34" xfId="0" applyFont="1" applyBorder="1" applyAlignment="1">
      <alignment horizontal="left" vertical="center" wrapText="1" indent="1"/>
    </xf>
    <xf numFmtId="0" fontId="28" fillId="0" borderId="0" xfId="0" applyFont="1" applyAlignment="1">
      <alignment horizontal="left" vertical="center" wrapText="1" indent="1"/>
    </xf>
    <xf numFmtId="0" fontId="61" fillId="0" borderId="9" xfId="0" applyFont="1" applyBorder="1" applyAlignment="1">
      <alignment horizontal="left" vertical="center" indent="1"/>
    </xf>
    <xf numFmtId="0" fontId="61" fillId="0" borderId="0" xfId="0" applyFont="1" applyAlignment="1">
      <alignment horizontal="right" vertical="center" indent="1"/>
    </xf>
    <xf numFmtId="0" fontId="28" fillId="0" borderId="21" xfId="0" applyFont="1" applyBorder="1" applyAlignment="1">
      <alignment horizontal="left" vertical="center" indent="1"/>
    </xf>
    <xf numFmtId="0" fontId="28" fillId="0" borderId="19" xfId="0" applyFont="1" applyBorder="1" applyAlignment="1">
      <alignment horizontal="left" vertical="center" wrapText="1" indent="1"/>
    </xf>
    <xf numFmtId="0" fontId="28" fillId="0" borderId="19" xfId="0" applyFont="1" applyBorder="1" applyAlignment="1">
      <alignment horizontal="left" vertical="center" indent="1"/>
    </xf>
    <xf numFmtId="0" fontId="28" fillId="0" borderId="22" xfId="0" applyFont="1" applyBorder="1" applyAlignment="1">
      <alignment horizontal="left" vertical="center" indent="1"/>
    </xf>
    <xf numFmtId="0" fontId="61" fillId="0" borderId="0" xfId="0" applyFont="1" applyAlignment="1">
      <alignment horizontal="left" indent="1"/>
    </xf>
    <xf numFmtId="0" fontId="61" fillId="0" borderId="21" xfId="0" applyFont="1" applyBorder="1" applyAlignment="1">
      <alignment vertical="top" wrapText="1"/>
    </xf>
    <xf numFmtId="0" fontId="61" fillId="0" borderId="21" xfId="0" applyFont="1" applyBorder="1" applyAlignment="1">
      <alignment vertical="top"/>
    </xf>
    <xf numFmtId="0" fontId="61" fillId="0" borderId="9" xfId="0" applyFont="1" applyBorder="1" applyAlignment="1">
      <alignment horizontal="left" indent="1"/>
    </xf>
    <xf numFmtId="0" fontId="61" fillId="0" borderId="17" xfId="0" applyFont="1" applyBorder="1" applyAlignment="1">
      <alignment horizontal="left" indent="1"/>
    </xf>
    <xf numFmtId="0" fontId="61" fillId="0" borderId="17" xfId="0" applyFont="1" applyBorder="1" applyAlignment="1">
      <alignment vertical="top"/>
    </xf>
    <xf numFmtId="0" fontId="61" fillId="0" borderId="0" xfId="0" applyFont="1" applyAlignment="1">
      <alignment vertical="center"/>
    </xf>
    <xf numFmtId="0" fontId="61" fillId="0" borderId="21" xfId="0" applyFont="1" applyBorder="1" applyAlignment="1">
      <alignment vertical="center"/>
    </xf>
    <xf numFmtId="0" fontId="61" fillId="0" borderId="0" xfId="0" applyFont="1"/>
    <xf numFmtId="0" fontId="21" fillId="0" borderId="19" xfId="0" applyFont="1" applyBorder="1" applyAlignment="1">
      <alignment horizontal="right" vertical="center" wrapText="1"/>
    </xf>
    <xf numFmtId="0" fontId="59" fillId="0" borderId="0" xfId="0" applyFont="1" applyAlignment="1">
      <alignment horizontal="right" vertical="center" wrapText="1" indent="1"/>
    </xf>
    <xf numFmtId="0" fontId="59" fillId="0" borderId="21" xfId="0" applyFont="1" applyBorder="1" applyAlignment="1" applyProtection="1">
      <alignment vertical="center"/>
      <protection locked="0"/>
    </xf>
    <xf numFmtId="0" fontId="59" fillId="0" borderId="21" xfId="0" applyFont="1" applyBorder="1" applyAlignment="1" applyProtection="1">
      <alignment vertical="center" wrapText="1"/>
      <protection locked="0"/>
    </xf>
    <xf numFmtId="0" fontId="59" fillId="0" borderId="19" xfId="0" applyFont="1" applyBorder="1" applyAlignment="1" applyProtection="1">
      <alignment vertical="center"/>
      <protection locked="0"/>
    </xf>
    <xf numFmtId="169" fontId="59" fillId="0" borderId="19" xfId="0" applyNumberFormat="1" applyFont="1" applyBorder="1" applyAlignment="1" applyProtection="1">
      <alignment horizontal="center" vertical="center"/>
      <protection locked="0"/>
    </xf>
    <xf numFmtId="0" fontId="59" fillId="0" borderId="22" xfId="0" applyFont="1" applyBorder="1" applyAlignment="1" applyProtection="1">
      <alignment vertical="center"/>
      <protection locked="0"/>
    </xf>
    <xf numFmtId="0" fontId="58" fillId="0" borderId="0" xfId="0" applyFont="1" applyAlignment="1">
      <alignment horizontal="left" vertical="center" indent="1"/>
    </xf>
    <xf numFmtId="0" fontId="59" fillId="0" borderId="9" xfId="0" applyFont="1" applyBorder="1" applyAlignment="1">
      <alignment vertical="center"/>
    </xf>
    <xf numFmtId="0" fontId="59" fillId="0" borderId="34" xfId="0" applyFont="1" applyBorder="1" applyAlignment="1">
      <alignment horizontal="left" vertical="center"/>
    </xf>
    <xf numFmtId="0" fontId="61" fillId="15" borderId="5" xfId="0" applyFont="1" applyFill="1" applyBorder="1" applyAlignment="1" applyProtection="1">
      <alignment horizontal="left"/>
      <protection locked="0"/>
    </xf>
    <xf numFmtId="0" fontId="61" fillId="15" borderId="5" xfId="0" applyFont="1" applyFill="1" applyBorder="1" applyProtection="1">
      <protection locked="0"/>
    </xf>
    <xf numFmtId="0" fontId="61" fillId="15" borderId="99" xfId="0" applyFont="1" applyFill="1" applyBorder="1" applyAlignment="1" applyProtection="1">
      <alignment horizontal="left"/>
      <protection locked="0"/>
    </xf>
    <xf numFmtId="0" fontId="61" fillId="15" borderId="99" xfId="0" applyFont="1" applyFill="1" applyBorder="1" applyProtection="1">
      <protection locked="0"/>
    </xf>
    <xf numFmtId="0" fontId="59" fillId="12" borderId="0" xfId="0" applyFont="1" applyFill="1" applyAlignment="1">
      <alignment horizontal="right" vertical="center" wrapText="1" indent="1"/>
    </xf>
    <xf numFmtId="0" fontId="59" fillId="12" borderId="21" xfId="0" applyFont="1" applyFill="1" applyBorder="1" applyAlignment="1" applyProtection="1">
      <alignment vertical="center"/>
      <protection locked="0"/>
    </xf>
    <xf numFmtId="0" fontId="59" fillId="12" borderId="21" xfId="0" applyFont="1" applyFill="1" applyBorder="1" applyAlignment="1" applyProtection="1">
      <alignment vertical="center" wrapText="1"/>
      <protection locked="0"/>
    </xf>
    <xf numFmtId="0" fontId="54" fillId="12" borderId="9" xfId="0" applyFont="1" applyFill="1" applyBorder="1" applyAlignment="1" applyProtection="1">
      <alignment horizontal="left" vertical="center" wrapText="1" indent="1"/>
      <protection locked="0"/>
    </xf>
    <xf numFmtId="0" fontId="54" fillId="12" borderId="0" xfId="0" applyFont="1" applyFill="1" applyAlignment="1" applyProtection="1">
      <alignment horizontal="left" vertical="center" wrapText="1" indent="1"/>
      <protection locked="0"/>
    </xf>
    <xf numFmtId="0" fontId="21" fillId="12" borderId="0" xfId="0" applyFont="1" applyFill="1" applyAlignment="1">
      <alignment horizontal="right" vertical="center" wrapText="1"/>
    </xf>
    <xf numFmtId="0" fontId="59" fillId="12" borderId="19" xfId="0" applyFont="1" applyFill="1" applyBorder="1" applyAlignment="1" applyProtection="1">
      <alignment vertical="center"/>
      <protection locked="0"/>
    </xf>
    <xf numFmtId="169" fontId="59" fillId="12" borderId="19" xfId="0" applyNumberFormat="1" applyFont="1" applyFill="1" applyBorder="1" applyAlignment="1" applyProtection="1">
      <alignment horizontal="center" vertical="center"/>
      <protection locked="0"/>
    </xf>
    <xf numFmtId="0" fontId="59" fillId="12" borderId="22" xfId="0" applyFont="1" applyFill="1" applyBorder="1" applyAlignment="1" applyProtection="1">
      <alignment vertical="center"/>
      <protection locked="0"/>
    </xf>
    <xf numFmtId="0" fontId="54" fillId="12" borderId="34" xfId="0" applyFont="1" applyFill="1" applyBorder="1" applyAlignment="1" applyProtection="1">
      <alignment horizontal="left" vertical="center" wrapText="1" indent="1"/>
      <protection locked="0"/>
    </xf>
    <xf numFmtId="0" fontId="54" fillId="12" borderId="19" xfId="0" applyFont="1" applyFill="1" applyBorder="1" applyAlignment="1" applyProtection="1">
      <alignment horizontal="left" vertical="center" wrapText="1" indent="1"/>
      <protection locked="0"/>
    </xf>
    <xf numFmtId="0" fontId="21" fillId="12" borderId="19" xfId="0" applyFont="1" applyFill="1" applyBorder="1" applyAlignment="1">
      <alignment horizontal="right" vertical="center" wrapText="1"/>
    </xf>
    <xf numFmtId="0" fontId="59" fillId="0" borderId="0" xfId="0" applyFont="1" applyAlignment="1">
      <alignment vertical="center"/>
    </xf>
    <xf numFmtId="0" fontId="59" fillId="0" borderId="21" xfId="0" applyFont="1" applyBorder="1" applyAlignment="1">
      <alignment vertical="center"/>
    </xf>
    <xf numFmtId="0" fontId="59" fillId="0" borderId="19" xfId="0" applyFont="1" applyBorder="1" applyAlignment="1">
      <alignment vertical="top"/>
    </xf>
    <xf numFmtId="0" fontId="59" fillId="0" borderId="22" xfId="0" applyFont="1" applyBorder="1" applyAlignment="1">
      <alignment vertical="top"/>
    </xf>
    <xf numFmtId="0" fontId="23" fillId="15" borderId="0" xfId="0" applyFont="1" applyFill="1" applyAlignment="1">
      <alignment vertical="center"/>
    </xf>
    <xf numFmtId="0" fontId="59" fillId="0" borderId="26" xfId="0" applyFont="1" applyBorder="1" applyAlignment="1">
      <alignment horizontal="left" vertical="center" indent="1"/>
    </xf>
    <xf numFmtId="0" fontId="59" fillId="0" borderId="29" xfId="0" applyFont="1" applyBorder="1" applyAlignment="1">
      <alignment horizontal="left" vertical="center" indent="1"/>
    </xf>
    <xf numFmtId="0" fontId="59" fillId="0" borderId="32" xfId="0" applyFont="1" applyBorder="1" applyAlignment="1">
      <alignment horizontal="left" vertical="center" indent="1"/>
    </xf>
    <xf numFmtId="0" fontId="28" fillId="0" borderId="34" xfId="0" applyFont="1" applyBorder="1" applyAlignment="1" applyProtection="1">
      <alignment horizontal="left" vertical="top" wrapText="1" indent="1"/>
      <protection locked="0"/>
    </xf>
    <xf numFmtId="0" fontId="28" fillId="0" borderId="19" xfId="0" applyFont="1" applyBorder="1" applyAlignment="1" applyProtection="1">
      <alignment horizontal="left" vertical="top" wrapText="1" indent="1"/>
      <protection locked="0"/>
    </xf>
    <xf numFmtId="0" fontId="28" fillId="0" borderId="22" xfId="0" applyFont="1" applyBorder="1" applyAlignment="1" applyProtection="1">
      <alignment horizontal="left" vertical="top" wrapText="1" indent="1"/>
      <protection locked="0"/>
    </xf>
    <xf numFmtId="0" fontId="59" fillId="0" borderId="98" xfId="0" applyFont="1" applyBorder="1" applyAlignment="1" applyProtection="1">
      <alignment horizontal="left" vertical="center" indent="1"/>
      <protection locked="0"/>
    </xf>
    <xf numFmtId="0" fontId="60" fillId="15" borderId="9" xfId="0" applyFont="1" applyFill="1" applyBorder="1" applyAlignment="1">
      <alignment horizontal="left" vertical="top" wrapText="1" indent="1"/>
    </xf>
    <xf numFmtId="0" fontId="60" fillId="15" borderId="0" xfId="0" applyFont="1" applyFill="1" applyAlignment="1">
      <alignment horizontal="left" vertical="top" wrapText="1" indent="1"/>
    </xf>
    <xf numFmtId="0" fontId="60" fillId="15" borderId="21" xfId="0" applyFont="1" applyFill="1" applyBorder="1" applyAlignment="1">
      <alignment horizontal="left" vertical="top" wrapText="1" indent="1"/>
    </xf>
    <xf numFmtId="0" fontId="54" fillId="12" borderId="9" xfId="0" applyFont="1" applyFill="1" applyBorder="1" applyAlignment="1" applyProtection="1">
      <alignment horizontal="left" vertical="center" wrapText="1" indent="1"/>
      <protection locked="0"/>
    </xf>
    <xf numFmtId="0" fontId="54" fillId="12" borderId="0" xfId="0" applyFont="1" applyFill="1" applyAlignment="1" applyProtection="1">
      <alignment horizontal="left" vertical="center" wrapText="1" indent="1"/>
      <protection locked="0"/>
    </xf>
    <xf numFmtId="0" fontId="59" fillId="12" borderId="19" xfId="0" applyFont="1" applyFill="1" applyBorder="1" applyAlignment="1" applyProtection="1">
      <alignment horizontal="center" vertical="center"/>
      <protection locked="0"/>
    </xf>
    <xf numFmtId="0" fontId="59" fillId="12" borderId="23" xfId="0" applyFont="1" applyFill="1" applyBorder="1" applyAlignment="1" applyProtection="1">
      <alignment horizontal="center" vertical="center" wrapText="1"/>
      <protection locked="0"/>
    </xf>
    <xf numFmtId="170" fontId="60" fillId="12" borderId="23" xfId="0" applyNumberFormat="1" applyFont="1" applyFill="1" applyBorder="1" applyAlignment="1" applyProtection="1">
      <alignment horizontal="center" vertical="center"/>
      <protection locked="0"/>
    </xf>
    <xf numFmtId="0" fontId="54" fillId="0" borderId="9" xfId="0" applyFont="1" applyBorder="1" applyAlignment="1" applyProtection="1">
      <alignment horizontal="left" vertical="center" wrapText="1" indent="1"/>
      <protection locked="0"/>
    </xf>
    <xf numFmtId="0" fontId="54" fillId="0" borderId="0" xfId="0" applyFont="1" applyAlignment="1" applyProtection="1">
      <alignment horizontal="left" vertical="center" wrapText="1" indent="1"/>
      <protection locked="0"/>
    </xf>
    <xf numFmtId="0" fontId="34" fillId="4" borderId="0" xfId="0" applyFont="1" applyFill="1" applyProtection="1">
      <protection locked="0"/>
    </xf>
    <xf numFmtId="0" fontId="0" fillId="4" borderId="0" xfId="0" applyFill="1"/>
    <xf numFmtId="0" fontId="59" fillId="0" borderId="23" xfId="0" applyFont="1" applyBorder="1" applyAlignment="1" applyProtection="1">
      <alignment horizontal="center" vertical="center" wrapText="1"/>
      <protection locked="0"/>
    </xf>
    <xf numFmtId="170" fontId="60" fillId="0" borderId="23" xfId="0" applyNumberFormat="1" applyFont="1" applyBorder="1" applyAlignment="1" applyProtection="1">
      <alignment horizontal="center" vertical="center"/>
      <protection locked="0"/>
    </xf>
    <xf numFmtId="0" fontId="59" fillId="12" borderId="26" xfId="0" applyFont="1" applyFill="1" applyBorder="1" applyAlignment="1">
      <alignment horizontal="left" vertical="center" indent="1"/>
    </xf>
    <xf numFmtId="0" fontId="59" fillId="12" borderId="29" xfId="0" applyFont="1" applyFill="1" applyBorder="1" applyAlignment="1">
      <alignment horizontal="left" vertical="center" indent="1"/>
    </xf>
    <xf numFmtId="0" fontId="59" fillId="12" borderId="0" xfId="0" applyFont="1" applyFill="1" applyAlignment="1">
      <alignment horizontal="left" vertical="center" indent="1"/>
    </xf>
    <xf numFmtId="0" fontId="59" fillId="12" borderId="21" xfId="0" applyFont="1" applyFill="1" applyBorder="1" applyAlignment="1">
      <alignment horizontal="left" vertical="center" indent="1"/>
    </xf>
    <xf numFmtId="0" fontId="54" fillId="0" borderId="9" xfId="0" applyFont="1" applyBorder="1" applyAlignment="1">
      <alignment horizontal="left" vertical="center" wrapText="1" indent="1"/>
    </xf>
    <xf numFmtId="0" fontId="54" fillId="0" borderId="0" xfId="0" applyFont="1" applyAlignment="1">
      <alignment horizontal="left" vertical="center" wrapText="1" indent="1"/>
    </xf>
    <xf numFmtId="0" fontId="59" fillId="0" borderId="19" xfId="0" applyFont="1" applyBorder="1" applyAlignment="1" applyProtection="1">
      <alignment horizontal="center" vertical="center"/>
      <protection locked="0"/>
    </xf>
    <xf numFmtId="0" fontId="59" fillId="16" borderId="24" xfId="0" applyFont="1" applyFill="1" applyBorder="1" applyAlignment="1" applyProtection="1">
      <alignment horizontal="center" vertical="center"/>
      <protection locked="0"/>
    </xf>
    <xf numFmtId="0" fontId="59" fillId="16" borderId="23" xfId="0" applyFont="1" applyFill="1" applyBorder="1" applyAlignment="1" applyProtection="1">
      <alignment horizontal="center" vertical="center"/>
      <protection locked="0"/>
    </xf>
    <xf numFmtId="0" fontId="59" fillId="16" borderId="33" xfId="0" applyFont="1" applyFill="1" applyBorder="1" applyAlignment="1" applyProtection="1">
      <alignment horizontal="center" vertical="center"/>
      <protection locked="0"/>
    </xf>
    <xf numFmtId="0" fontId="28" fillId="12" borderId="9" xfId="0" applyFont="1" applyFill="1" applyBorder="1" applyAlignment="1" applyProtection="1">
      <alignment horizontal="left" vertical="center" wrapText="1" indent="1"/>
      <protection locked="0"/>
    </xf>
    <xf numFmtId="0" fontId="28" fillId="12" borderId="0" xfId="0" applyFont="1" applyFill="1" applyAlignment="1" applyProtection="1">
      <alignment horizontal="left" vertical="center" wrapText="1" indent="1"/>
      <protection locked="0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/>
    </xf>
    <xf numFmtId="0" fontId="0" fillId="0" borderId="9" xfId="0" applyBorder="1" applyAlignment="1">
      <alignment horizontal="left" wrapText="1" indent="1"/>
    </xf>
    <xf numFmtId="0" fontId="0" fillId="0" borderId="0" xfId="0" applyAlignment="1">
      <alignment horizontal="left" wrapText="1" indent="1"/>
    </xf>
    <xf numFmtId="0" fontId="0" fillId="0" borderId="9" xfId="0" applyBorder="1" applyAlignment="1">
      <alignment horizontal="right" wrapText="1" indent="2"/>
    </xf>
    <xf numFmtId="0" fontId="0" fillId="0" borderId="0" xfId="0" applyAlignment="1">
      <alignment horizontal="right" wrapText="1" indent="2"/>
    </xf>
    <xf numFmtId="0" fontId="34" fillId="4" borderId="0" xfId="0" applyFont="1" applyFill="1" applyAlignment="1" applyProtection="1">
      <alignment vertical="top" wrapText="1"/>
      <protection locked="0"/>
    </xf>
    <xf numFmtId="0" fontId="34" fillId="4" borderId="21" xfId="0" applyFont="1" applyFill="1" applyBorder="1" applyAlignment="1" applyProtection="1">
      <alignment vertical="top" wrapText="1"/>
      <protection locked="0"/>
    </xf>
    <xf numFmtId="0" fontId="33" fillId="0" borderId="13" xfId="0" applyFont="1" applyBorder="1" applyAlignment="1" applyProtection="1">
      <alignment horizontal="left"/>
      <protection locked="0"/>
    </xf>
    <xf numFmtId="0" fontId="0" fillId="0" borderId="0" xfId="0" applyAlignment="1">
      <alignment horizontal="left"/>
    </xf>
    <xf numFmtId="0" fontId="33" fillId="0" borderId="13" xfId="0" applyFont="1" applyBorder="1" applyProtection="1">
      <protection locked="0"/>
    </xf>
    <xf numFmtId="0" fontId="0" fillId="0" borderId="0" xfId="0"/>
    <xf numFmtId="0" fontId="39" fillId="0" borderId="83" xfId="0" applyFont="1" applyBorder="1" applyAlignment="1">
      <alignment horizontal="center" vertical="center" wrapText="1"/>
    </xf>
    <xf numFmtId="0" fontId="2" fillId="0" borderId="23" xfId="0" applyFont="1" applyBorder="1" applyAlignment="1">
      <alignment horizontal="center" vertical="center" wrapText="1"/>
    </xf>
    <xf numFmtId="0" fontId="2" fillId="0" borderId="84" xfId="0" applyFont="1" applyBorder="1" applyAlignment="1">
      <alignment horizontal="center" vertical="center" wrapText="1"/>
    </xf>
    <xf numFmtId="0" fontId="12" fillId="6" borderId="85" xfId="0" applyFont="1" applyFill="1" applyBorder="1" applyAlignment="1">
      <alignment vertical="top" wrapText="1"/>
    </xf>
    <xf numFmtId="0" fontId="12" fillId="0" borderId="0" xfId="0" applyFont="1" applyAlignment="1">
      <alignment vertical="top" wrapText="1"/>
    </xf>
    <xf numFmtId="0" fontId="34" fillId="0" borderId="88" xfId="0" applyFont="1" applyBorder="1" applyAlignment="1">
      <alignment horizontal="left" vertical="top" wrapText="1"/>
    </xf>
    <xf numFmtId="0" fontId="41" fillId="6" borderId="81" xfId="0" applyFont="1" applyFill="1" applyBorder="1" applyAlignment="1" applyProtection="1">
      <alignment horizontal="center" vertical="center"/>
      <protection locked="0"/>
    </xf>
    <xf numFmtId="0" fontId="34" fillId="0" borderId="0" xfId="0" applyFont="1" applyAlignment="1">
      <alignment horizontal="center" vertical="center"/>
    </xf>
    <xf numFmtId="167" fontId="33" fillId="11" borderId="0" xfId="0" applyNumberFormat="1" applyFont="1" applyFill="1" applyAlignment="1" applyProtection="1">
      <alignment horizontal="center" vertical="center"/>
      <protection locked="0"/>
    </xf>
    <xf numFmtId="0" fontId="33" fillId="4" borderId="0" xfId="0" applyFont="1" applyFill="1" applyAlignment="1" applyProtection="1">
      <alignment horizontal="center" vertical="center"/>
      <protection locked="0"/>
    </xf>
    <xf numFmtId="0" fontId="33" fillId="0" borderId="13" xfId="0" applyFont="1" applyBorder="1" applyAlignment="1">
      <alignment vertical="center" wrapText="1"/>
    </xf>
    <xf numFmtId="0" fontId="22" fillId="0" borderId="0" xfId="0" applyFont="1" applyAlignment="1">
      <alignment vertical="center" wrapText="1"/>
    </xf>
    <xf numFmtId="0" fontId="36" fillId="0" borderId="15" xfId="0" applyFont="1" applyBorder="1" applyAlignment="1">
      <alignment horizontal="left" wrapText="1"/>
    </xf>
    <xf numFmtId="0" fontId="37" fillId="0" borderId="1" xfId="0" applyFont="1" applyBorder="1" applyAlignment="1">
      <alignment wrapText="1"/>
    </xf>
    <xf numFmtId="0" fontId="37" fillId="0" borderId="16" xfId="0" applyFont="1" applyBorder="1" applyAlignment="1">
      <alignment wrapText="1"/>
    </xf>
    <xf numFmtId="0" fontId="41" fillId="0" borderId="78" xfId="0" applyFont="1" applyBorder="1" applyAlignment="1" applyProtection="1">
      <alignment vertical="center" wrapText="1"/>
      <protection locked="0"/>
    </xf>
    <xf numFmtId="0" fontId="41" fillId="0" borderId="78" xfId="0" applyFont="1" applyBorder="1" applyAlignment="1">
      <alignment vertical="center" wrapText="1"/>
    </xf>
    <xf numFmtId="0" fontId="34" fillId="0" borderId="0" xfId="0" applyFont="1" applyAlignment="1">
      <alignment horizontal="left" vertical="center" wrapText="1"/>
    </xf>
    <xf numFmtId="0" fontId="12" fillId="0" borderId="80" xfId="0" applyFont="1" applyBorder="1" applyAlignment="1">
      <alignment horizontal="left" vertical="top" wrapText="1"/>
    </xf>
    <xf numFmtId="0" fontId="12" fillId="0" borderId="81" xfId="0" applyFont="1" applyBorder="1" applyAlignment="1">
      <alignment horizontal="left" vertical="top" wrapText="1"/>
    </xf>
    <xf numFmtId="0" fontId="12" fillId="0" borderId="82" xfId="0" applyFont="1" applyBorder="1" applyAlignment="1">
      <alignment horizontal="left" vertical="top" wrapText="1"/>
    </xf>
    <xf numFmtId="0" fontId="23" fillId="6" borderId="19" xfId="0" applyFont="1" applyFill="1" applyBorder="1" applyAlignment="1">
      <alignment horizontal="center"/>
    </xf>
    <xf numFmtId="0" fontId="23" fillId="6" borderId="22" xfId="0" applyFont="1" applyFill="1" applyBorder="1" applyAlignment="1">
      <alignment horizontal="center"/>
    </xf>
    <xf numFmtId="0" fontId="24" fillId="0" borderId="31" xfId="0" applyFont="1" applyBorder="1" applyAlignment="1" applyProtection="1">
      <alignment horizontal="left" vertical="center" wrapText="1"/>
      <protection hidden="1"/>
    </xf>
    <xf numFmtId="0" fontId="23" fillId="6" borderId="26" xfId="0" applyFont="1" applyFill="1" applyBorder="1" applyAlignment="1" applyProtection="1">
      <alignment horizontal="left" vertical="top"/>
      <protection hidden="1"/>
    </xf>
    <xf numFmtId="0" fontId="23" fillId="6" borderId="29" xfId="0" applyFont="1" applyFill="1" applyBorder="1" applyAlignment="1" applyProtection="1">
      <alignment horizontal="left" vertical="top"/>
      <protection hidden="1"/>
    </xf>
    <xf numFmtId="0" fontId="23" fillId="6" borderId="9" xfId="0" applyFont="1" applyFill="1" applyBorder="1" applyAlignment="1" applyProtection="1">
      <alignment horizontal="left" vertical="top"/>
      <protection hidden="1"/>
    </xf>
    <xf numFmtId="0" fontId="23" fillId="6" borderId="0" xfId="0" applyFont="1" applyFill="1" applyAlignment="1" applyProtection="1">
      <alignment horizontal="left" vertical="top"/>
      <protection hidden="1"/>
    </xf>
    <xf numFmtId="0" fontId="23" fillId="6" borderId="34" xfId="0" applyFont="1" applyFill="1" applyBorder="1" applyAlignment="1" applyProtection="1">
      <alignment horizontal="left"/>
      <protection hidden="1"/>
    </xf>
    <xf numFmtId="0" fontId="23" fillId="6" borderId="19" xfId="0" applyFont="1" applyFill="1" applyBorder="1" applyAlignment="1" applyProtection="1">
      <alignment horizontal="left"/>
      <protection hidden="1"/>
    </xf>
    <xf numFmtId="0" fontId="11" fillId="7" borderId="24" xfId="0" applyFont="1" applyFill="1" applyBorder="1" applyAlignment="1">
      <alignment horizontal="left"/>
    </xf>
    <xf numFmtId="0" fontId="11" fillId="7" borderId="23" xfId="0" applyFont="1" applyFill="1" applyBorder="1" applyAlignment="1">
      <alignment horizontal="left"/>
    </xf>
    <xf numFmtId="0" fontId="11" fillId="7" borderId="33" xfId="0" applyFont="1" applyFill="1" applyBorder="1" applyAlignment="1">
      <alignment horizontal="left"/>
    </xf>
    <xf numFmtId="0" fontId="23" fillId="6" borderId="9" xfId="0" applyFont="1" applyFill="1" applyBorder="1" applyAlignment="1" applyProtection="1">
      <alignment horizontal="center"/>
      <protection hidden="1"/>
    </xf>
    <xf numFmtId="0" fontId="23" fillId="6" borderId="0" xfId="0" applyFont="1" applyFill="1" applyAlignment="1" applyProtection="1">
      <alignment horizontal="center"/>
      <protection hidden="1"/>
    </xf>
    <xf numFmtId="0" fontId="29" fillId="0" borderId="29" xfId="0" applyFont="1" applyBorder="1" applyAlignment="1">
      <alignment horizontal="left" vertical="center" wrapText="1"/>
    </xf>
    <xf numFmtId="0" fontId="29" fillId="0" borderId="32" xfId="0" applyFont="1" applyBorder="1" applyAlignment="1">
      <alignment horizontal="left" vertical="center" wrapText="1"/>
    </xf>
    <xf numFmtId="0" fontId="29" fillId="0" borderId="19" xfId="0" applyFont="1" applyBorder="1" applyAlignment="1">
      <alignment horizontal="left" vertical="center" wrapText="1"/>
    </xf>
    <xf numFmtId="0" fontId="29" fillId="0" borderId="22" xfId="0" applyFont="1" applyBorder="1" applyAlignment="1">
      <alignment horizontal="left" vertical="center" wrapText="1"/>
    </xf>
    <xf numFmtId="0" fontId="23" fillId="0" borderId="24" xfId="0" applyFont="1" applyBorder="1" applyAlignment="1">
      <alignment horizontal="left" wrapText="1"/>
    </xf>
    <xf numFmtId="0" fontId="23" fillId="0" borderId="23" xfId="0" applyFont="1" applyBorder="1" applyAlignment="1">
      <alignment horizontal="left" wrapText="1"/>
    </xf>
    <xf numFmtId="0" fontId="23" fillId="0" borderId="33" xfId="0" applyFont="1" applyBorder="1" applyAlignment="1">
      <alignment horizontal="left" wrapText="1"/>
    </xf>
    <xf numFmtId="0" fontId="23" fillId="6" borderId="0" xfId="0" applyFont="1" applyFill="1" applyAlignment="1">
      <alignment horizontal="center"/>
    </xf>
    <xf numFmtId="0" fontId="23" fillId="6" borderId="21" xfId="0" applyFont="1" applyFill="1" applyBorder="1" applyAlignment="1">
      <alignment horizontal="center"/>
    </xf>
    <xf numFmtId="0" fontId="23" fillId="4" borderId="0" xfId="0" applyFont="1" applyFill="1" applyAlignment="1">
      <alignment horizontal="center"/>
    </xf>
    <xf numFmtId="0" fontId="23" fillId="4" borderId="21" xfId="0" applyFont="1" applyFill="1" applyBorder="1" applyAlignment="1">
      <alignment horizontal="center"/>
    </xf>
    <xf numFmtId="0" fontId="23" fillId="6" borderId="0" xfId="0" applyFont="1" applyFill="1" applyAlignment="1">
      <alignment horizontal="center" wrapText="1"/>
    </xf>
    <xf numFmtId="0" fontId="23" fillId="6" borderId="21" xfId="0" applyFont="1" applyFill="1" applyBorder="1" applyAlignment="1">
      <alignment horizontal="center" wrapText="1"/>
    </xf>
    <xf numFmtId="0" fontId="23" fillId="0" borderId="26" xfId="0" applyFont="1" applyBorder="1" applyAlignment="1" applyProtection="1">
      <alignment horizontal="left" vertical="center"/>
      <protection hidden="1"/>
    </xf>
    <xf numFmtId="0" fontId="23" fillId="0" borderId="32" xfId="0" applyFont="1" applyBorder="1" applyAlignment="1" applyProtection="1">
      <alignment horizontal="left" vertical="center"/>
      <protection hidden="1"/>
    </xf>
    <xf numFmtId="0" fontId="23" fillId="0" borderId="34" xfId="0" applyFont="1" applyBorder="1" applyAlignment="1" applyProtection="1">
      <alignment horizontal="left" vertical="center"/>
      <protection hidden="1"/>
    </xf>
    <xf numFmtId="0" fontId="23" fillId="0" borderId="22" xfId="0" applyFont="1" applyBorder="1" applyAlignment="1" applyProtection="1">
      <alignment horizontal="left" vertical="center"/>
      <protection hidden="1"/>
    </xf>
    <xf numFmtId="0" fontId="23" fillId="10" borderId="23" xfId="0" applyFont="1" applyFill="1" applyBorder="1" applyAlignment="1">
      <alignment horizontal="center" wrapText="1"/>
    </xf>
    <xf numFmtId="0" fontId="23" fillId="10" borderId="33" xfId="0" applyFont="1" applyFill="1" applyBorder="1" applyAlignment="1">
      <alignment horizontal="center" wrapText="1"/>
    </xf>
    <xf numFmtId="0" fontId="24" fillId="7" borderId="24" xfId="0" applyFont="1" applyFill="1" applyBorder="1" applyAlignment="1">
      <alignment horizontal="left"/>
    </xf>
    <xf numFmtId="0" fontId="24" fillId="7" borderId="23" xfId="0" applyFont="1" applyFill="1" applyBorder="1" applyAlignment="1">
      <alignment horizontal="left"/>
    </xf>
    <xf numFmtId="0" fontId="24" fillId="7" borderId="33" xfId="0" applyFont="1" applyFill="1" applyBorder="1" applyAlignment="1">
      <alignment horizontal="left"/>
    </xf>
    <xf numFmtId="0" fontId="24" fillId="0" borderId="31" xfId="0" applyFont="1" applyBorder="1" applyAlignment="1" applyProtection="1">
      <alignment horizontal="center" vertical="center" wrapText="1"/>
      <protection hidden="1"/>
    </xf>
    <xf numFmtId="0" fontId="23" fillId="6" borderId="24" xfId="0" applyFont="1" applyFill="1" applyBorder="1" applyAlignment="1" applyProtection="1">
      <alignment horizontal="left"/>
      <protection hidden="1"/>
    </xf>
    <xf numFmtId="0" fontId="23" fillId="6" borderId="23" xfId="0" applyFont="1" applyFill="1" applyBorder="1" applyAlignment="1" applyProtection="1">
      <alignment horizontal="left"/>
      <protection hidden="1"/>
    </xf>
    <xf numFmtId="0" fontId="23" fillId="6" borderId="24" xfId="0" applyFont="1" applyFill="1" applyBorder="1" applyAlignment="1" applyProtection="1">
      <alignment horizontal="left" shrinkToFit="1"/>
      <protection hidden="1"/>
    </xf>
    <xf numFmtId="0" fontId="23" fillId="6" borderId="23" xfId="0" applyFont="1" applyFill="1" applyBorder="1" applyAlignment="1" applyProtection="1">
      <alignment horizontal="left" shrinkToFit="1"/>
      <protection hidden="1"/>
    </xf>
    <xf numFmtId="165" fontId="23" fillId="4" borderId="23" xfId="0" applyNumberFormat="1" applyFont="1" applyFill="1" applyBorder="1" applyAlignment="1">
      <alignment horizontal="center"/>
    </xf>
    <xf numFmtId="165" fontId="23" fillId="4" borderId="33" xfId="0" applyNumberFormat="1" applyFont="1" applyFill="1" applyBorder="1" applyAlignment="1">
      <alignment horizontal="center"/>
    </xf>
    <xf numFmtId="165" fontId="23" fillId="13" borderId="23" xfId="0" applyNumberFormat="1" applyFont="1" applyFill="1" applyBorder="1" applyAlignment="1">
      <alignment horizontal="center"/>
    </xf>
    <xf numFmtId="165" fontId="23" fillId="13" borderId="33" xfId="0" applyNumberFormat="1" applyFont="1" applyFill="1" applyBorder="1" applyAlignment="1">
      <alignment horizontal="center"/>
    </xf>
    <xf numFmtId="165" fontId="29" fillId="6" borderId="23" xfId="0" applyNumberFormat="1" applyFont="1" applyFill="1" applyBorder="1" applyAlignment="1">
      <alignment horizontal="center"/>
    </xf>
    <xf numFmtId="165" fontId="29" fillId="6" borderId="33" xfId="0" applyNumberFormat="1" applyFont="1" applyFill="1" applyBorder="1" applyAlignment="1">
      <alignment horizontal="center"/>
    </xf>
    <xf numFmtId="166" fontId="23" fillId="4" borderId="23" xfId="0" applyNumberFormat="1" applyFont="1" applyFill="1" applyBorder="1" applyAlignment="1" applyProtection="1">
      <alignment horizontal="center"/>
      <protection hidden="1"/>
    </xf>
    <xf numFmtId="166" fontId="23" fillId="4" borderId="33" xfId="0" applyNumberFormat="1" applyFont="1" applyFill="1" applyBorder="1" applyAlignment="1" applyProtection="1">
      <alignment horizontal="center"/>
      <protection hidden="1"/>
    </xf>
    <xf numFmtId="0" fontId="23" fillId="4" borderId="19" xfId="0" applyFont="1" applyFill="1" applyBorder="1" applyAlignment="1">
      <alignment horizontal="left" vertical="center"/>
    </xf>
    <xf numFmtId="0" fontId="23" fillId="6" borderId="19" xfId="0" applyFont="1" applyFill="1" applyBorder="1" applyAlignment="1" applyProtection="1">
      <alignment horizontal="left" vertical="center" shrinkToFit="1"/>
      <protection hidden="1"/>
    </xf>
    <xf numFmtId="0" fontId="23" fillId="0" borderId="19" xfId="0" applyFont="1" applyBorder="1" applyAlignment="1">
      <alignment horizontal="left" vertical="center"/>
    </xf>
    <xf numFmtId="0" fontId="23" fillId="0" borderId="22" xfId="0" applyFont="1" applyBorder="1" applyAlignment="1">
      <alignment horizontal="left" vertical="center"/>
    </xf>
    <xf numFmtId="0" fontId="0" fillId="5" borderId="31" xfId="0" applyFill="1" applyBorder="1" applyAlignment="1">
      <alignment horizontal="left"/>
    </xf>
    <xf numFmtId="0" fontId="21" fillId="5" borderId="31" xfId="0" applyFont="1" applyFill="1" applyBorder="1" applyAlignment="1">
      <alignment horizontal="left"/>
    </xf>
    <xf numFmtId="0" fontId="22" fillId="0" borderId="26" xfId="0" applyFont="1" applyBorder="1" applyAlignment="1">
      <alignment horizontal="center"/>
    </xf>
    <xf numFmtId="0" fontId="22" fillId="0" borderId="29" xfId="0" applyFont="1" applyBorder="1" applyAlignment="1">
      <alignment horizontal="center"/>
    </xf>
    <xf numFmtId="0" fontId="22" fillId="0" borderId="32" xfId="0" applyFont="1" applyBorder="1" applyAlignment="1">
      <alignment horizontal="center"/>
    </xf>
    <xf numFmtId="0" fontId="23" fillId="4" borderId="19" xfId="0" applyFont="1" applyFill="1" applyBorder="1" applyAlignment="1">
      <alignment horizontal="left" wrapText="1"/>
    </xf>
    <xf numFmtId="165" fontId="23" fillId="6" borderId="19" xfId="0" applyNumberFormat="1" applyFont="1" applyFill="1" applyBorder="1" applyAlignment="1">
      <alignment horizontal="center"/>
    </xf>
    <xf numFmtId="165" fontId="23" fillId="6" borderId="22" xfId="0" applyNumberFormat="1" applyFont="1" applyFill="1" applyBorder="1" applyAlignment="1">
      <alignment horizontal="center"/>
    </xf>
    <xf numFmtId="0" fontId="23" fillId="6" borderId="23" xfId="0" applyFont="1" applyFill="1" applyBorder="1" applyAlignment="1">
      <alignment horizontal="left" wrapText="1"/>
    </xf>
    <xf numFmtId="0" fontId="23" fillId="6" borderId="33" xfId="0" applyFont="1" applyFill="1" applyBorder="1" applyAlignment="1">
      <alignment horizontal="left" wrapText="1"/>
    </xf>
    <xf numFmtId="0" fontId="23" fillId="6" borderId="0" xfId="0" applyFont="1" applyFill="1" applyAlignment="1" applyProtection="1">
      <alignment horizontal="left" shrinkToFit="1"/>
      <protection hidden="1"/>
    </xf>
    <xf numFmtId="165" fontId="23" fillId="0" borderId="19" xfId="0" applyNumberFormat="1" applyFont="1" applyBorder="1" applyAlignment="1">
      <alignment horizontal="center"/>
    </xf>
    <xf numFmtId="165" fontId="23" fillId="0" borderId="22" xfId="0" applyNumberFormat="1" applyFont="1" applyBorder="1" applyAlignment="1">
      <alignment horizontal="center"/>
    </xf>
    <xf numFmtId="0" fontId="23" fillId="6" borderId="23" xfId="0" applyFont="1" applyFill="1" applyBorder="1" applyAlignment="1">
      <alignment horizontal="center"/>
    </xf>
    <xf numFmtId="0" fontId="23" fillId="6" borderId="33" xfId="0" applyFont="1" applyFill="1" applyBorder="1" applyAlignment="1">
      <alignment horizontal="center"/>
    </xf>
    <xf numFmtId="43" fontId="29" fillId="12" borderId="23" xfId="1" quotePrefix="1" applyFont="1" applyFill="1" applyBorder="1" applyAlignment="1">
      <alignment horizontal="center"/>
    </xf>
    <xf numFmtId="43" fontId="29" fillId="12" borderId="23" xfId="1" applyFont="1" applyFill="1" applyBorder="1" applyAlignment="1">
      <alignment horizontal="center"/>
    </xf>
    <xf numFmtId="0" fontId="23" fillId="4" borderId="23" xfId="0" applyFont="1" applyFill="1" applyBorder="1" applyAlignment="1">
      <alignment horizontal="center"/>
    </xf>
    <xf numFmtId="0" fontId="23" fillId="4" borderId="33" xfId="0" applyFont="1" applyFill="1" applyBorder="1" applyAlignment="1">
      <alignment horizontal="center"/>
    </xf>
    <xf numFmtId="0" fontId="51" fillId="0" borderId="0" xfId="0" applyFont="1" applyAlignment="1">
      <alignment horizontal="center" vertical="top" wrapText="1"/>
    </xf>
    <xf numFmtId="0" fontId="26" fillId="8" borderId="67" xfId="0" applyFont="1" applyFill="1" applyBorder="1" applyAlignment="1">
      <alignment horizontal="left" vertical="center" wrapText="1"/>
    </xf>
    <xf numFmtId="0" fontId="26" fillId="8" borderId="36" xfId="0" applyFont="1" applyFill="1" applyBorder="1" applyAlignment="1">
      <alignment horizontal="left" vertical="center" wrapText="1"/>
    </xf>
    <xf numFmtId="0" fontId="26" fillId="8" borderId="68" xfId="0" applyFont="1" applyFill="1" applyBorder="1" applyAlignment="1">
      <alignment horizontal="left" vertical="center" wrapText="1"/>
    </xf>
    <xf numFmtId="0" fontId="23" fillId="0" borderId="49" xfId="0" applyFont="1" applyBorder="1" applyAlignment="1">
      <alignment horizontal="left" vertical="center" wrapText="1"/>
    </xf>
    <xf numFmtId="0" fontId="23" fillId="0" borderId="50" xfId="0" applyFont="1" applyBorder="1" applyAlignment="1">
      <alignment horizontal="left" vertical="center" wrapText="1"/>
    </xf>
    <xf numFmtId="0" fontId="23" fillId="0" borderId="49" xfId="0" applyFont="1" applyBorder="1" applyAlignment="1">
      <alignment horizontal="center" vertical="center" wrapText="1"/>
    </xf>
    <xf numFmtId="0" fontId="23" fillId="0" borderId="50" xfId="0" applyFont="1" applyBorder="1" applyAlignment="1">
      <alignment horizontal="center" vertical="center" wrapText="1"/>
    </xf>
    <xf numFmtId="0" fontId="24" fillId="0" borderId="69" xfId="0" applyFont="1" applyBorder="1" applyAlignment="1">
      <alignment horizontal="left" vertical="center" wrapText="1"/>
    </xf>
    <xf numFmtId="0" fontId="24" fillId="0" borderId="46" xfId="0" applyFont="1" applyBorder="1" applyAlignment="1">
      <alignment horizontal="left" vertical="center" wrapText="1"/>
    </xf>
    <xf numFmtId="0" fontId="24" fillId="0" borderId="67" xfId="0" applyFont="1" applyBorder="1" applyAlignment="1">
      <alignment horizontal="left" vertical="center" wrapText="1"/>
    </xf>
    <xf numFmtId="0" fontId="24" fillId="0" borderId="37" xfId="0" applyFont="1" applyBorder="1" applyAlignment="1">
      <alignment horizontal="left" vertical="center" wrapText="1"/>
    </xf>
    <xf numFmtId="0" fontId="24" fillId="0" borderId="35" xfId="0" applyFont="1" applyBorder="1" applyAlignment="1">
      <alignment horizontal="left" vertical="center" wrapText="1"/>
    </xf>
    <xf numFmtId="0" fontId="24" fillId="0" borderId="36" xfId="0" applyFont="1" applyBorder="1" applyAlignment="1">
      <alignment horizontal="left" vertical="center" wrapText="1"/>
    </xf>
    <xf numFmtId="0" fontId="24" fillId="0" borderId="68" xfId="0" applyFont="1" applyBorder="1" applyAlignment="1">
      <alignment horizontal="left" vertical="center" wrapText="1"/>
    </xf>
    <xf numFmtId="0" fontId="26" fillId="8" borderId="75" xfId="0" applyFont="1" applyFill="1" applyBorder="1" applyAlignment="1">
      <alignment horizontal="left" vertical="center" wrapText="1"/>
    </xf>
    <xf numFmtId="0" fontId="26" fillId="8" borderId="48" xfId="0" applyFont="1" applyFill="1" applyBorder="1" applyAlignment="1">
      <alignment horizontal="left" vertical="center" wrapText="1"/>
    </xf>
    <xf numFmtId="0" fontId="26" fillId="8" borderId="76" xfId="0" applyFont="1" applyFill="1" applyBorder="1" applyAlignment="1">
      <alignment horizontal="left" vertical="center" wrapText="1"/>
    </xf>
    <xf numFmtId="0" fontId="32" fillId="4" borderId="31" xfId="0" applyFont="1" applyFill="1" applyBorder="1" applyAlignment="1">
      <alignment horizontal="left" vertical="center" wrapText="1"/>
    </xf>
    <xf numFmtId="0" fontId="32" fillId="4" borderId="60" xfId="0" applyFont="1" applyFill="1" applyBorder="1" applyAlignment="1">
      <alignment horizontal="left" vertical="center" wrapText="1"/>
    </xf>
    <xf numFmtId="0" fontId="32" fillId="0" borderId="52" xfId="0" applyFont="1" applyBorder="1" applyAlignment="1">
      <alignment horizontal="left" vertical="center" wrapText="1"/>
    </xf>
    <xf numFmtId="0" fontId="32" fillId="0" borderId="53" xfId="0" applyFont="1" applyBorder="1" applyAlignment="1">
      <alignment horizontal="left" vertical="center" wrapText="1"/>
    </xf>
    <xf numFmtId="0" fontId="32" fillId="0" borderId="54" xfId="0" applyFont="1" applyBorder="1" applyAlignment="1">
      <alignment horizontal="left" vertical="center" wrapText="1"/>
    </xf>
    <xf numFmtId="0" fontId="32" fillId="0" borderId="55" xfId="0" applyFont="1" applyBorder="1" applyAlignment="1">
      <alignment horizontal="left" vertical="center" wrapText="1"/>
    </xf>
    <xf numFmtId="0" fontId="31" fillId="0" borderId="63" xfId="0" applyFont="1" applyBorder="1" applyAlignment="1">
      <alignment horizontal="left" vertical="center" wrapText="1"/>
    </xf>
    <xf numFmtId="0" fontId="31" fillId="0" borderId="64" xfId="0" applyFont="1" applyBorder="1" applyAlignment="1">
      <alignment horizontal="left" vertical="center" wrapText="1"/>
    </xf>
    <xf numFmtId="0" fontId="26" fillId="8" borderId="6" xfId="0" applyFont="1" applyFill="1" applyBorder="1" applyAlignment="1">
      <alignment horizontal="left" vertical="center" wrapText="1"/>
    </xf>
    <xf numFmtId="0" fontId="26" fillId="8" borderId="7" xfId="0" applyFont="1" applyFill="1" applyBorder="1" applyAlignment="1">
      <alignment horizontal="left" vertical="center" wrapText="1"/>
    </xf>
    <xf numFmtId="0" fontId="26" fillId="8" borderId="8" xfId="0" applyFont="1" applyFill="1" applyBorder="1" applyAlignment="1">
      <alignment horizontal="left" vertical="center" wrapText="1"/>
    </xf>
    <xf numFmtId="0" fontId="23" fillId="0" borderId="10" xfId="0" applyFont="1" applyBorder="1" applyAlignment="1">
      <alignment horizontal="left" vertical="center" wrapText="1"/>
    </xf>
    <xf numFmtId="0" fontId="23" fillId="0" borderId="11" xfId="0" applyFont="1" applyBorder="1" applyAlignment="1">
      <alignment horizontal="left" vertical="center" wrapText="1"/>
    </xf>
    <xf numFmtId="0" fontId="24" fillId="0" borderId="13" xfId="0" applyFont="1" applyBorder="1" applyAlignment="1">
      <alignment horizontal="left" vertical="center" wrapText="1"/>
    </xf>
    <xf numFmtId="0" fontId="24" fillId="0" borderId="0" xfId="0" applyFont="1" applyAlignment="1">
      <alignment horizontal="left" vertical="center" wrapText="1"/>
    </xf>
    <xf numFmtId="0" fontId="44" fillId="0" borderId="31" xfId="0" applyFont="1" applyBorder="1" applyAlignment="1">
      <alignment horizontal="left" vertical="center" wrapText="1"/>
    </xf>
    <xf numFmtId="0" fontId="44" fillId="0" borderId="60" xfId="0" applyFont="1" applyBorder="1" applyAlignment="1">
      <alignment horizontal="left" vertical="center" wrapText="1"/>
    </xf>
    <xf numFmtId="15" fontId="31" fillId="4" borderId="61" xfId="0" applyNumberFormat="1" applyFont="1" applyFill="1" applyBorder="1" applyAlignment="1">
      <alignment horizontal="left" vertical="center" wrapText="1"/>
    </xf>
    <xf numFmtId="15" fontId="31" fillId="4" borderId="62" xfId="0" applyNumberFormat="1" applyFont="1" applyFill="1" applyBorder="1" applyAlignment="1">
      <alignment horizontal="left" vertical="center" wrapText="1"/>
    </xf>
    <xf numFmtId="0" fontId="26" fillId="8" borderId="71" xfId="0" applyFont="1" applyFill="1" applyBorder="1" applyAlignment="1">
      <alignment horizontal="left" vertical="center" wrapText="1"/>
    </xf>
    <xf numFmtId="0" fontId="26" fillId="8" borderId="72" xfId="0" applyFont="1" applyFill="1" applyBorder="1" applyAlignment="1">
      <alignment horizontal="left" vertical="center" wrapText="1"/>
    </xf>
    <xf numFmtId="0" fontId="26" fillId="8" borderId="73" xfId="0" applyFont="1" applyFill="1" applyBorder="1" applyAlignment="1">
      <alignment horizontal="left" vertical="center" wrapText="1"/>
    </xf>
    <xf numFmtId="0" fontId="23" fillId="4" borderId="36" xfId="0" applyFont="1" applyFill="1" applyBorder="1" applyAlignment="1">
      <alignment horizontal="left" vertical="center" wrapText="1"/>
    </xf>
    <xf numFmtId="0" fontId="32" fillId="0" borderId="56" xfId="0" applyFont="1" applyBorder="1" applyAlignment="1">
      <alignment horizontal="left" vertical="center" wrapText="1"/>
    </xf>
    <xf numFmtId="0" fontId="32" fillId="0" borderId="57" xfId="0" applyFont="1" applyBorder="1" applyAlignment="1">
      <alignment horizontal="left" vertical="center" wrapText="1"/>
    </xf>
    <xf numFmtId="0" fontId="32" fillId="0" borderId="59" xfId="0" applyFont="1" applyBorder="1" applyAlignment="1">
      <alignment horizontal="left" vertical="center" wrapText="1"/>
    </xf>
    <xf numFmtId="0" fontId="32" fillId="0" borderId="31" xfId="0" applyFont="1" applyBorder="1" applyAlignment="1">
      <alignment horizontal="left" vertical="center" wrapText="1"/>
    </xf>
    <xf numFmtId="0" fontId="31" fillId="0" borderId="74" xfId="0" applyFont="1" applyBorder="1" applyAlignment="1">
      <alignment horizontal="left" vertical="center" wrapText="1"/>
    </xf>
    <xf numFmtId="0" fontId="31" fillId="0" borderId="61" xfId="0" applyFont="1" applyBorder="1" applyAlignment="1">
      <alignment horizontal="left" vertical="center" wrapText="1"/>
    </xf>
    <xf numFmtId="4" fontId="32" fillId="4" borderId="57" xfId="0" applyNumberFormat="1" applyFont="1" applyFill="1" applyBorder="1" applyAlignment="1">
      <alignment horizontal="right" vertical="center" wrapText="1"/>
    </xf>
    <xf numFmtId="4" fontId="32" fillId="4" borderId="58" xfId="0" applyNumberFormat="1" applyFont="1" applyFill="1" applyBorder="1" applyAlignment="1">
      <alignment horizontal="right" vertical="center" wrapText="1"/>
    </xf>
    <xf numFmtId="0" fontId="32" fillId="4" borderId="31" xfId="0" applyFont="1" applyFill="1" applyBorder="1" applyAlignment="1">
      <alignment horizontal="right" vertical="center" wrapText="1"/>
    </xf>
    <xf numFmtId="0" fontId="32" fillId="4" borderId="60" xfId="0" applyFont="1" applyFill="1" applyBorder="1" applyAlignment="1">
      <alignment horizontal="right" vertical="center" wrapText="1"/>
    </xf>
    <xf numFmtId="4" fontId="43" fillId="0" borderId="31" xfId="0" applyNumberFormat="1" applyFont="1" applyBorder="1" applyAlignment="1">
      <alignment horizontal="right" vertical="center" wrapText="1"/>
    </xf>
    <xf numFmtId="4" fontId="43" fillId="0" borderId="60" xfId="0" applyNumberFormat="1" applyFont="1" applyBorder="1" applyAlignment="1">
      <alignment horizontal="right" vertical="center" wrapText="1"/>
    </xf>
    <xf numFmtId="4" fontId="31" fillId="4" borderId="61" xfId="0" applyNumberFormat="1" applyFont="1" applyFill="1" applyBorder="1" applyAlignment="1">
      <alignment horizontal="right" vertical="center" wrapText="1"/>
    </xf>
    <xf numFmtId="4" fontId="31" fillId="4" borderId="62" xfId="0" applyNumberFormat="1" applyFont="1" applyFill="1" applyBorder="1" applyAlignment="1">
      <alignment horizontal="right" vertical="center" wrapText="1"/>
    </xf>
    <xf numFmtId="0" fontId="32" fillId="4" borderId="57" xfId="0" applyFont="1" applyFill="1" applyBorder="1" applyAlignment="1">
      <alignment horizontal="left" vertical="center" wrapText="1"/>
    </xf>
    <xf numFmtId="0" fontId="32" fillId="4" borderId="58" xfId="0" applyFont="1" applyFill="1" applyBorder="1" applyAlignment="1">
      <alignment horizontal="left" vertical="center" wrapText="1"/>
    </xf>
    <xf numFmtId="0" fontId="28" fillId="0" borderId="42" xfId="0" applyFont="1" applyBorder="1" applyAlignment="1">
      <alignment horizontal="left" vertical="center" wrapText="1" indent="8"/>
    </xf>
    <xf numFmtId="0" fontId="26" fillId="8" borderId="35" xfId="0" applyFont="1" applyFill="1" applyBorder="1" applyAlignment="1">
      <alignment horizontal="left" vertical="center" wrapText="1"/>
    </xf>
    <xf numFmtId="0" fontId="29" fillId="0" borderId="45" xfId="0" applyFont="1" applyBorder="1" applyAlignment="1">
      <alignment horizontal="center" vertical="center" wrapText="1"/>
    </xf>
    <xf numFmtId="0" fontId="23" fillId="0" borderId="46" xfId="0" applyFont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0" fontId="23" fillId="0" borderId="42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43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center" vertical="center" wrapText="1"/>
    </xf>
    <xf numFmtId="0" fontId="23" fillId="0" borderId="39" xfId="0" applyFont="1" applyBorder="1" applyAlignment="1">
      <alignment horizontal="center" vertical="center" wrapText="1"/>
    </xf>
    <xf numFmtId="0" fontId="23" fillId="0" borderId="40" xfId="0" applyFont="1" applyBorder="1" applyAlignment="1">
      <alignment horizontal="center" vertical="center" wrapText="1"/>
    </xf>
  </cellXfs>
  <cellStyles count="4">
    <cellStyle name="Comma" xfId="1" builtinId="3"/>
    <cellStyle name="Comma 2" xfId="2" xr:uid="{00000000-0005-0000-0000-000001000000}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A6A6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microsoft.com/office/2007/relationships/hdphoto" Target="../media/hdphoto1.wdp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254000</xdr:colOff>
          <xdr:row>14</xdr:row>
          <xdr:rowOff>25400</xdr:rowOff>
        </xdr:from>
        <xdr:to>
          <xdr:col>1</xdr:col>
          <xdr:colOff>495300</xdr:colOff>
          <xdr:row>14</xdr:row>
          <xdr:rowOff>304800</xdr:rowOff>
        </xdr:to>
        <xdr:sp macro="" textlink="">
          <xdr:nvSpPr>
            <xdr:cNvPr id="14337" name="Check Box 1" hidden="1">
              <a:extLst>
                <a:ext uri="{63B3BB69-23CF-44E3-9099-C40C66FF867C}">
                  <a14:compatExt spid="_x0000_s14337"/>
                </a:ext>
                <a:ext uri="{FF2B5EF4-FFF2-40B4-BE49-F238E27FC236}">
                  <a16:creationId xmlns:a16="http://schemas.microsoft.com/office/drawing/2014/main" id="{00000000-0008-0000-0000-000001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5</xdr:col>
      <xdr:colOff>390125</xdr:colOff>
      <xdr:row>0</xdr:row>
      <xdr:rowOff>61089</xdr:rowOff>
    </xdr:from>
    <xdr:to>
      <xdr:col>6</xdr:col>
      <xdr:colOff>1481215</xdr:colOff>
      <xdr:row>3</xdr:row>
      <xdr:rowOff>129669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35C85E-716E-416F-ABD9-CCE931EA0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/>
      </xdr:blipFill>
      <xdr:spPr>
        <a:xfrm>
          <a:off x="7029050" y="61089"/>
          <a:ext cx="1805465" cy="640080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254000</xdr:colOff>
          <xdr:row>15</xdr:row>
          <xdr:rowOff>25400</xdr:rowOff>
        </xdr:from>
        <xdr:to>
          <xdr:col>1</xdr:col>
          <xdr:colOff>495300</xdr:colOff>
          <xdr:row>15</xdr:row>
          <xdr:rowOff>304800</xdr:rowOff>
        </xdr:to>
        <xdr:sp macro="" textlink="">
          <xdr:nvSpPr>
            <xdr:cNvPr id="14338" name="Check Box 2" hidden="1">
              <a:extLst>
                <a:ext uri="{63B3BB69-23CF-44E3-9099-C40C66FF867C}">
                  <a14:compatExt spid="_x0000_s14338"/>
                </a:ext>
                <a:ext uri="{FF2B5EF4-FFF2-40B4-BE49-F238E27FC236}">
                  <a16:creationId xmlns:a16="http://schemas.microsoft.com/office/drawing/2014/main" id="{00000000-0008-0000-0000-00000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254000</xdr:colOff>
          <xdr:row>16</xdr:row>
          <xdr:rowOff>25400</xdr:rowOff>
        </xdr:from>
        <xdr:to>
          <xdr:col>1</xdr:col>
          <xdr:colOff>495300</xdr:colOff>
          <xdr:row>16</xdr:row>
          <xdr:rowOff>304800</xdr:rowOff>
        </xdr:to>
        <xdr:sp macro="" textlink="">
          <xdr:nvSpPr>
            <xdr:cNvPr id="14339" name="Check Box 3" hidden="1">
              <a:extLst>
                <a:ext uri="{63B3BB69-23CF-44E3-9099-C40C66FF867C}">
                  <a14:compatExt spid="_x0000_s14339"/>
                </a:ext>
                <a:ext uri="{FF2B5EF4-FFF2-40B4-BE49-F238E27FC236}">
                  <a16:creationId xmlns:a16="http://schemas.microsoft.com/office/drawing/2014/main" id="{00000000-0008-0000-0000-000003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254000</xdr:colOff>
          <xdr:row>14</xdr:row>
          <xdr:rowOff>25400</xdr:rowOff>
        </xdr:from>
        <xdr:to>
          <xdr:col>3</xdr:col>
          <xdr:colOff>495300</xdr:colOff>
          <xdr:row>14</xdr:row>
          <xdr:rowOff>304800</xdr:rowOff>
        </xdr:to>
        <xdr:sp macro="" textlink="">
          <xdr:nvSpPr>
            <xdr:cNvPr id="14340" name="Check Box 4" hidden="1">
              <a:extLst>
                <a:ext uri="{63B3BB69-23CF-44E3-9099-C40C66FF867C}">
                  <a14:compatExt spid="_x0000_s14340"/>
                </a:ext>
                <a:ext uri="{FF2B5EF4-FFF2-40B4-BE49-F238E27FC236}">
                  <a16:creationId xmlns:a16="http://schemas.microsoft.com/office/drawing/2014/main" id="{00000000-0008-0000-0000-000004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254000</xdr:colOff>
          <xdr:row>15</xdr:row>
          <xdr:rowOff>25400</xdr:rowOff>
        </xdr:from>
        <xdr:to>
          <xdr:col>3</xdr:col>
          <xdr:colOff>495300</xdr:colOff>
          <xdr:row>15</xdr:row>
          <xdr:rowOff>304800</xdr:rowOff>
        </xdr:to>
        <xdr:sp macro="" textlink="">
          <xdr:nvSpPr>
            <xdr:cNvPr id="14341" name="Check Box 5" hidden="1">
              <a:extLst>
                <a:ext uri="{63B3BB69-23CF-44E3-9099-C40C66FF867C}">
                  <a14:compatExt spid="_x0000_s14341"/>
                </a:ext>
                <a:ext uri="{FF2B5EF4-FFF2-40B4-BE49-F238E27FC236}">
                  <a16:creationId xmlns:a16="http://schemas.microsoft.com/office/drawing/2014/main" id="{00000000-0008-0000-0000-000005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254000</xdr:colOff>
          <xdr:row>14</xdr:row>
          <xdr:rowOff>25400</xdr:rowOff>
        </xdr:from>
        <xdr:to>
          <xdr:col>5</xdr:col>
          <xdr:colOff>495300</xdr:colOff>
          <xdr:row>14</xdr:row>
          <xdr:rowOff>304800</xdr:rowOff>
        </xdr:to>
        <xdr:sp macro="" textlink="">
          <xdr:nvSpPr>
            <xdr:cNvPr id="14342" name="Check Box 6" hidden="1">
              <a:extLst>
                <a:ext uri="{63B3BB69-23CF-44E3-9099-C40C66FF867C}">
                  <a14:compatExt spid="_x0000_s14342"/>
                </a:ext>
                <a:ext uri="{FF2B5EF4-FFF2-40B4-BE49-F238E27FC236}">
                  <a16:creationId xmlns:a16="http://schemas.microsoft.com/office/drawing/2014/main" id="{00000000-0008-0000-0000-000006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254000</xdr:colOff>
          <xdr:row>15</xdr:row>
          <xdr:rowOff>25400</xdr:rowOff>
        </xdr:from>
        <xdr:to>
          <xdr:col>5</xdr:col>
          <xdr:colOff>495300</xdr:colOff>
          <xdr:row>15</xdr:row>
          <xdr:rowOff>304800</xdr:rowOff>
        </xdr:to>
        <xdr:sp macro="" textlink="">
          <xdr:nvSpPr>
            <xdr:cNvPr id="14343" name="Check Box 7" hidden="1">
              <a:extLst>
                <a:ext uri="{63B3BB69-23CF-44E3-9099-C40C66FF867C}">
                  <a14:compatExt spid="_x0000_s14343"/>
                </a:ext>
                <a:ext uri="{FF2B5EF4-FFF2-40B4-BE49-F238E27FC236}">
                  <a16:creationId xmlns:a16="http://schemas.microsoft.com/office/drawing/2014/main" id="{00000000-0008-0000-0000-000007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254000</xdr:colOff>
          <xdr:row>21</xdr:row>
          <xdr:rowOff>25400</xdr:rowOff>
        </xdr:from>
        <xdr:to>
          <xdr:col>3</xdr:col>
          <xdr:colOff>495300</xdr:colOff>
          <xdr:row>21</xdr:row>
          <xdr:rowOff>304800</xdr:rowOff>
        </xdr:to>
        <xdr:sp macro="" textlink="">
          <xdr:nvSpPr>
            <xdr:cNvPr id="14344" name="Check Box 8" hidden="1">
              <a:extLst>
                <a:ext uri="{63B3BB69-23CF-44E3-9099-C40C66FF867C}">
                  <a14:compatExt spid="_x0000_s14344"/>
                </a:ext>
                <a:ext uri="{FF2B5EF4-FFF2-40B4-BE49-F238E27FC236}">
                  <a16:creationId xmlns:a16="http://schemas.microsoft.com/office/drawing/2014/main" id="{00000000-0008-0000-0000-000008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254000</xdr:colOff>
          <xdr:row>22</xdr:row>
          <xdr:rowOff>25400</xdr:rowOff>
        </xdr:from>
        <xdr:to>
          <xdr:col>3</xdr:col>
          <xdr:colOff>495300</xdr:colOff>
          <xdr:row>22</xdr:row>
          <xdr:rowOff>304800</xdr:rowOff>
        </xdr:to>
        <xdr:sp macro="" textlink="">
          <xdr:nvSpPr>
            <xdr:cNvPr id="14345" name="Check Box 9" hidden="1">
              <a:extLst>
                <a:ext uri="{63B3BB69-23CF-44E3-9099-C40C66FF867C}">
                  <a14:compatExt spid="_x0000_s14345"/>
                </a:ext>
                <a:ext uri="{FF2B5EF4-FFF2-40B4-BE49-F238E27FC236}">
                  <a16:creationId xmlns:a16="http://schemas.microsoft.com/office/drawing/2014/main" id="{00000000-0008-0000-0000-000009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254000</xdr:colOff>
          <xdr:row>23</xdr:row>
          <xdr:rowOff>25400</xdr:rowOff>
        </xdr:from>
        <xdr:to>
          <xdr:col>3</xdr:col>
          <xdr:colOff>495300</xdr:colOff>
          <xdr:row>23</xdr:row>
          <xdr:rowOff>304800</xdr:rowOff>
        </xdr:to>
        <xdr:sp macro="" textlink="">
          <xdr:nvSpPr>
            <xdr:cNvPr id="14346" name="Check Box 10" hidden="1">
              <a:extLst>
                <a:ext uri="{63B3BB69-23CF-44E3-9099-C40C66FF867C}">
                  <a14:compatExt spid="_x0000_s14346"/>
                </a:ext>
                <a:ext uri="{FF2B5EF4-FFF2-40B4-BE49-F238E27FC236}">
                  <a16:creationId xmlns:a16="http://schemas.microsoft.com/office/drawing/2014/main" id="{00000000-0008-0000-0000-00000A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254000</xdr:colOff>
          <xdr:row>21</xdr:row>
          <xdr:rowOff>25400</xdr:rowOff>
        </xdr:from>
        <xdr:to>
          <xdr:col>5</xdr:col>
          <xdr:colOff>495300</xdr:colOff>
          <xdr:row>21</xdr:row>
          <xdr:rowOff>304800</xdr:rowOff>
        </xdr:to>
        <xdr:sp macro="" textlink="">
          <xdr:nvSpPr>
            <xdr:cNvPr id="14347" name="Check Box 11" hidden="1">
              <a:extLst>
                <a:ext uri="{63B3BB69-23CF-44E3-9099-C40C66FF867C}">
                  <a14:compatExt spid="_x0000_s14347"/>
                </a:ext>
                <a:ext uri="{FF2B5EF4-FFF2-40B4-BE49-F238E27FC236}">
                  <a16:creationId xmlns:a16="http://schemas.microsoft.com/office/drawing/2014/main" id="{00000000-0008-0000-0000-00000B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254000</xdr:colOff>
          <xdr:row>22</xdr:row>
          <xdr:rowOff>25400</xdr:rowOff>
        </xdr:from>
        <xdr:to>
          <xdr:col>5</xdr:col>
          <xdr:colOff>495300</xdr:colOff>
          <xdr:row>22</xdr:row>
          <xdr:rowOff>304800</xdr:rowOff>
        </xdr:to>
        <xdr:sp macro="" textlink="">
          <xdr:nvSpPr>
            <xdr:cNvPr id="14348" name="Check Box 12" hidden="1">
              <a:extLst>
                <a:ext uri="{63B3BB69-23CF-44E3-9099-C40C66FF867C}">
                  <a14:compatExt spid="_x0000_s14348"/>
                </a:ext>
                <a:ext uri="{FF2B5EF4-FFF2-40B4-BE49-F238E27FC236}">
                  <a16:creationId xmlns:a16="http://schemas.microsoft.com/office/drawing/2014/main" id="{00000000-0008-0000-0000-00000C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254000</xdr:colOff>
          <xdr:row>23</xdr:row>
          <xdr:rowOff>25400</xdr:rowOff>
        </xdr:from>
        <xdr:to>
          <xdr:col>5</xdr:col>
          <xdr:colOff>495300</xdr:colOff>
          <xdr:row>23</xdr:row>
          <xdr:rowOff>304800</xdr:rowOff>
        </xdr:to>
        <xdr:sp macro="" textlink="">
          <xdr:nvSpPr>
            <xdr:cNvPr id="14349" name="Check Box 13" hidden="1">
              <a:extLst>
                <a:ext uri="{63B3BB69-23CF-44E3-9099-C40C66FF867C}">
                  <a14:compatExt spid="_x0000_s14349"/>
                </a:ext>
                <a:ext uri="{FF2B5EF4-FFF2-40B4-BE49-F238E27FC236}">
                  <a16:creationId xmlns:a16="http://schemas.microsoft.com/office/drawing/2014/main" id="{00000000-0008-0000-0000-00000D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254000</xdr:colOff>
          <xdr:row>16</xdr:row>
          <xdr:rowOff>25400</xdr:rowOff>
        </xdr:from>
        <xdr:to>
          <xdr:col>3</xdr:col>
          <xdr:colOff>495300</xdr:colOff>
          <xdr:row>16</xdr:row>
          <xdr:rowOff>304800</xdr:rowOff>
        </xdr:to>
        <xdr:sp macro="" textlink="">
          <xdr:nvSpPr>
            <xdr:cNvPr id="14354" name="Check Box 18" hidden="1">
              <a:extLst>
                <a:ext uri="{63B3BB69-23CF-44E3-9099-C40C66FF867C}">
                  <a14:compatExt spid="_x0000_s14354"/>
                </a:ext>
                <a:ext uri="{FF2B5EF4-FFF2-40B4-BE49-F238E27FC236}">
                  <a16:creationId xmlns:a16="http://schemas.microsoft.com/office/drawing/2014/main" id="{00000000-0008-0000-0000-0000123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354290</xdr:colOff>
      <xdr:row>1</xdr:row>
      <xdr:rowOff>193769</xdr:rowOff>
    </xdr:from>
    <xdr:to>
      <xdr:col>10</xdr:col>
      <xdr:colOff>29043</xdr:colOff>
      <xdr:row>3</xdr:row>
      <xdr:rowOff>161925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88415" y="384269"/>
          <a:ext cx="951103" cy="368206"/>
        </a:xfrm>
        <a:prstGeom prst="rect">
          <a:avLst/>
        </a:prstGeom>
      </xdr:spPr>
    </xdr:pic>
    <xdr:clientData/>
  </xdr:twoCellAnchor>
  <xdr:oneCellAnchor>
    <xdr:from>
      <xdr:col>12</xdr:col>
      <xdr:colOff>159821</xdr:colOff>
      <xdr:row>30</xdr:row>
      <xdr:rowOff>92747</xdr:rowOff>
    </xdr:from>
    <xdr:ext cx="5080622" cy="937629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 rot="20411742">
          <a:off x="8748886" y="4996051"/>
          <a:ext cx="5080622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5400" b="1" cap="none" spc="0">
              <a:ln w="10160">
                <a:solidFill>
                  <a:schemeClr val="accent5"/>
                </a:solidFill>
                <a:prstDash val="solid"/>
              </a:ln>
              <a:solidFill>
                <a:srgbClr val="FFFFFF"/>
              </a:solidFill>
              <a:effectLst>
                <a:outerShdw blurRad="38100" dist="22860" dir="5400000" algn="tl" rotWithShape="0">
                  <a:srgbClr val="000000">
                    <a:alpha val="30000"/>
                  </a:srgbClr>
                </a:outerShdw>
              </a:effectLst>
            </a:rPr>
            <a:t>Work in Progress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1551109</xdr:colOff>
      <xdr:row>0</xdr:row>
      <xdr:rowOff>44695</xdr:rowOff>
    </xdr:from>
    <xdr:to>
      <xdr:col>12</xdr:col>
      <xdr:colOff>3219762</xdr:colOff>
      <xdr:row>2</xdr:row>
      <xdr:rowOff>38341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77000"/>
                  </a14:imgEffect>
                  <a14:imgEffect>
                    <a14:saturation sat="400000"/>
                  </a14:imgEffect>
                  <a14:imgEffect>
                    <a14:brightnessContrast contrast="5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23359" y="44695"/>
          <a:ext cx="1668653" cy="584196"/>
        </a:xfrm>
        <a:prstGeom prst="rect">
          <a:avLst/>
        </a:prstGeom>
      </xdr:spPr>
    </xdr:pic>
    <xdr:clientData/>
  </xdr:twoCellAnchor>
  <xdr:twoCellAnchor>
    <xdr:from>
      <xdr:col>12</xdr:col>
      <xdr:colOff>0</xdr:colOff>
      <xdr:row>24</xdr:row>
      <xdr:rowOff>0</xdr:rowOff>
    </xdr:from>
    <xdr:to>
      <xdr:col>12</xdr:col>
      <xdr:colOff>885825</xdr:colOff>
      <xdr:row>24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6572250" y="7258050"/>
          <a:ext cx="88582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0</xdr:colOff>
      <xdr:row>25</xdr:row>
      <xdr:rowOff>7327</xdr:rowOff>
    </xdr:from>
    <xdr:to>
      <xdr:col>12</xdr:col>
      <xdr:colOff>914400</xdr:colOff>
      <xdr:row>25</xdr:row>
      <xdr:rowOff>9526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CxnSpPr/>
      </xdr:nvCxnSpPr>
      <xdr:spPr>
        <a:xfrm>
          <a:off x="6572250" y="7503502"/>
          <a:ext cx="914400" cy="219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9525</xdr:colOff>
      <xdr:row>25</xdr:row>
      <xdr:rowOff>47625</xdr:rowOff>
    </xdr:from>
    <xdr:to>
      <xdr:col>12</xdr:col>
      <xdr:colOff>933450</xdr:colOff>
      <xdr:row>25</xdr:row>
      <xdr:rowOff>47626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CxnSpPr/>
      </xdr:nvCxnSpPr>
      <xdr:spPr>
        <a:xfrm flipV="1">
          <a:off x="6581775" y="7543800"/>
          <a:ext cx="923925" cy="1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406400</xdr:colOff>
          <xdr:row>38</xdr:row>
          <xdr:rowOff>177800</xdr:rowOff>
        </xdr:from>
        <xdr:to>
          <xdr:col>11</xdr:col>
          <xdr:colOff>596900</xdr:colOff>
          <xdr:row>40</xdr:row>
          <xdr:rowOff>12700</xdr:rowOff>
        </xdr:to>
        <xdr:sp macro="" textlink="">
          <xdr:nvSpPr>
            <xdr:cNvPr id="5121" name="Check Box 1" hidden="1">
              <a:extLst>
                <a:ext uri="{63B3BB69-23CF-44E3-9099-C40C66FF867C}">
                  <a14:compatExt spid="_x0000_s5121"/>
                </a:ext>
                <a:ext uri="{FF2B5EF4-FFF2-40B4-BE49-F238E27FC236}">
                  <a16:creationId xmlns:a16="http://schemas.microsoft.com/office/drawing/2014/main" id="{00000000-0008-0000-0300-000001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406400</xdr:colOff>
          <xdr:row>44</xdr:row>
          <xdr:rowOff>165100</xdr:rowOff>
        </xdr:from>
        <xdr:to>
          <xdr:col>11</xdr:col>
          <xdr:colOff>660400</xdr:colOff>
          <xdr:row>46</xdr:row>
          <xdr:rowOff>25400</xdr:rowOff>
        </xdr:to>
        <xdr:sp macro="" textlink="">
          <xdr:nvSpPr>
            <xdr:cNvPr id="5122" name="Check Box 2" hidden="1">
              <a:extLst>
                <a:ext uri="{63B3BB69-23CF-44E3-9099-C40C66FF867C}">
                  <a14:compatExt spid="_x0000_s5122"/>
                </a:ext>
                <a:ext uri="{FF2B5EF4-FFF2-40B4-BE49-F238E27FC236}">
                  <a16:creationId xmlns:a16="http://schemas.microsoft.com/office/drawing/2014/main" id="{00000000-0008-0000-0300-000002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406400</xdr:colOff>
          <xdr:row>43</xdr:row>
          <xdr:rowOff>12700</xdr:rowOff>
        </xdr:from>
        <xdr:to>
          <xdr:col>11</xdr:col>
          <xdr:colOff>609600</xdr:colOff>
          <xdr:row>44</xdr:row>
          <xdr:rowOff>25400</xdr:rowOff>
        </xdr:to>
        <xdr:sp macro="" textlink="">
          <xdr:nvSpPr>
            <xdr:cNvPr id="5123" name="Check Box 3" hidden="1">
              <a:extLst>
                <a:ext uri="{63B3BB69-23CF-44E3-9099-C40C66FF867C}">
                  <a14:compatExt spid="_x0000_s5123"/>
                </a:ext>
                <a:ext uri="{FF2B5EF4-FFF2-40B4-BE49-F238E27FC236}">
                  <a16:creationId xmlns:a16="http://schemas.microsoft.com/office/drawing/2014/main" id="{00000000-0008-0000-0300-000003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406400</xdr:colOff>
          <xdr:row>41</xdr:row>
          <xdr:rowOff>0</xdr:rowOff>
        </xdr:from>
        <xdr:to>
          <xdr:col>11</xdr:col>
          <xdr:colOff>635000</xdr:colOff>
          <xdr:row>42</xdr:row>
          <xdr:rowOff>12700</xdr:rowOff>
        </xdr:to>
        <xdr:sp macro="" textlink="">
          <xdr:nvSpPr>
            <xdr:cNvPr id="5124" name="Check Box 4" hidden="1">
              <a:extLst>
                <a:ext uri="{63B3BB69-23CF-44E3-9099-C40C66FF867C}">
                  <a14:compatExt spid="_x0000_s5124"/>
                </a:ext>
                <a:ext uri="{FF2B5EF4-FFF2-40B4-BE49-F238E27FC236}">
                  <a16:creationId xmlns:a16="http://schemas.microsoft.com/office/drawing/2014/main" id="{00000000-0008-0000-0300-000004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406400</xdr:colOff>
          <xdr:row>39</xdr:row>
          <xdr:rowOff>152400</xdr:rowOff>
        </xdr:from>
        <xdr:to>
          <xdr:col>11</xdr:col>
          <xdr:colOff>635000</xdr:colOff>
          <xdr:row>40</xdr:row>
          <xdr:rowOff>165100</xdr:rowOff>
        </xdr:to>
        <xdr:sp macro="" textlink="">
          <xdr:nvSpPr>
            <xdr:cNvPr id="5125" name="Check Box 5" hidden="1">
              <a:extLst>
                <a:ext uri="{63B3BB69-23CF-44E3-9099-C40C66FF867C}">
                  <a14:compatExt spid="_x0000_s5125"/>
                </a:ext>
                <a:ext uri="{FF2B5EF4-FFF2-40B4-BE49-F238E27FC236}">
                  <a16:creationId xmlns:a16="http://schemas.microsoft.com/office/drawing/2014/main" id="{00000000-0008-0000-0300-0000051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  <a:ext uri="{91240B29-F687-4F45-9708-019B960494DF}">
                <a14:hiddenLine w="9525">
                  <a:solidFill>
                    <a:srgbClr val="000000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10</xdr:col>
      <xdr:colOff>276225</xdr:colOff>
      <xdr:row>1</xdr:row>
      <xdr:rowOff>123825</xdr:rowOff>
    </xdr:from>
    <xdr:to>
      <xdr:col>11</xdr:col>
      <xdr:colOff>795538</xdr:colOff>
      <xdr:row>3</xdr:row>
      <xdr:rowOff>72931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14975" y="323850"/>
          <a:ext cx="852688" cy="330106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339587</xdr:colOff>
      <xdr:row>1</xdr:row>
      <xdr:rowOff>91108</xdr:rowOff>
    </xdr:from>
    <xdr:to>
      <xdr:col>8</xdr:col>
      <xdr:colOff>231493</xdr:colOff>
      <xdr:row>3</xdr:row>
      <xdr:rowOff>40214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19022" y="289891"/>
          <a:ext cx="852688" cy="330106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PC" id="{E5EA724D-7C0C-4CF0-B5F6-00B561E693D2}" userId="TPC" providerId="None"/>
  <person displayName="TPC-SP" id="{652874F0-2253-49B2-BB0D-40CBA6ECCD7E}" userId="TPC-SP" providerId="None"/>
  <person displayName="Shabeer Theparambil Mohamedali" id="{BA12A0B3-0EC4-484A-B4DE-EC0F08844AF5}" userId="S::sm20379@DCTABUDHABI.AE::b37a0f1e-0ad6-4b6d-968a-f9b8c42a1361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28" dT="2022-06-15T06:43:59.51" personId="{E5EA724D-7C0C-4CF0-B5F6-00B561E693D2}" id="{5583B20D-9E87-4E1E-BB57-8F1D99D64663}">
    <text>Insert from i-Finance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5" dT="2022-06-15T07:23:53.21" personId="{E5EA724D-7C0C-4CF0-B5F6-00B561E693D2}" id="{BF664C54-9126-4988-B05A-1242B588F44D}">
    <text>Drop down from I-finance</text>
  </threadedComment>
  <threadedComment ref="E6" dT="2023-04-14T07:07:41.74" personId="{BA12A0B3-0EC4-484A-B4DE-EC0F08844AF5}" id="{DF41B037-5502-4B78-8A94-5427D1572FEC}">
    <text>Manual entry</text>
  </threadedComment>
  <threadedComment ref="M6" dT="2022-06-15T07:23:53.21" personId="{E5EA724D-7C0C-4CF0-B5F6-00B561E693D2}" id="{4B48C205-BED8-4E0D-B25E-E26B49F2C806}">
    <text>Drop down from I-finance</text>
  </threadedComment>
  <threadedComment ref="E7" dT="2022-06-15T07:24:33.19" personId="{E5EA724D-7C0C-4CF0-B5F6-00B561E693D2}" id="{98A7ED61-2BB0-431A-BE03-FA184FF9C8A0}">
    <text>Automatic from i-finance</text>
  </threadedComment>
  <threadedComment ref="G9" dT="2022-06-15T07:27:06.76" personId="{E5EA724D-7C0C-4CF0-B5F6-00B561E693D2}" id="{8385A431-1E3D-4B12-9877-DDD28938D73D}">
    <text>From I-finance</text>
  </threadedComment>
  <threadedComment ref="M9" dT="2023-04-14T07:09:40.31" personId="{BA12A0B3-0EC4-484A-B4DE-EC0F08844AF5}" id="{244D66A4-9CA6-42FD-9E50-DEC168EF6619}">
    <text>Manual entry</text>
  </threadedComment>
  <threadedComment ref="G10" dT="2022-06-15T07:27:06.76" personId="{E5EA724D-7C0C-4CF0-B5F6-00B561E693D2}" id="{3779DDEB-49FA-4FCB-8E8D-81EE34676A0E}">
    <text>Link to the  latest approved VO number</text>
  </threadedComment>
  <threadedComment ref="M10" dT="2023-04-14T07:09:40.31" personId="{BA12A0B3-0EC4-484A-B4DE-EC0F08844AF5}" id="{C0A19D08-8627-4804-9AE4-4A7A6004D724}">
    <text>Manual entry</text>
  </threadedComment>
  <threadedComment ref="G11" dT="2022-06-15T07:27:06.76" personId="{E5EA724D-7C0C-4CF0-B5F6-00B561E693D2}" id="{5881B536-FB55-4DCD-8B98-AF9D7F27F561}">
    <text>Link to the cumulative of previously approved VOs</text>
  </threadedComment>
  <threadedComment ref="M11" dT="2023-04-14T07:18:24.92" personId="{BA12A0B3-0EC4-484A-B4DE-EC0F08844AF5}" id="{CADCA58A-308B-4225-8619-79BD2A331B10}">
    <text>Link to the cumulative of previously approved VO duration</text>
  </threadedComment>
  <threadedComment ref="G12" dT="2022-06-15T07:27:06.76" personId="{E5EA724D-7C0C-4CF0-B5F6-00B561E693D2}" id="{019D7110-7BA2-4223-945B-D24CFD9CF0EB}">
    <text>Sum of above Contract Value and Approved Vos (Value)</text>
  </threadedComment>
  <threadedComment ref="M12" dT="2023-04-14T07:19:03.91" personId="{BA12A0B3-0EC4-484A-B4DE-EC0F08844AF5}" id="{AF41A3DD-9FA6-4C85-A1FC-1EF9931BFE96}">
    <text>Sum of days of above time for completion and approved extensions</text>
  </threadedComment>
  <threadedComment ref="E15" dT="2022-06-15T06:49:01.82" personId="{E5EA724D-7C0C-4CF0-B5F6-00B561E693D2}" id="{2308B181-5760-4CFF-ADDF-4E5CF703E3FD}">
    <text>First manual entry, then sequence</text>
  </threadedComment>
  <threadedComment ref="M25" dT="2023-04-14T07:32:15.71" personId="{BA12A0B3-0EC4-484A-B4DE-EC0F08844AF5}" id="{FD11183F-BDBD-4DF9-80D5-02387123C69F}">
    <text>Sum of above</text>
  </threadedComment>
  <threadedComment ref="G33" dT="2023-04-14T07:28:16.88" personId="{BA12A0B3-0EC4-484A-B4DE-EC0F08844AF5}" id="{2B1988A1-19FC-498E-B9C7-1751725CC668}">
    <text>Manual entry</text>
  </threadedComment>
  <threadedComment ref="E52" dT="2022-06-15T06:43:59.51" personId="{E5EA724D-7C0C-4CF0-B5F6-00B561E693D2}" id="{6411C7E2-AB80-429F-B7BE-7D5465A1353B}">
    <text>Insert from i-Finance</text>
  </threadedComment>
  <threadedComment ref="C60" dT="2022-06-15T06:45:01.95" personId="{E5EA724D-7C0C-4CF0-B5F6-00B561E693D2}" id="{E48B365C-5533-443F-A7C4-423652DFE6EC}">
    <text>BSS, US or Chairman based on the contract signatory - Drop down list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I19" dT="2022-06-07T07:26:23.89" personId="{E5EA724D-7C0C-4CF0-B5F6-00B561E693D2}" id="{9361811F-AACA-4A01-A7A9-F1A0542495CC}">
    <text>Should take it from the PR value</text>
  </threadedComment>
  <threadedComment ref="K23" dT="2022-06-15T08:07:54.84" personId="{E5EA724D-7C0C-4CF0-B5F6-00B561E693D2}" id="{B8D3A9F7-AE0D-4480-94D2-2261C1DC862F}">
    <text>To be manually inserted for the first VO, therafter to be automatic</text>
  </threadedComment>
  <threadedComment ref="I24" dT="2023-04-18T09:37:08.52" personId="{652874F0-2253-49B2-BB0D-40CBA6ECCD7E}" id="{8A8C96DF-4404-4D27-8D54-19AAF2EA4C2E}">
    <text>L23 +1</text>
  </threadedComment>
  <threadedComment ref="I27" dT="2023-04-18T09:38:51.10" personId="{652874F0-2253-49B2-BB0D-40CBA6ECCD7E}" id="{787A5A95-401F-4721-B6F7-15F836D631D1}">
    <text>I23</text>
  </threadedComment>
  <threadedComment ref="K27" dT="2023-04-18T09:38:39.54" personId="{652874F0-2253-49B2-BB0D-40CBA6ECCD7E}" id="{4FC79229-5E03-4CC4-BDE4-EC57E9FDA18D}">
    <text>L25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D26" dT="2022-06-15T06:51:52.64" personId="{E5EA724D-7C0C-4CF0-B5F6-00B561E693D2}" id="{8021EF18-1653-45A0-A75E-8D3CD63756BD}">
    <text>Automatic from i_Finance</text>
  </threadedComment>
  <threadedComment ref="B32" dT="2023-04-18T10:42:07.95" personId="{652874F0-2253-49B2-BB0D-40CBA6ECCD7E}" id="{D29CD774-3670-4F8C-8020-8FDFD58EFFCA}">
    <text>Drop down for Shabeer TM &amp; Jayakumar Sekhar</text>
  </threadedComment>
</ThreadedComments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19" Type="http://schemas.microsoft.com/office/2017/10/relationships/threadedComment" Target="../threadedComments/threadedComment1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5" Type="http://schemas.microsoft.com/office/2017/10/relationships/threadedComment" Target="../threadedComments/threadedComment2.xml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18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10" Type="http://schemas.microsoft.com/office/2017/10/relationships/threadedComment" Target="../threadedComments/threadedComment3.xml"/><Relationship Id="rId4" Type="http://schemas.openxmlformats.org/officeDocument/2006/relationships/ctrlProp" Target="../ctrlProps/ctrlProp15.xml"/><Relationship Id="rId9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5" Type="http://schemas.microsoft.com/office/2017/10/relationships/threadedComment" Target="../threadedComments/threadedComment4.xml"/><Relationship Id="rId4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4713-1332-49FC-AFBF-B46E9C2D6196}">
  <dimension ref="A1:U51"/>
  <sheetViews>
    <sheetView showGridLines="0" view="pageBreakPreview" topLeftCell="A18" zoomScaleNormal="100" zoomScaleSheetLayoutView="70" workbookViewId="0">
      <selection activeCell="A47" sqref="A47:G47"/>
    </sheetView>
  </sheetViews>
  <sheetFormatPr baseColWidth="10" defaultColWidth="9.1640625" defaultRowHeight="13" x14ac:dyDescent="0.15"/>
  <cols>
    <col min="1" max="1" width="30.6640625" style="335" customWidth="1"/>
    <col min="2" max="2" width="10.6640625" style="335" customWidth="1"/>
    <col min="3" max="3" width="23.6640625" style="335" customWidth="1"/>
    <col min="4" max="4" width="16.83203125" style="335" customWidth="1"/>
    <col min="5" max="5" width="19.33203125" style="335" customWidth="1"/>
    <col min="6" max="6" width="10.6640625" style="335" customWidth="1"/>
    <col min="7" max="7" width="23.6640625" style="335" customWidth="1"/>
    <col min="8" max="8" width="13.5" style="335" customWidth="1"/>
    <col min="9" max="16384" width="9.1640625" style="335"/>
  </cols>
  <sheetData>
    <row r="1" spans="1:7" ht="15" customHeight="1" x14ac:dyDescent="0.15"/>
    <row r="2" spans="1:7" ht="15" customHeight="1" x14ac:dyDescent="0.2">
      <c r="A2" s="337"/>
      <c r="B2" s="337"/>
      <c r="C2" s="337"/>
      <c r="D2" s="337"/>
    </row>
    <row r="3" spans="1:7" ht="15" customHeight="1" x14ac:dyDescent="0.2">
      <c r="A3" s="377" t="s">
        <v>222</v>
      </c>
      <c r="B3" s="336"/>
      <c r="C3" s="336"/>
      <c r="D3" s="336"/>
    </row>
    <row r="4" spans="1:7" ht="15" customHeight="1" x14ac:dyDescent="0.15"/>
    <row r="5" spans="1:7" ht="25" customHeight="1" x14ac:dyDescent="0.15">
      <c r="A5" s="407" t="s">
        <v>223</v>
      </c>
      <c r="B5" s="407"/>
      <c r="C5" s="407"/>
      <c r="D5" s="334" t="s">
        <v>261</v>
      </c>
      <c r="E5" s="429" t="s">
        <v>170</v>
      </c>
      <c r="F5" s="430"/>
      <c r="G5" s="431"/>
    </row>
    <row r="6" spans="1:7" ht="25" customHeight="1" x14ac:dyDescent="0.15">
      <c r="A6" s="401" t="s">
        <v>224</v>
      </c>
      <c r="B6" s="402"/>
      <c r="C6" s="402"/>
      <c r="D6" s="402"/>
      <c r="E6" s="402"/>
      <c r="F6" s="402"/>
      <c r="G6" s="403"/>
    </row>
    <row r="7" spans="1:7" ht="25" customHeight="1" x14ac:dyDescent="0.15">
      <c r="A7" s="408" t="s">
        <v>225</v>
      </c>
      <c r="B7" s="409"/>
      <c r="C7" s="409"/>
      <c r="D7" s="409"/>
      <c r="E7" s="409"/>
      <c r="F7" s="409"/>
      <c r="G7" s="410"/>
    </row>
    <row r="8" spans="1:7" ht="25" customHeight="1" x14ac:dyDescent="0.15">
      <c r="A8" s="408"/>
      <c r="B8" s="409"/>
      <c r="C8" s="409"/>
      <c r="D8" s="409"/>
      <c r="E8" s="409"/>
      <c r="F8" s="409"/>
      <c r="G8" s="410"/>
    </row>
    <row r="9" spans="1:7" ht="25" customHeight="1" x14ac:dyDescent="0.2">
      <c r="A9" s="378" t="s">
        <v>226</v>
      </c>
      <c r="B9" s="286"/>
      <c r="C9" s="396"/>
      <c r="D9" s="396"/>
      <c r="E9" s="396"/>
      <c r="F9" s="396"/>
      <c r="G9" s="397"/>
    </row>
    <row r="10" spans="1:7" ht="25" customHeight="1" x14ac:dyDescent="0.2">
      <c r="A10" s="378" t="s">
        <v>227</v>
      </c>
      <c r="B10" s="286"/>
      <c r="C10" s="396"/>
      <c r="D10" s="396"/>
      <c r="E10" s="396"/>
      <c r="F10" s="396"/>
      <c r="G10" s="397"/>
    </row>
    <row r="11" spans="1:7" ht="25" customHeight="1" x14ac:dyDescent="0.2">
      <c r="A11" s="378" t="s">
        <v>228</v>
      </c>
      <c r="B11" s="286"/>
      <c r="C11" s="396"/>
      <c r="D11" s="396"/>
      <c r="E11" s="396"/>
      <c r="F11" s="396"/>
      <c r="G11" s="397"/>
    </row>
    <row r="12" spans="1:7" ht="25" customHeight="1" x14ac:dyDescent="0.15">
      <c r="A12" s="378" t="s">
        <v>229</v>
      </c>
      <c r="B12" s="400" t="s">
        <v>170</v>
      </c>
      <c r="C12" s="396"/>
      <c r="D12" s="396"/>
      <c r="E12" s="396"/>
      <c r="F12" s="396"/>
      <c r="G12" s="397"/>
    </row>
    <row r="13" spans="1:7" ht="25" customHeight="1" x14ac:dyDescent="0.15">
      <c r="A13" s="379" t="s">
        <v>230</v>
      </c>
      <c r="B13" s="400" t="s">
        <v>170</v>
      </c>
      <c r="C13" s="398"/>
      <c r="D13" s="398"/>
      <c r="E13" s="398"/>
      <c r="F13" s="398"/>
      <c r="G13" s="399"/>
    </row>
    <row r="14" spans="1:7" ht="25" customHeight="1" x14ac:dyDescent="0.15">
      <c r="A14" s="401" t="s">
        <v>231</v>
      </c>
      <c r="B14" s="402"/>
      <c r="C14" s="402"/>
      <c r="D14" s="402"/>
      <c r="E14" s="402"/>
      <c r="F14" s="402"/>
      <c r="G14" s="403"/>
    </row>
    <row r="15" spans="1:7" s="341" customFormat="1" ht="25" customHeight="1" x14ac:dyDescent="0.2">
      <c r="A15" s="352" t="s">
        <v>232</v>
      </c>
      <c r="B15" s="354"/>
      <c r="C15" s="354" t="s">
        <v>233</v>
      </c>
      <c r="D15" s="354"/>
      <c r="E15" s="354" t="s">
        <v>234</v>
      </c>
      <c r="F15" s="354"/>
      <c r="G15" s="357"/>
    </row>
    <row r="16" spans="1:7" s="341" customFormat="1" ht="25" customHeight="1" x14ac:dyDescent="0.2">
      <c r="A16" s="352" t="s">
        <v>235</v>
      </c>
      <c r="B16" s="354"/>
      <c r="C16" s="354" t="s">
        <v>236</v>
      </c>
      <c r="D16" s="354"/>
      <c r="E16" s="354" t="s">
        <v>237</v>
      </c>
      <c r="F16" s="354"/>
      <c r="G16" s="357"/>
    </row>
    <row r="17" spans="1:21" s="341" customFormat="1" ht="25" customHeight="1" x14ac:dyDescent="0.2">
      <c r="A17" s="353" t="s">
        <v>263</v>
      </c>
      <c r="B17" s="358"/>
      <c r="C17" s="358" t="s">
        <v>238</v>
      </c>
      <c r="D17" s="358"/>
      <c r="E17" s="358"/>
      <c r="F17" s="359"/>
      <c r="G17" s="360"/>
    </row>
    <row r="18" spans="1:21" ht="25" customHeight="1" x14ac:dyDescent="0.15">
      <c r="A18" s="401" t="s">
        <v>239</v>
      </c>
      <c r="B18" s="402"/>
      <c r="C18" s="402"/>
      <c r="D18" s="402"/>
      <c r="E18" s="402"/>
      <c r="F18" s="402"/>
      <c r="G18" s="403"/>
    </row>
    <row r="19" spans="1:21" s="343" customFormat="1" ht="25" customHeight="1" x14ac:dyDescent="0.15">
      <c r="A19" s="355" t="s">
        <v>240</v>
      </c>
      <c r="B19" s="361"/>
      <c r="C19" s="380" t="s">
        <v>170</v>
      </c>
      <c r="D19" s="381"/>
      <c r="E19" s="381"/>
      <c r="F19" s="381"/>
      <c r="G19" s="362"/>
      <c r="H19" s="342"/>
      <c r="I19" s="342"/>
      <c r="J19" s="342"/>
      <c r="K19" s="342"/>
      <c r="L19" s="342"/>
      <c r="M19" s="342"/>
      <c r="N19" s="342"/>
      <c r="O19" s="342"/>
      <c r="P19" s="342"/>
      <c r="Q19" s="342"/>
      <c r="R19" s="342"/>
      <c r="S19" s="342"/>
      <c r="T19" s="342"/>
      <c r="U19" s="342"/>
    </row>
    <row r="20" spans="1:21" s="343" customFormat="1" ht="25" customHeight="1" x14ac:dyDescent="0.15">
      <c r="A20" s="355" t="s">
        <v>241</v>
      </c>
      <c r="B20" s="361"/>
      <c r="C20" s="382" t="s">
        <v>170</v>
      </c>
      <c r="D20" s="383"/>
      <c r="E20" s="383"/>
      <c r="F20" s="383"/>
      <c r="G20" s="363"/>
      <c r="H20" s="344"/>
      <c r="I20" s="345"/>
      <c r="J20" s="342"/>
      <c r="K20" s="342"/>
      <c r="L20" s="342"/>
      <c r="M20" s="342"/>
      <c r="N20" s="342"/>
      <c r="O20" s="342"/>
      <c r="P20" s="342"/>
      <c r="Q20" s="342"/>
      <c r="R20" s="342"/>
      <c r="S20" s="342"/>
      <c r="T20" s="342"/>
      <c r="U20" s="342"/>
    </row>
    <row r="21" spans="1:21" s="8" customFormat="1" ht="25" customHeight="1" x14ac:dyDescent="0.15">
      <c r="A21" s="364"/>
      <c r="B21" s="361"/>
      <c r="C21" s="365"/>
      <c r="D21" s="365"/>
      <c r="E21" s="366"/>
      <c r="F21" s="366"/>
      <c r="G21" s="363"/>
      <c r="H21" s="338"/>
      <c r="I21" s="338"/>
      <c r="J21" s="339"/>
      <c r="K21" s="339"/>
      <c r="L21" s="339"/>
      <c r="M21" s="339"/>
      <c r="N21" s="339"/>
      <c r="O21" s="339"/>
      <c r="P21" s="339"/>
      <c r="Q21" s="339"/>
      <c r="R21" s="339"/>
      <c r="S21" s="339"/>
      <c r="T21" s="339"/>
      <c r="U21" s="339"/>
    </row>
    <row r="22" spans="1:21" s="340" customFormat="1" ht="25" customHeight="1" x14ac:dyDescent="0.2">
      <c r="A22" s="355" t="s">
        <v>242</v>
      </c>
      <c r="B22" s="367"/>
      <c r="C22" s="356" t="s">
        <v>243</v>
      </c>
      <c r="D22" s="354"/>
      <c r="E22" s="356" t="s">
        <v>244</v>
      </c>
      <c r="F22" s="354"/>
      <c r="G22" s="368"/>
      <c r="J22" s="346"/>
      <c r="K22" s="346"/>
      <c r="L22" s="346"/>
      <c r="M22" s="346"/>
      <c r="O22" s="346"/>
      <c r="P22" s="346"/>
      <c r="Q22" s="346"/>
      <c r="R22" s="346"/>
      <c r="S22" s="346"/>
      <c r="T22" s="346"/>
    </row>
    <row r="23" spans="1:21" s="343" customFormat="1" ht="25" customHeight="1" x14ac:dyDescent="0.15">
      <c r="A23" s="355" t="s">
        <v>245</v>
      </c>
      <c r="B23" s="369"/>
      <c r="C23" s="356" t="s">
        <v>246</v>
      </c>
      <c r="D23" s="354"/>
      <c r="E23" s="356" t="s">
        <v>247</v>
      </c>
      <c r="F23" s="354"/>
      <c r="G23" s="363"/>
      <c r="H23" s="344"/>
      <c r="I23" s="344"/>
      <c r="J23" s="344"/>
      <c r="K23" s="344"/>
      <c r="L23" s="344"/>
      <c r="M23" s="344"/>
      <c r="N23" s="344"/>
      <c r="O23" s="344"/>
      <c r="P23" s="344"/>
      <c r="Q23" s="344"/>
      <c r="R23" s="344"/>
      <c r="S23" s="344"/>
      <c r="T23" s="344"/>
      <c r="U23" s="344"/>
    </row>
    <row r="24" spans="1:21" s="343" customFormat="1" ht="25" customHeight="1" x14ac:dyDescent="0.15">
      <c r="A24" s="355" t="s">
        <v>248</v>
      </c>
      <c r="B24" s="369"/>
      <c r="C24" s="356" t="s">
        <v>249</v>
      </c>
      <c r="D24" s="354"/>
      <c r="E24" s="356" t="s">
        <v>250</v>
      </c>
      <c r="F24" s="354"/>
      <c r="G24" s="368"/>
      <c r="H24" s="344"/>
      <c r="I24" s="344"/>
      <c r="J24" s="344"/>
      <c r="K24" s="344"/>
      <c r="L24" s="344"/>
      <c r="M24" s="344"/>
      <c r="N24" s="344"/>
      <c r="O24" s="344"/>
      <c r="P24" s="344"/>
      <c r="Q24" s="344"/>
      <c r="R24" s="344"/>
      <c r="S24" s="344"/>
      <c r="T24" s="344"/>
      <c r="U24" s="344"/>
    </row>
    <row r="25" spans="1:21" ht="25" customHeight="1" x14ac:dyDescent="0.15">
      <c r="A25" s="401" t="s">
        <v>251</v>
      </c>
      <c r="B25" s="402"/>
      <c r="C25" s="402"/>
      <c r="D25" s="402"/>
      <c r="E25" s="402"/>
      <c r="F25" s="402"/>
      <c r="G25" s="403"/>
    </row>
    <row r="26" spans="1:21" s="348" customFormat="1" ht="50" customHeight="1" x14ac:dyDescent="0.2">
      <c r="A26" s="404" t="s">
        <v>252</v>
      </c>
      <c r="B26" s="405"/>
      <c r="C26" s="405"/>
      <c r="D26" s="405"/>
      <c r="E26" s="405"/>
      <c r="F26" s="405"/>
      <c r="G26" s="406"/>
      <c r="H26" s="347"/>
      <c r="I26" s="347"/>
      <c r="J26" s="347"/>
      <c r="K26" s="347"/>
      <c r="L26" s="347"/>
      <c r="M26" s="347"/>
      <c r="N26" s="347"/>
      <c r="O26" s="347"/>
      <c r="P26" s="347"/>
      <c r="Q26" s="347"/>
      <c r="R26" s="347"/>
      <c r="S26" s="347"/>
      <c r="T26" s="347"/>
      <c r="U26" s="347"/>
    </row>
    <row r="27" spans="1:21" s="348" customFormat="1" ht="25" customHeight="1" x14ac:dyDescent="0.2">
      <c r="A27" s="401" t="s">
        <v>253</v>
      </c>
      <c r="B27" s="402"/>
      <c r="C27" s="402"/>
      <c r="D27" s="402"/>
      <c r="E27" s="402"/>
      <c r="F27" s="402"/>
      <c r="G27" s="403"/>
      <c r="H27" s="347"/>
      <c r="I27" s="347"/>
      <c r="J27" s="347"/>
      <c r="K27" s="347"/>
      <c r="L27" s="347"/>
      <c r="M27" s="347"/>
      <c r="N27" s="347"/>
      <c r="O27" s="347"/>
      <c r="P27" s="347"/>
      <c r="Q27" s="347"/>
      <c r="R27" s="347"/>
      <c r="S27" s="347"/>
      <c r="T27" s="347"/>
      <c r="U27" s="347"/>
    </row>
    <row r="28" spans="1:21" ht="25" customHeight="1" x14ac:dyDescent="0.2">
      <c r="A28" s="416" t="s">
        <v>254</v>
      </c>
      <c r="B28" s="417"/>
      <c r="C28" s="371" t="s">
        <v>255</v>
      </c>
      <c r="D28" s="418"/>
      <c r="E28" s="419"/>
      <c r="F28" s="419"/>
      <c r="G28" s="372"/>
    </row>
    <row r="29" spans="1:21" ht="30" customHeight="1" x14ac:dyDescent="0.15">
      <c r="A29" s="416"/>
      <c r="B29" s="417"/>
      <c r="C29" s="371" t="s">
        <v>87</v>
      </c>
      <c r="D29" s="420"/>
      <c r="E29" s="420"/>
      <c r="F29" s="420"/>
      <c r="G29" s="373"/>
    </row>
    <row r="30" spans="1:21" ht="25" customHeight="1" x14ac:dyDescent="0.15">
      <c r="A30" s="416"/>
      <c r="B30" s="417"/>
      <c r="C30" s="371" t="s">
        <v>49</v>
      </c>
      <c r="D30" s="421"/>
      <c r="E30" s="421"/>
      <c r="F30" s="421"/>
      <c r="G30" s="372"/>
    </row>
    <row r="31" spans="1:21" ht="10" customHeight="1" x14ac:dyDescent="0.15">
      <c r="A31" s="332"/>
      <c r="B31" s="333"/>
      <c r="C31" s="351"/>
      <c r="D31" s="374"/>
      <c r="E31" s="375"/>
      <c r="F31" s="375"/>
      <c r="G31" s="376"/>
    </row>
    <row r="32" spans="1:21" s="348" customFormat="1" ht="25" customHeight="1" x14ac:dyDescent="0.2">
      <c r="A32" s="422" t="s">
        <v>256</v>
      </c>
      <c r="B32" s="423"/>
      <c r="C32" s="423"/>
      <c r="D32" s="424"/>
      <c r="E32" s="424"/>
      <c r="F32" s="424"/>
      <c r="G32" s="425"/>
      <c r="H32" s="347"/>
      <c r="I32" s="347"/>
      <c r="J32" s="347"/>
      <c r="K32" s="347"/>
      <c r="L32" s="347"/>
      <c r="M32" s="347"/>
      <c r="N32" s="347"/>
      <c r="O32" s="347"/>
      <c r="P32" s="347"/>
      <c r="Q32" s="347"/>
      <c r="R32" s="347"/>
      <c r="S32" s="347"/>
      <c r="T32" s="347"/>
      <c r="U32" s="347"/>
    </row>
    <row r="33" spans="1:21" ht="25" customHeight="1" x14ac:dyDescent="0.15">
      <c r="A33" s="432" t="s">
        <v>264</v>
      </c>
      <c r="B33" s="433"/>
      <c r="C33" s="384" t="s">
        <v>255</v>
      </c>
      <c r="D33" s="413"/>
      <c r="E33" s="413"/>
      <c r="F33" s="413"/>
      <c r="G33" s="385"/>
    </row>
    <row r="34" spans="1:21" ht="30" customHeight="1" x14ac:dyDescent="0.15">
      <c r="A34" s="432"/>
      <c r="B34" s="433"/>
      <c r="C34" s="384" t="s">
        <v>87</v>
      </c>
      <c r="D34" s="414"/>
      <c r="E34" s="414"/>
      <c r="F34" s="414"/>
      <c r="G34" s="386"/>
    </row>
    <row r="35" spans="1:21" ht="25" customHeight="1" x14ac:dyDescent="0.15">
      <c r="A35" s="432"/>
      <c r="B35" s="433"/>
      <c r="C35" s="384" t="s">
        <v>49</v>
      </c>
      <c r="D35" s="415"/>
      <c r="E35" s="415"/>
      <c r="F35" s="415"/>
      <c r="G35" s="385"/>
    </row>
    <row r="36" spans="1:21" ht="10" customHeight="1" x14ac:dyDescent="0.15">
      <c r="A36" s="387"/>
      <c r="B36" s="388"/>
      <c r="C36" s="389"/>
      <c r="D36" s="390"/>
      <c r="E36" s="391"/>
      <c r="F36" s="391"/>
      <c r="G36" s="392"/>
    </row>
    <row r="37" spans="1:21" s="348" customFormat="1" ht="25" customHeight="1" x14ac:dyDescent="0.2">
      <c r="A37" s="422" t="s">
        <v>256</v>
      </c>
      <c r="B37" s="423"/>
      <c r="C37" s="423"/>
      <c r="D37" s="424"/>
      <c r="E37" s="424"/>
      <c r="F37" s="424"/>
      <c r="G37" s="425"/>
      <c r="H37" s="347" t="s">
        <v>262</v>
      </c>
      <c r="I37" s="347"/>
      <c r="J37" s="347"/>
      <c r="K37" s="347"/>
      <c r="L37" s="347"/>
      <c r="M37" s="347"/>
      <c r="N37" s="347"/>
      <c r="O37" s="347"/>
      <c r="P37" s="347"/>
      <c r="Q37" s="347"/>
      <c r="R37" s="347"/>
      <c r="S37" s="347"/>
      <c r="T37" s="347"/>
      <c r="U37" s="347"/>
    </row>
    <row r="38" spans="1:21" ht="25" customHeight="1" x14ac:dyDescent="0.15">
      <c r="A38" s="411" t="s">
        <v>257</v>
      </c>
      <c r="B38" s="412"/>
      <c r="C38" s="384" t="s">
        <v>255</v>
      </c>
      <c r="D38" s="413"/>
      <c r="E38" s="413"/>
      <c r="F38" s="413"/>
      <c r="G38" s="385"/>
    </row>
    <row r="39" spans="1:21" ht="30" customHeight="1" x14ac:dyDescent="0.15">
      <c r="A39" s="411"/>
      <c r="B39" s="412"/>
      <c r="C39" s="384" t="s">
        <v>87</v>
      </c>
      <c r="D39" s="414"/>
      <c r="E39" s="414"/>
      <c r="F39" s="414"/>
      <c r="G39" s="386"/>
    </row>
    <row r="40" spans="1:21" ht="25" customHeight="1" x14ac:dyDescent="0.15">
      <c r="A40" s="411"/>
      <c r="B40" s="412"/>
      <c r="C40" s="384" t="s">
        <v>49</v>
      </c>
      <c r="D40" s="415"/>
      <c r="E40" s="415"/>
      <c r="F40" s="415"/>
      <c r="G40" s="385"/>
    </row>
    <row r="41" spans="1:21" ht="10" customHeight="1" x14ac:dyDescent="0.15">
      <c r="A41" s="393"/>
      <c r="B41" s="394"/>
      <c r="C41" s="395"/>
      <c r="D41" s="390"/>
      <c r="E41" s="391"/>
      <c r="F41" s="391"/>
      <c r="G41" s="392"/>
    </row>
    <row r="42" spans="1:21" s="348" customFormat="1" ht="25" customHeight="1" x14ac:dyDescent="0.2">
      <c r="A42" s="401" t="s">
        <v>258</v>
      </c>
      <c r="B42" s="402"/>
      <c r="C42" s="402"/>
      <c r="D42" s="402"/>
      <c r="E42" s="402"/>
      <c r="F42" s="402"/>
      <c r="G42" s="403"/>
      <c r="H42" s="347"/>
      <c r="I42" s="347"/>
      <c r="J42" s="347"/>
      <c r="K42" s="347"/>
      <c r="L42" s="347"/>
      <c r="M42" s="347"/>
      <c r="N42" s="347"/>
      <c r="O42" s="347"/>
      <c r="P42" s="347"/>
      <c r="Q42" s="347"/>
      <c r="R42" s="347"/>
      <c r="S42" s="347"/>
      <c r="T42" s="347"/>
      <c r="U42" s="347"/>
    </row>
    <row r="43" spans="1:21" ht="25" customHeight="1" x14ac:dyDescent="0.15">
      <c r="A43" s="426" t="s">
        <v>265</v>
      </c>
      <c r="B43" s="427"/>
      <c r="C43" s="371" t="s">
        <v>255</v>
      </c>
      <c r="D43" s="428" t="s">
        <v>266</v>
      </c>
      <c r="E43" s="428"/>
      <c r="F43" s="428"/>
      <c r="G43" s="372"/>
    </row>
    <row r="44" spans="1:21" ht="30" customHeight="1" x14ac:dyDescent="0.15">
      <c r="A44" s="426"/>
      <c r="B44" s="427"/>
      <c r="C44" s="371" t="s">
        <v>87</v>
      </c>
      <c r="D44" s="420"/>
      <c r="E44" s="420"/>
      <c r="F44" s="420"/>
      <c r="G44" s="373"/>
    </row>
    <row r="45" spans="1:21" ht="25" customHeight="1" x14ac:dyDescent="0.15">
      <c r="A45" s="426"/>
      <c r="B45" s="427"/>
      <c r="C45" s="371" t="s">
        <v>49</v>
      </c>
      <c r="D45" s="421"/>
      <c r="E45" s="421"/>
      <c r="F45" s="421"/>
      <c r="G45" s="372"/>
    </row>
    <row r="46" spans="1:21" ht="10" customHeight="1" x14ac:dyDescent="0.15">
      <c r="A46" s="349"/>
      <c r="B46" s="350"/>
      <c r="C46" s="370"/>
      <c r="D46" s="374"/>
      <c r="E46" s="375"/>
      <c r="F46" s="375"/>
      <c r="G46" s="376"/>
    </row>
    <row r="47" spans="1:21" s="348" customFormat="1" ht="25" customHeight="1" x14ac:dyDescent="0.2">
      <c r="A47" s="401" t="s">
        <v>259</v>
      </c>
      <c r="B47" s="402"/>
      <c r="C47" s="402"/>
      <c r="D47" s="402"/>
      <c r="E47" s="402"/>
      <c r="F47" s="402"/>
      <c r="G47" s="403"/>
      <c r="H47" s="347"/>
      <c r="I47" s="347"/>
      <c r="J47" s="347"/>
      <c r="K47" s="347"/>
      <c r="L47" s="347"/>
      <c r="M47" s="347"/>
      <c r="N47" s="347"/>
      <c r="O47" s="347"/>
      <c r="P47" s="347"/>
      <c r="Q47" s="347"/>
      <c r="R47" s="347"/>
      <c r="S47" s="347"/>
      <c r="T47" s="347"/>
      <c r="U47" s="347"/>
    </row>
    <row r="48" spans="1:21" ht="25" customHeight="1" x14ac:dyDescent="0.15">
      <c r="A48" s="426" t="s">
        <v>260</v>
      </c>
      <c r="B48" s="427"/>
      <c r="C48" s="371" t="s">
        <v>255</v>
      </c>
      <c r="D48" s="428" t="s">
        <v>37</v>
      </c>
      <c r="E48" s="428"/>
      <c r="F48" s="428"/>
      <c r="G48" s="372"/>
    </row>
    <row r="49" spans="1:7" ht="30" customHeight="1" x14ac:dyDescent="0.15">
      <c r="A49" s="426"/>
      <c r="B49" s="427"/>
      <c r="C49" s="371" t="s">
        <v>87</v>
      </c>
      <c r="D49" s="420"/>
      <c r="E49" s="420"/>
      <c r="F49" s="420"/>
      <c r="G49" s="373"/>
    </row>
    <row r="50" spans="1:7" ht="25" customHeight="1" x14ac:dyDescent="0.15">
      <c r="A50" s="426"/>
      <c r="B50" s="427"/>
      <c r="C50" s="371" t="s">
        <v>49</v>
      </c>
      <c r="D50" s="421"/>
      <c r="E50" s="421"/>
      <c r="F50" s="421"/>
      <c r="G50" s="372"/>
    </row>
    <row r="51" spans="1:7" ht="10" customHeight="1" x14ac:dyDescent="0.15">
      <c r="A51" s="349"/>
      <c r="B51" s="350"/>
      <c r="C51" s="370"/>
      <c r="D51" s="374"/>
      <c r="E51" s="375"/>
      <c r="F51" s="375"/>
      <c r="G51" s="376"/>
    </row>
  </sheetData>
  <mergeCells count="33">
    <mergeCell ref="A48:B50"/>
    <mergeCell ref="D48:F48"/>
    <mergeCell ref="D49:F49"/>
    <mergeCell ref="D50:F50"/>
    <mergeCell ref="E5:G5"/>
    <mergeCell ref="A42:G42"/>
    <mergeCell ref="A43:B45"/>
    <mergeCell ref="D43:F43"/>
    <mergeCell ref="D44:F44"/>
    <mergeCell ref="D45:F45"/>
    <mergeCell ref="A47:G47"/>
    <mergeCell ref="A33:B35"/>
    <mergeCell ref="D33:F33"/>
    <mergeCell ref="D34:F34"/>
    <mergeCell ref="D35:F35"/>
    <mergeCell ref="A37:G37"/>
    <mergeCell ref="A38:B40"/>
    <mergeCell ref="D38:F38"/>
    <mergeCell ref="D39:F39"/>
    <mergeCell ref="D40:F40"/>
    <mergeCell ref="A27:G27"/>
    <mergeCell ref="A28:B30"/>
    <mergeCell ref="D28:F28"/>
    <mergeCell ref="D29:F29"/>
    <mergeCell ref="D30:F30"/>
    <mergeCell ref="A32:G32"/>
    <mergeCell ref="A14:G14"/>
    <mergeCell ref="A18:G18"/>
    <mergeCell ref="A25:G25"/>
    <mergeCell ref="A26:G26"/>
    <mergeCell ref="A5:C5"/>
    <mergeCell ref="A6:G6"/>
    <mergeCell ref="A7:G8"/>
  </mergeCells>
  <printOptions horizontalCentered="1"/>
  <pageMargins left="0.5" right="0.5" top="0.5" bottom="0.5" header="0" footer="0.1"/>
  <pageSetup paperSize="9" scale="58" fitToWidth="0" fitToHeight="0" orientation="portrait" r:id="rId1"/>
  <headerFooter>
    <oddFooter>&amp;L&amp;"Arial,Regular"&amp;8&amp;K000000&amp;F&amp;C&amp;"Arial,Regular"&amp;8&amp;K000000&amp;P of &amp;P</oddFoot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7" r:id="rId4" name="Check Box 1">
              <controlPr defaultSize="0" autoFill="0" autoLine="0" autoPict="0">
                <anchor moveWithCells="1">
                  <from>
                    <xdr:col>1</xdr:col>
                    <xdr:colOff>254000</xdr:colOff>
                    <xdr:row>14</xdr:row>
                    <xdr:rowOff>25400</xdr:rowOff>
                  </from>
                  <to>
                    <xdr:col>1</xdr:col>
                    <xdr:colOff>495300</xdr:colOff>
                    <xdr:row>14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8" r:id="rId5" name="Check Box 2">
              <controlPr defaultSize="0" autoFill="0" autoLine="0" autoPict="0">
                <anchor moveWithCells="1">
                  <from>
                    <xdr:col>1</xdr:col>
                    <xdr:colOff>254000</xdr:colOff>
                    <xdr:row>15</xdr:row>
                    <xdr:rowOff>25400</xdr:rowOff>
                  </from>
                  <to>
                    <xdr:col>1</xdr:col>
                    <xdr:colOff>495300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9" r:id="rId6" name="Check Box 3">
              <controlPr defaultSize="0" autoFill="0" autoLine="0" autoPict="0">
                <anchor moveWithCells="1">
                  <from>
                    <xdr:col>1</xdr:col>
                    <xdr:colOff>254000</xdr:colOff>
                    <xdr:row>16</xdr:row>
                    <xdr:rowOff>25400</xdr:rowOff>
                  </from>
                  <to>
                    <xdr:col>1</xdr:col>
                    <xdr:colOff>495300</xdr:colOff>
                    <xdr:row>16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0" r:id="rId7" name="Check Box 4">
              <controlPr defaultSize="0" autoFill="0" autoLine="0" autoPict="0">
                <anchor moveWithCells="1">
                  <from>
                    <xdr:col>3</xdr:col>
                    <xdr:colOff>254000</xdr:colOff>
                    <xdr:row>14</xdr:row>
                    <xdr:rowOff>25400</xdr:rowOff>
                  </from>
                  <to>
                    <xdr:col>3</xdr:col>
                    <xdr:colOff>495300</xdr:colOff>
                    <xdr:row>14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1" r:id="rId8" name="Check Box 5">
              <controlPr defaultSize="0" autoFill="0" autoLine="0" autoPict="0">
                <anchor moveWithCells="1">
                  <from>
                    <xdr:col>3</xdr:col>
                    <xdr:colOff>254000</xdr:colOff>
                    <xdr:row>15</xdr:row>
                    <xdr:rowOff>25400</xdr:rowOff>
                  </from>
                  <to>
                    <xdr:col>3</xdr:col>
                    <xdr:colOff>495300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2" r:id="rId9" name="Check Box 6">
              <controlPr defaultSize="0" autoFill="0" autoLine="0" autoPict="0">
                <anchor moveWithCells="1">
                  <from>
                    <xdr:col>5</xdr:col>
                    <xdr:colOff>254000</xdr:colOff>
                    <xdr:row>14</xdr:row>
                    <xdr:rowOff>25400</xdr:rowOff>
                  </from>
                  <to>
                    <xdr:col>5</xdr:col>
                    <xdr:colOff>495300</xdr:colOff>
                    <xdr:row>14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3" r:id="rId10" name="Check Box 7">
              <controlPr defaultSize="0" autoFill="0" autoLine="0" autoPict="0">
                <anchor moveWithCells="1">
                  <from>
                    <xdr:col>5</xdr:col>
                    <xdr:colOff>254000</xdr:colOff>
                    <xdr:row>15</xdr:row>
                    <xdr:rowOff>25400</xdr:rowOff>
                  </from>
                  <to>
                    <xdr:col>5</xdr:col>
                    <xdr:colOff>495300</xdr:colOff>
                    <xdr:row>15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4" r:id="rId11" name="Check Box 8">
              <controlPr defaultSize="0" autoFill="0" autoLine="0" autoPict="0">
                <anchor moveWithCells="1">
                  <from>
                    <xdr:col>3</xdr:col>
                    <xdr:colOff>254000</xdr:colOff>
                    <xdr:row>21</xdr:row>
                    <xdr:rowOff>25400</xdr:rowOff>
                  </from>
                  <to>
                    <xdr:col>3</xdr:col>
                    <xdr:colOff>495300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5" r:id="rId12" name="Check Box 9">
              <controlPr defaultSize="0" autoFill="0" autoLine="0" autoPict="0">
                <anchor moveWithCells="1">
                  <from>
                    <xdr:col>3</xdr:col>
                    <xdr:colOff>254000</xdr:colOff>
                    <xdr:row>22</xdr:row>
                    <xdr:rowOff>25400</xdr:rowOff>
                  </from>
                  <to>
                    <xdr:col>3</xdr:col>
                    <xdr:colOff>495300</xdr:colOff>
                    <xdr:row>22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6" r:id="rId13" name="Check Box 10">
              <controlPr defaultSize="0" autoFill="0" autoLine="0" autoPict="0">
                <anchor moveWithCells="1">
                  <from>
                    <xdr:col>3</xdr:col>
                    <xdr:colOff>254000</xdr:colOff>
                    <xdr:row>23</xdr:row>
                    <xdr:rowOff>25400</xdr:rowOff>
                  </from>
                  <to>
                    <xdr:col>3</xdr:col>
                    <xdr:colOff>495300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7" r:id="rId14" name="Check Box 11">
              <controlPr defaultSize="0" autoFill="0" autoLine="0" autoPict="0">
                <anchor moveWithCells="1">
                  <from>
                    <xdr:col>5</xdr:col>
                    <xdr:colOff>254000</xdr:colOff>
                    <xdr:row>21</xdr:row>
                    <xdr:rowOff>25400</xdr:rowOff>
                  </from>
                  <to>
                    <xdr:col>5</xdr:col>
                    <xdr:colOff>495300</xdr:colOff>
                    <xdr:row>21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8" r:id="rId15" name="Check Box 12">
              <controlPr defaultSize="0" autoFill="0" autoLine="0" autoPict="0">
                <anchor moveWithCells="1">
                  <from>
                    <xdr:col>5</xdr:col>
                    <xdr:colOff>254000</xdr:colOff>
                    <xdr:row>22</xdr:row>
                    <xdr:rowOff>25400</xdr:rowOff>
                  </from>
                  <to>
                    <xdr:col>5</xdr:col>
                    <xdr:colOff>495300</xdr:colOff>
                    <xdr:row>22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9" r:id="rId16" name="Check Box 13">
              <controlPr defaultSize="0" autoFill="0" autoLine="0" autoPict="0">
                <anchor moveWithCells="1">
                  <from>
                    <xdr:col>5</xdr:col>
                    <xdr:colOff>254000</xdr:colOff>
                    <xdr:row>23</xdr:row>
                    <xdr:rowOff>25400</xdr:rowOff>
                  </from>
                  <to>
                    <xdr:col>5</xdr:col>
                    <xdr:colOff>495300</xdr:colOff>
                    <xdr:row>23</xdr:row>
                    <xdr:rowOff>304800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4" r:id="rId17" name="Check Box 18">
              <controlPr defaultSize="0" autoFill="0" autoLine="0" autoPict="0">
                <anchor moveWithCells="1">
                  <from>
                    <xdr:col>3</xdr:col>
                    <xdr:colOff>254000</xdr:colOff>
                    <xdr:row>16</xdr:row>
                    <xdr:rowOff>25400</xdr:rowOff>
                  </from>
                  <to>
                    <xdr:col>3</xdr:col>
                    <xdr:colOff>495300</xdr:colOff>
                    <xdr:row>16</xdr:row>
                    <xdr:rowOff>304800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25B46-E1C1-4C62-8847-2B81A6FBD208}">
  <sheetPr>
    <pageSetUpPr fitToPage="1"/>
  </sheetPr>
  <dimension ref="A2:IM64"/>
  <sheetViews>
    <sheetView view="pageBreakPreview" topLeftCell="A13" zoomScale="115" zoomScaleNormal="100" zoomScaleSheetLayoutView="115" workbookViewId="0">
      <selection activeCell="G57" sqref="G57"/>
    </sheetView>
  </sheetViews>
  <sheetFormatPr baseColWidth="10" defaultColWidth="12.5" defaultRowHeight="15" x14ac:dyDescent="0.2"/>
  <cols>
    <col min="1" max="1" width="7.6640625" customWidth="1"/>
    <col min="2" max="2" width="25.5" customWidth="1"/>
    <col min="3" max="3" width="2.33203125" style="13" customWidth="1"/>
    <col min="4" max="4" width="18.33203125" customWidth="1"/>
    <col min="5" max="5" width="13" customWidth="1"/>
    <col min="6" max="6" width="2.33203125" customWidth="1"/>
    <col min="7" max="7" width="2.5" customWidth="1"/>
    <col min="8" max="8" width="21.5" customWidth="1"/>
    <col min="9" max="9" width="2" customWidth="1"/>
    <col min="10" max="10" width="19.1640625" customWidth="1"/>
    <col min="11" max="11" width="2.33203125" customWidth="1"/>
    <col min="250" max="250" width="7.6640625" customWidth="1"/>
    <col min="251" max="251" width="10" customWidth="1"/>
    <col min="252" max="252" width="8.6640625" customWidth="1"/>
    <col min="253" max="253" width="1.5" customWidth="1"/>
    <col min="254" max="254" width="4.83203125" customWidth="1"/>
    <col min="255" max="255" width="2.33203125" customWidth="1"/>
    <col min="256" max="256" width="19" customWidth="1"/>
    <col min="257" max="257" width="4.83203125" customWidth="1"/>
    <col min="258" max="258" width="2.33203125" customWidth="1"/>
    <col min="259" max="259" width="10" customWidth="1"/>
    <col min="260" max="260" width="11.33203125" customWidth="1"/>
    <col min="261" max="261" width="2" customWidth="1"/>
    <col min="262" max="262" width="17.6640625" customWidth="1"/>
    <col min="263" max="263" width="2.33203125" customWidth="1"/>
    <col min="506" max="506" width="7.6640625" customWidth="1"/>
    <col min="507" max="507" width="10" customWidth="1"/>
    <col min="508" max="508" width="8.6640625" customWidth="1"/>
    <col min="509" max="509" width="1.5" customWidth="1"/>
    <col min="510" max="510" width="4.83203125" customWidth="1"/>
    <col min="511" max="511" width="2.33203125" customWidth="1"/>
    <col min="512" max="512" width="19" customWidth="1"/>
    <col min="513" max="513" width="4.83203125" customWidth="1"/>
    <col min="514" max="514" width="2.33203125" customWidth="1"/>
    <col min="515" max="515" width="10" customWidth="1"/>
    <col min="516" max="516" width="11.33203125" customWidth="1"/>
    <col min="517" max="517" width="2" customWidth="1"/>
    <col min="518" max="518" width="17.6640625" customWidth="1"/>
    <col min="519" max="519" width="2.33203125" customWidth="1"/>
    <col min="762" max="762" width="7.6640625" customWidth="1"/>
    <col min="763" max="763" width="10" customWidth="1"/>
    <col min="764" max="764" width="8.6640625" customWidth="1"/>
    <col min="765" max="765" width="1.5" customWidth="1"/>
    <col min="766" max="766" width="4.83203125" customWidth="1"/>
    <col min="767" max="767" width="2.33203125" customWidth="1"/>
    <col min="768" max="768" width="19" customWidth="1"/>
    <col min="769" max="769" width="4.83203125" customWidth="1"/>
    <col min="770" max="770" width="2.33203125" customWidth="1"/>
    <col min="771" max="771" width="10" customWidth="1"/>
    <col min="772" max="772" width="11.33203125" customWidth="1"/>
    <col min="773" max="773" width="2" customWidth="1"/>
    <col min="774" max="774" width="17.6640625" customWidth="1"/>
    <col min="775" max="775" width="2.33203125" customWidth="1"/>
    <col min="1018" max="1018" width="7.6640625" customWidth="1"/>
    <col min="1019" max="1019" width="10" customWidth="1"/>
    <col min="1020" max="1020" width="8.6640625" customWidth="1"/>
    <col min="1021" max="1021" width="1.5" customWidth="1"/>
    <col min="1022" max="1022" width="4.83203125" customWidth="1"/>
    <col min="1023" max="1023" width="2.33203125" customWidth="1"/>
    <col min="1024" max="1024" width="19" customWidth="1"/>
    <col min="1025" max="1025" width="4.83203125" customWidth="1"/>
    <col min="1026" max="1026" width="2.33203125" customWidth="1"/>
    <col min="1027" max="1027" width="10" customWidth="1"/>
    <col min="1028" max="1028" width="11.33203125" customWidth="1"/>
    <col min="1029" max="1029" width="2" customWidth="1"/>
    <col min="1030" max="1030" width="17.6640625" customWidth="1"/>
    <col min="1031" max="1031" width="2.33203125" customWidth="1"/>
    <col min="1274" max="1274" width="7.6640625" customWidth="1"/>
    <col min="1275" max="1275" width="10" customWidth="1"/>
    <col min="1276" max="1276" width="8.6640625" customWidth="1"/>
    <col min="1277" max="1277" width="1.5" customWidth="1"/>
    <col min="1278" max="1278" width="4.83203125" customWidth="1"/>
    <col min="1279" max="1279" width="2.33203125" customWidth="1"/>
    <col min="1280" max="1280" width="19" customWidth="1"/>
    <col min="1281" max="1281" width="4.83203125" customWidth="1"/>
    <col min="1282" max="1282" width="2.33203125" customWidth="1"/>
    <col min="1283" max="1283" width="10" customWidth="1"/>
    <col min="1284" max="1284" width="11.33203125" customWidth="1"/>
    <col min="1285" max="1285" width="2" customWidth="1"/>
    <col min="1286" max="1286" width="17.6640625" customWidth="1"/>
    <col min="1287" max="1287" width="2.33203125" customWidth="1"/>
    <col min="1530" max="1530" width="7.6640625" customWidth="1"/>
    <col min="1531" max="1531" width="10" customWidth="1"/>
    <col min="1532" max="1532" width="8.6640625" customWidth="1"/>
    <col min="1533" max="1533" width="1.5" customWidth="1"/>
    <col min="1534" max="1534" width="4.83203125" customWidth="1"/>
    <col min="1535" max="1535" width="2.33203125" customWidth="1"/>
    <col min="1536" max="1536" width="19" customWidth="1"/>
    <col min="1537" max="1537" width="4.83203125" customWidth="1"/>
    <col min="1538" max="1538" width="2.33203125" customWidth="1"/>
    <col min="1539" max="1539" width="10" customWidth="1"/>
    <col min="1540" max="1540" width="11.33203125" customWidth="1"/>
    <col min="1541" max="1541" width="2" customWidth="1"/>
    <col min="1542" max="1542" width="17.6640625" customWidth="1"/>
    <col min="1543" max="1543" width="2.33203125" customWidth="1"/>
    <col min="1786" max="1786" width="7.6640625" customWidth="1"/>
    <col min="1787" max="1787" width="10" customWidth="1"/>
    <col min="1788" max="1788" width="8.6640625" customWidth="1"/>
    <col min="1789" max="1789" width="1.5" customWidth="1"/>
    <col min="1790" max="1790" width="4.83203125" customWidth="1"/>
    <col min="1791" max="1791" width="2.33203125" customWidth="1"/>
    <col min="1792" max="1792" width="19" customWidth="1"/>
    <col min="1793" max="1793" width="4.83203125" customWidth="1"/>
    <col min="1794" max="1794" width="2.33203125" customWidth="1"/>
    <col min="1795" max="1795" width="10" customWidth="1"/>
    <col min="1796" max="1796" width="11.33203125" customWidth="1"/>
    <col min="1797" max="1797" width="2" customWidth="1"/>
    <col min="1798" max="1798" width="17.6640625" customWidth="1"/>
    <col min="1799" max="1799" width="2.33203125" customWidth="1"/>
    <col min="2042" max="2042" width="7.6640625" customWidth="1"/>
    <col min="2043" max="2043" width="10" customWidth="1"/>
    <col min="2044" max="2044" width="8.6640625" customWidth="1"/>
    <col min="2045" max="2045" width="1.5" customWidth="1"/>
    <col min="2046" max="2046" width="4.83203125" customWidth="1"/>
    <col min="2047" max="2047" width="2.33203125" customWidth="1"/>
    <col min="2048" max="2048" width="19" customWidth="1"/>
    <col min="2049" max="2049" width="4.83203125" customWidth="1"/>
    <col min="2050" max="2050" width="2.33203125" customWidth="1"/>
    <col min="2051" max="2051" width="10" customWidth="1"/>
    <col min="2052" max="2052" width="11.33203125" customWidth="1"/>
    <col min="2053" max="2053" width="2" customWidth="1"/>
    <col min="2054" max="2054" width="17.6640625" customWidth="1"/>
    <col min="2055" max="2055" width="2.33203125" customWidth="1"/>
    <col min="2298" max="2298" width="7.6640625" customWidth="1"/>
    <col min="2299" max="2299" width="10" customWidth="1"/>
    <col min="2300" max="2300" width="8.6640625" customWidth="1"/>
    <col min="2301" max="2301" width="1.5" customWidth="1"/>
    <col min="2302" max="2302" width="4.83203125" customWidth="1"/>
    <col min="2303" max="2303" width="2.33203125" customWidth="1"/>
    <col min="2304" max="2304" width="19" customWidth="1"/>
    <col min="2305" max="2305" width="4.83203125" customWidth="1"/>
    <col min="2306" max="2306" width="2.33203125" customWidth="1"/>
    <col min="2307" max="2307" width="10" customWidth="1"/>
    <col min="2308" max="2308" width="11.33203125" customWidth="1"/>
    <col min="2309" max="2309" width="2" customWidth="1"/>
    <col min="2310" max="2310" width="17.6640625" customWidth="1"/>
    <col min="2311" max="2311" width="2.33203125" customWidth="1"/>
    <col min="2554" max="2554" width="7.6640625" customWidth="1"/>
    <col min="2555" max="2555" width="10" customWidth="1"/>
    <col min="2556" max="2556" width="8.6640625" customWidth="1"/>
    <col min="2557" max="2557" width="1.5" customWidth="1"/>
    <col min="2558" max="2558" width="4.83203125" customWidth="1"/>
    <col min="2559" max="2559" width="2.33203125" customWidth="1"/>
    <col min="2560" max="2560" width="19" customWidth="1"/>
    <col min="2561" max="2561" width="4.83203125" customWidth="1"/>
    <col min="2562" max="2562" width="2.33203125" customWidth="1"/>
    <col min="2563" max="2563" width="10" customWidth="1"/>
    <col min="2564" max="2564" width="11.33203125" customWidth="1"/>
    <col min="2565" max="2565" width="2" customWidth="1"/>
    <col min="2566" max="2566" width="17.6640625" customWidth="1"/>
    <col min="2567" max="2567" width="2.33203125" customWidth="1"/>
    <col min="2810" max="2810" width="7.6640625" customWidth="1"/>
    <col min="2811" max="2811" width="10" customWidth="1"/>
    <col min="2812" max="2812" width="8.6640625" customWidth="1"/>
    <col min="2813" max="2813" width="1.5" customWidth="1"/>
    <col min="2814" max="2814" width="4.83203125" customWidth="1"/>
    <col min="2815" max="2815" width="2.33203125" customWidth="1"/>
    <col min="2816" max="2816" width="19" customWidth="1"/>
    <col min="2817" max="2817" width="4.83203125" customWidth="1"/>
    <col min="2818" max="2818" width="2.33203125" customWidth="1"/>
    <col min="2819" max="2819" width="10" customWidth="1"/>
    <col min="2820" max="2820" width="11.33203125" customWidth="1"/>
    <col min="2821" max="2821" width="2" customWidth="1"/>
    <col min="2822" max="2822" width="17.6640625" customWidth="1"/>
    <col min="2823" max="2823" width="2.33203125" customWidth="1"/>
    <col min="3066" max="3066" width="7.6640625" customWidth="1"/>
    <col min="3067" max="3067" width="10" customWidth="1"/>
    <col min="3068" max="3068" width="8.6640625" customWidth="1"/>
    <col min="3069" max="3069" width="1.5" customWidth="1"/>
    <col min="3070" max="3070" width="4.83203125" customWidth="1"/>
    <col min="3071" max="3071" width="2.33203125" customWidth="1"/>
    <col min="3072" max="3072" width="19" customWidth="1"/>
    <col min="3073" max="3073" width="4.83203125" customWidth="1"/>
    <col min="3074" max="3074" width="2.33203125" customWidth="1"/>
    <col min="3075" max="3075" width="10" customWidth="1"/>
    <col min="3076" max="3076" width="11.33203125" customWidth="1"/>
    <col min="3077" max="3077" width="2" customWidth="1"/>
    <col min="3078" max="3078" width="17.6640625" customWidth="1"/>
    <col min="3079" max="3079" width="2.33203125" customWidth="1"/>
    <col min="3322" max="3322" width="7.6640625" customWidth="1"/>
    <col min="3323" max="3323" width="10" customWidth="1"/>
    <col min="3324" max="3324" width="8.6640625" customWidth="1"/>
    <col min="3325" max="3325" width="1.5" customWidth="1"/>
    <col min="3326" max="3326" width="4.83203125" customWidth="1"/>
    <col min="3327" max="3327" width="2.33203125" customWidth="1"/>
    <col min="3328" max="3328" width="19" customWidth="1"/>
    <col min="3329" max="3329" width="4.83203125" customWidth="1"/>
    <col min="3330" max="3330" width="2.33203125" customWidth="1"/>
    <col min="3331" max="3331" width="10" customWidth="1"/>
    <col min="3332" max="3332" width="11.33203125" customWidth="1"/>
    <col min="3333" max="3333" width="2" customWidth="1"/>
    <col min="3334" max="3334" width="17.6640625" customWidth="1"/>
    <col min="3335" max="3335" width="2.33203125" customWidth="1"/>
    <col min="3578" max="3578" width="7.6640625" customWidth="1"/>
    <col min="3579" max="3579" width="10" customWidth="1"/>
    <col min="3580" max="3580" width="8.6640625" customWidth="1"/>
    <col min="3581" max="3581" width="1.5" customWidth="1"/>
    <col min="3582" max="3582" width="4.83203125" customWidth="1"/>
    <col min="3583" max="3583" width="2.33203125" customWidth="1"/>
    <col min="3584" max="3584" width="19" customWidth="1"/>
    <col min="3585" max="3585" width="4.83203125" customWidth="1"/>
    <col min="3586" max="3586" width="2.33203125" customWidth="1"/>
    <col min="3587" max="3587" width="10" customWidth="1"/>
    <col min="3588" max="3588" width="11.33203125" customWidth="1"/>
    <col min="3589" max="3589" width="2" customWidth="1"/>
    <col min="3590" max="3590" width="17.6640625" customWidth="1"/>
    <col min="3591" max="3591" width="2.33203125" customWidth="1"/>
    <col min="3834" max="3834" width="7.6640625" customWidth="1"/>
    <col min="3835" max="3835" width="10" customWidth="1"/>
    <col min="3836" max="3836" width="8.6640625" customWidth="1"/>
    <col min="3837" max="3837" width="1.5" customWidth="1"/>
    <col min="3838" max="3838" width="4.83203125" customWidth="1"/>
    <col min="3839" max="3839" width="2.33203125" customWidth="1"/>
    <col min="3840" max="3840" width="19" customWidth="1"/>
    <col min="3841" max="3841" width="4.83203125" customWidth="1"/>
    <col min="3842" max="3842" width="2.33203125" customWidth="1"/>
    <col min="3843" max="3843" width="10" customWidth="1"/>
    <col min="3844" max="3844" width="11.33203125" customWidth="1"/>
    <col min="3845" max="3845" width="2" customWidth="1"/>
    <col min="3846" max="3846" width="17.6640625" customWidth="1"/>
    <col min="3847" max="3847" width="2.33203125" customWidth="1"/>
    <col min="4090" max="4090" width="7.6640625" customWidth="1"/>
    <col min="4091" max="4091" width="10" customWidth="1"/>
    <col min="4092" max="4092" width="8.6640625" customWidth="1"/>
    <col min="4093" max="4093" width="1.5" customWidth="1"/>
    <col min="4094" max="4094" width="4.83203125" customWidth="1"/>
    <col min="4095" max="4095" width="2.33203125" customWidth="1"/>
    <col min="4096" max="4096" width="19" customWidth="1"/>
    <col min="4097" max="4097" width="4.83203125" customWidth="1"/>
    <col min="4098" max="4098" width="2.33203125" customWidth="1"/>
    <col min="4099" max="4099" width="10" customWidth="1"/>
    <col min="4100" max="4100" width="11.33203125" customWidth="1"/>
    <col min="4101" max="4101" width="2" customWidth="1"/>
    <col min="4102" max="4102" width="17.6640625" customWidth="1"/>
    <col min="4103" max="4103" width="2.33203125" customWidth="1"/>
    <col min="4346" max="4346" width="7.6640625" customWidth="1"/>
    <col min="4347" max="4347" width="10" customWidth="1"/>
    <col min="4348" max="4348" width="8.6640625" customWidth="1"/>
    <col min="4349" max="4349" width="1.5" customWidth="1"/>
    <col min="4350" max="4350" width="4.83203125" customWidth="1"/>
    <col min="4351" max="4351" width="2.33203125" customWidth="1"/>
    <col min="4352" max="4352" width="19" customWidth="1"/>
    <col min="4353" max="4353" width="4.83203125" customWidth="1"/>
    <col min="4354" max="4354" width="2.33203125" customWidth="1"/>
    <col min="4355" max="4355" width="10" customWidth="1"/>
    <col min="4356" max="4356" width="11.33203125" customWidth="1"/>
    <col min="4357" max="4357" width="2" customWidth="1"/>
    <col min="4358" max="4358" width="17.6640625" customWidth="1"/>
    <col min="4359" max="4359" width="2.33203125" customWidth="1"/>
    <col min="4602" max="4602" width="7.6640625" customWidth="1"/>
    <col min="4603" max="4603" width="10" customWidth="1"/>
    <col min="4604" max="4604" width="8.6640625" customWidth="1"/>
    <col min="4605" max="4605" width="1.5" customWidth="1"/>
    <col min="4606" max="4606" width="4.83203125" customWidth="1"/>
    <col min="4607" max="4607" width="2.33203125" customWidth="1"/>
    <col min="4608" max="4608" width="19" customWidth="1"/>
    <col min="4609" max="4609" width="4.83203125" customWidth="1"/>
    <col min="4610" max="4610" width="2.33203125" customWidth="1"/>
    <col min="4611" max="4611" width="10" customWidth="1"/>
    <col min="4612" max="4612" width="11.33203125" customWidth="1"/>
    <col min="4613" max="4613" width="2" customWidth="1"/>
    <col min="4614" max="4614" width="17.6640625" customWidth="1"/>
    <col min="4615" max="4615" width="2.33203125" customWidth="1"/>
    <col min="4858" max="4858" width="7.6640625" customWidth="1"/>
    <col min="4859" max="4859" width="10" customWidth="1"/>
    <col min="4860" max="4860" width="8.6640625" customWidth="1"/>
    <col min="4861" max="4861" width="1.5" customWidth="1"/>
    <col min="4862" max="4862" width="4.83203125" customWidth="1"/>
    <col min="4863" max="4863" width="2.33203125" customWidth="1"/>
    <col min="4864" max="4864" width="19" customWidth="1"/>
    <col min="4865" max="4865" width="4.83203125" customWidth="1"/>
    <col min="4866" max="4866" width="2.33203125" customWidth="1"/>
    <col min="4867" max="4867" width="10" customWidth="1"/>
    <col min="4868" max="4868" width="11.33203125" customWidth="1"/>
    <col min="4869" max="4869" width="2" customWidth="1"/>
    <col min="4870" max="4870" width="17.6640625" customWidth="1"/>
    <col min="4871" max="4871" width="2.33203125" customWidth="1"/>
    <col min="5114" max="5114" width="7.6640625" customWidth="1"/>
    <col min="5115" max="5115" width="10" customWidth="1"/>
    <col min="5116" max="5116" width="8.6640625" customWidth="1"/>
    <col min="5117" max="5117" width="1.5" customWidth="1"/>
    <col min="5118" max="5118" width="4.83203125" customWidth="1"/>
    <col min="5119" max="5119" width="2.33203125" customWidth="1"/>
    <col min="5120" max="5120" width="19" customWidth="1"/>
    <col min="5121" max="5121" width="4.83203125" customWidth="1"/>
    <col min="5122" max="5122" width="2.33203125" customWidth="1"/>
    <col min="5123" max="5123" width="10" customWidth="1"/>
    <col min="5124" max="5124" width="11.33203125" customWidth="1"/>
    <col min="5125" max="5125" width="2" customWidth="1"/>
    <col min="5126" max="5126" width="17.6640625" customWidth="1"/>
    <col min="5127" max="5127" width="2.33203125" customWidth="1"/>
    <col min="5370" max="5370" width="7.6640625" customWidth="1"/>
    <col min="5371" max="5371" width="10" customWidth="1"/>
    <col min="5372" max="5372" width="8.6640625" customWidth="1"/>
    <col min="5373" max="5373" width="1.5" customWidth="1"/>
    <col min="5374" max="5374" width="4.83203125" customWidth="1"/>
    <col min="5375" max="5375" width="2.33203125" customWidth="1"/>
    <col min="5376" max="5376" width="19" customWidth="1"/>
    <col min="5377" max="5377" width="4.83203125" customWidth="1"/>
    <col min="5378" max="5378" width="2.33203125" customWidth="1"/>
    <col min="5379" max="5379" width="10" customWidth="1"/>
    <col min="5380" max="5380" width="11.33203125" customWidth="1"/>
    <col min="5381" max="5381" width="2" customWidth="1"/>
    <col min="5382" max="5382" width="17.6640625" customWidth="1"/>
    <col min="5383" max="5383" width="2.33203125" customWidth="1"/>
    <col min="5626" max="5626" width="7.6640625" customWidth="1"/>
    <col min="5627" max="5627" width="10" customWidth="1"/>
    <col min="5628" max="5628" width="8.6640625" customWidth="1"/>
    <col min="5629" max="5629" width="1.5" customWidth="1"/>
    <col min="5630" max="5630" width="4.83203125" customWidth="1"/>
    <col min="5631" max="5631" width="2.33203125" customWidth="1"/>
    <col min="5632" max="5632" width="19" customWidth="1"/>
    <col min="5633" max="5633" width="4.83203125" customWidth="1"/>
    <col min="5634" max="5634" width="2.33203125" customWidth="1"/>
    <col min="5635" max="5635" width="10" customWidth="1"/>
    <col min="5636" max="5636" width="11.33203125" customWidth="1"/>
    <col min="5637" max="5637" width="2" customWidth="1"/>
    <col min="5638" max="5638" width="17.6640625" customWidth="1"/>
    <col min="5639" max="5639" width="2.33203125" customWidth="1"/>
    <col min="5882" max="5882" width="7.6640625" customWidth="1"/>
    <col min="5883" max="5883" width="10" customWidth="1"/>
    <col min="5884" max="5884" width="8.6640625" customWidth="1"/>
    <col min="5885" max="5885" width="1.5" customWidth="1"/>
    <col min="5886" max="5886" width="4.83203125" customWidth="1"/>
    <col min="5887" max="5887" width="2.33203125" customWidth="1"/>
    <col min="5888" max="5888" width="19" customWidth="1"/>
    <col min="5889" max="5889" width="4.83203125" customWidth="1"/>
    <col min="5890" max="5890" width="2.33203125" customWidth="1"/>
    <col min="5891" max="5891" width="10" customWidth="1"/>
    <col min="5892" max="5892" width="11.33203125" customWidth="1"/>
    <col min="5893" max="5893" width="2" customWidth="1"/>
    <col min="5894" max="5894" width="17.6640625" customWidth="1"/>
    <col min="5895" max="5895" width="2.33203125" customWidth="1"/>
    <col min="6138" max="6138" width="7.6640625" customWidth="1"/>
    <col min="6139" max="6139" width="10" customWidth="1"/>
    <col min="6140" max="6140" width="8.6640625" customWidth="1"/>
    <col min="6141" max="6141" width="1.5" customWidth="1"/>
    <col min="6142" max="6142" width="4.83203125" customWidth="1"/>
    <col min="6143" max="6143" width="2.33203125" customWidth="1"/>
    <col min="6144" max="6144" width="19" customWidth="1"/>
    <col min="6145" max="6145" width="4.83203125" customWidth="1"/>
    <col min="6146" max="6146" width="2.33203125" customWidth="1"/>
    <col min="6147" max="6147" width="10" customWidth="1"/>
    <col min="6148" max="6148" width="11.33203125" customWidth="1"/>
    <col min="6149" max="6149" width="2" customWidth="1"/>
    <col min="6150" max="6150" width="17.6640625" customWidth="1"/>
    <col min="6151" max="6151" width="2.33203125" customWidth="1"/>
    <col min="6394" max="6394" width="7.6640625" customWidth="1"/>
    <col min="6395" max="6395" width="10" customWidth="1"/>
    <col min="6396" max="6396" width="8.6640625" customWidth="1"/>
    <col min="6397" max="6397" width="1.5" customWidth="1"/>
    <col min="6398" max="6398" width="4.83203125" customWidth="1"/>
    <col min="6399" max="6399" width="2.33203125" customWidth="1"/>
    <col min="6400" max="6400" width="19" customWidth="1"/>
    <col min="6401" max="6401" width="4.83203125" customWidth="1"/>
    <col min="6402" max="6402" width="2.33203125" customWidth="1"/>
    <col min="6403" max="6403" width="10" customWidth="1"/>
    <col min="6404" max="6404" width="11.33203125" customWidth="1"/>
    <col min="6405" max="6405" width="2" customWidth="1"/>
    <col min="6406" max="6406" width="17.6640625" customWidth="1"/>
    <col min="6407" max="6407" width="2.33203125" customWidth="1"/>
    <col min="6650" max="6650" width="7.6640625" customWidth="1"/>
    <col min="6651" max="6651" width="10" customWidth="1"/>
    <col min="6652" max="6652" width="8.6640625" customWidth="1"/>
    <col min="6653" max="6653" width="1.5" customWidth="1"/>
    <col min="6654" max="6654" width="4.83203125" customWidth="1"/>
    <col min="6655" max="6655" width="2.33203125" customWidth="1"/>
    <col min="6656" max="6656" width="19" customWidth="1"/>
    <col min="6657" max="6657" width="4.83203125" customWidth="1"/>
    <col min="6658" max="6658" width="2.33203125" customWidth="1"/>
    <col min="6659" max="6659" width="10" customWidth="1"/>
    <col min="6660" max="6660" width="11.33203125" customWidth="1"/>
    <col min="6661" max="6661" width="2" customWidth="1"/>
    <col min="6662" max="6662" width="17.6640625" customWidth="1"/>
    <col min="6663" max="6663" width="2.33203125" customWidth="1"/>
    <col min="6906" max="6906" width="7.6640625" customWidth="1"/>
    <col min="6907" max="6907" width="10" customWidth="1"/>
    <col min="6908" max="6908" width="8.6640625" customWidth="1"/>
    <col min="6909" max="6909" width="1.5" customWidth="1"/>
    <col min="6910" max="6910" width="4.83203125" customWidth="1"/>
    <col min="6911" max="6911" width="2.33203125" customWidth="1"/>
    <col min="6912" max="6912" width="19" customWidth="1"/>
    <col min="6913" max="6913" width="4.83203125" customWidth="1"/>
    <col min="6914" max="6914" width="2.33203125" customWidth="1"/>
    <col min="6915" max="6915" width="10" customWidth="1"/>
    <col min="6916" max="6916" width="11.33203125" customWidth="1"/>
    <col min="6917" max="6917" width="2" customWidth="1"/>
    <col min="6918" max="6918" width="17.6640625" customWidth="1"/>
    <col min="6919" max="6919" width="2.33203125" customWidth="1"/>
    <col min="7162" max="7162" width="7.6640625" customWidth="1"/>
    <col min="7163" max="7163" width="10" customWidth="1"/>
    <col min="7164" max="7164" width="8.6640625" customWidth="1"/>
    <col min="7165" max="7165" width="1.5" customWidth="1"/>
    <col min="7166" max="7166" width="4.83203125" customWidth="1"/>
    <col min="7167" max="7167" width="2.33203125" customWidth="1"/>
    <col min="7168" max="7168" width="19" customWidth="1"/>
    <col min="7169" max="7169" width="4.83203125" customWidth="1"/>
    <col min="7170" max="7170" width="2.33203125" customWidth="1"/>
    <col min="7171" max="7171" width="10" customWidth="1"/>
    <col min="7172" max="7172" width="11.33203125" customWidth="1"/>
    <col min="7173" max="7173" width="2" customWidth="1"/>
    <col min="7174" max="7174" width="17.6640625" customWidth="1"/>
    <col min="7175" max="7175" width="2.33203125" customWidth="1"/>
    <col min="7418" max="7418" width="7.6640625" customWidth="1"/>
    <col min="7419" max="7419" width="10" customWidth="1"/>
    <col min="7420" max="7420" width="8.6640625" customWidth="1"/>
    <col min="7421" max="7421" width="1.5" customWidth="1"/>
    <col min="7422" max="7422" width="4.83203125" customWidth="1"/>
    <col min="7423" max="7423" width="2.33203125" customWidth="1"/>
    <col min="7424" max="7424" width="19" customWidth="1"/>
    <col min="7425" max="7425" width="4.83203125" customWidth="1"/>
    <col min="7426" max="7426" width="2.33203125" customWidth="1"/>
    <col min="7427" max="7427" width="10" customWidth="1"/>
    <col min="7428" max="7428" width="11.33203125" customWidth="1"/>
    <col min="7429" max="7429" width="2" customWidth="1"/>
    <col min="7430" max="7430" width="17.6640625" customWidth="1"/>
    <col min="7431" max="7431" width="2.33203125" customWidth="1"/>
    <col min="7674" max="7674" width="7.6640625" customWidth="1"/>
    <col min="7675" max="7675" width="10" customWidth="1"/>
    <col min="7676" max="7676" width="8.6640625" customWidth="1"/>
    <col min="7677" max="7677" width="1.5" customWidth="1"/>
    <col min="7678" max="7678" width="4.83203125" customWidth="1"/>
    <col min="7679" max="7679" width="2.33203125" customWidth="1"/>
    <col min="7680" max="7680" width="19" customWidth="1"/>
    <col min="7681" max="7681" width="4.83203125" customWidth="1"/>
    <col min="7682" max="7682" width="2.33203125" customWidth="1"/>
    <col min="7683" max="7683" width="10" customWidth="1"/>
    <col min="7684" max="7684" width="11.33203125" customWidth="1"/>
    <col min="7685" max="7685" width="2" customWidth="1"/>
    <col min="7686" max="7686" width="17.6640625" customWidth="1"/>
    <col min="7687" max="7687" width="2.33203125" customWidth="1"/>
    <col min="7930" max="7930" width="7.6640625" customWidth="1"/>
    <col min="7931" max="7931" width="10" customWidth="1"/>
    <col min="7932" max="7932" width="8.6640625" customWidth="1"/>
    <col min="7933" max="7933" width="1.5" customWidth="1"/>
    <col min="7934" max="7934" width="4.83203125" customWidth="1"/>
    <col min="7935" max="7935" width="2.33203125" customWidth="1"/>
    <col min="7936" max="7936" width="19" customWidth="1"/>
    <col min="7937" max="7937" width="4.83203125" customWidth="1"/>
    <col min="7938" max="7938" width="2.33203125" customWidth="1"/>
    <col min="7939" max="7939" width="10" customWidth="1"/>
    <col min="7940" max="7940" width="11.33203125" customWidth="1"/>
    <col min="7941" max="7941" width="2" customWidth="1"/>
    <col min="7942" max="7942" width="17.6640625" customWidth="1"/>
    <col min="7943" max="7943" width="2.33203125" customWidth="1"/>
    <col min="8186" max="8186" width="7.6640625" customWidth="1"/>
    <col min="8187" max="8187" width="10" customWidth="1"/>
    <col min="8188" max="8188" width="8.6640625" customWidth="1"/>
    <col min="8189" max="8189" width="1.5" customWidth="1"/>
    <col min="8190" max="8190" width="4.83203125" customWidth="1"/>
    <col min="8191" max="8191" width="2.33203125" customWidth="1"/>
    <col min="8192" max="8192" width="19" customWidth="1"/>
    <col min="8193" max="8193" width="4.83203125" customWidth="1"/>
    <col min="8194" max="8194" width="2.33203125" customWidth="1"/>
    <col min="8195" max="8195" width="10" customWidth="1"/>
    <col min="8196" max="8196" width="11.33203125" customWidth="1"/>
    <col min="8197" max="8197" width="2" customWidth="1"/>
    <col min="8198" max="8198" width="17.6640625" customWidth="1"/>
    <col min="8199" max="8199" width="2.33203125" customWidth="1"/>
    <col min="8442" max="8442" width="7.6640625" customWidth="1"/>
    <col min="8443" max="8443" width="10" customWidth="1"/>
    <col min="8444" max="8444" width="8.6640625" customWidth="1"/>
    <col min="8445" max="8445" width="1.5" customWidth="1"/>
    <col min="8446" max="8446" width="4.83203125" customWidth="1"/>
    <col min="8447" max="8447" width="2.33203125" customWidth="1"/>
    <col min="8448" max="8448" width="19" customWidth="1"/>
    <col min="8449" max="8449" width="4.83203125" customWidth="1"/>
    <col min="8450" max="8450" width="2.33203125" customWidth="1"/>
    <col min="8451" max="8451" width="10" customWidth="1"/>
    <col min="8452" max="8452" width="11.33203125" customWidth="1"/>
    <col min="8453" max="8453" width="2" customWidth="1"/>
    <col min="8454" max="8454" width="17.6640625" customWidth="1"/>
    <col min="8455" max="8455" width="2.33203125" customWidth="1"/>
    <col min="8698" max="8698" width="7.6640625" customWidth="1"/>
    <col min="8699" max="8699" width="10" customWidth="1"/>
    <col min="8700" max="8700" width="8.6640625" customWidth="1"/>
    <col min="8701" max="8701" width="1.5" customWidth="1"/>
    <col min="8702" max="8702" width="4.83203125" customWidth="1"/>
    <col min="8703" max="8703" width="2.33203125" customWidth="1"/>
    <col min="8704" max="8704" width="19" customWidth="1"/>
    <col min="8705" max="8705" width="4.83203125" customWidth="1"/>
    <col min="8706" max="8706" width="2.33203125" customWidth="1"/>
    <col min="8707" max="8707" width="10" customWidth="1"/>
    <col min="8708" max="8708" width="11.33203125" customWidth="1"/>
    <col min="8709" max="8709" width="2" customWidth="1"/>
    <col min="8710" max="8710" width="17.6640625" customWidth="1"/>
    <col min="8711" max="8711" width="2.33203125" customWidth="1"/>
    <col min="8954" max="8954" width="7.6640625" customWidth="1"/>
    <col min="8955" max="8955" width="10" customWidth="1"/>
    <col min="8956" max="8956" width="8.6640625" customWidth="1"/>
    <col min="8957" max="8957" width="1.5" customWidth="1"/>
    <col min="8958" max="8958" width="4.83203125" customWidth="1"/>
    <col min="8959" max="8959" width="2.33203125" customWidth="1"/>
    <col min="8960" max="8960" width="19" customWidth="1"/>
    <col min="8961" max="8961" width="4.83203125" customWidth="1"/>
    <col min="8962" max="8962" width="2.33203125" customWidth="1"/>
    <col min="8963" max="8963" width="10" customWidth="1"/>
    <col min="8964" max="8964" width="11.33203125" customWidth="1"/>
    <col min="8965" max="8965" width="2" customWidth="1"/>
    <col min="8966" max="8966" width="17.6640625" customWidth="1"/>
    <col min="8967" max="8967" width="2.33203125" customWidth="1"/>
    <col min="9210" max="9210" width="7.6640625" customWidth="1"/>
    <col min="9211" max="9211" width="10" customWidth="1"/>
    <col min="9212" max="9212" width="8.6640625" customWidth="1"/>
    <col min="9213" max="9213" width="1.5" customWidth="1"/>
    <col min="9214" max="9214" width="4.83203125" customWidth="1"/>
    <col min="9215" max="9215" width="2.33203125" customWidth="1"/>
    <col min="9216" max="9216" width="19" customWidth="1"/>
    <col min="9217" max="9217" width="4.83203125" customWidth="1"/>
    <col min="9218" max="9218" width="2.33203125" customWidth="1"/>
    <col min="9219" max="9219" width="10" customWidth="1"/>
    <col min="9220" max="9220" width="11.33203125" customWidth="1"/>
    <col min="9221" max="9221" width="2" customWidth="1"/>
    <col min="9222" max="9222" width="17.6640625" customWidth="1"/>
    <col min="9223" max="9223" width="2.33203125" customWidth="1"/>
    <col min="9466" max="9466" width="7.6640625" customWidth="1"/>
    <col min="9467" max="9467" width="10" customWidth="1"/>
    <col min="9468" max="9468" width="8.6640625" customWidth="1"/>
    <col min="9469" max="9469" width="1.5" customWidth="1"/>
    <col min="9470" max="9470" width="4.83203125" customWidth="1"/>
    <col min="9471" max="9471" width="2.33203125" customWidth="1"/>
    <col min="9472" max="9472" width="19" customWidth="1"/>
    <col min="9473" max="9473" width="4.83203125" customWidth="1"/>
    <col min="9474" max="9474" width="2.33203125" customWidth="1"/>
    <col min="9475" max="9475" width="10" customWidth="1"/>
    <col min="9476" max="9476" width="11.33203125" customWidth="1"/>
    <col min="9477" max="9477" width="2" customWidth="1"/>
    <col min="9478" max="9478" width="17.6640625" customWidth="1"/>
    <col min="9479" max="9479" width="2.33203125" customWidth="1"/>
    <col min="9722" max="9722" width="7.6640625" customWidth="1"/>
    <col min="9723" max="9723" width="10" customWidth="1"/>
    <col min="9724" max="9724" width="8.6640625" customWidth="1"/>
    <col min="9725" max="9725" width="1.5" customWidth="1"/>
    <col min="9726" max="9726" width="4.83203125" customWidth="1"/>
    <col min="9727" max="9727" width="2.33203125" customWidth="1"/>
    <col min="9728" max="9728" width="19" customWidth="1"/>
    <col min="9729" max="9729" width="4.83203125" customWidth="1"/>
    <col min="9730" max="9730" width="2.33203125" customWidth="1"/>
    <col min="9731" max="9731" width="10" customWidth="1"/>
    <col min="9732" max="9732" width="11.33203125" customWidth="1"/>
    <col min="9733" max="9733" width="2" customWidth="1"/>
    <col min="9734" max="9734" width="17.6640625" customWidth="1"/>
    <col min="9735" max="9735" width="2.33203125" customWidth="1"/>
    <col min="9978" max="9978" width="7.6640625" customWidth="1"/>
    <col min="9979" max="9979" width="10" customWidth="1"/>
    <col min="9980" max="9980" width="8.6640625" customWidth="1"/>
    <col min="9981" max="9981" width="1.5" customWidth="1"/>
    <col min="9982" max="9982" width="4.83203125" customWidth="1"/>
    <col min="9983" max="9983" width="2.33203125" customWidth="1"/>
    <col min="9984" max="9984" width="19" customWidth="1"/>
    <col min="9985" max="9985" width="4.83203125" customWidth="1"/>
    <col min="9986" max="9986" width="2.33203125" customWidth="1"/>
    <col min="9987" max="9987" width="10" customWidth="1"/>
    <col min="9988" max="9988" width="11.33203125" customWidth="1"/>
    <col min="9989" max="9989" width="2" customWidth="1"/>
    <col min="9990" max="9990" width="17.6640625" customWidth="1"/>
    <col min="9991" max="9991" width="2.33203125" customWidth="1"/>
    <col min="10234" max="10234" width="7.6640625" customWidth="1"/>
    <col min="10235" max="10235" width="10" customWidth="1"/>
    <col min="10236" max="10236" width="8.6640625" customWidth="1"/>
    <col min="10237" max="10237" width="1.5" customWidth="1"/>
    <col min="10238" max="10238" width="4.83203125" customWidth="1"/>
    <col min="10239" max="10239" width="2.33203125" customWidth="1"/>
    <col min="10240" max="10240" width="19" customWidth="1"/>
    <col min="10241" max="10241" width="4.83203125" customWidth="1"/>
    <col min="10242" max="10242" width="2.33203125" customWidth="1"/>
    <col min="10243" max="10243" width="10" customWidth="1"/>
    <col min="10244" max="10244" width="11.33203125" customWidth="1"/>
    <col min="10245" max="10245" width="2" customWidth="1"/>
    <col min="10246" max="10246" width="17.6640625" customWidth="1"/>
    <col min="10247" max="10247" width="2.33203125" customWidth="1"/>
    <col min="10490" max="10490" width="7.6640625" customWidth="1"/>
    <col min="10491" max="10491" width="10" customWidth="1"/>
    <col min="10492" max="10492" width="8.6640625" customWidth="1"/>
    <col min="10493" max="10493" width="1.5" customWidth="1"/>
    <col min="10494" max="10494" width="4.83203125" customWidth="1"/>
    <col min="10495" max="10495" width="2.33203125" customWidth="1"/>
    <col min="10496" max="10496" width="19" customWidth="1"/>
    <col min="10497" max="10497" width="4.83203125" customWidth="1"/>
    <col min="10498" max="10498" width="2.33203125" customWidth="1"/>
    <col min="10499" max="10499" width="10" customWidth="1"/>
    <col min="10500" max="10500" width="11.33203125" customWidth="1"/>
    <col min="10501" max="10501" width="2" customWidth="1"/>
    <col min="10502" max="10502" width="17.6640625" customWidth="1"/>
    <col min="10503" max="10503" width="2.33203125" customWidth="1"/>
    <col min="10746" max="10746" width="7.6640625" customWidth="1"/>
    <col min="10747" max="10747" width="10" customWidth="1"/>
    <col min="10748" max="10748" width="8.6640625" customWidth="1"/>
    <col min="10749" max="10749" width="1.5" customWidth="1"/>
    <col min="10750" max="10750" width="4.83203125" customWidth="1"/>
    <col min="10751" max="10751" width="2.33203125" customWidth="1"/>
    <col min="10752" max="10752" width="19" customWidth="1"/>
    <col min="10753" max="10753" width="4.83203125" customWidth="1"/>
    <col min="10754" max="10754" width="2.33203125" customWidth="1"/>
    <col min="10755" max="10755" width="10" customWidth="1"/>
    <col min="10756" max="10756" width="11.33203125" customWidth="1"/>
    <col min="10757" max="10757" width="2" customWidth="1"/>
    <col min="10758" max="10758" width="17.6640625" customWidth="1"/>
    <col min="10759" max="10759" width="2.33203125" customWidth="1"/>
    <col min="11002" max="11002" width="7.6640625" customWidth="1"/>
    <col min="11003" max="11003" width="10" customWidth="1"/>
    <col min="11004" max="11004" width="8.6640625" customWidth="1"/>
    <col min="11005" max="11005" width="1.5" customWidth="1"/>
    <col min="11006" max="11006" width="4.83203125" customWidth="1"/>
    <col min="11007" max="11007" width="2.33203125" customWidth="1"/>
    <col min="11008" max="11008" width="19" customWidth="1"/>
    <col min="11009" max="11009" width="4.83203125" customWidth="1"/>
    <col min="11010" max="11010" width="2.33203125" customWidth="1"/>
    <col min="11011" max="11011" width="10" customWidth="1"/>
    <col min="11012" max="11012" width="11.33203125" customWidth="1"/>
    <col min="11013" max="11013" width="2" customWidth="1"/>
    <col min="11014" max="11014" width="17.6640625" customWidth="1"/>
    <col min="11015" max="11015" width="2.33203125" customWidth="1"/>
    <col min="11258" max="11258" width="7.6640625" customWidth="1"/>
    <col min="11259" max="11259" width="10" customWidth="1"/>
    <col min="11260" max="11260" width="8.6640625" customWidth="1"/>
    <col min="11261" max="11261" width="1.5" customWidth="1"/>
    <col min="11262" max="11262" width="4.83203125" customWidth="1"/>
    <col min="11263" max="11263" width="2.33203125" customWidth="1"/>
    <col min="11264" max="11264" width="19" customWidth="1"/>
    <col min="11265" max="11265" width="4.83203125" customWidth="1"/>
    <col min="11266" max="11266" width="2.33203125" customWidth="1"/>
    <col min="11267" max="11267" width="10" customWidth="1"/>
    <col min="11268" max="11268" width="11.33203125" customWidth="1"/>
    <col min="11269" max="11269" width="2" customWidth="1"/>
    <col min="11270" max="11270" width="17.6640625" customWidth="1"/>
    <col min="11271" max="11271" width="2.33203125" customWidth="1"/>
    <col min="11514" max="11514" width="7.6640625" customWidth="1"/>
    <col min="11515" max="11515" width="10" customWidth="1"/>
    <col min="11516" max="11516" width="8.6640625" customWidth="1"/>
    <col min="11517" max="11517" width="1.5" customWidth="1"/>
    <col min="11518" max="11518" width="4.83203125" customWidth="1"/>
    <col min="11519" max="11519" width="2.33203125" customWidth="1"/>
    <col min="11520" max="11520" width="19" customWidth="1"/>
    <col min="11521" max="11521" width="4.83203125" customWidth="1"/>
    <col min="11522" max="11522" width="2.33203125" customWidth="1"/>
    <col min="11523" max="11523" width="10" customWidth="1"/>
    <col min="11524" max="11524" width="11.33203125" customWidth="1"/>
    <col min="11525" max="11525" width="2" customWidth="1"/>
    <col min="11526" max="11526" width="17.6640625" customWidth="1"/>
    <col min="11527" max="11527" width="2.33203125" customWidth="1"/>
    <col min="11770" max="11770" width="7.6640625" customWidth="1"/>
    <col min="11771" max="11771" width="10" customWidth="1"/>
    <col min="11772" max="11772" width="8.6640625" customWidth="1"/>
    <col min="11773" max="11773" width="1.5" customWidth="1"/>
    <col min="11774" max="11774" width="4.83203125" customWidth="1"/>
    <col min="11775" max="11775" width="2.33203125" customWidth="1"/>
    <col min="11776" max="11776" width="19" customWidth="1"/>
    <col min="11777" max="11777" width="4.83203125" customWidth="1"/>
    <col min="11778" max="11778" width="2.33203125" customWidth="1"/>
    <col min="11779" max="11779" width="10" customWidth="1"/>
    <col min="11780" max="11780" width="11.33203125" customWidth="1"/>
    <col min="11781" max="11781" width="2" customWidth="1"/>
    <col min="11782" max="11782" width="17.6640625" customWidth="1"/>
    <col min="11783" max="11783" width="2.33203125" customWidth="1"/>
    <col min="12026" max="12026" width="7.6640625" customWidth="1"/>
    <col min="12027" max="12027" width="10" customWidth="1"/>
    <col min="12028" max="12028" width="8.6640625" customWidth="1"/>
    <col min="12029" max="12029" width="1.5" customWidth="1"/>
    <col min="12030" max="12030" width="4.83203125" customWidth="1"/>
    <col min="12031" max="12031" width="2.33203125" customWidth="1"/>
    <col min="12032" max="12032" width="19" customWidth="1"/>
    <col min="12033" max="12033" width="4.83203125" customWidth="1"/>
    <col min="12034" max="12034" width="2.33203125" customWidth="1"/>
    <col min="12035" max="12035" width="10" customWidth="1"/>
    <col min="12036" max="12036" width="11.33203125" customWidth="1"/>
    <col min="12037" max="12037" width="2" customWidth="1"/>
    <col min="12038" max="12038" width="17.6640625" customWidth="1"/>
    <col min="12039" max="12039" width="2.33203125" customWidth="1"/>
    <col min="12282" max="12282" width="7.6640625" customWidth="1"/>
    <col min="12283" max="12283" width="10" customWidth="1"/>
    <col min="12284" max="12284" width="8.6640625" customWidth="1"/>
    <col min="12285" max="12285" width="1.5" customWidth="1"/>
    <col min="12286" max="12286" width="4.83203125" customWidth="1"/>
    <col min="12287" max="12287" width="2.33203125" customWidth="1"/>
    <col min="12288" max="12288" width="19" customWidth="1"/>
    <col min="12289" max="12289" width="4.83203125" customWidth="1"/>
    <col min="12290" max="12290" width="2.33203125" customWidth="1"/>
    <col min="12291" max="12291" width="10" customWidth="1"/>
    <col min="12292" max="12292" width="11.33203125" customWidth="1"/>
    <col min="12293" max="12293" width="2" customWidth="1"/>
    <col min="12294" max="12294" width="17.6640625" customWidth="1"/>
    <col min="12295" max="12295" width="2.33203125" customWidth="1"/>
    <col min="12538" max="12538" width="7.6640625" customWidth="1"/>
    <col min="12539" max="12539" width="10" customWidth="1"/>
    <col min="12540" max="12540" width="8.6640625" customWidth="1"/>
    <col min="12541" max="12541" width="1.5" customWidth="1"/>
    <col min="12542" max="12542" width="4.83203125" customWidth="1"/>
    <col min="12543" max="12543" width="2.33203125" customWidth="1"/>
    <col min="12544" max="12544" width="19" customWidth="1"/>
    <col min="12545" max="12545" width="4.83203125" customWidth="1"/>
    <col min="12546" max="12546" width="2.33203125" customWidth="1"/>
    <col min="12547" max="12547" width="10" customWidth="1"/>
    <col min="12548" max="12548" width="11.33203125" customWidth="1"/>
    <col min="12549" max="12549" width="2" customWidth="1"/>
    <col min="12550" max="12550" width="17.6640625" customWidth="1"/>
    <col min="12551" max="12551" width="2.33203125" customWidth="1"/>
    <col min="12794" max="12794" width="7.6640625" customWidth="1"/>
    <col min="12795" max="12795" width="10" customWidth="1"/>
    <col min="12796" max="12796" width="8.6640625" customWidth="1"/>
    <col min="12797" max="12797" width="1.5" customWidth="1"/>
    <col min="12798" max="12798" width="4.83203125" customWidth="1"/>
    <col min="12799" max="12799" width="2.33203125" customWidth="1"/>
    <col min="12800" max="12800" width="19" customWidth="1"/>
    <col min="12801" max="12801" width="4.83203125" customWidth="1"/>
    <col min="12802" max="12802" width="2.33203125" customWidth="1"/>
    <col min="12803" max="12803" width="10" customWidth="1"/>
    <col min="12804" max="12804" width="11.33203125" customWidth="1"/>
    <col min="12805" max="12805" width="2" customWidth="1"/>
    <col min="12806" max="12806" width="17.6640625" customWidth="1"/>
    <col min="12807" max="12807" width="2.33203125" customWidth="1"/>
    <col min="13050" max="13050" width="7.6640625" customWidth="1"/>
    <col min="13051" max="13051" width="10" customWidth="1"/>
    <col min="13052" max="13052" width="8.6640625" customWidth="1"/>
    <col min="13053" max="13053" width="1.5" customWidth="1"/>
    <col min="13054" max="13054" width="4.83203125" customWidth="1"/>
    <col min="13055" max="13055" width="2.33203125" customWidth="1"/>
    <col min="13056" max="13056" width="19" customWidth="1"/>
    <col min="13057" max="13057" width="4.83203125" customWidth="1"/>
    <col min="13058" max="13058" width="2.33203125" customWidth="1"/>
    <col min="13059" max="13059" width="10" customWidth="1"/>
    <col min="13060" max="13060" width="11.33203125" customWidth="1"/>
    <col min="13061" max="13061" width="2" customWidth="1"/>
    <col min="13062" max="13062" width="17.6640625" customWidth="1"/>
    <col min="13063" max="13063" width="2.33203125" customWidth="1"/>
    <col min="13306" max="13306" width="7.6640625" customWidth="1"/>
    <col min="13307" max="13307" width="10" customWidth="1"/>
    <col min="13308" max="13308" width="8.6640625" customWidth="1"/>
    <col min="13309" max="13309" width="1.5" customWidth="1"/>
    <col min="13310" max="13310" width="4.83203125" customWidth="1"/>
    <col min="13311" max="13311" width="2.33203125" customWidth="1"/>
    <col min="13312" max="13312" width="19" customWidth="1"/>
    <col min="13313" max="13313" width="4.83203125" customWidth="1"/>
    <col min="13314" max="13314" width="2.33203125" customWidth="1"/>
    <col min="13315" max="13315" width="10" customWidth="1"/>
    <col min="13316" max="13316" width="11.33203125" customWidth="1"/>
    <col min="13317" max="13317" width="2" customWidth="1"/>
    <col min="13318" max="13318" width="17.6640625" customWidth="1"/>
    <col min="13319" max="13319" width="2.33203125" customWidth="1"/>
    <col min="13562" max="13562" width="7.6640625" customWidth="1"/>
    <col min="13563" max="13563" width="10" customWidth="1"/>
    <col min="13564" max="13564" width="8.6640625" customWidth="1"/>
    <col min="13565" max="13565" width="1.5" customWidth="1"/>
    <col min="13566" max="13566" width="4.83203125" customWidth="1"/>
    <col min="13567" max="13567" width="2.33203125" customWidth="1"/>
    <col min="13568" max="13568" width="19" customWidth="1"/>
    <col min="13569" max="13569" width="4.83203125" customWidth="1"/>
    <col min="13570" max="13570" width="2.33203125" customWidth="1"/>
    <col min="13571" max="13571" width="10" customWidth="1"/>
    <col min="13572" max="13572" width="11.33203125" customWidth="1"/>
    <col min="13573" max="13573" width="2" customWidth="1"/>
    <col min="13574" max="13574" width="17.6640625" customWidth="1"/>
    <col min="13575" max="13575" width="2.33203125" customWidth="1"/>
    <col min="13818" max="13818" width="7.6640625" customWidth="1"/>
    <col min="13819" max="13819" width="10" customWidth="1"/>
    <col min="13820" max="13820" width="8.6640625" customWidth="1"/>
    <col min="13821" max="13821" width="1.5" customWidth="1"/>
    <col min="13822" max="13822" width="4.83203125" customWidth="1"/>
    <col min="13823" max="13823" width="2.33203125" customWidth="1"/>
    <col min="13824" max="13824" width="19" customWidth="1"/>
    <col min="13825" max="13825" width="4.83203125" customWidth="1"/>
    <col min="13826" max="13826" width="2.33203125" customWidth="1"/>
    <col min="13827" max="13827" width="10" customWidth="1"/>
    <col min="13828" max="13828" width="11.33203125" customWidth="1"/>
    <col min="13829" max="13829" width="2" customWidth="1"/>
    <col min="13830" max="13830" width="17.6640625" customWidth="1"/>
    <col min="13831" max="13831" width="2.33203125" customWidth="1"/>
    <col min="14074" max="14074" width="7.6640625" customWidth="1"/>
    <col min="14075" max="14075" width="10" customWidth="1"/>
    <col min="14076" max="14076" width="8.6640625" customWidth="1"/>
    <col min="14077" max="14077" width="1.5" customWidth="1"/>
    <col min="14078" max="14078" width="4.83203125" customWidth="1"/>
    <col min="14079" max="14079" width="2.33203125" customWidth="1"/>
    <col min="14080" max="14080" width="19" customWidth="1"/>
    <col min="14081" max="14081" width="4.83203125" customWidth="1"/>
    <col min="14082" max="14082" width="2.33203125" customWidth="1"/>
    <col min="14083" max="14083" width="10" customWidth="1"/>
    <col min="14084" max="14084" width="11.33203125" customWidth="1"/>
    <col min="14085" max="14085" width="2" customWidth="1"/>
    <col min="14086" max="14086" width="17.6640625" customWidth="1"/>
    <col min="14087" max="14087" width="2.33203125" customWidth="1"/>
    <col min="14330" max="14330" width="7.6640625" customWidth="1"/>
    <col min="14331" max="14331" width="10" customWidth="1"/>
    <col min="14332" max="14332" width="8.6640625" customWidth="1"/>
    <col min="14333" max="14333" width="1.5" customWidth="1"/>
    <col min="14334" max="14334" width="4.83203125" customWidth="1"/>
    <col min="14335" max="14335" width="2.33203125" customWidth="1"/>
    <col min="14336" max="14336" width="19" customWidth="1"/>
    <col min="14337" max="14337" width="4.83203125" customWidth="1"/>
    <col min="14338" max="14338" width="2.33203125" customWidth="1"/>
    <col min="14339" max="14339" width="10" customWidth="1"/>
    <col min="14340" max="14340" width="11.33203125" customWidth="1"/>
    <col min="14341" max="14341" width="2" customWidth="1"/>
    <col min="14342" max="14342" width="17.6640625" customWidth="1"/>
    <col min="14343" max="14343" width="2.33203125" customWidth="1"/>
    <col min="14586" max="14586" width="7.6640625" customWidth="1"/>
    <col min="14587" max="14587" width="10" customWidth="1"/>
    <col min="14588" max="14588" width="8.6640625" customWidth="1"/>
    <col min="14589" max="14589" width="1.5" customWidth="1"/>
    <col min="14590" max="14590" width="4.83203125" customWidth="1"/>
    <col min="14591" max="14591" width="2.33203125" customWidth="1"/>
    <col min="14592" max="14592" width="19" customWidth="1"/>
    <col min="14593" max="14593" width="4.83203125" customWidth="1"/>
    <col min="14594" max="14594" width="2.33203125" customWidth="1"/>
    <col min="14595" max="14595" width="10" customWidth="1"/>
    <col min="14596" max="14596" width="11.33203125" customWidth="1"/>
    <col min="14597" max="14597" width="2" customWidth="1"/>
    <col min="14598" max="14598" width="17.6640625" customWidth="1"/>
    <col min="14599" max="14599" width="2.33203125" customWidth="1"/>
    <col min="14842" max="14842" width="7.6640625" customWidth="1"/>
    <col min="14843" max="14843" width="10" customWidth="1"/>
    <col min="14844" max="14844" width="8.6640625" customWidth="1"/>
    <col min="14845" max="14845" width="1.5" customWidth="1"/>
    <col min="14846" max="14846" width="4.83203125" customWidth="1"/>
    <col min="14847" max="14847" width="2.33203125" customWidth="1"/>
    <col min="14848" max="14848" width="19" customWidth="1"/>
    <col min="14849" max="14849" width="4.83203125" customWidth="1"/>
    <col min="14850" max="14850" width="2.33203125" customWidth="1"/>
    <col min="14851" max="14851" width="10" customWidth="1"/>
    <col min="14852" max="14852" width="11.33203125" customWidth="1"/>
    <col min="14853" max="14853" width="2" customWidth="1"/>
    <col min="14854" max="14854" width="17.6640625" customWidth="1"/>
    <col min="14855" max="14855" width="2.33203125" customWidth="1"/>
    <col min="15098" max="15098" width="7.6640625" customWidth="1"/>
    <col min="15099" max="15099" width="10" customWidth="1"/>
    <col min="15100" max="15100" width="8.6640625" customWidth="1"/>
    <col min="15101" max="15101" width="1.5" customWidth="1"/>
    <col min="15102" max="15102" width="4.83203125" customWidth="1"/>
    <col min="15103" max="15103" width="2.33203125" customWidth="1"/>
    <col min="15104" max="15104" width="19" customWidth="1"/>
    <col min="15105" max="15105" width="4.83203125" customWidth="1"/>
    <col min="15106" max="15106" width="2.33203125" customWidth="1"/>
    <col min="15107" max="15107" width="10" customWidth="1"/>
    <col min="15108" max="15108" width="11.33203125" customWidth="1"/>
    <col min="15109" max="15109" width="2" customWidth="1"/>
    <col min="15110" max="15110" width="17.6640625" customWidth="1"/>
    <col min="15111" max="15111" width="2.33203125" customWidth="1"/>
    <col min="15354" max="15354" width="7.6640625" customWidth="1"/>
    <col min="15355" max="15355" width="10" customWidth="1"/>
    <col min="15356" max="15356" width="8.6640625" customWidth="1"/>
    <col min="15357" max="15357" width="1.5" customWidth="1"/>
    <col min="15358" max="15358" width="4.83203125" customWidth="1"/>
    <col min="15359" max="15359" width="2.33203125" customWidth="1"/>
    <col min="15360" max="15360" width="19" customWidth="1"/>
    <col min="15361" max="15361" width="4.83203125" customWidth="1"/>
    <col min="15362" max="15362" width="2.33203125" customWidth="1"/>
    <col min="15363" max="15363" width="10" customWidth="1"/>
    <col min="15364" max="15364" width="11.33203125" customWidth="1"/>
    <col min="15365" max="15365" width="2" customWidth="1"/>
    <col min="15366" max="15366" width="17.6640625" customWidth="1"/>
    <col min="15367" max="15367" width="2.33203125" customWidth="1"/>
    <col min="15610" max="15610" width="7.6640625" customWidth="1"/>
    <col min="15611" max="15611" width="10" customWidth="1"/>
    <col min="15612" max="15612" width="8.6640625" customWidth="1"/>
    <col min="15613" max="15613" width="1.5" customWidth="1"/>
    <col min="15614" max="15614" width="4.83203125" customWidth="1"/>
    <col min="15615" max="15615" width="2.33203125" customWidth="1"/>
    <col min="15616" max="15616" width="19" customWidth="1"/>
    <col min="15617" max="15617" width="4.83203125" customWidth="1"/>
    <col min="15618" max="15618" width="2.33203125" customWidth="1"/>
    <col min="15619" max="15619" width="10" customWidth="1"/>
    <col min="15620" max="15620" width="11.33203125" customWidth="1"/>
    <col min="15621" max="15621" width="2" customWidth="1"/>
    <col min="15622" max="15622" width="17.6640625" customWidth="1"/>
    <col min="15623" max="15623" width="2.33203125" customWidth="1"/>
    <col min="15866" max="15866" width="7.6640625" customWidth="1"/>
    <col min="15867" max="15867" width="10" customWidth="1"/>
    <col min="15868" max="15868" width="8.6640625" customWidth="1"/>
    <col min="15869" max="15869" width="1.5" customWidth="1"/>
    <col min="15870" max="15870" width="4.83203125" customWidth="1"/>
    <col min="15871" max="15871" width="2.33203125" customWidth="1"/>
    <col min="15872" max="15872" width="19" customWidth="1"/>
    <col min="15873" max="15873" width="4.83203125" customWidth="1"/>
    <col min="15874" max="15874" width="2.33203125" customWidth="1"/>
    <col min="15875" max="15875" width="10" customWidth="1"/>
    <col min="15876" max="15876" width="11.33203125" customWidth="1"/>
    <col min="15877" max="15877" width="2" customWidth="1"/>
    <col min="15878" max="15878" width="17.6640625" customWidth="1"/>
    <col min="15879" max="15879" width="2.33203125" customWidth="1"/>
    <col min="16122" max="16122" width="7.6640625" customWidth="1"/>
    <col min="16123" max="16123" width="10" customWidth="1"/>
    <col min="16124" max="16124" width="8.6640625" customWidth="1"/>
    <col min="16125" max="16125" width="1.5" customWidth="1"/>
    <col min="16126" max="16126" width="4.83203125" customWidth="1"/>
    <col min="16127" max="16127" width="2.33203125" customWidth="1"/>
    <col min="16128" max="16128" width="19" customWidth="1"/>
    <col min="16129" max="16129" width="4.83203125" customWidth="1"/>
    <col min="16130" max="16130" width="2.33203125" customWidth="1"/>
    <col min="16131" max="16131" width="10" customWidth="1"/>
    <col min="16132" max="16132" width="11.33203125" customWidth="1"/>
    <col min="16133" max="16133" width="2" customWidth="1"/>
    <col min="16134" max="16134" width="17.6640625" customWidth="1"/>
    <col min="16135" max="16135" width="2.33203125" customWidth="1"/>
  </cols>
  <sheetData>
    <row r="2" spans="1:247" ht="16" thickBot="1" x14ac:dyDescent="0.25"/>
    <row r="3" spans="1:247" s="1" customFormat="1" ht="16" x14ac:dyDescent="0.2">
      <c r="B3" s="40" t="s">
        <v>0</v>
      </c>
      <c r="C3" s="20"/>
      <c r="D3" s="21"/>
      <c r="E3" s="21"/>
      <c r="F3" s="21"/>
      <c r="G3" s="21"/>
      <c r="H3" s="21"/>
      <c r="I3" s="21"/>
      <c r="J3" s="21"/>
      <c r="K3" s="2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/>
      <c r="CT3" s="2"/>
      <c r="CU3" s="2"/>
      <c r="CV3" s="2"/>
      <c r="CW3" s="2"/>
      <c r="CX3" s="2"/>
      <c r="CY3" s="2"/>
      <c r="CZ3" s="2"/>
      <c r="DA3" s="2"/>
      <c r="DB3" s="2"/>
      <c r="DC3" s="2"/>
      <c r="DD3" s="2"/>
      <c r="DE3" s="2"/>
      <c r="DF3" s="2"/>
      <c r="DG3" s="2"/>
      <c r="DH3" s="2"/>
      <c r="DI3" s="2"/>
      <c r="DJ3" s="2"/>
      <c r="DK3" s="2"/>
      <c r="DL3" s="2"/>
      <c r="DM3" s="2"/>
      <c r="DN3" s="2"/>
      <c r="DO3" s="2"/>
      <c r="DP3" s="2"/>
      <c r="DQ3" s="2"/>
      <c r="DR3" s="2"/>
      <c r="DS3" s="2"/>
      <c r="DT3" s="2"/>
      <c r="DU3" s="2"/>
      <c r="DV3" s="2"/>
      <c r="DW3" s="2"/>
      <c r="DX3" s="2"/>
      <c r="DY3" s="2"/>
      <c r="DZ3" s="2"/>
      <c r="EA3" s="2"/>
      <c r="EB3" s="2"/>
      <c r="EC3" s="2"/>
      <c r="ED3" s="2"/>
      <c r="EE3" s="2"/>
      <c r="EF3" s="2"/>
      <c r="EG3" s="2"/>
      <c r="EH3" s="2"/>
      <c r="EI3" s="2"/>
      <c r="EJ3" s="2"/>
      <c r="EK3" s="2"/>
      <c r="EL3" s="2"/>
      <c r="EM3" s="2"/>
      <c r="EN3" s="2"/>
      <c r="EO3" s="2"/>
      <c r="EP3" s="2"/>
      <c r="EQ3" s="2"/>
      <c r="ER3" s="2"/>
      <c r="ES3" s="2"/>
      <c r="ET3" s="2"/>
      <c r="EU3" s="2"/>
      <c r="EV3" s="2"/>
      <c r="EW3" s="2"/>
      <c r="EX3" s="2"/>
      <c r="EY3" s="2"/>
      <c r="EZ3" s="2"/>
      <c r="FA3" s="2"/>
      <c r="FB3" s="2"/>
      <c r="FC3" s="2"/>
      <c r="FD3" s="2"/>
      <c r="FE3" s="2"/>
      <c r="FF3" s="2"/>
      <c r="FG3" s="2"/>
      <c r="FH3" s="2"/>
      <c r="FI3" s="2"/>
      <c r="FJ3" s="2"/>
      <c r="FK3" s="2"/>
      <c r="FL3" s="2"/>
      <c r="FM3" s="2"/>
      <c r="FN3" s="2"/>
      <c r="FO3" s="2"/>
      <c r="FP3" s="2"/>
      <c r="FQ3" s="2"/>
      <c r="FR3" s="2"/>
      <c r="FS3" s="2"/>
      <c r="FT3" s="2"/>
      <c r="FU3" s="2"/>
      <c r="FV3" s="2"/>
      <c r="FW3" s="2"/>
      <c r="FX3" s="2"/>
      <c r="FY3" s="2"/>
      <c r="FZ3" s="2"/>
      <c r="GA3" s="2"/>
      <c r="GB3" s="2"/>
      <c r="GC3" s="2"/>
      <c r="GD3" s="2"/>
      <c r="GE3" s="2"/>
      <c r="GF3" s="2"/>
      <c r="GG3" s="2"/>
      <c r="GH3" s="2"/>
      <c r="GI3" s="2"/>
      <c r="GJ3" s="2"/>
      <c r="GK3" s="2"/>
      <c r="GL3" s="2"/>
      <c r="GM3" s="2"/>
      <c r="GN3" s="2"/>
      <c r="GO3" s="2"/>
      <c r="GP3" s="2"/>
      <c r="GQ3" s="2"/>
      <c r="GR3" s="2"/>
      <c r="GS3" s="2"/>
      <c r="GT3" s="2"/>
      <c r="GU3" s="2"/>
      <c r="GV3" s="2"/>
      <c r="GW3" s="2"/>
      <c r="GX3" s="2"/>
      <c r="GY3" s="2"/>
      <c r="GZ3" s="2"/>
      <c r="HA3" s="2"/>
      <c r="HB3" s="2"/>
      <c r="HC3" s="2"/>
      <c r="HD3" s="2"/>
      <c r="HE3" s="2"/>
      <c r="HF3" s="2"/>
      <c r="HG3" s="2"/>
      <c r="HH3" s="2"/>
      <c r="HI3" s="2"/>
      <c r="HJ3" s="2"/>
      <c r="HK3" s="2"/>
      <c r="HL3" s="2"/>
      <c r="HM3" s="2"/>
      <c r="HN3" s="2"/>
      <c r="HO3" s="2"/>
      <c r="HP3" s="2"/>
      <c r="HQ3" s="2"/>
      <c r="HR3" s="2"/>
      <c r="HS3" s="2"/>
      <c r="HT3" s="2"/>
      <c r="HU3" s="2"/>
      <c r="HV3" s="2"/>
      <c r="HW3" s="2"/>
      <c r="HX3" s="2"/>
      <c r="HY3" s="2"/>
      <c r="HZ3" s="2"/>
      <c r="IA3" s="2"/>
      <c r="IB3" s="2"/>
      <c r="IC3" s="2"/>
      <c r="ID3" s="2"/>
      <c r="IE3" s="2"/>
      <c r="IF3" s="2"/>
      <c r="IG3" s="2"/>
      <c r="IH3" s="2"/>
      <c r="II3" s="2"/>
      <c r="IJ3" s="2"/>
      <c r="IK3" s="2"/>
      <c r="IL3" s="2"/>
      <c r="IM3" s="2"/>
    </row>
    <row r="4" spans="1:247" s="1" customFormat="1" ht="14" customHeight="1" x14ac:dyDescent="0.2">
      <c r="A4" s="39"/>
      <c r="B4" s="41" t="s">
        <v>31</v>
      </c>
      <c r="C4" s="36"/>
      <c r="D4" s="37"/>
      <c r="E4" s="37"/>
      <c r="F4" s="37"/>
      <c r="G4" s="37"/>
      <c r="H4" s="37"/>
      <c r="I4" s="37"/>
      <c r="J4" s="37"/>
      <c r="K4" s="38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/>
      <c r="CQ4" s="2"/>
      <c r="CR4" s="2"/>
      <c r="CS4" s="2"/>
      <c r="CT4" s="2"/>
      <c r="CU4" s="2"/>
      <c r="CV4" s="2"/>
      <c r="CW4" s="2"/>
      <c r="CX4" s="2"/>
      <c r="CY4" s="2"/>
      <c r="CZ4" s="2"/>
      <c r="DA4" s="2"/>
      <c r="DB4" s="2"/>
      <c r="DC4" s="2"/>
      <c r="DD4" s="2"/>
      <c r="DE4" s="2"/>
      <c r="DF4" s="2"/>
      <c r="DG4" s="2"/>
      <c r="DH4" s="2"/>
      <c r="DI4" s="2"/>
      <c r="DJ4" s="2"/>
      <c r="DK4" s="2"/>
      <c r="DL4" s="2"/>
      <c r="DM4" s="2"/>
      <c r="DN4" s="2"/>
      <c r="DO4" s="2"/>
      <c r="DP4" s="2"/>
      <c r="DQ4" s="2"/>
      <c r="DR4" s="2"/>
      <c r="DS4" s="2"/>
      <c r="DT4" s="2"/>
      <c r="DU4" s="2"/>
      <c r="DV4" s="2"/>
      <c r="DW4" s="2"/>
      <c r="DX4" s="2"/>
      <c r="DY4" s="2"/>
      <c r="DZ4" s="2"/>
      <c r="EA4" s="2"/>
      <c r="EB4" s="2"/>
      <c r="EC4" s="2"/>
      <c r="ED4" s="2"/>
      <c r="EE4" s="2"/>
      <c r="EF4" s="2"/>
      <c r="EG4" s="2"/>
      <c r="EH4" s="2"/>
      <c r="EI4" s="2"/>
      <c r="EJ4" s="2"/>
      <c r="EK4" s="2"/>
      <c r="EL4" s="2"/>
      <c r="EM4" s="2"/>
      <c r="EN4" s="2"/>
      <c r="EO4" s="2"/>
      <c r="EP4" s="2"/>
      <c r="EQ4" s="2"/>
      <c r="ER4" s="2"/>
      <c r="ES4" s="2"/>
      <c r="ET4" s="2"/>
      <c r="EU4" s="2"/>
      <c r="EV4" s="2"/>
      <c r="EW4" s="2"/>
      <c r="EX4" s="2"/>
      <c r="EY4" s="2"/>
      <c r="EZ4" s="2"/>
      <c r="FA4" s="2"/>
      <c r="FB4" s="2"/>
      <c r="FC4" s="2"/>
      <c r="FD4" s="2"/>
      <c r="FE4" s="2"/>
      <c r="FF4" s="2"/>
      <c r="FG4" s="2"/>
      <c r="FH4" s="2"/>
      <c r="FI4" s="2"/>
      <c r="FJ4" s="2"/>
      <c r="FK4" s="2"/>
      <c r="FL4" s="2"/>
      <c r="FM4" s="2"/>
      <c r="FN4" s="2"/>
      <c r="FO4" s="2"/>
      <c r="FP4" s="2"/>
      <c r="FQ4" s="2"/>
      <c r="FR4" s="2"/>
      <c r="FS4" s="2"/>
      <c r="FT4" s="2"/>
      <c r="FU4" s="2"/>
      <c r="FV4" s="2"/>
      <c r="FW4" s="2"/>
      <c r="FX4" s="2"/>
      <c r="FY4" s="2"/>
      <c r="FZ4" s="2"/>
      <c r="GA4" s="2"/>
      <c r="GB4" s="2"/>
      <c r="GC4" s="2"/>
      <c r="GD4" s="2"/>
      <c r="GE4" s="2"/>
      <c r="GF4" s="2"/>
      <c r="GG4" s="2"/>
      <c r="GH4" s="2"/>
      <c r="GI4" s="2"/>
      <c r="GJ4" s="2"/>
      <c r="GK4" s="2"/>
      <c r="GL4" s="2"/>
      <c r="GM4" s="2"/>
      <c r="GN4" s="2"/>
      <c r="GO4" s="2"/>
      <c r="GP4" s="2"/>
      <c r="GQ4" s="2"/>
      <c r="GR4" s="2"/>
      <c r="GS4" s="2"/>
      <c r="GT4" s="2"/>
      <c r="GU4" s="2"/>
      <c r="GV4" s="2"/>
      <c r="GW4" s="2"/>
      <c r="GX4" s="2"/>
      <c r="GY4" s="2"/>
      <c r="GZ4" s="2"/>
      <c r="HA4" s="2"/>
      <c r="HB4" s="2"/>
      <c r="HC4" s="2"/>
      <c r="HD4" s="2"/>
      <c r="HE4" s="2"/>
      <c r="HF4" s="2"/>
      <c r="HG4" s="2"/>
      <c r="HH4" s="2"/>
      <c r="HI4" s="2"/>
      <c r="HJ4" s="2"/>
      <c r="HK4" s="2"/>
      <c r="HL4" s="2"/>
      <c r="HM4" s="2"/>
      <c r="HN4" s="2"/>
      <c r="HO4" s="2"/>
      <c r="HP4" s="2"/>
      <c r="HQ4" s="2"/>
      <c r="HR4" s="2"/>
      <c r="HS4" s="2"/>
      <c r="HT4" s="2"/>
      <c r="HU4" s="2"/>
      <c r="HV4" s="2"/>
      <c r="HW4" s="2"/>
      <c r="HX4" s="2"/>
      <c r="HY4" s="2"/>
      <c r="HZ4" s="2"/>
      <c r="IA4" s="2"/>
      <c r="IB4" s="2"/>
      <c r="IC4" s="2"/>
      <c r="ID4" s="2"/>
      <c r="IE4" s="2"/>
      <c r="IF4" s="2"/>
      <c r="IG4" s="2"/>
      <c r="IH4" s="2"/>
      <c r="II4" s="2"/>
      <c r="IJ4" s="2"/>
      <c r="IK4" s="2"/>
      <c r="IL4" s="2"/>
      <c r="IM4" s="2"/>
    </row>
    <row r="5" spans="1:247" s="1" customFormat="1" ht="16" x14ac:dyDescent="0.2">
      <c r="B5" s="317" t="s">
        <v>32</v>
      </c>
      <c r="E5" s="318"/>
      <c r="F5" s="318"/>
      <c r="G5" s="318"/>
      <c r="H5" s="318"/>
      <c r="I5" s="318"/>
      <c r="J5" s="318"/>
      <c r="K5" s="319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  <c r="CL5" s="2"/>
      <c r="CM5" s="2"/>
      <c r="CN5" s="2"/>
      <c r="CO5" s="2"/>
      <c r="CP5" s="2"/>
      <c r="CQ5" s="2"/>
      <c r="CR5" s="2"/>
      <c r="CS5" s="2"/>
      <c r="CT5" s="2"/>
      <c r="CU5" s="2"/>
      <c r="CV5" s="2"/>
      <c r="CW5" s="2"/>
      <c r="CX5" s="2"/>
      <c r="CY5" s="2"/>
      <c r="CZ5" s="2"/>
      <c r="DA5" s="2"/>
      <c r="DB5" s="2"/>
      <c r="DC5" s="2"/>
      <c r="DD5" s="2"/>
      <c r="DE5" s="2"/>
      <c r="DF5" s="2"/>
      <c r="DG5" s="2"/>
      <c r="DH5" s="2"/>
      <c r="DI5" s="2"/>
      <c r="DJ5" s="2"/>
      <c r="DK5" s="2"/>
      <c r="DL5" s="2"/>
      <c r="DM5" s="2"/>
      <c r="DN5" s="2"/>
      <c r="DO5" s="2"/>
      <c r="DP5" s="2"/>
      <c r="DQ5" s="2"/>
      <c r="DR5" s="2"/>
      <c r="DS5" s="2"/>
      <c r="DT5" s="2"/>
      <c r="DU5" s="2"/>
      <c r="DV5" s="2"/>
      <c r="DW5" s="2"/>
      <c r="DX5" s="2"/>
      <c r="DY5" s="2"/>
      <c r="DZ5" s="2"/>
      <c r="EA5" s="2"/>
      <c r="EB5" s="2"/>
      <c r="EC5" s="2"/>
      <c r="ED5" s="2"/>
      <c r="EE5" s="2"/>
      <c r="EF5" s="2"/>
      <c r="EG5" s="2"/>
      <c r="EH5" s="2"/>
      <c r="EI5" s="2"/>
      <c r="EJ5" s="2"/>
      <c r="EK5" s="2"/>
      <c r="EL5" s="2"/>
      <c r="EM5" s="2"/>
      <c r="EN5" s="2"/>
      <c r="EO5" s="2"/>
      <c r="EP5" s="2"/>
      <c r="EQ5" s="2"/>
      <c r="ER5" s="2"/>
      <c r="ES5" s="2"/>
      <c r="ET5" s="2"/>
      <c r="EU5" s="2"/>
      <c r="EV5" s="2"/>
      <c r="EW5" s="2"/>
      <c r="EX5" s="2"/>
      <c r="EY5" s="2"/>
      <c r="EZ5" s="2"/>
      <c r="FA5" s="2"/>
      <c r="FB5" s="2"/>
      <c r="FC5" s="2"/>
      <c r="FD5" s="2"/>
      <c r="FE5" s="2"/>
      <c r="FF5" s="2"/>
      <c r="FG5" s="2"/>
      <c r="FH5" s="2"/>
      <c r="FI5" s="2"/>
      <c r="FJ5" s="2"/>
      <c r="FK5" s="2"/>
      <c r="FL5" s="2"/>
      <c r="FM5" s="2"/>
      <c r="FN5" s="2"/>
      <c r="FO5" s="2"/>
      <c r="FP5" s="2"/>
      <c r="FQ5" s="2"/>
      <c r="FR5" s="2"/>
      <c r="FS5" s="2"/>
      <c r="FT5" s="2"/>
      <c r="FU5" s="2"/>
      <c r="FV5" s="2"/>
      <c r="FW5" s="2"/>
      <c r="FX5" s="2"/>
      <c r="FY5" s="2"/>
      <c r="FZ5" s="2"/>
      <c r="GA5" s="2"/>
      <c r="GB5" s="2"/>
      <c r="GC5" s="2"/>
      <c r="GD5" s="2"/>
      <c r="GE5" s="2"/>
      <c r="GF5" s="2"/>
      <c r="GG5" s="2"/>
      <c r="GH5" s="2"/>
      <c r="GI5" s="2"/>
      <c r="GJ5" s="2"/>
      <c r="GK5" s="2"/>
      <c r="GL5" s="2"/>
      <c r="GM5" s="2"/>
      <c r="GN5" s="2"/>
      <c r="GO5" s="2"/>
      <c r="GP5" s="2"/>
      <c r="GQ5" s="2"/>
      <c r="GR5" s="2"/>
      <c r="GS5" s="2"/>
      <c r="GT5" s="2"/>
      <c r="GU5" s="2"/>
      <c r="GV5" s="2"/>
      <c r="GW5" s="2"/>
      <c r="GX5" s="2"/>
      <c r="GY5" s="2"/>
      <c r="GZ5" s="2"/>
      <c r="HA5" s="2"/>
      <c r="HB5" s="2"/>
      <c r="HC5" s="2"/>
      <c r="HD5" s="2"/>
      <c r="HE5" s="2"/>
      <c r="HF5" s="2"/>
      <c r="HG5" s="2"/>
      <c r="HH5" s="2"/>
      <c r="HI5" s="2"/>
      <c r="HJ5" s="2"/>
      <c r="HK5" s="2"/>
      <c r="HL5" s="2"/>
      <c r="HM5" s="2"/>
      <c r="HN5" s="2"/>
      <c r="HO5" s="2"/>
      <c r="HP5" s="2"/>
      <c r="HQ5" s="2"/>
      <c r="HR5" s="2"/>
      <c r="HS5" s="2"/>
      <c r="HT5" s="2"/>
      <c r="HU5" s="2"/>
      <c r="HV5" s="2"/>
      <c r="HW5" s="2"/>
      <c r="HX5" s="2"/>
      <c r="HY5" s="2"/>
      <c r="HZ5" s="2"/>
      <c r="IA5" s="2"/>
      <c r="IB5" s="2"/>
      <c r="IC5" s="2"/>
      <c r="ID5" s="2"/>
      <c r="IE5" s="2"/>
      <c r="IF5" s="2"/>
      <c r="IG5" s="2"/>
      <c r="IH5" s="2"/>
      <c r="II5" s="2"/>
      <c r="IJ5" s="2"/>
      <c r="IK5" s="2"/>
      <c r="IL5" s="2"/>
      <c r="IM5" s="2"/>
    </row>
    <row r="6" spans="1:247" s="1" customFormat="1" ht="5" customHeight="1" thickBot="1" x14ac:dyDescent="0.25">
      <c r="B6" s="23"/>
      <c r="C6" s="12"/>
      <c r="D6" s="3"/>
      <c r="E6" s="3"/>
      <c r="F6" s="3"/>
      <c r="G6" s="3"/>
      <c r="H6" s="4"/>
      <c r="I6" s="4"/>
      <c r="J6" s="5"/>
      <c r="K6" s="24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/>
      <c r="CO6" s="2"/>
      <c r="CP6" s="2"/>
      <c r="CQ6" s="2"/>
      <c r="CR6" s="2"/>
      <c r="CS6" s="2"/>
      <c r="CT6" s="2"/>
      <c r="CU6" s="2"/>
      <c r="CV6" s="2"/>
      <c r="CW6" s="2"/>
      <c r="CX6" s="2"/>
      <c r="CY6" s="2"/>
      <c r="CZ6" s="2"/>
      <c r="DA6" s="2"/>
      <c r="DB6" s="2"/>
      <c r="DC6" s="2"/>
      <c r="DD6" s="2"/>
      <c r="DE6" s="2"/>
      <c r="DF6" s="2"/>
      <c r="DG6" s="2"/>
      <c r="DH6" s="2"/>
      <c r="DI6" s="2"/>
      <c r="DJ6" s="2"/>
      <c r="DK6" s="2"/>
      <c r="DL6" s="2"/>
      <c r="DM6" s="2"/>
      <c r="DN6" s="2"/>
      <c r="DO6" s="2"/>
      <c r="DP6" s="2"/>
      <c r="DQ6" s="2"/>
      <c r="DR6" s="2"/>
      <c r="DS6" s="2"/>
      <c r="DT6" s="2"/>
      <c r="DU6" s="2"/>
      <c r="DV6" s="2"/>
      <c r="DW6" s="2"/>
      <c r="DX6" s="2"/>
      <c r="DY6" s="2"/>
      <c r="DZ6" s="2"/>
      <c r="EA6" s="2"/>
      <c r="EB6" s="2"/>
      <c r="EC6" s="2"/>
      <c r="ED6" s="2"/>
      <c r="EE6" s="2"/>
      <c r="EF6" s="2"/>
      <c r="EG6" s="2"/>
      <c r="EH6" s="2"/>
      <c r="EI6" s="2"/>
      <c r="EJ6" s="2"/>
      <c r="EK6" s="2"/>
      <c r="EL6" s="2"/>
      <c r="EM6" s="2"/>
      <c r="EN6" s="2"/>
      <c r="EO6" s="2"/>
      <c r="EP6" s="2"/>
      <c r="EQ6" s="2"/>
      <c r="ER6" s="2"/>
      <c r="ES6" s="2"/>
      <c r="ET6" s="2"/>
      <c r="EU6" s="2"/>
      <c r="EV6" s="2"/>
      <c r="EW6" s="2"/>
      <c r="EX6" s="2"/>
      <c r="EY6" s="2"/>
      <c r="EZ6" s="2"/>
      <c r="FA6" s="2"/>
      <c r="FB6" s="2"/>
      <c r="FC6" s="2"/>
      <c r="FD6" s="2"/>
      <c r="FE6" s="2"/>
      <c r="FF6" s="2"/>
      <c r="FG6" s="2"/>
      <c r="FH6" s="2"/>
      <c r="FI6" s="2"/>
      <c r="FJ6" s="2"/>
      <c r="FK6" s="2"/>
      <c r="FL6" s="2"/>
      <c r="FM6" s="2"/>
      <c r="FN6" s="2"/>
      <c r="FO6" s="2"/>
      <c r="FP6" s="2"/>
      <c r="FQ6" s="2"/>
      <c r="FR6" s="2"/>
      <c r="FS6" s="2"/>
      <c r="FT6" s="2"/>
      <c r="FU6" s="2"/>
      <c r="FV6" s="2"/>
      <c r="FW6" s="2"/>
      <c r="FX6" s="2"/>
      <c r="FY6" s="2"/>
      <c r="FZ6" s="2"/>
      <c r="GA6" s="2"/>
      <c r="GB6" s="2"/>
      <c r="GC6" s="2"/>
      <c r="GD6" s="2"/>
      <c r="GE6" s="2"/>
      <c r="GF6" s="2"/>
      <c r="GG6" s="2"/>
      <c r="GH6" s="2"/>
      <c r="GI6" s="2"/>
      <c r="GJ6" s="2"/>
      <c r="GK6" s="2"/>
      <c r="GL6" s="2"/>
      <c r="GM6" s="2"/>
      <c r="GN6" s="2"/>
      <c r="GO6" s="2"/>
      <c r="GP6" s="2"/>
      <c r="GQ6" s="2"/>
      <c r="GR6" s="2"/>
      <c r="GS6" s="2"/>
      <c r="GT6" s="2"/>
      <c r="GU6" s="2"/>
      <c r="GV6" s="2"/>
      <c r="GW6" s="2"/>
      <c r="GX6" s="2"/>
      <c r="GY6" s="2"/>
      <c r="GZ6" s="2"/>
      <c r="HA6" s="2"/>
      <c r="HB6" s="2"/>
      <c r="HC6" s="2"/>
      <c r="HD6" s="2"/>
      <c r="HE6" s="2"/>
      <c r="HF6" s="2"/>
      <c r="HG6" s="2"/>
      <c r="HH6" s="2"/>
      <c r="HI6" s="2"/>
      <c r="HJ6" s="2"/>
      <c r="HK6" s="2"/>
      <c r="HL6" s="2"/>
      <c r="HM6" s="2"/>
      <c r="HN6" s="2"/>
      <c r="HO6" s="2"/>
      <c r="HP6" s="2"/>
      <c r="HQ6" s="2"/>
      <c r="HR6" s="2"/>
      <c r="HS6" s="2"/>
      <c r="HT6" s="2"/>
      <c r="HU6" s="2"/>
      <c r="HV6" s="2"/>
      <c r="HW6" s="2"/>
      <c r="HX6" s="2"/>
      <c r="HY6" s="2"/>
      <c r="HZ6" s="2"/>
      <c r="IA6" s="2"/>
      <c r="IB6" s="2"/>
      <c r="IC6" s="2"/>
      <c r="ID6" s="2"/>
      <c r="IE6" s="2"/>
      <c r="IF6" s="2"/>
      <c r="IG6" s="2"/>
      <c r="IH6" s="2"/>
      <c r="II6" s="2"/>
      <c r="IJ6" s="2"/>
      <c r="IK6" s="2"/>
      <c r="IL6" s="2"/>
      <c r="IM6" s="2"/>
    </row>
    <row r="7" spans="1:247" s="1" customFormat="1" ht="16" x14ac:dyDescent="0.2">
      <c r="B7" s="6" t="s">
        <v>34</v>
      </c>
      <c r="C7" s="7"/>
      <c r="D7" s="7"/>
      <c r="E7" s="7"/>
      <c r="F7" s="7"/>
      <c r="G7" s="7"/>
      <c r="H7" s="7"/>
      <c r="I7" s="7"/>
      <c r="J7" s="7"/>
      <c r="K7" s="15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/>
      <c r="CT7" s="2"/>
      <c r="CU7" s="2"/>
      <c r="CV7" s="2"/>
      <c r="CW7" s="2"/>
      <c r="CX7" s="2"/>
      <c r="CY7" s="2"/>
      <c r="CZ7" s="2"/>
      <c r="DA7" s="2"/>
      <c r="DB7" s="2"/>
      <c r="DC7" s="2"/>
      <c r="DD7" s="2"/>
      <c r="DE7" s="2"/>
      <c r="DF7" s="2"/>
      <c r="DG7" s="2"/>
      <c r="DH7" s="2"/>
      <c r="DI7" s="2"/>
      <c r="DJ7" s="2"/>
      <c r="DK7" s="2"/>
      <c r="DL7" s="2"/>
      <c r="DM7" s="2"/>
      <c r="DN7" s="2"/>
      <c r="DO7" s="2"/>
      <c r="DP7" s="2"/>
      <c r="DQ7" s="2"/>
      <c r="DR7" s="2"/>
      <c r="DS7" s="2"/>
      <c r="DT7" s="2"/>
      <c r="DU7" s="2"/>
      <c r="DV7" s="2"/>
      <c r="DW7" s="2"/>
      <c r="DX7" s="2"/>
      <c r="DY7" s="2"/>
      <c r="DZ7" s="2"/>
      <c r="EA7" s="2"/>
      <c r="EB7" s="2"/>
      <c r="EC7" s="2"/>
      <c r="ED7" s="2"/>
      <c r="EE7" s="2"/>
      <c r="EF7" s="2"/>
      <c r="EG7" s="2"/>
      <c r="EH7" s="2"/>
      <c r="EI7" s="2"/>
      <c r="EJ7" s="2"/>
      <c r="EK7" s="2"/>
      <c r="EL7" s="2"/>
      <c r="EM7" s="2"/>
      <c r="EN7" s="2"/>
      <c r="EO7" s="2"/>
      <c r="EP7" s="2"/>
      <c r="EQ7" s="2"/>
      <c r="ER7" s="2"/>
      <c r="ES7" s="2"/>
      <c r="ET7" s="2"/>
      <c r="EU7" s="2"/>
      <c r="EV7" s="2"/>
      <c r="EW7" s="2"/>
      <c r="EX7" s="2"/>
      <c r="EY7" s="2"/>
      <c r="EZ7" s="2"/>
      <c r="FA7" s="2"/>
      <c r="FB7" s="2"/>
      <c r="FC7" s="2"/>
      <c r="FD7" s="2"/>
      <c r="FE7" s="2"/>
      <c r="FF7" s="2"/>
      <c r="FG7" s="2"/>
      <c r="FH7" s="2"/>
      <c r="FI7" s="2"/>
      <c r="FJ7" s="2"/>
      <c r="FK7" s="2"/>
      <c r="FL7" s="2"/>
      <c r="FM7" s="2"/>
      <c r="FN7" s="2"/>
      <c r="FO7" s="2"/>
      <c r="FP7" s="2"/>
      <c r="FQ7" s="2"/>
      <c r="FR7" s="2"/>
      <c r="FS7" s="2"/>
      <c r="FT7" s="2"/>
      <c r="FU7" s="2"/>
      <c r="FV7" s="2"/>
      <c r="FW7" s="2"/>
      <c r="FX7" s="2"/>
      <c r="FY7" s="2"/>
      <c r="FZ7" s="2"/>
      <c r="GA7" s="2"/>
      <c r="GB7" s="2"/>
      <c r="GC7" s="2"/>
      <c r="GD7" s="2"/>
      <c r="GE7" s="2"/>
      <c r="GF7" s="2"/>
      <c r="GG7" s="2"/>
      <c r="GH7" s="2"/>
      <c r="GI7" s="2"/>
      <c r="GJ7" s="2"/>
      <c r="GK7" s="2"/>
      <c r="GL7" s="2"/>
      <c r="GM7" s="2"/>
      <c r="GN7" s="2"/>
      <c r="GO7" s="2"/>
      <c r="GP7" s="2"/>
      <c r="GQ7" s="2"/>
      <c r="GR7" s="2"/>
      <c r="GS7" s="2"/>
      <c r="GT7" s="2"/>
      <c r="GU7" s="2"/>
      <c r="GV7" s="2"/>
      <c r="GW7" s="2"/>
      <c r="GX7" s="2"/>
      <c r="GY7" s="2"/>
      <c r="GZ7" s="2"/>
      <c r="HA7" s="2"/>
      <c r="HB7" s="2"/>
      <c r="HC7" s="2"/>
      <c r="HD7" s="2"/>
      <c r="HE7" s="2"/>
      <c r="HF7" s="2"/>
      <c r="HG7" s="2"/>
      <c r="HH7" s="2"/>
      <c r="HI7" s="2"/>
      <c r="HJ7" s="2"/>
      <c r="HK7" s="2"/>
      <c r="HL7" s="2"/>
      <c r="HM7" s="2"/>
      <c r="HN7" s="2"/>
      <c r="HO7" s="2"/>
      <c r="HP7" s="2"/>
      <c r="HQ7" s="2"/>
      <c r="HR7" s="2"/>
      <c r="HS7" s="2"/>
      <c r="HT7" s="2"/>
      <c r="HU7" s="2"/>
      <c r="HV7" s="2"/>
      <c r="HW7" s="2"/>
      <c r="HX7" s="2"/>
      <c r="HY7" s="2"/>
      <c r="HZ7" s="2"/>
      <c r="IA7" s="2"/>
      <c r="IB7" s="2"/>
      <c r="IC7" s="2"/>
      <c r="ID7" s="2"/>
      <c r="IE7" s="2"/>
      <c r="IF7" s="2"/>
      <c r="IG7" s="2"/>
      <c r="IH7" s="2"/>
      <c r="II7" s="2"/>
      <c r="IJ7" s="2"/>
      <c r="IK7" s="2"/>
      <c r="IL7" s="2"/>
      <c r="IM7" s="2"/>
    </row>
    <row r="8" spans="1:247" x14ac:dyDescent="0.2">
      <c r="B8" s="25" t="s">
        <v>1</v>
      </c>
      <c r="C8" s="17" t="s">
        <v>5</v>
      </c>
      <c r="D8" s="286"/>
      <c r="E8" s="10"/>
      <c r="F8" s="10" t="s">
        <v>6</v>
      </c>
      <c r="G8" t="s">
        <v>5</v>
      </c>
      <c r="H8" s="286"/>
      <c r="K8" s="26"/>
    </row>
    <row r="9" spans="1:247" x14ac:dyDescent="0.2">
      <c r="B9" s="25"/>
      <c r="C9" s="17"/>
      <c r="F9" s="10"/>
      <c r="G9" t="s">
        <v>5</v>
      </c>
      <c r="K9" s="26"/>
    </row>
    <row r="10" spans="1:247" ht="17" thickBot="1" x14ac:dyDescent="0.25">
      <c r="B10" s="25" t="s">
        <v>4</v>
      </c>
      <c r="C10" s="17" t="s">
        <v>5</v>
      </c>
      <c r="D10" s="59"/>
      <c r="E10" s="10"/>
      <c r="F10" s="10" t="s">
        <v>7</v>
      </c>
      <c r="G10" t="s">
        <v>5</v>
      </c>
      <c r="H10" s="286"/>
      <c r="I10" s="1"/>
      <c r="J10" s="9"/>
      <c r="K10" s="26"/>
    </row>
    <row r="11" spans="1:247" x14ac:dyDescent="0.2">
      <c r="B11" s="6" t="s">
        <v>33</v>
      </c>
      <c r="C11" s="7"/>
      <c r="D11" s="7"/>
      <c r="E11" s="7"/>
      <c r="F11" s="7"/>
      <c r="G11" s="7"/>
      <c r="H11" s="7"/>
      <c r="I11" s="7"/>
      <c r="J11" s="7"/>
      <c r="K11" s="15"/>
    </row>
    <row r="12" spans="1:247" s="1" customFormat="1" ht="8" customHeight="1" x14ac:dyDescent="0.2">
      <c r="B12" s="27"/>
      <c r="C12" s="14"/>
      <c r="D12" s="8"/>
      <c r="E12" s="8"/>
      <c r="F12" s="8"/>
      <c r="G12" s="8"/>
      <c r="J12" s="9"/>
      <c r="K12" s="28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  <c r="IE12" s="2"/>
      <c r="IF12" s="2"/>
      <c r="IG12" s="2"/>
      <c r="IH12" s="2"/>
      <c r="II12" s="2"/>
      <c r="IJ12" s="2"/>
      <c r="IK12" s="2"/>
      <c r="IL12" s="2"/>
      <c r="IM12" s="2"/>
    </row>
    <row r="13" spans="1:247" x14ac:dyDescent="0.2">
      <c r="B13" s="25" t="s">
        <v>8</v>
      </c>
      <c r="C13" s="17" t="s">
        <v>5</v>
      </c>
      <c r="D13" s="18" t="s">
        <v>18</v>
      </c>
      <c r="K13" s="26"/>
    </row>
    <row r="14" spans="1:247" s="1" customFormat="1" ht="9" customHeight="1" x14ac:dyDescent="0.2">
      <c r="B14" s="27"/>
      <c r="C14" s="16"/>
      <c r="D14" s="8"/>
      <c r="E14" s="8"/>
      <c r="F14" s="8"/>
      <c r="G14" s="8"/>
      <c r="J14" s="9"/>
      <c r="K14" s="28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2"/>
      <c r="BK14" s="2"/>
      <c r="BL14" s="2"/>
      <c r="BM14" s="2"/>
      <c r="BN14" s="2"/>
      <c r="BO14" s="2"/>
      <c r="BP14" s="2"/>
      <c r="BQ14" s="2"/>
      <c r="BR14" s="2"/>
      <c r="BS14" s="2"/>
      <c r="BT14" s="2"/>
      <c r="BU14" s="2"/>
      <c r="BV14" s="2"/>
      <c r="BW14" s="2"/>
      <c r="BX14" s="2"/>
      <c r="BY14" s="2"/>
      <c r="BZ14" s="2"/>
      <c r="CA14" s="2"/>
      <c r="CB14" s="2"/>
      <c r="CC14" s="2"/>
      <c r="CD14" s="2"/>
      <c r="CE14" s="2"/>
      <c r="CF14" s="2"/>
      <c r="CG14" s="2"/>
      <c r="CH14" s="2"/>
      <c r="CI14" s="2"/>
      <c r="CJ14" s="2"/>
      <c r="CK14" s="2"/>
      <c r="CL14" s="2"/>
      <c r="CM14" s="2"/>
      <c r="CN14" s="2"/>
      <c r="CO14" s="2"/>
      <c r="CP14" s="2"/>
      <c r="CQ14" s="2"/>
      <c r="CR14" s="2"/>
      <c r="CS14" s="2"/>
      <c r="CT14" s="2"/>
      <c r="CU14" s="2"/>
      <c r="CV14" s="2"/>
      <c r="CW14" s="2"/>
      <c r="CX14" s="2"/>
      <c r="CY14" s="2"/>
      <c r="CZ14" s="2"/>
      <c r="DA14" s="2"/>
      <c r="DB14" s="2"/>
      <c r="DC14" s="2"/>
      <c r="DD14" s="2"/>
      <c r="DE14" s="2"/>
      <c r="DF14" s="2"/>
      <c r="DG14" s="2"/>
      <c r="DH14" s="2"/>
      <c r="DI14" s="2"/>
      <c r="DJ14" s="2"/>
      <c r="DK14" s="2"/>
      <c r="DL14" s="2"/>
      <c r="DM14" s="2"/>
      <c r="DN14" s="2"/>
      <c r="DO14" s="2"/>
      <c r="DP14" s="2"/>
      <c r="DQ14" s="2"/>
      <c r="DR14" s="2"/>
      <c r="DS14" s="2"/>
      <c r="DT14" s="2"/>
      <c r="DU14" s="2"/>
      <c r="DV14" s="2"/>
      <c r="DW14" s="2"/>
      <c r="DX14" s="2"/>
      <c r="DY14" s="2"/>
      <c r="DZ14" s="2"/>
      <c r="EA14" s="2"/>
      <c r="EB14" s="2"/>
      <c r="EC14" s="2"/>
      <c r="ED14" s="2"/>
      <c r="EE14" s="2"/>
      <c r="EF14" s="2"/>
      <c r="EG14" s="2"/>
      <c r="EH14" s="2"/>
      <c r="EI14" s="2"/>
      <c r="EJ14" s="2"/>
      <c r="EK14" s="2"/>
      <c r="EL14" s="2"/>
      <c r="EM14" s="2"/>
      <c r="EN14" s="2"/>
      <c r="EO14" s="2"/>
      <c r="EP14" s="2"/>
      <c r="EQ14" s="2"/>
      <c r="ER14" s="2"/>
      <c r="ES14" s="2"/>
      <c r="ET14" s="2"/>
      <c r="EU14" s="2"/>
      <c r="EV14" s="2"/>
      <c r="EW14" s="2"/>
      <c r="EX14" s="2"/>
      <c r="EY14" s="2"/>
      <c r="EZ14" s="2"/>
      <c r="FA14" s="2"/>
      <c r="FB14" s="2"/>
      <c r="FC14" s="2"/>
      <c r="FD14" s="2"/>
      <c r="FE14" s="2"/>
      <c r="FF14" s="2"/>
      <c r="FG14" s="2"/>
      <c r="FH14" s="2"/>
      <c r="FI14" s="2"/>
      <c r="FJ14" s="2"/>
      <c r="FK14" s="2"/>
      <c r="FL14" s="2"/>
      <c r="FM14" s="2"/>
      <c r="FN14" s="2"/>
      <c r="FO14" s="2"/>
      <c r="FP14" s="2"/>
      <c r="FQ14" s="2"/>
      <c r="FR14" s="2"/>
      <c r="FS14" s="2"/>
      <c r="FT14" s="2"/>
      <c r="FU14" s="2"/>
      <c r="FV14" s="2"/>
      <c r="FW14" s="2"/>
      <c r="FX14" s="2"/>
      <c r="FY14" s="2"/>
      <c r="FZ14" s="2"/>
      <c r="GA14" s="2"/>
      <c r="GB14" s="2"/>
      <c r="GC14" s="2"/>
      <c r="GD14" s="2"/>
      <c r="GE14" s="2"/>
      <c r="GF14" s="2"/>
      <c r="GG14" s="2"/>
      <c r="GH14" s="2"/>
      <c r="GI14" s="2"/>
      <c r="GJ14" s="2"/>
      <c r="GK14" s="2"/>
      <c r="GL14" s="2"/>
      <c r="GM14" s="2"/>
      <c r="GN14" s="2"/>
      <c r="GO14" s="2"/>
      <c r="GP14" s="2"/>
      <c r="GQ14" s="2"/>
      <c r="GR14" s="2"/>
      <c r="GS14" s="2"/>
      <c r="GT14" s="2"/>
      <c r="GU14" s="2"/>
      <c r="GV14" s="2"/>
      <c r="GW14" s="2"/>
      <c r="GX14" s="2"/>
      <c r="GY14" s="2"/>
      <c r="GZ14" s="2"/>
      <c r="HA14" s="2"/>
      <c r="HB14" s="2"/>
      <c r="HC14" s="2"/>
      <c r="HD14" s="2"/>
      <c r="HE14" s="2"/>
      <c r="HF14" s="2"/>
      <c r="HG14" s="2"/>
      <c r="HH14" s="2"/>
      <c r="HI14" s="2"/>
      <c r="HJ14" s="2"/>
      <c r="HK14" s="2"/>
      <c r="HL14" s="2"/>
      <c r="HM14" s="2"/>
      <c r="HN14" s="2"/>
      <c r="HO14" s="2"/>
      <c r="HP14" s="2"/>
      <c r="HQ14" s="2"/>
      <c r="HR14" s="2"/>
      <c r="HS14" s="2"/>
      <c r="HT14" s="2"/>
      <c r="HU14" s="2"/>
      <c r="HV14" s="2"/>
      <c r="HW14" s="2"/>
      <c r="HX14" s="2"/>
      <c r="HY14" s="2"/>
      <c r="HZ14" s="2"/>
      <c r="IA14" s="2"/>
      <c r="IB14" s="2"/>
      <c r="IC14" s="2"/>
      <c r="ID14" s="2"/>
      <c r="IE14" s="2"/>
      <c r="IF14" s="2"/>
      <c r="IG14" s="2"/>
      <c r="IH14" s="2"/>
      <c r="II14" s="2"/>
      <c r="IJ14" s="2"/>
      <c r="IK14" s="2"/>
      <c r="IL14" s="2"/>
      <c r="IM14" s="2"/>
    </row>
    <row r="15" spans="1:247" x14ac:dyDescent="0.2">
      <c r="B15" s="25" t="s">
        <v>9</v>
      </c>
      <c r="C15" s="17" t="s">
        <v>5</v>
      </c>
      <c r="D15" s="435" t="s">
        <v>13</v>
      </c>
      <c r="E15" s="435"/>
      <c r="F15" s="435"/>
      <c r="G15" s="435"/>
      <c r="H15" s="435"/>
      <c r="I15" s="435"/>
      <c r="J15" s="435"/>
      <c r="K15" s="26"/>
    </row>
    <row r="16" spans="1:247" s="1" customFormat="1" ht="8" customHeight="1" x14ac:dyDescent="0.2">
      <c r="B16" s="27"/>
      <c r="C16" s="16"/>
      <c r="D16" s="8"/>
      <c r="E16" s="8"/>
      <c r="F16" s="8"/>
      <c r="G16" s="8"/>
      <c r="J16" s="9"/>
      <c r="K16" s="28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2"/>
      <c r="CE16" s="2"/>
      <c r="CF16" s="2"/>
      <c r="CG16" s="2"/>
      <c r="CH16" s="2"/>
      <c r="CI16" s="2"/>
      <c r="CJ16" s="2"/>
      <c r="CK16" s="2"/>
      <c r="CL16" s="2"/>
      <c r="CM16" s="2"/>
      <c r="CN16" s="2"/>
      <c r="CO16" s="2"/>
      <c r="CP16" s="2"/>
      <c r="CQ16" s="2"/>
      <c r="CR16" s="2"/>
      <c r="CS16" s="2"/>
      <c r="CT16" s="2"/>
      <c r="CU16" s="2"/>
      <c r="CV16" s="2"/>
      <c r="CW16" s="2"/>
      <c r="CX16" s="2"/>
      <c r="CY16" s="2"/>
      <c r="CZ16" s="2"/>
      <c r="DA16" s="2"/>
      <c r="DB16" s="2"/>
      <c r="DC16" s="2"/>
      <c r="DD16" s="2"/>
      <c r="DE16" s="2"/>
      <c r="DF16" s="2"/>
      <c r="DG16" s="2"/>
      <c r="DH16" s="2"/>
      <c r="DI16" s="2"/>
      <c r="DJ16" s="2"/>
      <c r="DK16" s="2"/>
      <c r="DL16" s="2"/>
      <c r="DM16" s="2"/>
      <c r="DN16" s="2"/>
      <c r="DO16" s="2"/>
      <c r="DP16" s="2"/>
      <c r="DQ16" s="2"/>
      <c r="DR16" s="2"/>
      <c r="DS16" s="2"/>
      <c r="DT16" s="2"/>
      <c r="DU16" s="2"/>
      <c r="DV16" s="2"/>
      <c r="DW16" s="2"/>
      <c r="DX16" s="2"/>
      <c r="DY16" s="2"/>
      <c r="DZ16" s="2"/>
      <c r="EA16" s="2"/>
      <c r="EB16" s="2"/>
      <c r="EC16" s="2"/>
      <c r="ED16" s="2"/>
      <c r="EE16" s="2"/>
      <c r="EF16" s="2"/>
      <c r="EG16" s="2"/>
      <c r="EH16" s="2"/>
      <c r="EI16" s="2"/>
      <c r="EJ16" s="2"/>
      <c r="EK16" s="2"/>
      <c r="EL16" s="2"/>
      <c r="EM16" s="2"/>
      <c r="EN16" s="2"/>
      <c r="EO16" s="2"/>
      <c r="EP16" s="2"/>
      <c r="EQ16" s="2"/>
      <c r="ER16" s="2"/>
      <c r="ES16" s="2"/>
      <c r="ET16" s="2"/>
      <c r="EU16" s="2"/>
      <c r="EV16" s="2"/>
      <c r="EW16" s="2"/>
      <c r="EX16" s="2"/>
      <c r="EY16" s="2"/>
      <c r="EZ16" s="2"/>
      <c r="FA16" s="2"/>
      <c r="FB16" s="2"/>
      <c r="FC16" s="2"/>
      <c r="FD16" s="2"/>
      <c r="FE16" s="2"/>
      <c r="FF16" s="2"/>
      <c r="FG16" s="2"/>
      <c r="FH16" s="2"/>
      <c r="FI16" s="2"/>
      <c r="FJ16" s="2"/>
      <c r="FK16" s="2"/>
      <c r="FL16" s="2"/>
      <c r="FM16" s="2"/>
      <c r="FN16" s="2"/>
      <c r="FO16" s="2"/>
      <c r="FP16" s="2"/>
      <c r="FQ16" s="2"/>
      <c r="FR16" s="2"/>
      <c r="FS16" s="2"/>
      <c r="FT16" s="2"/>
      <c r="FU16" s="2"/>
      <c r="FV16" s="2"/>
      <c r="FW16" s="2"/>
      <c r="FX16" s="2"/>
      <c r="FY16" s="2"/>
      <c r="FZ16" s="2"/>
      <c r="GA16" s="2"/>
      <c r="GB16" s="2"/>
      <c r="GC16" s="2"/>
      <c r="GD16" s="2"/>
      <c r="GE16" s="2"/>
      <c r="GF16" s="2"/>
      <c r="GG16" s="2"/>
      <c r="GH16" s="2"/>
      <c r="GI16" s="2"/>
      <c r="GJ16" s="2"/>
      <c r="GK16" s="2"/>
      <c r="GL16" s="2"/>
      <c r="GM16" s="2"/>
      <c r="GN16" s="2"/>
      <c r="GO16" s="2"/>
      <c r="GP16" s="2"/>
      <c r="GQ16" s="2"/>
      <c r="GR16" s="2"/>
      <c r="GS16" s="2"/>
      <c r="GT16" s="2"/>
      <c r="GU16" s="2"/>
      <c r="GV16" s="2"/>
      <c r="GW16" s="2"/>
      <c r="GX16" s="2"/>
      <c r="GY16" s="2"/>
      <c r="GZ16" s="2"/>
      <c r="HA16" s="2"/>
      <c r="HB16" s="2"/>
      <c r="HC16" s="2"/>
      <c r="HD16" s="2"/>
      <c r="HE16" s="2"/>
      <c r="HF16" s="2"/>
      <c r="HG16" s="2"/>
      <c r="HH16" s="2"/>
      <c r="HI16" s="2"/>
      <c r="HJ16" s="2"/>
      <c r="HK16" s="2"/>
      <c r="HL16" s="2"/>
      <c r="HM16" s="2"/>
      <c r="HN16" s="2"/>
      <c r="HO16" s="2"/>
      <c r="HP16" s="2"/>
      <c r="HQ16" s="2"/>
      <c r="HR16" s="2"/>
      <c r="HS16" s="2"/>
      <c r="HT16" s="2"/>
      <c r="HU16" s="2"/>
      <c r="HV16" s="2"/>
      <c r="HW16" s="2"/>
      <c r="HX16" s="2"/>
      <c r="HY16" s="2"/>
      <c r="HZ16" s="2"/>
      <c r="IA16" s="2"/>
      <c r="IB16" s="2"/>
      <c r="IC16" s="2"/>
      <c r="ID16" s="2"/>
      <c r="IE16" s="2"/>
      <c r="IF16" s="2"/>
      <c r="IG16" s="2"/>
      <c r="IH16" s="2"/>
      <c r="II16" s="2"/>
      <c r="IJ16" s="2"/>
      <c r="IK16" s="2"/>
      <c r="IL16" s="2"/>
      <c r="IM16" s="2"/>
    </row>
    <row r="17" spans="2:247" x14ac:dyDescent="0.2">
      <c r="B17" s="25" t="s">
        <v>12</v>
      </c>
      <c r="C17" s="17" t="s">
        <v>5</v>
      </c>
      <c r="D17" s="18" t="s">
        <v>15</v>
      </c>
      <c r="K17" s="26"/>
    </row>
    <row r="18" spans="2:247" s="1" customFormat="1" ht="8" customHeight="1" x14ac:dyDescent="0.2">
      <c r="B18" s="27"/>
      <c r="C18" s="16"/>
      <c r="D18" s="8"/>
      <c r="E18" s="8"/>
      <c r="F18" s="8"/>
      <c r="G18" s="8"/>
      <c r="J18" s="9"/>
      <c r="K18" s="28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2"/>
      <c r="CE18" s="2"/>
      <c r="CF18" s="2"/>
      <c r="CG18" s="2"/>
      <c r="CH18" s="2"/>
      <c r="CI18" s="2"/>
      <c r="CJ18" s="2"/>
      <c r="CK18" s="2"/>
      <c r="CL18" s="2"/>
      <c r="CM18" s="2"/>
      <c r="CN18" s="2"/>
      <c r="CO18" s="2"/>
      <c r="CP18" s="2"/>
      <c r="CQ18" s="2"/>
      <c r="CR18" s="2"/>
      <c r="CS18" s="2"/>
      <c r="CT18" s="2"/>
      <c r="CU18" s="2"/>
      <c r="CV18" s="2"/>
      <c r="CW18" s="2"/>
      <c r="CX18" s="2"/>
      <c r="CY18" s="2"/>
      <c r="CZ18" s="2"/>
      <c r="DA18" s="2"/>
      <c r="DB18" s="2"/>
      <c r="DC18" s="2"/>
      <c r="DD18" s="2"/>
      <c r="DE18" s="2"/>
      <c r="DF18" s="2"/>
      <c r="DG18" s="2"/>
      <c r="DH18" s="2"/>
      <c r="DI18" s="2"/>
      <c r="DJ18" s="2"/>
      <c r="DK18" s="2"/>
      <c r="DL18" s="2"/>
      <c r="DM18" s="2"/>
      <c r="DN18" s="2"/>
      <c r="DO18" s="2"/>
      <c r="DP18" s="2"/>
      <c r="DQ18" s="2"/>
      <c r="DR18" s="2"/>
      <c r="DS18" s="2"/>
      <c r="DT18" s="2"/>
      <c r="DU18" s="2"/>
      <c r="DV18" s="2"/>
      <c r="DW18" s="2"/>
      <c r="DX18" s="2"/>
      <c r="DY18" s="2"/>
      <c r="DZ18" s="2"/>
      <c r="EA18" s="2"/>
      <c r="EB18" s="2"/>
      <c r="EC18" s="2"/>
      <c r="ED18" s="2"/>
      <c r="EE18" s="2"/>
      <c r="EF18" s="2"/>
      <c r="EG18" s="2"/>
      <c r="EH18" s="2"/>
      <c r="EI18" s="2"/>
      <c r="EJ18" s="2"/>
      <c r="EK18" s="2"/>
      <c r="EL18" s="2"/>
      <c r="EM18" s="2"/>
      <c r="EN18" s="2"/>
      <c r="EO18" s="2"/>
      <c r="EP18" s="2"/>
      <c r="EQ18" s="2"/>
      <c r="ER18" s="2"/>
      <c r="ES18" s="2"/>
      <c r="ET18" s="2"/>
      <c r="EU18" s="2"/>
      <c r="EV18" s="2"/>
      <c r="EW18" s="2"/>
      <c r="EX18" s="2"/>
      <c r="EY18" s="2"/>
      <c r="EZ18" s="2"/>
      <c r="FA18" s="2"/>
      <c r="FB18" s="2"/>
      <c r="FC18" s="2"/>
      <c r="FD18" s="2"/>
      <c r="FE18" s="2"/>
      <c r="FF18" s="2"/>
      <c r="FG18" s="2"/>
      <c r="FH18" s="2"/>
      <c r="FI18" s="2"/>
      <c r="FJ18" s="2"/>
      <c r="FK18" s="2"/>
      <c r="FL18" s="2"/>
      <c r="FM18" s="2"/>
      <c r="FN18" s="2"/>
      <c r="FO18" s="2"/>
      <c r="FP18" s="2"/>
      <c r="FQ18" s="2"/>
      <c r="FR18" s="2"/>
      <c r="FS18" s="2"/>
      <c r="FT18" s="2"/>
      <c r="FU18" s="2"/>
      <c r="FV18" s="2"/>
      <c r="FW18" s="2"/>
      <c r="FX18" s="2"/>
      <c r="FY18" s="2"/>
      <c r="FZ18" s="2"/>
      <c r="GA18" s="2"/>
      <c r="GB18" s="2"/>
      <c r="GC18" s="2"/>
      <c r="GD18" s="2"/>
      <c r="GE18" s="2"/>
      <c r="GF18" s="2"/>
      <c r="GG18" s="2"/>
      <c r="GH18" s="2"/>
      <c r="GI18" s="2"/>
      <c r="GJ18" s="2"/>
      <c r="GK18" s="2"/>
      <c r="GL18" s="2"/>
      <c r="GM18" s="2"/>
      <c r="GN18" s="2"/>
      <c r="GO18" s="2"/>
      <c r="GP18" s="2"/>
      <c r="GQ18" s="2"/>
      <c r="GR18" s="2"/>
      <c r="GS18" s="2"/>
      <c r="GT18" s="2"/>
      <c r="GU18" s="2"/>
      <c r="GV18" s="2"/>
      <c r="GW18" s="2"/>
      <c r="GX18" s="2"/>
      <c r="GY18" s="2"/>
      <c r="GZ18" s="2"/>
      <c r="HA18" s="2"/>
      <c r="HB18" s="2"/>
      <c r="HC18" s="2"/>
      <c r="HD18" s="2"/>
      <c r="HE18" s="2"/>
      <c r="HF18" s="2"/>
      <c r="HG18" s="2"/>
      <c r="HH18" s="2"/>
      <c r="HI18" s="2"/>
      <c r="HJ18" s="2"/>
      <c r="HK18" s="2"/>
      <c r="HL18" s="2"/>
      <c r="HM18" s="2"/>
      <c r="HN18" s="2"/>
      <c r="HO18" s="2"/>
      <c r="HP18" s="2"/>
      <c r="HQ18" s="2"/>
      <c r="HR18" s="2"/>
      <c r="HS18" s="2"/>
      <c r="HT18" s="2"/>
      <c r="HU18" s="2"/>
      <c r="HV18" s="2"/>
      <c r="HW18" s="2"/>
      <c r="HX18" s="2"/>
      <c r="HY18" s="2"/>
      <c r="HZ18" s="2"/>
      <c r="IA18" s="2"/>
      <c r="IB18" s="2"/>
      <c r="IC18" s="2"/>
      <c r="ID18" s="2"/>
      <c r="IE18" s="2"/>
      <c r="IF18" s="2"/>
      <c r="IG18" s="2"/>
      <c r="IH18" s="2"/>
      <c r="II18" s="2"/>
      <c r="IJ18" s="2"/>
      <c r="IK18" s="2"/>
      <c r="IL18" s="2"/>
      <c r="IM18" s="2"/>
    </row>
    <row r="19" spans="2:247" x14ac:dyDescent="0.2">
      <c r="B19" s="25" t="s">
        <v>16</v>
      </c>
      <c r="C19" s="17" t="s">
        <v>5</v>
      </c>
      <c r="D19" s="18" t="s">
        <v>17</v>
      </c>
      <c r="K19" s="26"/>
    </row>
    <row r="20" spans="2:247" s="1" customFormat="1" ht="8" customHeight="1" x14ac:dyDescent="0.2">
      <c r="B20" s="27"/>
      <c r="C20" s="16"/>
      <c r="D20" s="8"/>
      <c r="E20" s="8"/>
      <c r="F20" s="8"/>
      <c r="G20" s="8"/>
      <c r="J20" s="9"/>
      <c r="K20" s="28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2"/>
      <c r="GI20" s="2"/>
      <c r="GJ20" s="2"/>
      <c r="GK20" s="2"/>
      <c r="GL20" s="2"/>
      <c r="GM20" s="2"/>
      <c r="GN20" s="2"/>
      <c r="GO20" s="2"/>
      <c r="GP20" s="2"/>
      <c r="GQ20" s="2"/>
      <c r="GR20" s="2"/>
      <c r="GS20" s="2"/>
      <c r="GT20" s="2"/>
      <c r="GU20" s="2"/>
      <c r="GV20" s="2"/>
      <c r="GW20" s="2"/>
      <c r="GX20" s="2"/>
      <c r="GY20" s="2"/>
      <c r="GZ20" s="2"/>
      <c r="HA20" s="2"/>
      <c r="HB20" s="2"/>
      <c r="HC20" s="2"/>
      <c r="HD20" s="2"/>
      <c r="HE20" s="2"/>
      <c r="HF20" s="2"/>
      <c r="HG20" s="2"/>
      <c r="HH20" s="2"/>
      <c r="HI20" s="2"/>
      <c r="HJ20" s="2"/>
      <c r="HK20" s="2"/>
      <c r="HL20" s="2"/>
      <c r="HM20" s="2"/>
      <c r="HN20" s="2"/>
      <c r="HO20" s="2"/>
      <c r="HP20" s="2"/>
      <c r="HQ20" s="2"/>
      <c r="HR20" s="2"/>
      <c r="HS20" s="2"/>
      <c r="HT20" s="2"/>
      <c r="HU20" s="2"/>
      <c r="HV20" s="2"/>
      <c r="HW20" s="2"/>
      <c r="HX20" s="2"/>
      <c r="HY20" s="2"/>
      <c r="HZ20" s="2"/>
      <c r="IA20" s="2"/>
      <c r="IB20" s="2"/>
      <c r="IC20" s="2"/>
      <c r="ID20" s="2"/>
      <c r="IE20" s="2"/>
      <c r="IF20" s="2"/>
      <c r="IG20" s="2"/>
      <c r="IH20" s="2"/>
      <c r="II20" s="2"/>
      <c r="IJ20" s="2"/>
      <c r="IK20" s="2"/>
      <c r="IL20" s="2"/>
      <c r="IM20" s="2"/>
    </row>
    <row r="21" spans="2:247" x14ac:dyDescent="0.2">
      <c r="B21" s="25" t="s">
        <v>10</v>
      </c>
      <c r="C21" s="17" t="s">
        <v>5</v>
      </c>
      <c r="D21" s="435" t="s">
        <v>205</v>
      </c>
      <c r="E21" s="435"/>
      <c r="F21" s="435"/>
      <c r="G21" s="435"/>
      <c r="H21" s="435"/>
      <c r="I21" s="435"/>
      <c r="J21" s="435"/>
      <c r="K21" s="26"/>
    </row>
    <row r="22" spans="2:247" s="1" customFormat="1" ht="8" customHeight="1" x14ac:dyDescent="0.2">
      <c r="B22" s="27"/>
      <c r="C22" s="16"/>
      <c r="D22" s="8"/>
      <c r="E22" s="8"/>
      <c r="F22" s="8"/>
      <c r="G22" s="8"/>
      <c r="J22" s="9"/>
      <c r="K22" s="28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2"/>
      <c r="GI22" s="2"/>
      <c r="GJ22" s="2"/>
      <c r="GK22" s="2"/>
      <c r="GL22" s="2"/>
      <c r="GM22" s="2"/>
      <c r="GN22" s="2"/>
      <c r="GO22" s="2"/>
      <c r="GP22" s="2"/>
      <c r="GQ22" s="2"/>
      <c r="GR22" s="2"/>
      <c r="GS22" s="2"/>
      <c r="GT22" s="2"/>
      <c r="GU22" s="2"/>
      <c r="GV22" s="2"/>
      <c r="GW22" s="2"/>
      <c r="GX22" s="2"/>
      <c r="GY22" s="2"/>
      <c r="GZ22" s="2"/>
      <c r="HA22" s="2"/>
      <c r="HB22" s="2"/>
      <c r="HC22" s="2"/>
      <c r="HD22" s="2"/>
      <c r="HE22" s="2"/>
      <c r="HF22" s="2"/>
      <c r="HG22" s="2"/>
      <c r="HH22" s="2"/>
      <c r="HI22" s="2"/>
      <c r="HJ22" s="2"/>
      <c r="HK22" s="2"/>
      <c r="HL22" s="2"/>
      <c r="HM22" s="2"/>
      <c r="HN22" s="2"/>
      <c r="HO22" s="2"/>
      <c r="HP22" s="2"/>
      <c r="HQ22" s="2"/>
      <c r="HR22" s="2"/>
      <c r="HS22" s="2"/>
      <c r="HT22" s="2"/>
      <c r="HU22" s="2"/>
      <c r="HV22" s="2"/>
      <c r="HW22" s="2"/>
      <c r="HX22" s="2"/>
      <c r="HY22" s="2"/>
      <c r="HZ22" s="2"/>
      <c r="IA22" s="2"/>
      <c r="IB22" s="2"/>
      <c r="IC22" s="2"/>
      <c r="ID22" s="2"/>
      <c r="IE22" s="2"/>
      <c r="IF22" s="2"/>
      <c r="IG22" s="2"/>
      <c r="IH22" s="2"/>
      <c r="II22" s="2"/>
      <c r="IJ22" s="2"/>
      <c r="IK22" s="2"/>
      <c r="IL22" s="2"/>
      <c r="IM22" s="2"/>
    </row>
    <row r="23" spans="2:247" x14ac:dyDescent="0.2">
      <c r="B23" s="25" t="s">
        <v>11</v>
      </c>
      <c r="C23" s="17" t="s">
        <v>5</v>
      </c>
      <c r="D23" s="435" t="s">
        <v>14</v>
      </c>
      <c r="E23" s="435"/>
      <c r="F23" s="435"/>
      <c r="G23" s="435"/>
      <c r="H23" s="435"/>
      <c r="I23" s="435"/>
      <c r="J23" s="435"/>
      <c r="K23" s="26"/>
    </row>
    <row r="24" spans="2:247" s="1" customFormat="1" ht="8" customHeight="1" x14ac:dyDescent="0.2">
      <c r="B24" s="27"/>
      <c r="C24" s="16"/>
      <c r="D24" s="8"/>
      <c r="E24" s="8"/>
      <c r="F24" s="8"/>
      <c r="G24" s="8"/>
      <c r="J24" s="9"/>
      <c r="K24" s="28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2"/>
      <c r="DM24" s="2"/>
      <c r="DN24" s="2"/>
      <c r="DO24" s="2"/>
      <c r="DP24" s="2"/>
      <c r="DQ24" s="2"/>
      <c r="DR24" s="2"/>
      <c r="DS24" s="2"/>
      <c r="DT24" s="2"/>
      <c r="DU24" s="2"/>
      <c r="DV24" s="2"/>
      <c r="DW24" s="2"/>
      <c r="DX24" s="2"/>
      <c r="DY24" s="2"/>
      <c r="DZ24" s="2"/>
      <c r="EA24" s="2"/>
      <c r="EB24" s="2"/>
      <c r="EC24" s="2"/>
      <c r="ED24" s="2"/>
      <c r="EE24" s="2"/>
      <c r="EF24" s="2"/>
      <c r="EG24" s="2"/>
      <c r="EH24" s="2"/>
      <c r="EI24" s="2"/>
      <c r="EJ24" s="2"/>
      <c r="EK24" s="2"/>
      <c r="EL24" s="2"/>
      <c r="EM24" s="2"/>
      <c r="EN24" s="2"/>
      <c r="EO24" s="2"/>
      <c r="EP24" s="2"/>
      <c r="EQ24" s="2"/>
      <c r="ER24" s="2"/>
      <c r="ES24" s="2"/>
      <c r="ET24" s="2"/>
      <c r="EU24" s="2"/>
      <c r="EV24" s="2"/>
      <c r="EW24" s="2"/>
      <c r="EX24" s="2"/>
      <c r="EY24" s="2"/>
      <c r="EZ24" s="2"/>
      <c r="FA24" s="2"/>
      <c r="FB24" s="2"/>
      <c r="FC24" s="2"/>
      <c r="FD24" s="2"/>
      <c r="FE24" s="2"/>
      <c r="FF24" s="2"/>
      <c r="FG24" s="2"/>
      <c r="FH24" s="2"/>
      <c r="FI24" s="2"/>
      <c r="FJ24" s="2"/>
      <c r="FK24" s="2"/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2"/>
      <c r="GT24" s="2"/>
      <c r="GU24" s="2"/>
      <c r="GV24" s="2"/>
      <c r="GW24" s="2"/>
      <c r="GX24" s="2"/>
      <c r="GY24" s="2"/>
      <c r="GZ24" s="2"/>
      <c r="HA24" s="2"/>
      <c r="HB24" s="2"/>
      <c r="HC24" s="2"/>
      <c r="HD24" s="2"/>
      <c r="HE24" s="2"/>
      <c r="HF24" s="2"/>
      <c r="HG24" s="2"/>
      <c r="HH24" s="2"/>
      <c r="HI24" s="2"/>
      <c r="HJ24" s="2"/>
      <c r="HK24" s="2"/>
      <c r="HL24" s="2"/>
      <c r="HM24" s="2"/>
      <c r="HN24" s="2"/>
      <c r="HO24" s="2"/>
      <c r="HP24" s="2"/>
      <c r="HQ24" s="2"/>
      <c r="HR24" s="2"/>
      <c r="HS24" s="2"/>
      <c r="HT24" s="2"/>
      <c r="HU24" s="2"/>
      <c r="HV24" s="2"/>
      <c r="HW24" s="2"/>
      <c r="HX24" s="2"/>
      <c r="HY24" s="2"/>
      <c r="HZ24" s="2"/>
      <c r="IA24" s="2"/>
      <c r="IB24" s="2"/>
      <c r="IC24" s="2"/>
      <c r="ID24" s="2"/>
      <c r="IE24" s="2"/>
      <c r="IF24" s="2"/>
      <c r="IG24" s="2"/>
      <c r="IH24" s="2"/>
      <c r="II24" s="2"/>
      <c r="IJ24" s="2"/>
      <c r="IK24" s="2"/>
      <c r="IL24" s="2"/>
      <c r="IM24" s="2"/>
    </row>
    <row r="25" spans="2:247" ht="32" x14ac:dyDescent="0.2">
      <c r="B25" s="29" t="s">
        <v>19</v>
      </c>
      <c r="C25" s="17" t="s">
        <v>5</v>
      </c>
      <c r="D25" s="19" t="s">
        <v>27</v>
      </c>
      <c r="K25" s="26"/>
    </row>
    <row r="26" spans="2:247" s="1" customFormat="1" ht="8" customHeight="1" thickBot="1" x14ac:dyDescent="0.25">
      <c r="B26" s="27"/>
      <c r="C26" s="14"/>
      <c r="D26" s="8"/>
      <c r="E26" s="8"/>
      <c r="F26" s="8"/>
      <c r="G26" s="8"/>
      <c r="J26" s="9"/>
      <c r="K26" s="28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2"/>
      <c r="CE26" s="2"/>
      <c r="CF26" s="2"/>
      <c r="CG26" s="2"/>
      <c r="CH26" s="2"/>
      <c r="CI26" s="2"/>
      <c r="CJ26" s="2"/>
      <c r="CK26" s="2"/>
      <c r="CL26" s="2"/>
      <c r="CM26" s="2"/>
      <c r="CN26" s="2"/>
      <c r="CO26" s="2"/>
      <c r="CP26" s="2"/>
      <c r="CQ26" s="2"/>
      <c r="CR26" s="2"/>
      <c r="CS26" s="2"/>
      <c r="CT26" s="2"/>
      <c r="CU26" s="2"/>
      <c r="CV26" s="2"/>
      <c r="CW26" s="2"/>
      <c r="CX26" s="2"/>
      <c r="CY26" s="2"/>
      <c r="CZ26" s="2"/>
      <c r="DA26" s="2"/>
      <c r="DB26" s="2"/>
      <c r="DC26" s="2"/>
      <c r="DD26" s="2"/>
      <c r="DE26" s="2"/>
      <c r="DF26" s="2"/>
      <c r="DG26" s="2"/>
      <c r="DH26" s="2"/>
      <c r="DI26" s="2"/>
      <c r="DJ26" s="2"/>
      <c r="DK26" s="2"/>
      <c r="DL26" s="2"/>
      <c r="DM26" s="2"/>
      <c r="DN26" s="2"/>
      <c r="DO26" s="2"/>
      <c r="DP26" s="2"/>
      <c r="DQ26" s="2"/>
      <c r="DR26" s="2"/>
      <c r="DS26" s="2"/>
      <c r="DT26" s="2"/>
      <c r="DU26" s="2"/>
      <c r="DV26" s="2"/>
      <c r="DW26" s="2"/>
      <c r="DX26" s="2"/>
      <c r="DY26" s="2"/>
      <c r="DZ26" s="2"/>
      <c r="EA26" s="2"/>
      <c r="EB26" s="2"/>
      <c r="EC26" s="2"/>
      <c r="ED26" s="2"/>
      <c r="EE26" s="2"/>
      <c r="EF26" s="2"/>
      <c r="EG26" s="2"/>
      <c r="EH26" s="2"/>
      <c r="EI26" s="2"/>
      <c r="EJ26" s="2"/>
      <c r="EK26" s="2"/>
      <c r="EL26" s="2"/>
      <c r="EM26" s="2"/>
      <c r="EN26" s="2"/>
      <c r="EO26" s="2"/>
      <c r="EP26" s="2"/>
      <c r="EQ26" s="2"/>
      <c r="ER26" s="2"/>
      <c r="ES26" s="2"/>
      <c r="ET26" s="2"/>
      <c r="EU26" s="2"/>
      <c r="EV26" s="2"/>
      <c r="EW26" s="2"/>
      <c r="EX26" s="2"/>
      <c r="EY26" s="2"/>
      <c r="EZ26" s="2"/>
      <c r="FA26" s="2"/>
      <c r="FB26" s="2"/>
      <c r="FC26" s="2"/>
      <c r="FD26" s="2"/>
      <c r="FE26" s="2"/>
      <c r="FF26" s="2"/>
      <c r="FG26" s="2"/>
      <c r="FH26" s="2"/>
      <c r="FI26" s="2"/>
      <c r="FJ26" s="2"/>
      <c r="FK26" s="2"/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2"/>
      <c r="GT26" s="2"/>
      <c r="GU26" s="2"/>
      <c r="GV26" s="2"/>
      <c r="GW26" s="2"/>
      <c r="GX26" s="2"/>
      <c r="GY26" s="2"/>
      <c r="GZ26" s="2"/>
      <c r="HA26" s="2"/>
      <c r="HB26" s="2"/>
      <c r="HC26" s="2"/>
      <c r="HD26" s="2"/>
      <c r="HE26" s="2"/>
      <c r="HF26" s="2"/>
      <c r="HG26" s="2"/>
      <c r="HH26" s="2"/>
      <c r="HI26" s="2"/>
      <c r="HJ26" s="2"/>
      <c r="HK26" s="2"/>
      <c r="HL26" s="2"/>
      <c r="HM26" s="2"/>
      <c r="HN26" s="2"/>
      <c r="HO26" s="2"/>
      <c r="HP26" s="2"/>
      <c r="HQ26" s="2"/>
      <c r="HR26" s="2"/>
      <c r="HS26" s="2"/>
      <c r="HT26" s="2"/>
      <c r="HU26" s="2"/>
      <c r="HV26" s="2"/>
      <c r="HW26" s="2"/>
      <c r="HX26" s="2"/>
      <c r="HY26" s="2"/>
      <c r="HZ26" s="2"/>
      <c r="IA26" s="2"/>
      <c r="IB26" s="2"/>
      <c r="IC26" s="2"/>
      <c r="ID26" s="2"/>
      <c r="IE26" s="2"/>
      <c r="IF26" s="2"/>
      <c r="IG26" s="2"/>
      <c r="IH26" s="2"/>
      <c r="II26" s="2"/>
      <c r="IJ26" s="2"/>
      <c r="IK26" s="2"/>
      <c r="IL26" s="2"/>
      <c r="IM26" s="2"/>
    </row>
    <row r="27" spans="2:247" x14ac:dyDescent="0.2">
      <c r="B27" s="6" t="s">
        <v>38</v>
      </c>
      <c r="C27" s="7"/>
      <c r="D27" s="7"/>
      <c r="E27" s="7"/>
      <c r="F27" s="7"/>
      <c r="G27" s="7"/>
      <c r="H27" s="7"/>
      <c r="I27" s="7"/>
      <c r="J27" s="7"/>
      <c r="K27" s="15"/>
    </row>
    <row r="28" spans="2:247" s="1" customFormat="1" ht="8" customHeight="1" x14ac:dyDescent="0.2">
      <c r="B28" s="27"/>
      <c r="C28" s="14"/>
      <c r="D28" s="8"/>
      <c r="E28" s="8"/>
      <c r="F28" s="8"/>
      <c r="G28" s="8"/>
      <c r="J28" s="9"/>
      <c r="K28" s="28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2"/>
      <c r="BU28" s="2"/>
      <c r="BV28" s="2"/>
      <c r="BW28" s="2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2"/>
      <c r="CQ28" s="2"/>
      <c r="CR28" s="2"/>
      <c r="CS28" s="2"/>
      <c r="CT28" s="2"/>
      <c r="CU28" s="2"/>
      <c r="CV28" s="2"/>
      <c r="CW28" s="2"/>
      <c r="CX28" s="2"/>
      <c r="CY28" s="2"/>
      <c r="CZ28" s="2"/>
      <c r="DA28" s="2"/>
      <c r="DB28" s="2"/>
      <c r="DC28" s="2"/>
      <c r="DD28" s="2"/>
      <c r="DE28" s="2"/>
      <c r="DF28" s="2"/>
      <c r="DG28" s="2"/>
      <c r="DH28" s="2"/>
      <c r="DI28" s="2"/>
      <c r="DJ28" s="2"/>
      <c r="DK28" s="2"/>
      <c r="DL28" s="2"/>
      <c r="DM28" s="2"/>
      <c r="DN28" s="2"/>
      <c r="DO28" s="2"/>
      <c r="DP28" s="2"/>
      <c r="DQ28" s="2"/>
      <c r="DR28" s="2"/>
      <c r="DS28" s="2"/>
      <c r="DT28" s="2"/>
      <c r="DU28" s="2"/>
      <c r="DV28" s="2"/>
      <c r="DW28" s="2"/>
      <c r="DX28" s="2"/>
      <c r="DY28" s="2"/>
      <c r="DZ28" s="2"/>
      <c r="EA28" s="2"/>
      <c r="EB28" s="2"/>
      <c r="EC28" s="2"/>
      <c r="ED28" s="2"/>
      <c r="EE28" s="2"/>
      <c r="EF28" s="2"/>
      <c r="EG28" s="2"/>
      <c r="EH28" s="2"/>
      <c r="EI28" s="2"/>
      <c r="EJ28" s="2"/>
      <c r="EK28" s="2"/>
      <c r="EL28" s="2"/>
      <c r="EM28" s="2"/>
      <c r="EN28" s="2"/>
      <c r="EO28" s="2"/>
      <c r="EP28" s="2"/>
      <c r="EQ28" s="2"/>
      <c r="ER28" s="2"/>
      <c r="ES28" s="2"/>
      <c r="ET28" s="2"/>
      <c r="EU28" s="2"/>
      <c r="EV28" s="2"/>
      <c r="EW28" s="2"/>
      <c r="EX28" s="2"/>
      <c r="EY28" s="2"/>
      <c r="EZ28" s="2"/>
      <c r="FA28" s="2"/>
      <c r="FB28" s="2"/>
      <c r="FC28" s="2"/>
      <c r="FD28" s="2"/>
      <c r="FE28" s="2"/>
      <c r="FF28" s="2"/>
      <c r="FG28" s="2"/>
      <c r="FH28" s="2"/>
      <c r="FI28" s="2"/>
      <c r="FJ28" s="2"/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"/>
      <c r="GT28" s="2"/>
      <c r="GU28" s="2"/>
      <c r="GV28" s="2"/>
      <c r="GW28" s="2"/>
      <c r="GX28" s="2"/>
      <c r="GY28" s="2"/>
      <c r="GZ28" s="2"/>
      <c r="HA28" s="2"/>
      <c r="HB28" s="2"/>
      <c r="HC28" s="2"/>
      <c r="HD28" s="2"/>
      <c r="HE28" s="2"/>
      <c r="HF28" s="2"/>
      <c r="HG28" s="2"/>
      <c r="HH28" s="2"/>
      <c r="HI28" s="2"/>
      <c r="HJ28" s="2"/>
      <c r="HK28" s="2"/>
      <c r="HL28" s="2"/>
      <c r="HM28" s="2"/>
      <c r="HN28" s="2"/>
      <c r="HO28" s="2"/>
      <c r="HP28" s="2"/>
      <c r="HQ28" s="2"/>
      <c r="HR28" s="2"/>
      <c r="HS28" s="2"/>
      <c r="HT28" s="2"/>
      <c r="HU28" s="2"/>
      <c r="HV28" s="2"/>
      <c r="HW28" s="2"/>
      <c r="HX28" s="2"/>
      <c r="HY28" s="2"/>
      <c r="HZ28" s="2"/>
      <c r="IA28" s="2"/>
      <c r="IB28" s="2"/>
      <c r="IC28" s="2"/>
      <c r="ID28" s="2"/>
      <c r="IE28" s="2"/>
      <c r="IF28" s="2"/>
      <c r="IG28" s="2"/>
      <c r="IH28" s="2"/>
      <c r="II28" s="2"/>
      <c r="IJ28" s="2"/>
      <c r="IK28" s="2"/>
      <c r="IL28" s="2"/>
      <c r="IM28" s="2"/>
    </row>
    <row r="29" spans="2:247" x14ac:dyDescent="0.2">
      <c r="B29" s="25" t="s">
        <v>39</v>
      </c>
      <c r="C29" s="17" t="s">
        <v>5</v>
      </c>
      <c r="D29" s="18" t="s">
        <v>206</v>
      </c>
      <c r="E29" s="320"/>
      <c r="K29" s="26"/>
    </row>
    <row r="30" spans="2:247" s="1" customFormat="1" ht="8" customHeight="1" x14ac:dyDescent="0.2">
      <c r="B30" s="27"/>
      <c r="C30" s="16"/>
      <c r="D30" s="8"/>
      <c r="E30" s="8"/>
      <c r="F30" s="8"/>
      <c r="G30" s="8"/>
      <c r="J30" s="9"/>
      <c r="K30" s="28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  <c r="EY30" s="2"/>
      <c r="EZ30" s="2"/>
      <c r="FA30" s="2"/>
      <c r="FB30" s="2"/>
      <c r="FC30" s="2"/>
      <c r="FD30" s="2"/>
      <c r="FE30" s="2"/>
      <c r="FF30" s="2"/>
      <c r="FG30" s="2"/>
      <c r="FH30" s="2"/>
      <c r="FI30" s="2"/>
      <c r="FJ30" s="2"/>
      <c r="FK30" s="2"/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2"/>
      <c r="GT30" s="2"/>
      <c r="GU30" s="2"/>
      <c r="GV30" s="2"/>
      <c r="GW30" s="2"/>
      <c r="GX30" s="2"/>
      <c r="GY30" s="2"/>
      <c r="GZ30" s="2"/>
      <c r="HA30" s="2"/>
      <c r="HB30" s="2"/>
      <c r="HC30" s="2"/>
      <c r="HD30" s="2"/>
      <c r="HE30" s="2"/>
      <c r="HF30" s="2"/>
      <c r="HG30" s="2"/>
      <c r="HH30" s="2"/>
      <c r="HI30" s="2"/>
      <c r="HJ30" s="2"/>
      <c r="HK30" s="2"/>
      <c r="HL30" s="2"/>
      <c r="HM30" s="2"/>
      <c r="HN30" s="2"/>
      <c r="HO30" s="2"/>
      <c r="HP30" s="2"/>
      <c r="HQ30" s="2"/>
      <c r="HR30" s="2"/>
      <c r="HS30" s="2"/>
      <c r="HT30" s="2"/>
      <c r="HU30" s="2"/>
      <c r="HV30" s="2"/>
      <c r="HW30" s="2"/>
      <c r="HX30" s="2"/>
      <c r="HY30" s="2"/>
      <c r="HZ30" s="2"/>
      <c r="IA30" s="2"/>
      <c r="IB30" s="2"/>
      <c r="IC30" s="2"/>
      <c r="ID30" s="2"/>
      <c r="IE30" s="2"/>
      <c r="IF30" s="2"/>
      <c r="IG30" s="2"/>
      <c r="IH30" s="2"/>
      <c r="II30" s="2"/>
      <c r="IJ30" s="2"/>
      <c r="IK30" s="2"/>
      <c r="IL30" s="2"/>
      <c r="IM30" s="2"/>
    </row>
    <row r="31" spans="2:247" s="1" customFormat="1" ht="13.25" customHeight="1" x14ac:dyDescent="0.2">
      <c r="B31" s="43" t="s">
        <v>40</v>
      </c>
      <c r="C31" s="16"/>
      <c r="D31" s="8"/>
      <c r="E31" s="8"/>
      <c r="F31" s="8"/>
      <c r="G31" s="8"/>
      <c r="J31" s="9"/>
      <c r="K31" s="28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  <c r="EY31" s="2"/>
      <c r="EZ31" s="2"/>
      <c r="FA31" s="2"/>
      <c r="FB31" s="2"/>
      <c r="FC31" s="2"/>
      <c r="FD31" s="2"/>
      <c r="FE31" s="2"/>
      <c r="FF31" s="2"/>
      <c r="FG31" s="2"/>
      <c r="FH31" s="2"/>
      <c r="FI31" s="2"/>
      <c r="FJ31" s="2"/>
      <c r="FK31" s="2"/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"/>
      <c r="GT31" s="2"/>
      <c r="GU31" s="2"/>
      <c r="GV31" s="2"/>
      <c r="GW31" s="2"/>
      <c r="GX31" s="2"/>
      <c r="GY31" s="2"/>
      <c r="GZ31" s="2"/>
      <c r="HA31" s="2"/>
      <c r="HB31" s="2"/>
      <c r="HC31" s="2"/>
      <c r="HD31" s="2"/>
      <c r="HE31" s="2"/>
      <c r="HF31" s="2"/>
      <c r="HG31" s="2"/>
      <c r="HH31" s="2"/>
      <c r="HI31" s="2"/>
      <c r="HJ31" s="2"/>
      <c r="HK31" s="2"/>
      <c r="HL31" s="2"/>
      <c r="HM31" s="2"/>
      <c r="HN31" s="2"/>
      <c r="HO31" s="2"/>
      <c r="HP31" s="2"/>
      <c r="HQ31" s="2"/>
      <c r="HR31" s="2"/>
      <c r="HS31" s="2"/>
      <c r="HT31" s="2"/>
      <c r="HU31" s="2"/>
      <c r="HV31" s="2"/>
      <c r="HW31" s="2"/>
      <c r="HX31" s="2"/>
      <c r="HY31" s="2"/>
      <c r="HZ31" s="2"/>
      <c r="IA31" s="2"/>
      <c r="IB31" s="2"/>
      <c r="IC31" s="2"/>
      <c r="ID31" s="2"/>
      <c r="IE31" s="2"/>
      <c r="IF31" s="2"/>
      <c r="IG31" s="2"/>
      <c r="IH31" s="2"/>
      <c r="II31" s="2"/>
      <c r="IJ31" s="2"/>
      <c r="IK31" s="2"/>
      <c r="IL31" s="2"/>
      <c r="IM31" s="2"/>
    </row>
    <row r="32" spans="2:247" s="1" customFormat="1" ht="14.5" customHeight="1" x14ac:dyDescent="0.2">
      <c r="B32" s="321"/>
      <c r="C32" s="50"/>
      <c r="D32" s="51"/>
      <c r="E32" s="52"/>
      <c r="F32" s="321"/>
      <c r="G32" s="51"/>
      <c r="H32" s="52"/>
      <c r="I32" s="52"/>
      <c r="J32" s="53"/>
      <c r="K32" s="54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  <c r="DP32" s="2"/>
      <c r="DQ32" s="2"/>
      <c r="DR32" s="2"/>
      <c r="DS32" s="2"/>
      <c r="DT32" s="2"/>
      <c r="DU32" s="2"/>
      <c r="DV32" s="2"/>
      <c r="DW32" s="2"/>
      <c r="DX32" s="2"/>
      <c r="DY32" s="2"/>
      <c r="DZ32" s="2"/>
      <c r="EA32" s="2"/>
      <c r="EB32" s="2"/>
      <c r="EC32" s="2"/>
      <c r="ED32" s="2"/>
      <c r="EE32" s="2"/>
      <c r="EF32" s="2"/>
      <c r="EG32" s="2"/>
      <c r="EH32" s="2"/>
      <c r="EI32" s="2"/>
      <c r="EJ32" s="2"/>
      <c r="EK32" s="2"/>
      <c r="EL32" s="2"/>
      <c r="EM32" s="2"/>
      <c r="EN32" s="2"/>
      <c r="EO32" s="2"/>
      <c r="EP32" s="2"/>
      <c r="EQ32" s="2"/>
      <c r="ER32" s="2"/>
      <c r="ES32" s="2"/>
      <c r="ET32" s="2"/>
      <c r="EU32" s="2"/>
      <c r="EV32" s="2"/>
      <c r="EW32" s="2"/>
      <c r="EX32" s="2"/>
      <c r="EY32" s="2"/>
      <c r="EZ32" s="2"/>
      <c r="FA32" s="2"/>
      <c r="FB32" s="2"/>
      <c r="FC32" s="2"/>
      <c r="FD32" s="2"/>
      <c r="FE32" s="2"/>
      <c r="FF32" s="2"/>
      <c r="FG32" s="2"/>
      <c r="FH32" s="2"/>
      <c r="FI32" s="2"/>
      <c r="FJ32" s="2"/>
      <c r="FK32" s="2"/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2"/>
      <c r="GT32" s="2"/>
      <c r="GU32" s="2"/>
      <c r="GV32" s="2"/>
      <c r="GW32" s="2"/>
      <c r="GX32" s="2"/>
      <c r="GY32" s="2"/>
      <c r="GZ32" s="2"/>
      <c r="HA32" s="2"/>
      <c r="HB32" s="2"/>
      <c r="HC32" s="2"/>
      <c r="HD32" s="2"/>
      <c r="HE32" s="2"/>
      <c r="HF32" s="2"/>
      <c r="HG32" s="2"/>
      <c r="HH32" s="2"/>
      <c r="HI32" s="2"/>
      <c r="HJ32" s="2"/>
      <c r="HK32" s="2"/>
      <c r="HL32" s="2"/>
      <c r="HM32" s="2"/>
      <c r="HN32" s="2"/>
      <c r="HO32" s="2"/>
      <c r="HP32" s="2"/>
      <c r="HQ32" s="2"/>
      <c r="HR32" s="2"/>
      <c r="HS32" s="2"/>
      <c r="HT32" s="2"/>
      <c r="HU32" s="2"/>
      <c r="HV32" s="2"/>
      <c r="HW32" s="2"/>
      <c r="HX32" s="2"/>
      <c r="HY32" s="2"/>
      <c r="HZ32" s="2"/>
      <c r="IA32" s="2"/>
      <c r="IB32" s="2"/>
      <c r="IC32" s="2"/>
      <c r="ID32" s="2"/>
      <c r="IE32" s="2"/>
      <c r="IF32" s="2"/>
      <c r="IG32" s="2"/>
      <c r="IH32" s="2"/>
      <c r="II32" s="2"/>
      <c r="IJ32" s="2"/>
      <c r="IK32" s="2"/>
      <c r="IL32" s="2"/>
      <c r="IM32" s="2"/>
    </row>
    <row r="33" spans="2:247" x14ac:dyDescent="0.2">
      <c r="B33" s="25" t="s">
        <v>207</v>
      </c>
      <c r="C33" s="17"/>
      <c r="D33" s="18"/>
      <c r="E33" t="s">
        <v>208</v>
      </c>
      <c r="F33" s="436"/>
      <c r="G33" s="437"/>
      <c r="H33" s="437"/>
      <c r="K33" s="26"/>
    </row>
    <row r="34" spans="2:247" s="1" customFormat="1" ht="8" customHeight="1" x14ac:dyDescent="0.2">
      <c r="B34" s="27"/>
      <c r="C34" s="16"/>
      <c r="D34" s="8"/>
      <c r="E34" s="8"/>
      <c r="F34" s="322"/>
      <c r="G34" s="8"/>
      <c r="J34" s="9"/>
      <c r="K34" s="28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  <c r="DP34" s="2"/>
      <c r="DQ34" s="2"/>
      <c r="DR34" s="2"/>
      <c r="DS34" s="2"/>
      <c r="DT34" s="2"/>
      <c r="DU34" s="2"/>
      <c r="DV34" s="2"/>
      <c r="DW34" s="2"/>
      <c r="DX34" s="2"/>
      <c r="DY34" s="2"/>
      <c r="DZ34" s="2"/>
      <c r="EA34" s="2"/>
      <c r="EB34" s="2"/>
      <c r="EC34" s="2"/>
      <c r="ED34" s="2"/>
      <c r="EE34" s="2"/>
      <c r="EF34" s="2"/>
      <c r="EG34" s="2"/>
      <c r="EH34" s="2"/>
      <c r="EI34" s="2"/>
      <c r="EJ34" s="2"/>
      <c r="EK34" s="2"/>
      <c r="EL34" s="2"/>
      <c r="EM34" s="2"/>
      <c r="EN34" s="2"/>
      <c r="EO34" s="2"/>
      <c r="EP34" s="2"/>
      <c r="EQ34" s="2"/>
      <c r="ER34" s="2"/>
      <c r="ES34" s="2"/>
      <c r="ET34" s="2"/>
      <c r="EU34" s="2"/>
      <c r="EV34" s="2"/>
      <c r="EW34" s="2"/>
      <c r="EX34" s="2"/>
      <c r="EY34" s="2"/>
      <c r="EZ34" s="2"/>
      <c r="FA34" s="2"/>
      <c r="FB34" s="2"/>
      <c r="FC34" s="2"/>
      <c r="FD34" s="2"/>
      <c r="FE34" s="2"/>
      <c r="FF34" s="2"/>
      <c r="FG34" s="2"/>
      <c r="FH34" s="2"/>
      <c r="FI34" s="2"/>
      <c r="FJ34" s="2"/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2"/>
      <c r="GT34" s="2"/>
      <c r="GU34" s="2"/>
      <c r="GV34" s="2"/>
      <c r="GW34" s="2"/>
      <c r="GX34" s="2"/>
      <c r="GY34" s="2"/>
      <c r="GZ34" s="2"/>
      <c r="HA34" s="2"/>
      <c r="HB34" s="2"/>
      <c r="HC34" s="2"/>
      <c r="HD34" s="2"/>
      <c r="HE34" s="2"/>
      <c r="HF34" s="2"/>
      <c r="HG34" s="2"/>
      <c r="HH34" s="2"/>
      <c r="HI34" s="2"/>
      <c r="HJ34" s="2"/>
      <c r="HK34" s="2"/>
      <c r="HL34" s="2"/>
      <c r="HM34" s="2"/>
      <c r="HN34" s="2"/>
      <c r="HO34" s="2"/>
      <c r="HP34" s="2"/>
      <c r="HQ34" s="2"/>
      <c r="HR34" s="2"/>
      <c r="HS34" s="2"/>
      <c r="HT34" s="2"/>
      <c r="HU34" s="2"/>
      <c r="HV34" s="2"/>
      <c r="HW34" s="2"/>
      <c r="HX34" s="2"/>
      <c r="HY34" s="2"/>
      <c r="HZ34" s="2"/>
      <c r="IA34" s="2"/>
      <c r="IB34" s="2"/>
      <c r="IC34" s="2"/>
      <c r="ID34" s="2"/>
      <c r="IE34" s="2"/>
      <c r="IF34" s="2"/>
      <c r="IG34" s="2"/>
      <c r="IH34" s="2"/>
      <c r="II34" s="2"/>
      <c r="IJ34" s="2"/>
      <c r="IK34" s="2"/>
      <c r="IL34" s="2"/>
      <c r="IM34" s="2"/>
    </row>
    <row r="35" spans="2:247" x14ac:dyDescent="0.2">
      <c r="B35" s="25" t="s">
        <v>209</v>
      </c>
      <c r="C35" s="17"/>
      <c r="D35" s="19"/>
      <c r="E35" t="s">
        <v>208</v>
      </c>
      <c r="F35" s="438"/>
      <c r="G35" s="439"/>
      <c r="H35" s="439"/>
      <c r="K35" s="26"/>
    </row>
    <row r="36" spans="2:247" s="1" customFormat="1" ht="16" x14ac:dyDescent="0.2">
      <c r="B36" s="27"/>
      <c r="C36" s="16"/>
      <c r="D36" s="8"/>
      <c r="E36" s="8"/>
      <c r="F36" s="322"/>
      <c r="G36" s="8"/>
      <c r="J36" s="9"/>
      <c r="K36" s="28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  <c r="DP36" s="2"/>
      <c r="DQ36" s="2"/>
      <c r="DR36" s="2"/>
      <c r="DS36" s="2"/>
      <c r="DT36" s="2"/>
      <c r="DU36" s="2"/>
      <c r="DV36" s="2"/>
      <c r="DW36" s="2"/>
      <c r="DX36" s="2"/>
      <c r="DY36" s="2"/>
      <c r="DZ36" s="2"/>
      <c r="EA36" s="2"/>
      <c r="EB36" s="2"/>
      <c r="EC36" s="2"/>
      <c r="ED36" s="2"/>
      <c r="EE36" s="2"/>
      <c r="EF36" s="2"/>
      <c r="EG36" s="2"/>
      <c r="EH36" s="2"/>
      <c r="EI36" s="2"/>
      <c r="EJ36" s="2"/>
      <c r="EK36" s="2"/>
      <c r="EL36" s="2"/>
      <c r="EM36" s="2"/>
      <c r="EN36" s="2"/>
      <c r="EO36" s="2"/>
      <c r="EP36" s="2"/>
      <c r="EQ36" s="2"/>
      <c r="ER36" s="2"/>
      <c r="ES36" s="2"/>
      <c r="ET36" s="2"/>
      <c r="EU36" s="2"/>
      <c r="EV36" s="2"/>
      <c r="EW36" s="2"/>
      <c r="EX36" s="2"/>
      <c r="EY36" s="2"/>
      <c r="EZ36" s="2"/>
      <c r="FA36" s="2"/>
      <c r="FB36" s="2"/>
      <c r="FC36" s="2"/>
      <c r="FD36" s="2"/>
      <c r="FE36" s="2"/>
      <c r="FF36" s="2"/>
      <c r="FG36" s="2"/>
      <c r="FH36" s="2"/>
      <c r="FI36" s="2"/>
      <c r="FJ36" s="2"/>
      <c r="FK36" s="2"/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2"/>
      <c r="GT36" s="2"/>
      <c r="GU36" s="2"/>
      <c r="GV36" s="2"/>
      <c r="GW36" s="2"/>
      <c r="GX36" s="2"/>
      <c r="GY36" s="2"/>
      <c r="GZ36" s="2"/>
      <c r="HA36" s="2"/>
      <c r="HB36" s="2"/>
      <c r="HC36" s="2"/>
      <c r="HD36" s="2"/>
      <c r="HE36" s="2"/>
      <c r="HF36" s="2"/>
      <c r="HG36" s="2"/>
      <c r="HH36" s="2"/>
      <c r="HI36" s="2"/>
      <c r="HJ36" s="2"/>
      <c r="HK36" s="2"/>
      <c r="HL36" s="2"/>
      <c r="HM36" s="2"/>
      <c r="HN36" s="2"/>
      <c r="HO36" s="2"/>
      <c r="HP36" s="2"/>
      <c r="HQ36" s="2"/>
      <c r="HR36" s="2"/>
      <c r="HS36" s="2"/>
      <c r="HT36" s="2"/>
      <c r="HU36" s="2"/>
      <c r="HV36" s="2"/>
      <c r="HW36" s="2"/>
      <c r="HX36" s="2"/>
      <c r="HY36" s="2"/>
      <c r="HZ36" s="2"/>
      <c r="IA36" s="2"/>
      <c r="IB36" s="2"/>
      <c r="IC36" s="2"/>
      <c r="ID36" s="2"/>
      <c r="IE36" s="2"/>
      <c r="IF36" s="2"/>
      <c r="IG36" s="2"/>
      <c r="IH36" s="2"/>
      <c r="II36" s="2"/>
      <c r="IJ36" s="2"/>
      <c r="IK36" s="2"/>
      <c r="IL36" s="2"/>
      <c r="IM36" s="2"/>
    </row>
    <row r="37" spans="2:247" ht="15" customHeight="1" x14ac:dyDescent="0.2">
      <c r="B37" s="29" t="s">
        <v>210</v>
      </c>
      <c r="C37" s="17"/>
      <c r="D37" s="8"/>
      <c r="E37" t="s">
        <v>208</v>
      </c>
      <c r="F37" s="436"/>
      <c r="G37" s="437"/>
      <c r="H37" s="437"/>
      <c r="K37" s="26"/>
    </row>
    <row r="38" spans="2:247" s="1" customFormat="1" ht="8" customHeight="1" x14ac:dyDescent="0.2">
      <c r="B38" s="27"/>
      <c r="C38" s="16"/>
      <c r="D38" s="8"/>
      <c r="E38"/>
      <c r="F38" s="322"/>
      <c r="G38" s="8"/>
      <c r="J38" s="9"/>
      <c r="K38" s="28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  <c r="DP38" s="2"/>
      <c r="DQ38" s="2"/>
      <c r="DR38" s="2"/>
      <c r="DS38" s="2"/>
      <c r="DT38" s="2"/>
      <c r="DU38" s="2"/>
      <c r="DV38" s="2"/>
      <c r="DW38" s="2"/>
      <c r="DX38" s="2"/>
      <c r="DY38" s="2"/>
      <c r="DZ38" s="2"/>
      <c r="EA38" s="2"/>
      <c r="EB38" s="2"/>
      <c r="EC38" s="2"/>
      <c r="ED38" s="2"/>
      <c r="EE38" s="2"/>
      <c r="EF38" s="2"/>
      <c r="EG38" s="2"/>
      <c r="EH38" s="2"/>
      <c r="EI38" s="2"/>
      <c r="EJ38" s="2"/>
      <c r="EK38" s="2"/>
      <c r="EL38" s="2"/>
      <c r="EM38" s="2"/>
      <c r="EN38" s="2"/>
      <c r="EO38" s="2"/>
      <c r="EP38" s="2"/>
      <c r="EQ38" s="2"/>
      <c r="ER38" s="2"/>
      <c r="ES38" s="2"/>
      <c r="ET38" s="2"/>
      <c r="EU38" s="2"/>
      <c r="EV38" s="2"/>
      <c r="EW38" s="2"/>
      <c r="EX38" s="2"/>
      <c r="EY38" s="2"/>
      <c r="EZ38" s="2"/>
      <c r="FA38" s="2"/>
      <c r="FB38" s="2"/>
      <c r="FC38" s="2"/>
      <c r="FD38" s="2"/>
      <c r="FE38" s="2"/>
      <c r="FF38" s="2"/>
      <c r="FG38" s="2"/>
      <c r="FH38" s="2"/>
      <c r="FI38" s="2"/>
      <c r="FJ38" s="2"/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2"/>
      <c r="GT38" s="2"/>
      <c r="GU38" s="2"/>
      <c r="GV38" s="2"/>
      <c r="GW38" s="2"/>
      <c r="GX38" s="2"/>
      <c r="GY38" s="2"/>
      <c r="GZ38" s="2"/>
      <c r="HA38" s="2"/>
      <c r="HB38" s="2"/>
      <c r="HC38" s="2"/>
      <c r="HD38" s="2"/>
      <c r="HE38" s="2"/>
      <c r="HF38" s="2"/>
      <c r="HG38" s="2"/>
      <c r="HH38" s="2"/>
      <c r="HI38" s="2"/>
      <c r="HJ38" s="2"/>
      <c r="HK38" s="2"/>
      <c r="HL38" s="2"/>
      <c r="HM38" s="2"/>
      <c r="HN38" s="2"/>
      <c r="HO38" s="2"/>
      <c r="HP38" s="2"/>
      <c r="HQ38" s="2"/>
      <c r="HR38" s="2"/>
      <c r="HS38" s="2"/>
      <c r="HT38" s="2"/>
      <c r="HU38" s="2"/>
      <c r="HV38" s="2"/>
      <c r="HW38" s="2"/>
      <c r="HX38" s="2"/>
      <c r="HY38" s="2"/>
      <c r="HZ38" s="2"/>
      <c r="IA38" s="2"/>
      <c r="IB38" s="2"/>
      <c r="IC38" s="2"/>
      <c r="ID38" s="2"/>
      <c r="IE38" s="2"/>
      <c r="IF38" s="2"/>
      <c r="IG38" s="2"/>
      <c r="IH38" s="2"/>
      <c r="II38" s="2"/>
      <c r="IJ38" s="2"/>
      <c r="IK38" s="2"/>
      <c r="IL38" s="2"/>
      <c r="IM38" s="2"/>
    </row>
    <row r="39" spans="2:247" ht="16" x14ac:dyDescent="0.2">
      <c r="B39" s="29" t="s">
        <v>211</v>
      </c>
      <c r="C39" s="17"/>
      <c r="D39" s="19"/>
      <c r="E39" t="s">
        <v>208</v>
      </c>
      <c r="F39" s="55"/>
      <c r="H39" s="10"/>
      <c r="K39" s="26"/>
    </row>
    <row r="40" spans="2:247" s="1" customFormat="1" ht="8" customHeight="1" x14ac:dyDescent="0.2">
      <c r="B40" s="27"/>
      <c r="C40" s="16"/>
      <c r="D40" s="8"/>
      <c r="E40" s="323"/>
      <c r="F40" s="8"/>
      <c r="G40" s="8"/>
      <c r="J40" s="9"/>
      <c r="K40" s="28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  <c r="DP40" s="2"/>
      <c r="DQ40" s="2"/>
      <c r="DR40" s="2"/>
      <c r="DS40" s="2"/>
      <c r="DT40" s="2"/>
      <c r="DU40" s="2"/>
      <c r="DV40" s="2"/>
      <c r="DW40" s="2"/>
      <c r="DX40" s="2"/>
      <c r="DY40" s="2"/>
      <c r="DZ40" s="2"/>
      <c r="EA40" s="2"/>
      <c r="EB40" s="2"/>
      <c r="EC40" s="2"/>
      <c r="ED40" s="2"/>
      <c r="EE40" s="2"/>
      <c r="EF40" s="2"/>
      <c r="EG40" s="2"/>
      <c r="EH40" s="2"/>
      <c r="EI40" s="2"/>
      <c r="EJ40" s="2"/>
      <c r="EK40" s="2"/>
      <c r="EL40" s="2"/>
      <c r="EM40" s="2"/>
      <c r="EN40" s="2"/>
      <c r="EO40" s="2"/>
      <c r="EP40" s="2"/>
      <c r="EQ40" s="2"/>
      <c r="ER40" s="2"/>
      <c r="ES40" s="2"/>
      <c r="ET40" s="2"/>
      <c r="EU40" s="2"/>
      <c r="EV40" s="2"/>
      <c r="EW40" s="2"/>
      <c r="EX40" s="2"/>
      <c r="EY40" s="2"/>
      <c r="EZ40" s="2"/>
      <c r="FA40" s="2"/>
      <c r="FB40" s="2"/>
      <c r="FC40" s="2"/>
      <c r="FD40" s="2"/>
      <c r="FE40" s="2"/>
      <c r="FF40" s="2"/>
      <c r="FG40" s="2"/>
      <c r="FH40" s="2"/>
      <c r="FI40" s="2"/>
      <c r="FJ40" s="2"/>
      <c r="FK40" s="2"/>
      <c r="FL40" s="2"/>
      <c r="FM40" s="2"/>
      <c r="FN40" s="2"/>
      <c r="FO40" s="2"/>
      <c r="FP40" s="2"/>
      <c r="FQ40" s="2"/>
      <c r="FR40" s="2"/>
      <c r="FS40" s="2"/>
      <c r="FT40" s="2"/>
      <c r="FU40" s="2"/>
      <c r="FV40" s="2"/>
      <c r="FW40" s="2"/>
      <c r="FX40" s="2"/>
      <c r="FY40" s="2"/>
      <c r="FZ40" s="2"/>
      <c r="GA40" s="2"/>
      <c r="GB40" s="2"/>
      <c r="GC40" s="2"/>
      <c r="GD40" s="2"/>
      <c r="GE40" s="2"/>
      <c r="GF40" s="2"/>
      <c r="GG40" s="2"/>
      <c r="GH40" s="2"/>
      <c r="GI40" s="2"/>
      <c r="GJ40" s="2"/>
      <c r="GK40" s="2"/>
      <c r="GL40" s="2"/>
      <c r="GM40" s="2"/>
      <c r="GN40" s="2"/>
      <c r="GO40" s="2"/>
      <c r="GP40" s="2"/>
      <c r="GQ40" s="2"/>
      <c r="GR40" s="2"/>
      <c r="GS40" s="2"/>
      <c r="GT40" s="2"/>
      <c r="GU40" s="2"/>
      <c r="GV40" s="2"/>
      <c r="GW40" s="2"/>
      <c r="GX40" s="2"/>
      <c r="GY40" s="2"/>
      <c r="GZ40" s="2"/>
      <c r="HA40" s="2"/>
      <c r="HB40" s="2"/>
      <c r="HC40" s="2"/>
      <c r="HD40" s="2"/>
      <c r="HE40" s="2"/>
      <c r="HF40" s="2"/>
      <c r="HG40" s="2"/>
      <c r="HH40" s="2"/>
      <c r="HI40" s="2"/>
      <c r="HJ40" s="2"/>
      <c r="HK40" s="2"/>
      <c r="HL40" s="2"/>
      <c r="HM40" s="2"/>
      <c r="HN40" s="2"/>
      <c r="HO40" s="2"/>
      <c r="HP40" s="2"/>
      <c r="HQ40" s="2"/>
      <c r="HR40" s="2"/>
      <c r="HS40" s="2"/>
      <c r="HT40" s="2"/>
      <c r="HU40" s="2"/>
      <c r="HV40" s="2"/>
      <c r="HW40" s="2"/>
      <c r="HX40" s="2"/>
      <c r="HY40" s="2"/>
      <c r="HZ40" s="2"/>
      <c r="IA40" s="2"/>
      <c r="IB40" s="2"/>
      <c r="IC40" s="2"/>
      <c r="ID40" s="2"/>
      <c r="IE40" s="2"/>
      <c r="IF40" s="2"/>
      <c r="IG40" s="2"/>
      <c r="IH40" s="2"/>
      <c r="II40" s="2"/>
      <c r="IJ40" s="2"/>
      <c r="IK40" s="2"/>
      <c r="IL40" s="2"/>
      <c r="IM40" s="2"/>
    </row>
    <row r="41" spans="2:247" x14ac:dyDescent="0.2">
      <c r="B41" s="29"/>
      <c r="C41" s="17"/>
      <c r="D41" s="19"/>
      <c r="E41" s="324"/>
      <c r="G41" s="19"/>
      <c r="K41" s="26"/>
    </row>
    <row r="42" spans="2:247" s="1" customFormat="1" ht="8" customHeight="1" thickBot="1" x14ac:dyDescent="0.25">
      <c r="B42" s="44"/>
      <c r="C42" s="45"/>
      <c r="D42" s="49"/>
      <c r="E42" s="325"/>
      <c r="F42" s="46"/>
      <c r="G42" s="46"/>
      <c r="H42" s="47"/>
      <c r="I42" s="47"/>
      <c r="J42" s="48"/>
      <c r="K42" s="28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  <c r="DP42" s="2"/>
      <c r="DQ42" s="2"/>
      <c r="DR42" s="2"/>
      <c r="DS42" s="2"/>
      <c r="DT42" s="2"/>
      <c r="DU42" s="2"/>
      <c r="DV42" s="2"/>
      <c r="DW42" s="2"/>
      <c r="DX42" s="2"/>
      <c r="DY42" s="2"/>
      <c r="DZ42" s="2"/>
      <c r="EA42" s="2"/>
      <c r="EB42" s="2"/>
      <c r="EC42" s="2"/>
      <c r="ED42" s="2"/>
      <c r="EE42" s="2"/>
      <c r="EF42" s="2"/>
      <c r="EG42" s="2"/>
      <c r="EH42" s="2"/>
      <c r="EI42" s="2"/>
      <c r="EJ42" s="2"/>
      <c r="EK42" s="2"/>
      <c r="EL42" s="2"/>
      <c r="EM42" s="2"/>
      <c r="EN42" s="2"/>
      <c r="EO42" s="2"/>
      <c r="EP42" s="2"/>
      <c r="EQ42" s="2"/>
      <c r="ER42" s="2"/>
      <c r="ES42" s="2"/>
      <c r="ET42" s="2"/>
      <c r="EU42" s="2"/>
      <c r="EV42" s="2"/>
      <c r="EW42" s="2"/>
      <c r="EX42" s="2"/>
      <c r="EY42" s="2"/>
      <c r="EZ42" s="2"/>
      <c r="FA42" s="2"/>
      <c r="FB42" s="2"/>
      <c r="FC42" s="2"/>
      <c r="FD42" s="2"/>
      <c r="FE42" s="2"/>
      <c r="FF42" s="2"/>
      <c r="FG42" s="2"/>
      <c r="FH42" s="2"/>
      <c r="FI42" s="2"/>
      <c r="FJ42" s="2"/>
      <c r="FK42" s="2"/>
      <c r="FL42" s="2"/>
      <c r="FM42" s="2"/>
      <c r="FN42" s="2"/>
      <c r="FO42" s="2"/>
      <c r="FP42" s="2"/>
      <c r="FQ42" s="2"/>
      <c r="FR42" s="2"/>
      <c r="FS42" s="2"/>
      <c r="FT42" s="2"/>
      <c r="FU42" s="2"/>
      <c r="FV42" s="2"/>
      <c r="FW42" s="2"/>
      <c r="FX42" s="2"/>
      <c r="FY42" s="2"/>
      <c r="FZ42" s="2"/>
      <c r="GA42" s="2"/>
      <c r="GB42" s="2"/>
      <c r="GC42" s="2"/>
      <c r="GD42" s="2"/>
      <c r="GE42" s="2"/>
      <c r="GF42" s="2"/>
      <c r="GG42" s="2"/>
      <c r="GH42" s="2"/>
      <c r="GI42" s="2"/>
      <c r="GJ42" s="2"/>
      <c r="GK42" s="2"/>
      <c r="GL42" s="2"/>
      <c r="GM42" s="2"/>
      <c r="GN42" s="2"/>
      <c r="GO42" s="2"/>
      <c r="GP42" s="2"/>
      <c r="GQ42" s="2"/>
      <c r="GR42" s="2"/>
      <c r="GS42" s="2"/>
      <c r="GT42" s="2"/>
      <c r="GU42" s="2"/>
      <c r="GV42" s="2"/>
      <c r="GW42" s="2"/>
      <c r="GX42" s="2"/>
      <c r="GY42" s="2"/>
      <c r="GZ42" s="2"/>
      <c r="HA42" s="2"/>
      <c r="HB42" s="2"/>
      <c r="HC42" s="2"/>
      <c r="HD42" s="2"/>
      <c r="HE42" s="2"/>
      <c r="HF42" s="2"/>
      <c r="HG42" s="2"/>
      <c r="HH42" s="2"/>
      <c r="HI42" s="2"/>
      <c r="HJ42" s="2"/>
      <c r="HK42" s="2"/>
      <c r="HL42" s="2"/>
      <c r="HM42" s="2"/>
      <c r="HN42" s="2"/>
      <c r="HO42" s="2"/>
      <c r="HP42" s="2"/>
      <c r="HQ42" s="2"/>
      <c r="HR42" s="2"/>
      <c r="HS42" s="2"/>
      <c r="HT42" s="2"/>
      <c r="HU42" s="2"/>
      <c r="HV42" s="2"/>
      <c r="HW42" s="2"/>
      <c r="HX42" s="2"/>
      <c r="HY42" s="2"/>
      <c r="HZ42" s="2"/>
      <c r="IA42" s="2"/>
      <c r="IB42" s="2"/>
      <c r="IC42" s="2"/>
      <c r="ID42" s="2"/>
      <c r="IE42" s="2"/>
      <c r="IF42" s="2"/>
      <c r="IG42" s="2"/>
      <c r="IH42" s="2"/>
      <c r="II42" s="2"/>
      <c r="IJ42" s="2"/>
      <c r="IK42" s="2"/>
      <c r="IL42" s="2"/>
      <c r="IM42" s="2"/>
    </row>
    <row r="43" spans="2:247" x14ac:dyDescent="0.2">
      <c r="B43" s="6" t="s">
        <v>21</v>
      </c>
      <c r="C43" s="7"/>
      <c r="D43" s="7"/>
      <c r="E43" s="7"/>
      <c r="F43" s="7"/>
      <c r="G43" s="7"/>
      <c r="H43" s="7"/>
      <c r="I43" s="7"/>
      <c r="J43" s="7"/>
      <c r="K43" s="15"/>
    </row>
    <row r="44" spans="2:247" ht="32" x14ac:dyDescent="0.2">
      <c r="B44" s="29" t="s">
        <v>20</v>
      </c>
      <c r="C44" s="17" t="s">
        <v>5</v>
      </c>
      <c r="D44" s="434"/>
      <c r="E44" s="434"/>
      <c r="F44" s="434"/>
      <c r="G44" s="434"/>
      <c r="H44" s="434"/>
      <c r="I44" s="434"/>
      <c r="J44" s="434"/>
      <c r="K44" s="26"/>
    </row>
    <row r="45" spans="2:247" s="1" customFormat="1" ht="8" customHeight="1" x14ac:dyDescent="0.2">
      <c r="B45" s="27"/>
      <c r="C45" s="16"/>
      <c r="D45" s="8"/>
      <c r="E45" s="8"/>
      <c r="F45" s="8"/>
      <c r="G45" s="8"/>
      <c r="J45" s="9"/>
      <c r="K45" s="28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  <c r="DQ45" s="2"/>
      <c r="DR45" s="2"/>
      <c r="DS45" s="2"/>
      <c r="DT45" s="2"/>
      <c r="DU45" s="2"/>
      <c r="DV45" s="2"/>
      <c r="DW45" s="2"/>
      <c r="DX45" s="2"/>
      <c r="DY45" s="2"/>
      <c r="DZ45" s="2"/>
      <c r="EA45" s="2"/>
      <c r="EB45" s="2"/>
      <c r="EC45" s="2"/>
      <c r="ED45" s="2"/>
      <c r="EE45" s="2"/>
      <c r="EF45" s="2"/>
      <c r="EG45" s="2"/>
      <c r="EH45" s="2"/>
      <c r="EI45" s="2"/>
      <c r="EJ45" s="2"/>
      <c r="EK45" s="2"/>
      <c r="EL45" s="2"/>
      <c r="EM45" s="2"/>
      <c r="EN45" s="2"/>
      <c r="EO45" s="2"/>
      <c r="EP45" s="2"/>
      <c r="EQ45" s="2"/>
      <c r="ER45" s="2"/>
      <c r="ES45" s="2"/>
      <c r="ET45" s="2"/>
      <c r="EU45" s="2"/>
      <c r="EV45" s="2"/>
      <c r="EW45" s="2"/>
      <c r="EX45" s="2"/>
      <c r="EY45" s="2"/>
      <c r="EZ45" s="2"/>
      <c r="FA45" s="2"/>
      <c r="FB45" s="2"/>
      <c r="FC45" s="2"/>
      <c r="FD45" s="2"/>
      <c r="FE45" s="2"/>
      <c r="FF45" s="2"/>
      <c r="FG45" s="2"/>
      <c r="FH45" s="2"/>
      <c r="FI45" s="2"/>
      <c r="FJ45" s="2"/>
      <c r="FK45" s="2"/>
      <c r="FL45" s="2"/>
      <c r="FM45" s="2"/>
      <c r="FN45" s="2"/>
      <c r="FO45" s="2"/>
      <c r="FP45" s="2"/>
      <c r="FQ45" s="2"/>
      <c r="FR45" s="2"/>
      <c r="FS45" s="2"/>
      <c r="FT45" s="2"/>
      <c r="FU45" s="2"/>
      <c r="FV45" s="2"/>
      <c r="FW45" s="2"/>
      <c r="FX45" s="2"/>
      <c r="FY45" s="2"/>
      <c r="FZ45" s="2"/>
      <c r="GA45" s="2"/>
      <c r="GB45" s="2"/>
      <c r="GC45" s="2"/>
      <c r="GD45" s="2"/>
      <c r="GE45" s="2"/>
      <c r="GF45" s="2"/>
      <c r="GG45" s="2"/>
      <c r="GH45" s="2"/>
      <c r="GI45" s="2"/>
      <c r="GJ45" s="2"/>
      <c r="GK45" s="2"/>
      <c r="GL45" s="2"/>
      <c r="GM45" s="2"/>
      <c r="GN45" s="2"/>
      <c r="GO45" s="2"/>
      <c r="GP45" s="2"/>
      <c r="GQ45" s="2"/>
      <c r="GR45" s="2"/>
      <c r="GS45" s="2"/>
      <c r="GT45" s="2"/>
      <c r="GU45" s="2"/>
      <c r="GV45" s="2"/>
      <c r="GW45" s="2"/>
      <c r="GX45" s="2"/>
      <c r="GY45" s="2"/>
      <c r="GZ45" s="2"/>
      <c r="HA45" s="2"/>
      <c r="HB45" s="2"/>
      <c r="HC45" s="2"/>
      <c r="HD45" s="2"/>
      <c r="HE45" s="2"/>
      <c r="HF45" s="2"/>
      <c r="HG45" s="2"/>
      <c r="HH45" s="2"/>
      <c r="HI45" s="2"/>
      <c r="HJ45" s="2"/>
      <c r="HK45" s="2"/>
      <c r="HL45" s="2"/>
      <c r="HM45" s="2"/>
      <c r="HN45" s="2"/>
      <c r="HO45" s="2"/>
      <c r="HP45" s="2"/>
      <c r="HQ45" s="2"/>
      <c r="HR45" s="2"/>
      <c r="HS45" s="2"/>
      <c r="HT45" s="2"/>
      <c r="HU45" s="2"/>
      <c r="HV45" s="2"/>
      <c r="HW45" s="2"/>
      <c r="HX45" s="2"/>
      <c r="HY45" s="2"/>
      <c r="HZ45" s="2"/>
      <c r="IA45" s="2"/>
      <c r="IB45" s="2"/>
      <c r="IC45" s="2"/>
      <c r="ID45" s="2"/>
      <c r="IE45" s="2"/>
      <c r="IF45" s="2"/>
      <c r="IG45" s="2"/>
      <c r="IH45" s="2"/>
      <c r="II45" s="2"/>
      <c r="IJ45" s="2"/>
      <c r="IK45" s="2"/>
      <c r="IL45" s="2"/>
      <c r="IM45" s="2"/>
    </row>
    <row r="46" spans="2:247" ht="32" x14ac:dyDescent="0.2">
      <c r="B46" s="29" t="s">
        <v>43</v>
      </c>
      <c r="C46" s="17" t="s">
        <v>5</v>
      </c>
      <c r="D46" s="434" t="s">
        <v>28</v>
      </c>
      <c r="E46" s="434"/>
      <c r="F46" s="434"/>
      <c r="G46" s="434"/>
      <c r="H46" s="434"/>
      <c r="I46" s="434"/>
      <c r="J46" s="434"/>
      <c r="K46" s="26"/>
    </row>
    <row r="47" spans="2:247" s="1" customFormat="1" ht="8" customHeight="1" thickBot="1" x14ac:dyDescent="0.25">
      <c r="B47" s="27"/>
      <c r="C47" s="14"/>
      <c r="D47" s="8"/>
      <c r="E47" s="8"/>
      <c r="F47" s="8"/>
      <c r="G47" s="8"/>
      <c r="J47" s="9"/>
      <c r="K47" s="28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  <c r="DP47" s="2"/>
      <c r="DQ47" s="2"/>
      <c r="DR47" s="2"/>
      <c r="DS47" s="2"/>
      <c r="DT47" s="2"/>
      <c r="DU47" s="2"/>
      <c r="DV47" s="2"/>
      <c r="DW47" s="2"/>
      <c r="DX47" s="2"/>
      <c r="DY47" s="2"/>
      <c r="DZ47" s="2"/>
      <c r="EA47" s="2"/>
      <c r="EB47" s="2"/>
      <c r="EC47" s="2"/>
      <c r="ED47" s="2"/>
      <c r="EE47" s="2"/>
      <c r="EF47" s="2"/>
      <c r="EG47" s="2"/>
      <c r="EH47" s="2"/>
      <c r="EI47" s="2"/>
      <c r="EJ47" s="2"/>
      <c r="EK47" s="2"/>
      <c r="EL47" s="2"/>
      <c r="EM47" s="2"/>
      <c r="EN47" s="2"/>
      <c r="EO47" s="2"/>
      <c r="EP47" s="2"/>
      <c r="EQ47" s="2"/>
      <c r="ER47" s="2"/>
      <c r="ES47" s="2"/>
      <c r="ET47" s="2"/>
      <c r="EU47" s="2"/>
      <c r="EV47" s="2"/>
      <c r="EW47" s="2"/>
      <c r="EX47" s="2"/>
      <c r="EY47" s="2"/>
      <c r="EZ47" s="2"/>
      <c r="FA47" s="2"/>
      <c r="FB47" s="2"/>
      <c r="FC47" s="2"/>
      <c r="FD47" s="2"/>
      <c r="FE47" s="2"/>
      <c r="FF47" s="2"/>
      <c r="FG47" s="2"/>
      <c r="FH47" s="2"/>
      <c r="FI47" s="2"/>
      <c r="FJ47" s="2"/>
      <c r="FK47" s="2"/>
      <c r="FL47" s="2"/>
      <c r="FM47" s="2"/>
      <c r="FN47" s="2"/>
      <c r="FO47" s="2"/>
      <c r="FP47" s="2"/>
      <c r="FQ47" s="2"/>
      <c r="FR47" s="2"/>
      <c r="FS47" s="2"/>
      <c r="FT47" s="2"/>
      <c r="FU47" s="2"/>
      <c r="FV47" s="2"/>
      <c r="FW47" s="2"/>
      <c r="FX47" s="2"/>
      <c r="FY47" s="2"/>
      <c r="FZ47" s="2"/>
      <c r="GA47" s="2"/>
      <c r="GB47" s="2"/>
      <c r="GC47" s="2"/>
      <c r="GD47" s="2"/>
      <c r="GE47" s="2"/>
      <c r="GF47" s="2"/>
      <c r="GG47" s="2"/>
      <c r="GH47" s="2"/>
      <c r="GI47" s="2"/>
      <c r="GJ47" s="2"/>
      <c r="GK47" s="2"/>
      <c r="GL47" s="2"/>
      <c r="GM47" s="2"/>
      <c r="GN47" s="2"/>
      <c r="GO47" s="2"/>
      <c r="GP47" s="2"/>
      <c r="GQ47" s="2"/>
      <c r="GR47" s="2"/>
      <c r="GS47" s="2"/>
      <c r="GT47" s="2"/>
      <c r="GU47" s="2"/>
      <c r="GV47" s="2"/>
      <c r="GW47" s="2"/>
      <c r="GX47" s="2"/>
      <c r="GY47" s="2"/>
      <c r="GZ47" s="2"/>
      <c r="HA47" s="2"/>
      <c r="HB47" s="2"/>
      <c r="HC47" s="2"/>
      <c r="HD47" s="2"/>
      <c r="HE47" s="2"/>
      <c r="HF47" s="2"/>
      <c r="HG47" s="2"/>
      <c r="HH47" s="2"/>
      <c r="HI47" s="2"/>
      <c r="HJ47" s="2"/>
      <c r="HK47" s="2"/>
      <c r="HL47" s="2"/>
      <c r="HM47" s="2"/>
      <c r="HN47" s="2"/>
      <c r="HO47" s="2"/>
      <c r="HP47" s="2"/>
      <c r="HQ47" s="2"/>
      <c r="HR47" s="2"/>
      <c r="HS47" s="2"/>
      <c r="HT47" s="2"/>
      <c r="HU47" s="2"/>
      <c r="HV47" s="2"/>
      <c r="HW47" s="2"/>
      <c r="HX47" s="2"/>
      <c r="HY47" s="2"/>
      <c r="HZ47" s="2"/>
      <c r="IA47" s="2"/>
      <c r="IB47" s="2"/>
      <c r="IC47" s="2"/>
      <c r="ID47" s="2"/>
      <c r="IE47" s="2"/>
      <c r="IF47" s="2"/>
      <c r="IG47" s="2"/>
      <c r="IH47" s="2"/>
      <c r="II47" s="2"/>
      <c r="IJ47" s="2"/>
      <c r="IK47" s="2"/>
      <c r="IL47" s="2"/>
      <c r="IM47" s="2"/>
    </row>
    <row r="48" spans="2:247" x14ac:dyDescent="0.2">
      <c r="B48" s="6" t="s">
        <v>21</v>
      </c>
      <c r="C48" s="7"/>
      <c r="D48" s="7"/>
      <c r="E48" s="7"/>
      <c r="F48" s="7"/>
      <c r="G48" s="7"/>
      <c r="H48" s="7"/>
      <c r="I48" s="7"/>
      <c r="J48" s="7"/>
      <c r="K48" s="15"/>
    </row>
    <row r="49" spans="2:247" s="1" customFormat="1" ht="8" customHeight="1" x14ac:dyDescent="0.2">
      <c r="B49" s="27"/>
      <c r="C49" s="14"/>
      <c r="D49" s="8"/>
      <c r="E49" s="8"/>
      <c r="F49" s="8"/>
      <c r="G49" s="8"/>
      <c r="J49" s="9"/>
      <c r="K49" s="28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  <c r="DP49" s="2"/>
      <c r="DQ49" s="2"/>
      <c r="DR49" s="2"/>
      <c r="DS49" s="2"/>
      <c r="DT49" s="2"/>
      <c r="DU49" s="2"/>
      <c r="DV49" s="2"/>
      <c r="DW49" s="2"/>
      <c r="DX49" s="2"/>
      <c r="DY49" s="2"/>
      <c r="DZ49" s="2"/>
      <c r="EA49" s="2"/>
      <c r="EB49" s="2"/>
      <c r="EC49" s="2"/>
      <c r="ED49" s="2"/>
      <c r="EE49" s="2"/>
      <c r="EF49" s="2"/>
      <c r="EG49" s="2"/>
      <c r="EH49" s="2"/>
      <c r="EI49" s="2"/>
      <c r="EJ49" s="2"/>
      <c r="EK49" s="2"/>
      <c r="EL49" s="2"/>
      <c r="EM49" s="2"/>
      <c r="EN49" s="2"/>
      <c r="EO49" s="2"/>
      <c r="EP49" s="2"/>
      <c r="EQ49" s="2"/>
      <c r="ER49" s="2"/>
      <c r="ES49" s="2"/>
      <c r="ET49" s="2"/>
      <c r="EU49" s="2"/>
      <c r="EV49" s="2"/>
      <c r="EW49" s="2"/>
      <c r="EX49" s="2"/>
      <c r="EY49" s="2"/>
      <c r="EZ49" s="2"/>
      <c r="FA49" s="2"/>
      <c r="FB49" s="2"/>
      <c r="FC49" s="2"/>
      <c r="FD49" s="2"/>
      <c r="FE49" s="2"/>
      <c r="FF49" s="2"/>
      <c r="FG49" s="2"/>
      <c r="FH49" s="2"/>
      <c r="FI49" s="2"/>
      <c r="FJ49" s="2"/>
      <c r="FK49" s="2"/>
      <c r="FL49" s="2"/>
      <c r="FM49" s="2"/>
      <c r="FN49" s="2"/>
      <c r="FO49" s="2"/>
      <c r="FP49" s="2"/>
      <c r="FQ49" s="2"/>
      <c r="FR49" s="2"/>
      <c r="FS49" s="2"/>
      <c r="FT49" s="2"/>
      <c r="FU49" s="2"/>
      <c r="FV49" s="2"/>
      <c r="FW49" s="2"/>
      <c r="FX49" s="2"/>
      <c r="FY49" s="2"/>
      <c r="FZ49" s="2"/>
      <c r="GA49" s="2"/>
      <c r="GB49" s="2"/>
      <c r="GC49" s="2"/>
      <c r="GD49" s="2"/>
      <c r="GE49" s="2"/>
      <c r="GF49" s="2"/>
      <c r="GG49" s="2"/>
      <c r="GH49" s="2"/>
      <c r="GI49" s="2"/>
      <c r="GJ49" s="2"/>
      <c r="GK49" s="2"/>
      <c r="GL49" s="2"/>
      <c r="GM49" s="2"/>
      <c r="GN49" s="2"/>
      <c r="GO49" s="2"/>
      <c r="GP49" s="2"/>
      <c r="GQ49" s="2"/>
      <c r="GR49" s="2"/>
      <c r="GS49" s="2"/>
      <c r="GT49" s="2"/>
      <c r="GU49" s="2"/>
      <c r="GV49" s="2"/>
      <c r="GW49" s="2"/>
      <c r="GX49" s="2"/>
      <c r="GY49" s="2"/>
      <c r="GZ49" s="2"/>
      <c r="HA49" s="2"/>
      <c r="HB49" s="2"/>
      <c r="HC49" s="2"/>
      <c r="HD49" s="2"/>
      <c r="HE49" s="2"/>
      <c r="HF49" s="2"/>
      <c r="HG49" s="2"/>
      <c r="HH49" s="2"/>
      <c r="HI49" s="2"/>
      <c r="HJ49" s="2"/>
      <c r="HK49" s="2"/>
      <c r="HL49" s="2"/>
      <c r="HM49" s="2"/>
      <c r="HN49" s="2"/>
      <c r="HO49" s="2"/>
      <c r="HP49" s="2"/>
      <c r="HQ49" s="2"/>
      <c r="HR49" s="2"/>
      <c r="HS49" s="2"/>
      <c r="HT49" s="2"/>
      <c r="HU49" s="2"/>
      <c r="HV49" s="2"/>
      <c r="HW49" s="2"/>
      <c r="HX49" s="2"/>
      <c r="HY49" s="2"/>
      <c r="HZ49" s="2"/>
      <c r="IA49" s="2"/>
      <c r="IB49" s="2"/>
      <c r="IC49" s="2"/>
      <c r="ID49" s="2"/>
      <c r="IE49" s="2"/>
      <c r="IF49" s="2"/>
      <c r="IG49" s="2"/>
      <c r="IH49" s="2"/>
      <c r="II49" s="2"/>
      <c r="IJ49" s="2"/>
      <c r="IK49" s="2"/>
      <c r="IL49" s="2"/>
      <c r="IM49" s="2"/>
    </row>
    <row r="50" spans="2:247" ht="16" x14ac:dyDescent="0.2">
      <c r="B50" s="29" t="s">
        <v>44</v>
      </c>
      <c r="C50" s="17" t="s">
        <v>5</v>
      </c>
      <c r="D50" s="130" t="s">
        <v>22</v>
      </c>
      <c r="E50" s="131"/>
      <c r="F50" s="1"/>
      <c r="G50" s="132"/>
      <c r="H50" s="8"/>
      <c r="I50" s="133"/>
      <c r="J50" s="134"/>
      <c r="K50" s="135"/>
      <c r="L50" s="8"/>
    </row>
    <row r="51" spans="2:247" ht="15" customHeight="1" x14ac:dyDescent="0.2">
      <c r="B51" s="29" t="s">
        <v>30</v>
      </c>
      <c r="C51" s="17" t="s">
        <v>5</v>
      </c>
      <c r="D51" s="136"/>
      <c r="E51" s="136"/>
      <c r="F51" s="136"/>
      <c r="G51" s="136"/>
      <c r="H51" s="137" t="s">
        <v>7</v>
      </c>
      <c r="I51" s="136"/>
      <c r="J51" s="136"/>
      <c r="K51" s="135"/>
      <c r="L51" s="8"/>
    </row>
    <row r="52" spans="2:247" x14ac:dyDescent="0.2">
      <c r="B52" s="29"/>
      <c r="C52" s="17"/>
      <c r="D52" s="130"/>
      <c r="E52" s="138"/>
      <c r="F52" s="138"/>
      <c r="G52" s="139"/>
      <c r="H52" s="139"/>
      <c r="I52" s="32"/>
      <c r="J52" s="32"/>
      <c r="K52" s="135"/>
      <c r="L52" s="8"/>
    </row>
    <row r="53" spans="2:247" s="1" customFormat="1" ht="8" customHeight="1" thickBot="1" x14ac:dyDescent="0.25">
      <c r="B53" s="27"/>
      <c r="C53" s="14"/>
      <c r="D53" s="8"/>
      <c r="E53" s="8"/>
      <c r="F53" s="8"/>
      <c r="G53" s="8"/>
      <c r="J53" s="9"/>
      <c r="K53" s="28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  <c r="DP53" s="2"/>
      <c r="DQ53" s="2"/>
      <c r="DR53" s="2"/>
      <c r="DS53" s="2"/>
      <c r="DT53" s="2"/>
      <c r="DU53" s="2"/>
      <c r="DV53" s="2"/>
      <c r="DW53" s="2"/>
      <c r="DX53" s="2"/>
      <c r="DY53" s="2"/>
      <c r="DZ53" s="2"/>
      <c r="EA53" s="2"/>
      <c r="EB53" s="2"/>
      <c r="EC53" s="2"/>
      <c r="ED53" s="2"/>
      <c r="EE53" s="2"/>
      <c r="EF53" s="2"/>
      <c r="EG53" s="2"/>
      <c r="EH53" s="2"/>
      <c r="EI53" s="2"/>
      <c r="EJ53" s="2"/>
      <c r="EK53" s="2"/>
      <c r="EL53" s="2"/>
      <c r="EM53" s="2"/>
      <c r="EN53" s="2"/>
      <c r="EO53" s="2"/>
      <c r="EP53" s="2"/>
      <c r="EQ53" s="2"/>
      <c r="ER53" s="2"/>
      <c r="ES53" s="2"/>
      <c r="ET53" s="2"/>
      <c r="EU53" s="2"/>
      <c r="EV53" s="2"/>
      <c r="EW53" s="2"/>
      <c r="EX53" s="2"/>
      <c r="EY53" s="2"/>
      <c r="EZ53" s="2"/>
      <c r="FA53" s="2"/>
      <c r="FB53" s="2"/>
      <c r="FC53" s="2"/>
      <c r="FD53" s="2"/>
      <c r="FE53" s="2"/>
      <c r="FF53" s="2"/>
      <c r="FG53" s="2"/>
      <c r="FH53" s="2"/>
      <c r="FI53" s="2"/>
      <c r="FJ53" s="2"/>
      <c r="FK53" s="2"/>
      <c r="FL53" s="2"/>
      <c r="FM53" s="2"/>
      <c r="FN53" s="2"/>
      <c r="FO53" s="2"/>
      <c r="FP53" s="2"/>
      <c r="FQ53" s="2"/>
      <c r="FR53" s="2"/>
      <c r="FS53" s="2"/>
      <c r="FT53" s="2"/>
      <c r="FU53" s="2"/>
      <c r="FV53" s="2"/>
      <c r="FW53" s="2"/>
      <c r="FX53" s="2"/>
      <c r="FY53" s="2"/>
      <c r="FZ53" s="2"/>
      <c r="GA53" s="2"/>
      <c r="GB53" s="2"/>
      <c r="GC53" s="2"/>
      <c r="GD53" s="2"/>
      <c r="GE53" s="2"/>
      <c r="GF53" s="2"/>
      <c r="GG53" s="2"/>
      <c r="GH53" s="2"/>
      <c r="GI53" s="2"/>
      <c r="GJ53" s="2"/>
      <c r="GK53" s="2"/>
      <c r="GL53" s="2"/>
      <c r="GM53" s="2"/>
      <c r="GN53" s="2"/>
      <c r="GO53" s="2"/>
      <c r="GP53" s="2"/>
      <c r="GQ53" s="2"/>
      <c r="GR53" s="2"/>
      <c r="GS53" s="2"/>
      <c r="GT53" s="2"/>
      <c r="GU53" s="2"/>
      <c r="GV53" s="2"/>
      <c r="GW53" s="2"/>
      <c r="GX53" s="2"/>
      <c r="GY53" s="2"/>
      <c r="GZ53" s="2"/>
      <c r="HA53" s="2"/>
      <c r="HB53" s="2"/>
      <c r="HC53" s="2"/>
      <c r="HD53" s="2"/>
      <c r="HE53" s="2"/>
      <c r="HF53" s="2"/>
      <c r="HG53" s="2"/>
      <c r="HH53" s="2"/>
      <c r="HI53" s="2"/>
      <c r="HJ53" s="2"/>
      <c r="HK53" s="2"/>
      <c r="HL53" s="2"/>
      <c r="HM53" s="2"/>
      <c r="HN53" s="2"/>
      <c r="HO53" s="2"/>
      <c r="HP53" s="2"/>
      <c r="HQ53" s="2"/>
      <c r="HR53" s="2"/>
      <c r="HS53" s="2"/>
      <c r="HT53" s="2"/>
      <c r="HU53" s="2"/>
      <c r="HV53" s="2"/>
      <c r="HW53" s="2"/>
      <c r="HX53" s="2"/>
      <c r="HY53" s="2"/>
      <c r="HZ53" s="2"/>
      <c r="IA53" s="2"/>
      <c r="IB53" s="2"/>
      <c r="IC53" s="2"/>
      <c r="ID53" s="2"/>
      <c r="IE53" s="2"/>
      <c r="IF53" s="2"/>
      <c r="IG53" s="2"/>
      <c r="IH53" s="2"/>
      <c r="II53" s="2"/>
      <c r="IJ53" s="2"/>
      <c r="IK53" s="2"/>
      <c r="IL53" s="2"/>
      <c r="IM53" s="2"/>
    </row>
    <row r="54" spans="2:247" x14ac:dyDescent="0.2">
      <c r="B54" s="6" t="s">
        <v>35</v>
      </c>
      <c r="C54" s="7"/>
      <c r="D54" s="7"/>
      <c r="E54" s="7"/>
      <c r="F54" s="7"/>
      <c r="G54" s="7"/>
      <c r="H54" s="7"/>
      <c r="I54" s="7"/>
      <c r="J54" s="7"/>
      <c r="K54" s="15"/>
    </row>
    <row r="55" spans="2:247" s="1" customFormat="1" ht="8" customHeight="1" x14ac:dyDescent="0.2">
      <c r="B55" s="27"/>
      <c r="C55" s="14"/>
      <c r="D55" s="8"/>
      <c r="E55" s="8"/>
      <c r="F55" s="8"/>
      <c r="G55" s="56"/>
      <c r="H55" s="58"/>
      <c r="J55" s="9"/>
      <c r="K55" s="28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  <c r="DP55" s="2"/>
      <c r="DQ55" s="2"/>
      <c r="DR55" s="2"/>
      <c r="DS55" s="2"/>
      <c r="DT55" s="2"/>
      <c r="DU55" s="2"/>
      <c r="DV55" s="2"/>
      <c r="DW55" s="2"/>
      <c r="DX55" s="2"/>
      <c r="DY55" s="2"/>
      <c r="DZ55" s="2"/>
      <c r="EA55" s="2"/>
      <c r="EB55" s="2"/>
      <c r="EC55" s="2"/>
      <c r="ED55" s="2"/>
      <c r="EE55" s="2"/>
      <c r="EF55" s="2"/>
      <c r="EG55" s="2"/>
      <c r="EH55" s="2"/>
      <c r="EI55" s="2"/>
      <c r="EJ55" s="2"/>
      <c r="EK55" s="2"/>
      <c r="EL55" s="2"/>
      <c r="EM55" s="2"/>
      <c r="EN55" s="2"/>
      <c r="EO55" s="2"/>
      <c r="EP55" s="2"/>
      <c r="EQ55" s="2"/>
      <c r="ER55" s="2"/>
      <c r="ES55" s="2"/>
      <c r="ET55" s="2"/>
      <c r="EU55" s="2"/>
      <c r="EV55" s="2"/>
      <c r="EW55" s="2"/>
      <c r="EX55" s="2"/>
      <c r="EY55" s="2"/>
      <c r="EZ55" s="2"/>
      <c r="FA55" s="2"/>
      <c r="FB55" s="2"/>
      <c r="FC55" s="2"/>
      <c r="FD55" s="2"/>
      <c r="FE55" s="2"/>
      <c r="FF55" s="2"/>
      <c r="FG55" s="2"/>
      <c r="FH55" s="2"/>
      <c r="FI55" s="2"/>
      <c r="FJ55" s="2"/>
      <c r="FK55" s="2"/>
      <c r="FL55" s="2"/>
      <c r="FM55" s="2"/>
      <c r="FN55" s="2"/>
      <c r="FO55" s="2"/>
      <c r="FP55" s="2"/>
      <c r="FQ55" s="2"/>
      <c r="FR55" s="2"/>
      <c r="FS55" s="2"/>
      <c r="FT55" s="2"/>
      <c r="FU55" s="2"/>
      <c r="FV55" s="2"/>
      <c r="FW55" s="2"/>
      <c r="FX55" s="2"/>
      <c r="FY55" s="2"/>
      <c r="FZ55" s="2"/>
      <c r="GA55" s="2"/>
      <c r="GB55" s="2"/>
      <c r="GC55" s="2"/>
      <c r="GD55" s="2"/>
      <c r="GE55" s="2"/>
      <c r="GF55" s="2"/>
      <c r="GG55" s="2"/>
      <c r="GH55" s="2"/>
      <c r="GI55" s="2"/>
      <c r="GJ55" s="2"/>
      <c r="GK55" s="2"/>
      <c r="GL55" s="2"/>
      <c r="GM55" s="2"/>
      <c r="GN55" s="2"/>
      <c r="GO55" s="2"/>
      <c r="GP55" s="2"/>
      <c r="GQ55" s="2"/>
      <c r="GR55" s="2"/>
      <c r="GS55" s="2"/>
      <c r="GT55" s="2"/>
      <c r="GU55" s="2"/>
      <c r="GV55" s="2"/>
      <c r="GW55" s="2"/>
      <c r="GX55" s="2"/>
      <c r="GY55" s="2"/>
      <c r="GZ55" s="2"/>
      <c r="HA55" s="2"/>
      <c r="HB55" s="2"/>
      <c r="HC55" s="2"/>
      <c r="HD55" s="2"/>
      <c r="HE55" s="2"/>
      <c r="HF55" s="2"/>
      <c r="HG55" s="2"/>
      <c r="HH55" s="2"/>
      <c r="HI55" s="2"/>
      <c r="HJ55" s="2"/>
      <c r="HK55" s="2"/>
      <c r="HL55" s="2"/>
      <c r="HM55" s="2"/>
      <c r="HN55" s="2"/>
      <c r="HO55" s="2"/>
      <c r="HP55" s="2"/>
      <c r="HQ55" s="2"/>
      <c r="HR55" s="2"/>
      <c r="HS55" s="2"/>
      <c r="HT55" s="2"/>
      <c r="HU55" s="2"/>
      <c r="HV55" s="2"/>
      <c r="HW55" s="2"/>
      <c r="HX55" s="2"/>
      <c r="HY55" s="2"/>
      <c r="HZ55" s="2"/>
      <c r="IA55" s="2"/>
      <c r="IB55" s="2"/>
      <c r="IC55" s="2"/>
      <c r="ID55" s="2"/>
      <c r="IE55" s="2"/>
      <c r="IF55" s="2"/>
      <c r="IG55" s="2"/>
      <c r="IH55" s="2"/>
      <c r="II55" s="2"/>
      <c r="IJ55" s="2"/>
      <c r="IK55" s="2"/>
      <c r="IL55" s="2"/>
      <c r="IM55" s="2"/>
    </row>
    <row r="56" spans="2:247" ht="32" x14ac:dyDescent="0.2">
      <c r="B56" s="29" t="s">
        <v>267</v>
      </c>
      <c r="C56" s="17" t="s">
        <v>5</v>
      </c>
      <c r="D56" s="8" t="s">
        <v>36</v>
      </c>
      <c r="G56" s="55" t="s">
        <v>268</v>
      </c>
      <c r="H56" s="140"/>
      <c r="K56" s="26"/>
    </row>
    <row r="57" spans="2:247" ht="15" customHeight="1" x14ac:dyDescent="0.2">
      <c r="B57" s="29" t="s">
        <v>23</v>
      </c>
      <c r="C57" s="17" t="s">
        <v>5</v>
      </c>
      <c r="D57" s="136"/>
      <c r="E57" s="136"/>
      <c r="F57" s="136"/>
      <c r="G57" s="141" t="s">
        <v>23</v>
      </c>
      <c r="H57" s="142"/>
      <c r="I57" s="136"/>
      <c r="J57" s="136"/>
      <c r="K57" s="26"/>
    </row>
    <row r="58" spans="2:247" ht="16" x14ac:dyDescent="0.2">
      <c r="B58" s="29" t="s">
        <v>24</v>
      </c>
      <c r="C58" s="17" t="s">
        <v>5</v>
      </c>
      <c r="D58" s="8" t="s">
        <v>37</v>
      </c>
      <c r="G58" s="11"/>
      <c r="K58" s="26"/>
    </row>
    <row r="59" spans="2:247" ht="15" customHeight="1" x14ac:dyDescent="0.2">
      <c r="B59" s="29" t="s">
        <v>23</v>
      </c>
      <c r="C59" s="17" t="s">
        <v>5</v>
      </c>
      <c r="D59" s="136"/>
      <c r="E59" s="136"/>
      <c r="F59" s="136"/>
      <c r="G59" s="143"/>
      <c r="H59" s="137"/>
      <c r="I59" s="136"/>
      <c r="J59" s="136"/>
      <c r="K59" s="26"/>
    </row>
    <row r="60" spans="2:247" ht="22.25" customHeight="1" thickBot="1" x14ac:dyDescent="0.25">
      <c r="B60" s="144" t="s">
        <v>25</v>
      </c>
      <c r="C60" s="33" t="s">
        <v>5</v>
      </c>
      <c r="D60" s="42"/>
      <c r="E60" s="30"/>
      <c r="F60" s="30"/>
      <c r="G60" s="57"/>
      <c r="H60" s="30"/>
      <c r="I60" s="30"/>
      <c r="J60" s="30"/>
      <c r="K60" s="31"/>
    </row>
    <row r="61" spans="2:247" ht="8" customHeight="1" x14ac:dyDescent="0.2">
      <c r="B61" s="34"/>
      <c r="C61" s="35"/>
      <c r="D61" s="34"/>
      <c r="E61" s="34"/>
      <c r="F61" s="34"/>
      <c r="G61" s="34"/>
      <c r="H61" s="34"/>
      <c r="I61" s="34"/>
      <c r="J61" s="34"/>
      <c r="K61" s="34"/>
    </row>
    <row r="62" spans="2:247" x14ac:dyDescent="0.2">
      <c r="B62" s="145" t="s">
        <v>41</v>
      </c>
      <c r="E62" s="145" t="s">
        <v>42</v>
      </c>
    </row>
    <row r="63" spans="2:247" x14ac:dyDescent="0.2">
      <c r="B63" s="145" t="s">
        <v>26</v>
      </c>
      <c r="E63" s="145" t="s">
        <v>29</v>
      </c>
    </row>
    <row r="64" spans="2:247" ht="8" customHeight="1" x14ac:dyDescent="0.2"/>
  </sheetData>
  <mergeCells count="8">
    <mergeCell ref="D44:J44"/>
    <mergeCell ref="D46:J46"/>
    <mergeCell ref="D15:J15"/>
    <mergeCell ref="D21:J21"/>
    <mergeCell ref="D23:J23"/>
    <mergeCell ref="F33:H33"/>
    <mergeCell ref="F35:H35"/>
    <mergeCell ref="F37:H37"/>
  </mergeCells>
  <pageMargins left="0.5" right="0.15" top="0.25" bottom="0.2" header="0" footer="0"/>
  <pageSetup paperSize="9" scale="83"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BDDF8-A623-4AB5-928C-BEE67B8405BE}">
  <sheetPr>
    <pageSetUpPr fitToPage="1"/>
  </sheetPr>
  <dimension ref="B1:P67"/>
  <sheetViews>
    <sheetView view="pageBreakPreview" topLeftCell="A18" zoomScale="119" zoomScaleNormal="100" zoomScaleSheetLayoutView="100" workbookViewId="0">
      <selection activeCell="I53" sqref="I53"/>
    </sheetView>
  </sheetViews>
  <sheetFormatPr baseColWidth="10" defaultColWidth="12.5" defaultRowHeight="14" x14ac:dyDescent="0.2"/>
  <cols>
    <col min="1" max="1" width="4.1640625" style="173" customWidth="1"/>
    <col min="2" max="2" width="2.5" style="173" customWidth="1"/>
    <col min="3" max="3" width="16.6640625" style="173" customWidth="1"/>
    <col min="4" max="4" width="2.33203125" style="173" customWidth="1"/>
    <col min="5" max="5" width="9.83203125" style="173" customWidth="1"/>
    <col min="6" max="6" width="2.33203125" style="173" customWidth="1"/>
    <col min="7" max="7" width="19" style="173" customWidth="1"/>
    <col min="8" max="8" width="16.33203125" style="173" customWidth="1"/>
    <col min="9" max="9" width="2.33203125" style="173" customWidth="1"/>
    <col min="10" max="10" width="10" style="173" customWidth="1"/>
    <col min="11" max="11" width="11.33203125" style="173" customWidth="1"/>
    <col min="12" max="12" width="2" style="173" customWidth="1"/>
    <col min="13" max="13" width="49.1640625" style="173" customWidth="1"/>
    <col min="14" max="14" width="1.6640625" style="173" customWidth="1"/>
    <col min="15" max="15" width="12.5" style="173"/>
    <col min="16" max="16" width="12.83203125" style="173" bestFit="1" customWidth="1"/>
    <col min="17" max="250" width="12.5" style="173"/>
    <col min="251" max="251" width="7.6640625" style="173" customWidth="1"/>
    <col min="252" max="252" width="10" style="173" customWidth="1"/>
    <col min="253" max="253" width="8.6640625" style="173" customWidth="1"/>
    <col min="254" max="254" width="1.5" style="173" customWidth="1"/>
    <col min="255" max="255" width="4.83203125" style="173" customWidth="1"/>
    <col min="256" max="256" width="2.33203125" style="173" customWidth="1"/>
    <col min="257" max="257" width="19" style="173" customWidth="1"/>
    <col min="258" max="258" width="4.83203125" style="173" customWidth="1"/>
    <col min="259" max="259" width="2.33203125" style="173" customWidth="1"/>
    <col min="260" max="260" width="10" style="173" customWidth="1"/>
    <col min="261" max="261" width="11.33203125" style="173" customWidth="1"/>
    <col min="262" max="262" width="2" style="173" customWidth="1"/>
    <col min="263" max="263" width="17.6640625" style="173" customWidth="1"/>
    <col min="264" max="264" width="2.33203125" style="173" customWidth="1"/>
    <col min="265" max="506" width="12.5" style="173"/>
    <col min="507" max="507" width="7.6640625" style="173" customWidth="1"/>
    <col min="508" max="508" width="10" style="173" customWidth="1"/>
    <col min="509" max="509" width="8.6640625" style="173" customWidth="1"/>
    <col min="510" max="510" width="1.5" style="173" customWidth="1"/>
    <col min="511" max="511" width="4.83203125" style="173" customWidth="1"/>
    <col min="512" max="512" width="2.33203125" style="173" customWidth="1"/>
    <col min="513" max="513" width="19" style="173" customWidth="1"/>
    <col min="514" max="514" width="4.83203125" style="173" customWidth="1"/>
    <col min="515" max="515" width="2.33203125" style="173" customWidth="1"/>
    <col min="516" max="516" width="10" style="173" customWidth="1"/>
    <col min="517" max="517" width="11.33203125" style="173" customWidth="1"/>
    <col min="518" max="518" width="2" style="173" customWidth="1"/>
    <col min="519" max="519" width="17.6640625" style="173" customWidth="1"/>
    <col min="520" max="520" width="2.33203125" style="173" customWidth="1"/>
    <col min="521" max="762" width="12.5" style="173"/>
    <col min="763" max="763" width="7.6640625" style="173" customWidth="1"/>
    <col min="764" max="764" width="10" style="173" customWidth="1"/>
    <col min="765" max="765" width="8.6640625" style="173" customWidth="1"/>
    <col min="766" max="766" width="1.5" style="173" customWidth="1"/>
    <col min="767" max="767" width="4.83203125" style="173" customWidth="1"/>
    <col min="768" max="768" width="2.33203125" style="173" customWidth="1"/>
    <col min="769" max="769" width="19" style="173" customWidth="1"/>
    <col min="770" max="770" width="4.83203125" style="173" customWidth="1"/>
    <col min="771" max="771" width="2.33203125" style="173" customWidth="1"/>
    <col min="772" max="772" width="10" style="173" customWidth="1"/>
    <col min="773" max="773" width="11.33203125" style="173" customWidth="1"/>
    <col min="774" max="774" width="2" style="173" customWidth="1"/>
    <col min="775" max="775" width="17.6640625" style="173" customWidth="1"/>
    <col min="776" max="776" width="2.33203125" style="173" customWidth="1"/>
    <col min="777" max="1018" width="12.5" style="173"/>
    <col min="1019" max="1019" width="7.6640625" style="173" customWidth="1"/>
    <col min="1020" max="1020" width="10" style="173" customWidth="1"/>
    <col min="1021" max="1021" width="8.6640625" style="173" customWidth="1"/>
    <col min="1022" max="1022" width="1.5" style="173" customWidth="1"/>
    <col min="1023" max="1023" width="4.83203125" style="173" customWidth="1"/>
    <col min="1024" max="1024" width="2.33203125" style="173" customWidth="1"/>
    <col min="1025" max="1025" width="19" style="173" customWidth="1"/>
    <col min="1026" max="1026" width="4.83203125" style="173" customWidth="1"/>
    <col min="1027" max="1027" width="2.33203125" style="173" customWidth="1"/>
    <col min="1028" max="1028" width="10" style="173" customWidth="1"/>
    <col min="1029" max="1029" width="11.33203125" style="173" customWidth="1"/>
    <col min="1030" max="1030" width="2" style="173" customWidth="1"/>
    <col min="1031" max="1031" width="17.6640625" style="173" customWidth="1"/>
    <col min="1032" max="1032" width="2.33203125" style="173" customWidth="1"/>
    <col min="1033" max="1274" width="12.5" style="173"/>
    <col min="1275" max="1275" width="7.6640625" style="173" customWidth="1"/>
    <col min="1276" max="1276" width="10" style="173" customWidth="1"/>
    <col min="1277" max="1277" width="8.6640625" style="173" customWidth="1"/>
    <col min="1278" max="1278" width="1.5" style="173" customWidth="1"/>
    <col min="1279" max="1279" width="4.83203125" style="173" customWidth="1"/>
    <col min="1280" max="1280" width="2.33203125" style="173" customWidth="1"/>
    <col min="1281" max="1281" width="19" style="173" customWidth="1"/>
    <col min="1282" max="1282" width="4.83203125" style="173" customWidth="1"/>
    <col min="1283" max="1283" width="2.33203125" style="173" customWidth="1"/>
    <col min="1284" max="1284" width="10" style="173" customWidth="1"/>
    <col min="1285" max="1285" width="11.33203125" style="173" customWidth="1"/>
    <col min="1286" max="1286" width="2" style="173" customWidth="1"/>
    <col min="1287" max="1287" width="17.6640625" style="173" customWidth="1"/>
    <col min="1288" max="1288" width="2.33203125" style="173" customWidth="1"/>
    <col min="1289" max="1530" width="12.5" style="173"/>
    <col min="1531" max="1531" width="7.6640625" style="173" customWidth="1"/>
    <col min="1532" max="1532" width="10" style="173" customWidth="1"/>
    <col min="1533" max="1533" width="8.6640625" style="173" customWidth="1"/>
    <col min="1534" max="1534" width="1.5" style="173" customWidth="1"/>
    <col min="1535" max="1535" width="4.83203125" style="173" customWidth="1"/>
    <col min="1536" max="1536" width="2.33203125" style="173" customWidth="1"/>
    <col min="1537" max="1537" width="19" style="173" customWidth="1"/>
    <col min="1538" max="1538" width="4.83203125" style="173" customWidth="1"/>
    <col min="1539" max="1539" width="2.33203125" style="173" customWidth="1"/>
    <col min="1540" max="1540" width="10" style="173" customWidth="1"/>
    <col min="1541" max="1541" width="11.33203125" style="173" customWidth="1"/>
    <col min="1542" max="1542" width="2" style="173" customWidth="1"/>
    <col min="1543" max="1543" width="17.6640625" style="173" customWidth="1"/>
    <col min="1544" max="1544" width="2.33203125" style="173" customWidth="1"/>
    <col min="1545" max="1786" width="12.5" style="173"/>
    <col min="1787" max="1787" width="7.6640625" style="173" customWidth="1"/>
    <col min="1788" max="1788" width="10" style="173" customWidth="1"/>
    <col min="1789" max="1789" width="8.6640625" style="173" customWidth="1"/>
    <col min="1790" max="1790" width="1.5" style="173" customWidth="1"/>
    <col min="1791" max="1791" width="4.83203125" style="173" customWidth="1"/>
    <col min="1792" max="1792" width="2.33203125" style="173" customWidth="1"/>
    <col min="1793" max="1793" width="19" style="173" customWidth="1"/>
    <col min="1794" max="1794" width="4.83203125" style="173" customWidth="1"/>
    <col min="1795" max="1795" width="2.33203125" style="173" customWidth="1"/>
    <col min="1796" max="1796" width="10" style="173" customWidth="1"/>
    <col min="1797" max="1797" width="11.33203125" style="173" customWidth="1"/>
    <col min="1798" max="1798" width="2" style="173" customWidth="1"/>
    <col min="1799" max="1799" width="17.6640625" style="173" customWidth="1"/>
    <col min="1800" max="1800" width="2.33203125" style="173" customWidth="1"/>
    <col min="1801" max="2042" width="12.5" style="173"/>
    <col min="2043" max="2043" width="7.6640625" style="173" customWidth="1"/>
    <col min="2044" max="2044" width="10" style="173" customWidth="1"/>
    <col min="2045" max="2045" width="8.6640625" style="173" customWidth="1"/>
    <col min="2046" max="2046" width="1.5" style="173" customWidth="1"/>
    <col min="2047" max="2047" width="4.83203125" style="173" customWidth="1"/>
    <col min="2048" max="2048" width="2.33203125" style="173" customWidth="1"/>
    <col min="2049" max="2049" width="19" style="173" customWidth="1"/>
    <col min="2050" max="2050" width="4.83203125" style="173" customWidth="1"/>
    <col min="2051" max="2051" width="2.33203125" style="173" customWidth="1"/>
    <col min="2052" max="2052" width="10" style="173" customWidth="1"/>
    <col min="2053" max="2053" width="11.33203125" style="173" customWidth="1"/>
    <col min="2054" max="2054" width="2" style="173" customWidth="1"/>
    <col min="2055" max="2055" width="17.6640625" style="173" customWidth="1"/>
    <col min="2056" max="2056" width="2.33203125" style="173" customWidth="1"/>
    <col min="2057" max="2298" width="12.5" style="173"/>
    <col min="2299" max="2299" width="7.6640625" style="173" customWidth="1"/>
    <col min="2300" max="2300" width="10" style="173" customWidth="1"/>
    <col min="2301" max="2301" width="8.6640625" style="173" customWidth="1"/>
    <col min="2302" max="2302" width="1.5" style="173" customWidth="1"/>
    <col min="2303" max="2303" width="4.83203125" style="173" customWidth="1"/>
    <col min="2304" max="2304" width="2.33203125" style="173" customWidth="1"/>
    <col min="2305" max="2305" width="19" style="173" customWidth="1"/>
    <col min="2306" max="2306" width="4.83203125" style="173" customWidth="1"/>
    <col min="2307" max="2307" width="2.33203125" style="173" customWidth="1"/>
    <col min="2308" max="2308" width="10" style="173" customWidth="1"/>
    <col min="2309" max="2309" width="11.33203125" style="173" customWidth="1"/>
    <col min="2310" max="2310" width="2" style="173" customWidth="1"/>
    <col min="2311" max="2311" width="17.6640625" style="173" customWidth="1"/>
    <col min="2312" max="2312" width="2.33203125" style="173" customWidth="1"/>
    <col min="2313" max="2554" width="12.5" style="173"/>
    <col min="2555" max="2555" width="7.6640625" style="173" customWidth="1"/>
    <col min="2556" max="2556" width="10" style="173" customWidth="1"/>
    <col min="2557" max="2557" width="8.6640625" style="173" customWidth="1"/>
    <col min="2558" max="2558" width="1.5" style="173" customWidth="1"/>
    <col min="2559" max="2559" width="4.83203125" style="173" customWidth="1"/>
    <col min="2560" max="2560" width="2.33203125" style="173" customWidth="1"/>
    <col min="2561" max="2561" width="19" style="173" customWidth="1"/>
    <col min="2562" max="2562" width="4.83203125" style="173" customWidth="1"/>
    <col min="2563" max="2563" width="2.33203125" style="173" customWidth="1"/>
    <col min="2564" max="2564" width="10" style="173" customWidth="1"/>
    <col min="2565" max="2565" width="11.33203125" style="173" customWidth="1"/>
    <col min="2566" max="2566" width="2" style="173" customWidth="1"/>
    <col min="2567" max="2567" width="17.6640625" style="173" customWidth="1"/>
    <col min="2568" max="2568" width="2.33203125" style="173" customWidth="1"/>
    <col min="2569" max="2810" width="12.5" style="173"/>
    <col min="2811" max="2811" width="7.6640625" style="173" customWidth="1"/>
    <col min="2812" max="2812" width="10" style="173" customWidth="1"/>
    <col min="2813" max="2813" width="8.6640625" style="173" customWidth="1"/>
    <col min="2814" max="2814" width="1.5" style="173" customWidth="1"/>
    <col min="2815" max="2815" width="4.83203125" style="173" customWidth="1"/>
    <col min="2816" max="2816" width="2.33203125" style="173" customWidth="1"/>
    <col min="2817" max="2817" width="19" style="173" customWidth="1"/>
    <col min="2818" max="2818" width="4.83203125" style="173" customWidth="1"/>
    <col min="2819" max="2819" width="2.33203125" style="173" customWidth="1"/>
    <col min="2820" max="2820" width="10" style="173" customWidth="1"/>
    <col min="2821" max="2821" width="11.33203125" style="173" customWidth="1"/>
    <col min="2822" max="2822" width="2" style="173" customWidth="1"/>
    <col min="2823" max="2823" width="17.6640625" style="173" customWidth="1"/>
    <col min="2824" max="2824" width="2.33203125" style="173" customWidth="1"/>
    <col min="2825" max="3066" width="12.5" style="173"/>
    <col min="3067" max="3067" width="7.6640625" style="173" customWidth="1"/>
    <col min="3068" max="3068" width="10" style="173" customWidth="1"/>
    <col min="3069" max="3069" width="8.6640625" style="173" customWidth="1"/>
    <col min="3070" max="3070" width="1.5" style="173" customWidth="1"/>
    <col min="3071" max="3071" width="4.83203125" style="173" customWidth="1"/>
    <col min="3072" max="3072" width="2.33203125" style="173" customWidth="1"/>
    <col min="3073" max="3073" width="19" style="173" customWidth="1"/>
    <col min="3074" max="3074" width="4.83203125" style="173" customWidth="1"/>
    <col min="3075" max="3075" width="2.33203125" style="173" customWidth="1"/>
    <col min="3076" max="3076" width="10" style="173" customWidth="1"/>
    <col min="3077" max="3077" width="11.33203125" style="173" customWidth="1"/>
    <col min="3078" max="3078" width="2" style="173" customWidth="1"/>
    <col min="3079" max="3079" width="17.6640625" style="173" customWidth="1"/>
    <col min="3080" max="3080" width="2.33203125" style="173" customWidth="1"/>
    <col min="3081" max="3322" width="12.5" style="173"/>
    <col min="3323" max="3323" width="7.6640625" style="173" customWidth="1"/>
    <col min="3324" max="3324" width="10" style="173" customWidth="1"/>
    <col min="3325" max="3325" width="8.6640625" style="173" customWidth="1"/>
    <col min="3326" max="3326" width="1.5" style="173" customWidth="1"/>
    <col min="3327" max="3327" width="4.83203125" style="173" customWidth="1"/>
    <col min="3328" max="3328" width="2.33203125" style="173" customWidth="1"/>
    <col min="3329" max="3329" width="19" style="173" customWidth="1"/>
    <col min="3330" max="3330" width="4.83203125" style="173" customWidth="1"/>
    <col min="3331" max="3331" width="2.33203125" style="173" customWidth="1"/>
    <col min="3332" max="3332" width="10" style="173" customWidth="1"/>
    <col min="3333" max="3333" width="11.33203125" style="173" customWidth="1"/>
    <col min="3334" max="3334" width="2" style="173" customWidth="1"/>
    <col min="3335" max="3335" width="17.6640625" style="173" customWidth="1"/>
    <col min="3336" max="3336" width="2.33203125" style="173" customWidth="1"/>
    <col min="3337" max="3578" width="12.5" style="173"/>
    <col min="3579" max="3579" width="7.6640625" style="173" customWidth="1"/>
    <col min="3580" max="3580" width="10" style="173" customWidth="1"/>
    <col min="3581" max="3581" width="8.6640625" style="173" customWidth="1"/>
    <col min="3582" max="3582" width="1.5" style="173" customWidth="1"/>
    <col min="3583" max="3583" width="4.83203125" style="173" customWidth="1"/>
    <col min="3584" max="3584" width="2.33203125" style="173" customWidth="1"/>
    <col min="3585" max="3585" width="19" style="173" customWidth="1"/>
    <col min="3586" max="3586" width="4.83203125" style="173" customWidth="1"/>
    <col min="3587" max="3587" width="2.33203125" style="173" customWidth="1"/>
    <col min="3588" max="3588" width="10" style="173" customWidth="1"/>
    <col min="3589" max="3589" width="11.33203125" style="173" customWidth="1"/>
    <col min="3590" max="3590" width="2" style="173" customWidth="1"/>
    <col min="3591" max="3591" width="17.6640625" style="173" customWidth="1"/>
    <col min="3592" max="3592" width="2.33203125" style="173" customWidth="1"/>
    <col min="3593" max="3834" width="12.5" style="173"/>
    <col min="3835" max="3835" width="7.6640625" style="173" customWidth="1"/>
    <col min="3836" max="3836" width="10" style="173" customWidth="1"/>
    <col min="3837" max="3837" width="8.6640625" style="173" customWidth="1"/>
    <col min="3838" max="3838" width="1.5" style="173" customWidth="1"/>
    <col min="3839" max="3839" width="4.83203125" style="173" customWidth="1"/>
    <col min="3840" max="3840" width="2.33203125" style="173" customWidth="1"/>
    <col min="3841" max="3841" width="19" style="173" customWidth="1"/>
    <col min="3842" max="3842" width="4.83203125" style="173" customWidth="1"/>
    <col min="3843" max="3843" width="2.33203125" style="173" customWidth="1"/>
    <col min="3844" max="3844" width="10" style="173" customWidth="1"/>
    <col min="3845" max="3845" width="11.33203125" style="173" customWidth="1"/>
    <col min="3846" max="3846" width="2" style="173" customWidth="1"/>
    <col min="3847" max="3847" width="17.6640625" style="173" customWidth="1"/>
    <col min="3848" max="3848" width="2.33203125" style="173" customWidth="1"/>
    <col min="3849" max="4090" width="12.5" style="173"/>
    <col min="4091" max="4091" width="7.6640625" style="173" customWidth="1"/>
    <col min="4092" max="4092" width="10" style="173" customWidth="1"/>
    <col min="4093" max="4093" width="8.6640625" style="173" customWidth="1"/>
    <col min="4094" max="4094" width="1.5" style="173" customWidth="1"/>
    <col min="4095" max="4095" width="4.83203125" style="173" customWidth="1"/>
    <col min="4096" max="4096" width="2.33203125" style="173" customWidth="1"/>
    <col min="4097" max="4097" width="19" style="173" customWidth="1"/>
    <col min="4098" max="4098" width="4.83203125" style="173" customWidth="1"/>
    <col min="4099" max="4099" width="2.33203125" style="173" customWidth="1"/>
    <col min="4100" max="4100" width="10" style="173" customWidth="1"/>
    <col min="4101" max="4101" width="11.33203125" style="173" customWidth="1"/>
    <col min="4102" max="4102" width="2" style="173" customWidth="1"/>
    <col min="4103" max="4103" width="17.6640625" style="173" customWidth="1"/>
    <col min="4104" max="4104" width="2.33203125" style="173" customWidth="1"/>
    <col min="4105" max="4346" width="12.5" style="173"/>
    <col min="4347" max="4347" width="7.6640625" style="173" customWidth="1"/>
    <col min="4348" max="4348" width="10" style="173" customWidth="1"/>
    <col min="4349" max="4349" width="8.6640625" style="173" customWidth="1"/>
    <col min="4350" max="4350" width="1.5" style="173" customWidth="1"/>
    <col min="4351" max="4351" width="4.83203125" style="173" customWidth="1"/>
    <col min="4352" max="4352" width="2.33203125" style="173" customWidth="1"/>
    <col min="4353" max="4353" width="19" style="173" customWidth="1"/>
    <col min="4354" max="4354" width="4.83203125" style="173" customWidth="1"/>
    <col min="4355" max="4355" width="2.33203125" style="173" customWidth="1"/>
    <col min="4356" max="4356" width="10" style="173" customWidth="1"/>
    <col min="4357" max="4357" width="11.33203125" style="173" customWidth="1"/>
    <col min="4358" max="4358" width="2" style="173" customWidth="1"/>
    <col min="4359" max="4359" width="17.6640625" style="173" customWidth="1"/>
    <col min="4360" max="4360" width="2.33203125" style="173" customWidth="1"/>
    <col min="4361" max="4602" width="12.5" style="173"/>
    <col min="4603" max="4603" width="7.6640625" style="173" customWidth="1"/>
    <col min="4604" max="4604" width="10" style="173" customWidth="1"/>
    <col min="4605" max="4605" width="8.6640625" style="173" customWidth="1"/>
    <col min="4606" max="4606" width="1.5" style="173" customWidth="1"/>
    <col min="4607" max="4607" width="4.83203125" style="173" customWidth="1"/>
    <col min="4608" max="4608" width="2.33203125" style="173" customWidth="1"/>
    <col min="4609" max="4609" width="19" style="173" customWidth="1"/>
    <col min="4610" max="4610" width="4.83203125" style="173" customWidth="1"/>
    <col min="4611" max="4611" width="2.33203125" style="173" customWidth="1"/>
    <col min="4612" max="4612" width="10" style="173" customWidth="1"/>
    <col min="4613" max="4613" width="11.33203125" style="173" customWidth="1"/>
    <col min="4614" max="4614" width="2" style="173" customWidth="1"/>
    <col min="4615" max="4615" width="17.6640625" style="173" customWidth="1"/>
    <col min="4616" max="4616" width="2.33203125" style="173" customWidth="1"/>
    <col min="4617" max="4858" width="12.5" style="173"/>
    <col min="4859" max="4859" width="7.6640625" style="173" customWidth="1"/>
    <col min="4860" max="4860" width="10" style="173" customWidth="1"/>
    <col min="4861" max="4861" width="8.6640625" style="173" customWidth="1"/>
    <col min="4862" max="4862" width="1.5" style="173" customWidth="1"/>
    <col min="4863" max="4863" width="4.83203125" style="173" customWidth="1"/>
    <col min="4864" max="4864" width="2.33203125" style="173" customWidth="1"/>
    <col min="4865" max="4865" width="19" style="173" customWidth="1"/>
    <col min="4866" max="4866" width="4.83203125" style="173" customWidth="1"/>
    <col min="4867" max="4867" width="2.33203125" style="173" customWidth="1"/>
    <col min="4868" max="4868" width="10" style="173" customWidth="1"/>
    <col min="4869" max="4869" width="11.33203125" style="173" customWidth="1"/>
    <col min="4870" max="4870" width="2" style="173" customWidth="1"/>
    <col min="4871" max="4871" width="17.6640625" style="173" customWidth="1"/>
    <col min="4872" max="4872" width="2.33203125" style="173" customWidth="1"/>
    <col min="4873" max="5114" width="12.5" style="173"/>
    <col min="5115" max="5115" width="7.6640625" style="173" customWidth="1"/>
    <col min="5116" max="5116" width="10" style="173" customWidth="1"/>
    <col min="5117" max="5117" width="8.6640625" style="173" customWidth="1"/>
    <col min="5118" max="5118" width="1.5" style="173" customWidth="1"/>
    <col min="5119" max="5119" width="4.83203125" style="173" customWidth="1"/>
    <col min="5120" max="5120" width="2.33203125" style="173" customWidth="1"/>
    <col min="5121" max="5121" width="19" style="173" customWidth="1"/>
    <col min="5122" max="5122" width="4.83203125" style="173" customWidth="1"/>
    <col min="5123" max="5123" width="2.33203125" style="173" customWidth="1"/>
    <col min="5124" max="5124" width="10" style="173" customWidth="1"/>
    <col min="5125" max="5125" width="11.33203125" style="173" customWidth="1"/>
    <col min="5126" max="5126" width="2" style="173" customWidth="1"/>
    <col min="5127" max="5127" width="17.6640625" style="173" customWidth="1"/>
    <col min="5128" max="5128" width="2.33203125" style="173" customWidth="1"/>
    <col min="5129" max="5370" width="12.5" style="173"/>
    <col min="5371" max="5371" width="7.6640625" style="173" customWidth="1"/>
    <col min="5372" max="5372" width="10" style="173" customWidth="1"/>
    <col min="5373" max="5373" width="8.6640625" style="173" customWidth="1"/>
    <col min="5374" max="5374" width="1.5" style="173" customWidth="1"/>
    <col min="5375" max="5375" width="4.83203125" style="173" customWidth="1"/>
    <col min="5376" max="5376" width="2.33203125" style="173" customWidth="1"/>
    <col min="5377" max="5377" width="19" style="173" customWidth="1"/>
    <col min="5378" max="5378" width="4.83203125" style="173" customWidth="1"/>
    <col min="5379" max="5379" width="2.33203125" style="173" customWidth="1"/>
    <col min="5380" max="5380" width="10" style="173" customWidth="1"/>
    <col min="5381" max="5381" width="11.33203125" style="173" customWidth="1"/>
    <col min="5382" max="5382" width="2" style="173" customWidth="1"/>
    <col min="5383" max="5383" width="17.6640625" style="173" customWidth="1"/>
    <col min="5384" max="5384" width="2.33203125" style="173" customWidth="1"/>
    <col min="5385" max="5626" width="12.5" style="173"/>
    <col min="5627" max="5627" width="7.6640625" style="173" customWidth="1"/>
    <col min="5628" max="5628" width="10" style="173" customWidth="1"/>
    <col min="5629" max="5629" width="8.6640625" style="173" customWidth="1"/>
    <col min="5630" max="5630" width="1.5" style="173" customWidth="1"/>
    <col min="5631" max="5631" width="4.83203125" style="173" customWidth="1"/>
    <col min="5632" max="5632" width="2.33203125" style="173" customWidth="1"/>
    <col min="5633" max="5633" width="19" style="173" customWidth="1"/>
    <col min="5634" max="5634" width="4.83203125" style="173" customWidth="1"/>
    <col min="5635" max="5635" width="2.33203125" style="173" customWidth="1"/>
    <col min="5636" max="5636" width="10" style="173" customWidth="1"/>
    <col min="5637" max="5637" width="11.33203125" style="173" customWidth="1"/>
    <col min="5638" max="5638" width="2" style="173" customWidth="1"/>
    <col min="5639" max="5639" width="17.6640625" style="173" customWidth="1"/>
    <col min="5640" max="5640" width="2.33203125" style="173" customWidth="1"/>
    <col min="5641" max="5882" width="12.5" style="173"/>
    <col min="5883" max="5883" width="7.6640625" style="173" customWidth="1"/>
    <col min="5884" max="5884" width="10" style="173" customWidth="1"/>
    <col min="5885" max="5885" width="8.6640625" style="173" customWidth="1"/>
    <col min="5886" max="5886" width="1.5" style="173" customWidth="1"/>
    <col min="5887" max="5887" width="4.83203125" style="173" customWidth="1"/>
    <col min="5888" max="5888" width="2.33203125" style="173" customWidth="1"/>
    <col min="5889" max="5889" width="19" style="173" customWidth="1"/>
    <col min="5890" max="5890" width="4.83203125" style="173" customWidth="1"/>
    <col min="5891" max="5891" width="2.33203125" style="173" customWidth="1"/>
    <col min="5892" max="5892" width="10" style="173" customWidth="1"/>
    <col min="5893" max="5893" width="11.33203125" style="173" customWidth="1"/>
    <col min="5894" max="5894" width="2" style="173" customWidth="1"/>
    <col min="5895" max="5895" width="17.6640625" style="173" customWidth="1"/>
    <col min="5896" max="5896" width="2.33203125" style="173" customWidth="1"/>
    <col min="5897" max="6138" width="12.5" style="173"/>
    <col min="6139" max="6139" width="7.6640625" style="173" customWidth="1"/>
    <col min="6140" max="6140" width="10" style="173" customWidth="1"/>
    <col min="6141" max="6141" width="8.6640625" style="173" customWidth="1"/>
    <col min="6142" max="6142" width="1.5" style="173" customWidth="1"/>
    <col min="6143" max="6143" width="4.83203125" style="173" customWidth="1"/>
    <col min="6144" max="6144" width="2.33203125" style="173" customWidth="1"/>
    <col min="6145" max="6145" width="19" style="173" customWidth="1"/>
    <col min="6146" max="6146" width="4.83203125" style="173" customWidth="1"/>
    <col min="6147" max="6147" width="2.33203125" style="173" customWidth="1"/>
    <col min="6148" max="6148" width="10" style="173" customWidth="1"/>
    <col min="6149" max="6149" width="11.33203125" style="173" customWidth="1"/>
    <col min="6150" max="6150" width="2" style="173" customWidth="1"/>
    <col min="6151" max="6151" width="17.6640625" style="173" customWidth="1"/>
    <col min="6152" max="6152" width="2.33203125" style="173" customWidth="1"/>
    <col min="6153" max="6394" width="12.5" style="173"/>
    <col min="6395" max="6395" width="7.6640625" style="173" customWidth="1"/>
    <col min="6396" max="6396" width="10" style="173" customWidth="1"/>
    <col min="6397" max="6397" width="8.6640625" style="173" customWidth="1"/>
    <col min="6398" max="6398" width="1.5" style="173" customWidth="1"/>
    <col min="6399" max="6399" width="4.83203125" style="173" customWidth="1"/>
    <col min="6400" max="6400" width="2.33203125" style="173" customWidth="1"/>
    <col min="6401" max="6401" width="19" style="173" customWidth="1"/>
    <col min="6402" max="6402" width="4.83203125" style="173" customWidth="1"/>
    <col min="6403" max="6403" width="2.33203125" style="173" customWidth="1"/>
    <col min="6404" max="6404" width="10" style="173" customWidth="1"/>
    <col min="6405" max="6405" width="11.33203125" style="173" customWidth="1"/>
    <col min="6406" max="6406" width="2" style="173" customWidth="1"/>
    <col min="6407" max="6407" width="17.6640625" style="173" customWidth="1"/>
    <col min="6408" max="6408" width="2.33203125" style="173" customWidth="1"/>
    <col min="6409" max="6650" width="12.5" style="173"/>
    <col min="6651" max="6651" width="7.6640625" style="173" customWidth="1"/>
    <col min="6652" max="6652" width="10" style="173" customWidth="1"/>
    <col min="6653" max="6653" width="8.6640625" style="173" customWidth="1"/>
    <col min="6654" max="6654" width="1.5" style="173" customWidth="1"/>
    <col min="6655" max="6655" width="4.83203125" style="173" customWidth="1"/>
    <col min="6656" max="6656" width="2.33203125" style="173" customWidth="1"/>
    <col min="6657" max="6657" width="19" style="173" customWidth="1"/>
    <col min="6658" max="6658" width="4.83203125" style="173" customWidth="1"/>
    <col min="6659" max="6659" width="2.33203125" style="173" customWidth="1"/>
    <col min="6660" max="6660" width="10" style="173" customWidth="1"/>
    <col min="6661" max="6661" width="11.33203125" style="173" customWidth="1"/>
    <col min="6662" max="6662" width="2" style="173" customWidth="1"/>
    <col min="6663" max="6663" width="17.6640625" style="173" customWidth="1"/>
    <col min="6664" max="6664" width="2.33203125" style="173" customWidth="1"/>
    <col min="6665" max="6906" width="12.5" style="173"/>
    <col min="6907" max="6907" width="7.6640625" style="173" customWidth="1"/>
    <col min="6908" max="6908" width="10" style="173" customWidth="1"/>
    <col min="6909" max="6909" width="8.6640625" style="173" customWidth="1"/>
    <col min="6910" max="6910" width="1.5" style="173" customWidth="1"/>
    <col min="6911" max="6911" width="4.83203125" style="173" customWidth="1"/>
    <col min="6912" max="6912" width="2.33203125" style="173" customWidth="1"/>
    <col min="6913" max="6913" width="19" style="173" customWidth="1"/>
    <col min="6914" max="6914" width="4.83203125" style="173" customWidth="1"/>
    <col min="6915" max="6915" width="2.33203125" style="173" customWidth="1"/>
    <col min="6916" max="6916" width="10" style="173" customWidth="1"/>
    <col min="6917" max="6917" width="11.33203125" style="173" customWidth="1"/>
    <col min="6918" max="6918" width="2" style="173" customWidth="1"/>
    <col min="6919" max="6919" width="17.6640625" style="173" customWidth="1"/>
    <col min="6920" max="6920" width="2.33203125" style="173" customWidth="1"/>
    <col min="6921" max="7162" width="12.5" style="173"/>
    <col min="7163" max="7163" width="7.6640625" style="173" customWidth="1"/>
    <col min="7164" max="7164" width="10" style="173" customWidth="1"/>
    <col min="7165" max="7165" width="8.6640625" style="173" customWidth="1"/>
    <col min="7166" max="7166" width="1.5" style="173" customWidth="1"/>
    <col min="7167" max="7167" width="4.83203125" style="173" customWidth="1"/>
    <col min="7168" max="7168" width="2.33203125" style="173" customWidth="1"/>
    <col min="7169" max="7169" width="19" style="173" customWidth="1"/>
    <col min="7170" max="7170" width="4.83203125" style="173" customWidth="1"/>
    <col min="7171" max="7171" width="2.33203125" style="173" customWidth="1"/>
    <col min="7172" max="7172" width="10" style="173" customWidth="1"/>
    <col min="7173" max="7173" width="11.33203125" style="173" customWidth="1"/>
    <col min="7174" max="7174" width="2" style="173" customWidth="1"/>
    <col min="7175" max="7175" width="17.6640625" style="173" customWidth="1"/>
    <col min="7176" max="7176" width="2.33203125" style="173" customWidth="1"/>
    <col min="7177" max="7418" width="12.5" style="173"/>
    <col min="7419" max="7419" width="7.6640625" style="173" customWidth="1"/>
    <col min="7420" max="7420" width="10" style="173" customWidth="1"/>
    <col min="7421" max="7421" width="8.6640625" style="173" customWidth="1"/>
    <col min="7422" max="7422" width="1.5" style="173" customWidth="1"/>
    <col min="7423" max="7423" width="4.83203125" style="173" customWidth="1"/>
    <col min="7424" max="7424" width="2.33203125" style="173" customWidth="1"/>
    <col min="7425" max="7425" width="19" style="173" customWidth="1"/>
    <col min="7426" max="7426" width="4.83203125" style="173" customWidth="1"/>
    <col min="7427" max="7427" width="2.33203125" style="173" customWidth="1"/>
    <col min="7428" max="7428" width="10" style="173" customWidth="1"/>
    <col min="7429" max="7429" width="11.33203125" style="173" customWidth="1"/>
    <col min="7430" max="7430" width="2" style="173" customWidth="1"/>
    <col min="7431" max="7431" width="17.6640625" style="173" customWidth="1"/>
    <col min="7432" max="7432" width="2.33203125" style="173" customWidth="1"/>
    <col min="7433" max="7674" width="12.5" style="173"/>
    <col min="7675" max="7675" width="7.6640625" style="173" customWidth="1"/>
    <col min="7676" max="7676" width="10" style="173" customWidth="1"/>
    <col min="7677" max="7677" width="8.6640625" style="173" customWidth="1"/>
    <col min="7678" max="7678" width="1.5" style="173" customWidth="1"/>
    <col min="7679" max="7679" width="4.83203125" style="173" customWidth="1"/>
    <col min="7680" max="7680" width="2.33203125" style="173" customWidth="1"/>
    <col min="7681" max="7681" width="19" style="173" customWidth="1"/>
    <col min="7682" max="7682" width="4.83203125" style="173" customWidth="1"/>
    <col min="7683" max="7683" width="2.33203125" style="173" customWidth="1"/>
    <col min="7684" max="7684" width="10" style="173" customWidth="1"/>
    <col min="7685" max="7685" width="11.33203125" style="173" customWidth="1"/>
    <col min="7686" max="7686" width="2" style="173" customWidth="1"/>
    <col min="7687" max="7687" width="17.6640625" style="173" customWidth="1"/>
    <col min="7688" max="7688" width="2.33203125" style="173" customWidth="1"/>
    <col min="7689" max="7930" width="12.5" style="173"/>
    <col min="7931" max="7931" width="7.6640625" style="173" customWidth="1"/>
    <col min="7932" max="7932" width="10" style="173" customWidth="1"/>
    <col min="7933" max="7933" width="8.6640625" style="173" customWidth="1"/>
    <col min="7934" max="7934" width="1.5" style="173" customWidth="1"/>
    <col min="7935" max="7935" width="4.83203125" style="173" customWidth="1"/>
    <col min="7936" max="7936" width="2.33203125" style="173" customWidth="1"/>
    <col min="7937" max="7937" width="19" style="173" customWidth="1"/>
    <col min="7938" max="7938" width="4.83203125" style="173" customWidth="1"/>
    <col min="7939" max="7939" width="2.33203125" style="173" customWidth="1"/>
    <col min="7940" max="7940" width="10" style="173" customWidth="1"/>
    <col min="7941" max="7941" width="11.33203125" style="173" customWidth="1"/>
    <col min="7942" max="7942" width="2" style="173" customWidth="1"/>
    <col min="7943" max="7943" width="17.6640625" style="173" customWidth="1"/>
    <col min="7944" max="7944" width="2.33203125" style="173" customWidth="1"/>
    <col min="7945" max="8186" width="12.5" style="173"/>
    <col min="8187" max="8187" width="7.6640625" style="173" customWidth="1"/>
    <col min="8188" max="8188" width="10" style="173" customWidth="1"/>
    <col min="8189" max="8189" width="8.6640625" style="173" customWidth="1"/>
    <col min="8190" max="8190" width="1.5" style="173" customWidth="1"/>
    <col min="8191" max="8191" width="4.83203125" style="173" customWidth="1"/>
    <col min="8192" max="8192" width="2.33203125" style="173" customWidth="1"/>
    <col min="8193" max="8193" width="19" style="173" customWidth="1"/>
    <col min="8194" max="8194" width="4.83203125" style="173" customWidth="1"/>
    <col min="8195" max="8195" width="2.33203125" style="173" customWidth="1"/>
    <col min="8196" max="8196" width="10" style="173" customWidth="1"/>
    <col min="8197" max="8197" width="11.33203125" style="173" customWidth="1"/>
    <col min="8198" max="8198" width="2" style="173" customWidth="1"/>
    <col min="8199" max="8199" width="17.6640625" style="173" customWidth="1"/>
    <col min="8200" max="8200" width="2.33203125" style="173" customWidth="1"/>
    <col min="8201" max="8442" width="12.5" style="173"/>
    <col min="8443" max="8443" width="7.6640625" style="173" customWidth="1"/>
    <col min="8444" max="8444" width="10" style="173" customWidth="1"/>
    <col min="8445" max="8445" width="8.6640625" style="173" customWidth="1"/>
    <col min="8446" max="8446" width="1.5" style="173" customWidth="1"/>
    <col min="8447" max="8447" width="4.83203125" style="173" customWidth="1"/>
    <col min="8448" max="8448" width="2.33203125" style="173" customWidth="1"/>
    <col min="8449" max="8449" width="19" style="173" customWidth="1"/>
    <col min="8450" max="8450" width="4.83203125" style="173" customWidth="1"/>
    <col min="8451" max="8451" width="2.33203125" style="173" customWidth="1"/>
    <col min="8452" max="8452" width="10" style="173" customWidth="1"/>
    <col min="8453" max="8453" width="11.33203125" style="173" customWidth="1"/>
    <col min="8454" max="8454" width="2" style="173" customWidth="1"/>
    <col min="8455" max="8455" width="17.6640625" style="173" customWidth="1"/>
    <col min="8456" max="8456" width="2.33203125" style="173" customWidth="1"/>
    <col min="8457" max="8698" width="12.5" style="173"/>
    <col min="8699" max="8699" width="7.6640625" style="173" customWidth="1"/>
    <col min="8700" max="8700" width="10" style="173" customWidth="1"/>
    <col min="8701" max="8701" width="8.6640625" style="173" customWidth="1"/>
    <col min="8702" max="8702" width="1.5" style="173" customWidth="1"/>
    <col min="8703" max="8703" width="4.83203125" style="173" customWidth="1"/>
    <col min="8704" max="8704" width="2.33203125" style="173" customWidth="1"/>
    <col min="8705" max="8705" width="19" style="173" customWidth="1"/>
    <col min="8706" max="8706" width="4.83203125" style="173" customWidth="1"/>
    <col min="8707" max="8707" width="2.33203125" style="173" customWidth="1"/>
    <col min="8708" max="8708" width="10" style="173" customWidth="1"/>
    <col min="8709" max="8709" width="11.33203125" style="173" customWidth="1"/>
    <col min="8710" max="8710" width="2" style="173" customWidth="1"/>
    <col min="8711" max="8711" width="17.6640625" style="173" customWidth="1"/>
    <col min="8712" max="8712" width="2.33203125" style="173" customWidth="1"/>
    <col min="8713" max="8954" width="12.5" style="173"/>
    <col min="8955" max="8955" width="7.6640625" style="173" customWidth="1"/>
    <col min="8956" max="8956" width="10" style="173" customWidth="1"/>
    <col min="8957" max="8957" width="8.6640625" style="173" customWidth="1"/>
    <col min="8958" max="8958" width="1.5" style="173" customWidth="1"/>
    <col min="8959" max="8959" width="4.83203125" style="173" customWidth="1"/>
    <col min="8960" max="8960" width="2.33203125" style="173" customWidth="1"/>
    <col min="8961" max="8961" width="19" style="173" customWidth="1"/>
    <col min="8962" max="8962" width="4.83203125" style="173" customWidth="1"/>
    <col min="8963" max="8963" width="2.33203125" style="173" customWidth="1"/>
    <col min="8964" max="8964" width="10" style="173" customWidth="1"/>
    <col min="8965" max="8965" width="11.33203125" style="173" customWidth="1"/>
    <col min="8966" max="8966" width="2" style="173" customWidth="1"/>
    <col min="8967" max="8967" width="17.6640625" style="173" customWidth="1"/>
    <col min="8968" max="8968" width="2.33203125" style="173" customWidth="1"/>
    <col min="8969" max="9210" width="12.5" style="173"/>
    <col min="9211" max="9211" width="7.6640625" style="173" customWidth="1"/>
    <col min="9212" max="9212" width="10" style="173" customWidth="1"/>
    <col min="9213" max="9213" width="8.6640625" style="173" customWidth="1"/>
    <col min="9214" max="9214" width="1.5" style="173" customWidth="1"/>
    <col min="9215" max="9215" width="4.83203125" style="173" customWidth="1"/>
    <col min="9216" max="9216" width="2.33203125" style="173" customWidth="1"/>
    <col min="9217" max="9217" width="19" style="173" customWidth="1"/>
    <col min="9218" max="9218" width="4.83203125" style="173" customWidth="1"/>
    <col min="9219" max="9219" width="2.33203125" style="173" customWidth="1"/>
    <col min="9220" max="9220" width="10" style="173" customWidth="1"/>
    <col min="9221" max="9221" width="11.33203125" style="173" customWidth="1"/>
    <col min="9222" max="9222" width="2" style="173" customWidth="1"/>
    <col min="9223" max="9223" width="17.6640625" style="173" customWidth="1"/>
    <col min="9224" max="9224" width="2.33203125" style="173" customWidth="1"/>
    <col min="9225" max="9466" width="12.5" style="173"/>
    <col min="9467" max="9467" width="7.6640625" style="173" customWidth="1"/>
    <col min="9468" max="9468" width="10" style="173" customWidth="1"/>
    <col min="9469" max="9469" width="8.6640625" style="173" customWidth="1"/>
    <col min="9470" max="9470" width="1.5" style="173" customWidth="1"/>
    <col min="9471" max="9471" width="4.83203125" style="173" customWidth="1"/>
    <col min="9472" max="9472" width="2.33203125" style="173" customWidth="1"/>
    <col min="9473" max="9473" width="19" style="173" customWidth="1"/>
    <col min="9474" max="9474" width="4.83203125" style="173" customWidth="1"/>
    <col min="9475" max="9475" width="2.33203125" style="173" customWidth="1"/>
    <col min="9476" max="9476" width="10" style="173" customWidth="1"/>
    <col min="9477" max="9477" width="11.33203125" style="173" customWidth="1"/>
    <col min="9478" max="9478" width="2" style="173" customWidth="1"/>
    <col min="9479" max="9479" width="17.6640625" style="173" customWidth="1"/>
    <col min="9480" max="9480" width="2.33203125" style="173" customWidth="1"/>
    <col min="9481" max="9722" width="12.5" style="173"/>
    <col min="9723" max="9723" width="7.6640625" style="173" customWidth="1"/>
    <col min="9724" max="9724" width="10" style="173" customWidth="1"/>
    <col min="9725" max="9725" width="8.6640625" style="173" customWidth="1"/>
    <col min="9726" max="9726" width="1.5" style="173" customWidth="1"/>
    <col min="9727" max="9727" width="4.83203125" style="173" customWidth="1"/>
    <col min="9728" max="9728" width="2.33203125" style="173" customWidth="1"/>
    <col min="9729" max="9729" width="19" style="173" customWidth="1"/>
    <col min="9730" max="9730" width="4.83203125" style="173" customWidth="1"/>
    <col min="9731" max="9731" width="2.33203125" style="173" customWidth="1"/>
    <col min="9732" max="9732" width="10" style="173" customWidth="1"/>
    <col min="9733" max="9733" width="11.33203125" style="173" customWidth="1"/>
    <col min="9734" max="9734" width="2" style="173" customWidth="1"/>
    <col min="9735" max="9735" width="17.6640625" style="173" customWidth="1"/>
    <col min="9736" max="9736" width="2.33203125" style="173" customWidth="1"/>
    <col min="9737" max="9978" width="12.5" style="173"/>
    <col min="9979" max="9979" width="7.6640625" style="173" customWidth="1"/>
    <col min="9980" max="9980" width="10" style="173" customWidth="1"/>
    <col min="9981" max="9981" width="8.6640625" style="173" customWidth="1"/>
    <col min="9982" max="9982" width="1.5" style="173" customWidth="1"/>
    <col min="9983" max="9983" width="4.83203125" style="173" customWidth="1"/>
    <col min="9984" max="9984" width="2.33203125" style="173" customWidth="1"/>
    <col min="9985" max="9985" width="19" style="173" customWidth="1"/>
    <col min="9986" max="9986" width="4.83203125" style="173" customWidth="1"/>
    <col min="9987" max="9987" width="2.33203125" style="173" customWidth="1"/>
    <col min="9988" max="9988" width="10" style="173" customWidth="1"/>
    <col min="9989" max="9989" width="11.33203125" style="173" customWidth="1"/>
    <col min="9990" max="9990" width="2" style="173" customWidth="1"/>
    <col min="9991" max="9991" width="17.6640625" style="173" customWidth="1"/>
    <col min="9992" max="9992" width="2.33203125" style="173" customWidth="1"/>
    <col min="9993" max="10234" width="12.5" style="173"/>
    <col min="10235" max="10235" width="7.6640625" style="173" customWidth="1"/>
    <col min="10236" max="10236" width="10" style="173" customWidth="1"/>
    <col min="10237" max="10237" width="8.6640625" style="173" customWidth="1"/>
    <col min="10238" max="10238" width="1.5" style="173" customWidth="1"/>
    <col min="10239" max="10239" width="4.83203125" style="173" customWidth="1"/>
    <col min="10240" max="10240" width="2.33203125" style="173" customWidth="1"/>
    <col min="10241" max="10241" width="19" style="173" customWidth="1"/>
    <col min="10242" max="10242" width="4.83203125" style="173" customWidth="1"/>
    <col min="10243" max="10243" width="2.33203125" style="173" customWidth="1"/>
    <col min="10244" max="10244" width="10" style="173" customWidth="1"/>
    <col min="10245" max="10245" width="11.33203125" style="173" customWidth="1"/>
    <col min="10246" max="10246" width="2" style="173" customWidth="1"/>
    <col min="10247" max="10247" width="17.6640625" style="173" customWidth="1"/>
    <col min="10248" max="10248" width="2.33203125" style="173" customWidth="1"/>
    <col min="10249" max="10490" width="12.5" style="173"/>
    <col min="10491" max="10491" width="7.6640625" style="173" customWidth="1"/>
    <col min="10492" max="10492" width="10" style="173" customWidth="1"/>
    <col min="10493" max="10493" width="8.6640625" style="173" customWidth="1"/>
    <col min="10494" max="10494" width="1.5" style="173" customWidth="1"/>
    <col min="10495" max="10495" width="4.83203125" style="173" customWidth="1"/>
    <col min="10496" max="10496" width="2.33203125" style="173" customWidth="1"/>
    <col min="10497" max="10497" width="19" style="173" customWidth="1"/>
    <col min="10498" max="10498" width="4.83203125" style="173" customWidth="1"/>
    <col min="10499" max="10499" width="2.33203125" style="173" customWidth="1"/>
    <col min="10500" max="10500" width="10" style="173" customWidth="1"/>
    <col min="10501" max="10501" width="11.33203125" style="173" customWidth="1"/>
    <col min="10502" max="10502" width="2" style="173" customWidth="1"/>
    <col min="10503" max="10503" width="17.6640625" style="173" customWidth="1"/>
    <col min="10504" max="10504" width="2.33203125" style="173" customWidth="1"/>
    <col min="10505" max="10746" width="12.5" style="173"/>
    <col min="10747" max="10747" width="7.6640625" style="173" customWidth="1"/>
    <col min="10748" max="10748" width="10" style="173" customWidth="1"/>
    <col min="10749" max="10749" width="8.6640625" style="173" customWidth="1"/>
    <col min="10750" max="10750" width="1.5" style="173" customWidth="1"/>
    <col min="10751" max="10751" width="4.83203125" style="173" customWidth="1"/>
    <col min="10752" max="10752" width="2.33203125" style="173" customWidth="1"/>
    <col min="10753" max="10753" width="19" style="173" customWidth="1"/>
    <col min="10754" max="10754" width="4.83203125" style="173" customWidth="1"/>
    <col min="10755" max="10755" width="2.33203125" style="173" customWidth="1"/>
    <col min="10756" max="10756" width="10" style="173" customWidth="1"/>
    <col min="10757" max="10757" width="11.33203125" style="173" customWidth="1"/>
    <col min="10758" max="10758" width="2" style="173" customWidth="1"/>
    <col min="10759" max="10759" width="17.6640625" style="173" customWidth="1"/>
    <col min="10760" max="10760" width="2.33203125" style="173" customWidth="1"/>
    <col min="10761" max="11002" width="12.5" style="173"/>
    <col min="11003" max="11003" width="7.6640625" style="173" customWidth="1"/>
    <col min="11004" max="11004" width="10" style="173" customWidth="1"/>
    <col min="11005" max="11005" width="8.6640625" style="173" customWidth="1"/>
    <col min="11006" max="11006" width="1.5" style="173" customWidth="1"/>
    <col min="11007" max="11007" width="4.83203125" style="173" customWidth="1"/>
    <col min="11008" max="11008" width="2.33203125" style="173" customWidth="1"/>
    <col min="11009" max="11009" width="19" style="173" customWidth="1"/>
    <col min="11010" max="11010" width="4.83203125" style="173" customWidth="1"/>
    <col min="11011" max="11011" width="2.33203125" style="173" customWidth="1"/>
    <col min="11012" max="11012" width="10" style="173" customWidth="1"/>
    <col min="11013" max="11013" width="11.33203125" style="173" customWidth="1"/>
    <col min="11014" max="11014" width="2" style="173" customWidth="1"/>
    <col min="11015" max="11015" width="17.6640625" style="173" customWidth="1"/>
    <col min="11016" max="11016" width="2.33203125" style="173" customWidth="1"/>
    <col min="11017" max="11258" width="12.5" style="173"/>
    <col min="11259" max="11259" width="7.6640625" style="173" customWidth="1"/>
    <col min="11260" max="11260" width="10" style="173" customWidth="1"/>
    <col min="11261" max="11261" width="8.6640625" style="173" customWidth="1"/>
    <col min="11262" max="11262" width="1.5" style="173" customWidth="1"/>
    <col min="11263" max="11263" width="4.83203125" style="173" customWidth="1"/>
    <col min="11264" max="11264" width="2.33203125" style="173" customWidth="1"/>
    <col min="11265" max="11265" width="19" style="173" customWidth="1"/>
    <col min="11266" max="11266" width="4.83203125" style="173" customWidth="1"/>
    <col min="11267" max="11267" width="2.33203125" style="173" customWidth="1"/>
    <col min="11268" max="11268" width="10" style="173" customWidth="1"/>
    <col min="11269" max="11269" width="11.33203125" style="173" customWidth="1"/>
    <col min="11270" max="11270" width="2" style="173" customWidth="1"/>
    <col min="11271" max="11271" width="17.6640625" style="173" customWidth="1"/>
    <col min="11272" max="11272" width="2.33203125" style="173" customWidth="1"/>
    <col min="11273" max="11514" width="12.5" style="173"/>
    <col min="11515" max="11515" width="7.6640625" style="173" customWidth="1"/>
    <col min="11516" max="11516" width="10" style="173" customWidth="1"/>
    <col min="11517" max="11517" width="8.6640625" style="173" customWidth="1"/>
    <col min="11518" max="11518" width="1.5" style="173" customWidth="1"/>
    <col min="11519" max="11519" width="4.83203125" style="173" customWidth="1"/>
    <col min="11520" max="11520" width="2.33203125" style="173" customWidth="1"/>
    <col min="11521" max="11521" width="19" style="173" customWidth="1"/>
    <col min="11522" max="11522" width="4.83203125" style="173" customWidth="1"/>
    <col min="11523" max="11523" width="2.33203125" style="173" customWidth="1"/>
    <col min="11524" max="11524" width="10" style="173" customWidth="1"/>
    <col min="11525" max="11525" width="11.33203125" style="173" customWidth="1"/>
    <col min="11526" max="11526" width="2" style="173" customWidth="1"/>
    <col min="11527" max="11527" width="17.6640625" style="173" customWidth="1"/>
    <col min="11528" max="11528" width="2.33203125" style="173" customWidth="1"/>
    <col min="11529" max="11770" width="12.5" style="173"/>
    <col min="11771" max="11771" width="7.6640625" style="173" customWidth="1"/>
    <col min="11772" max="11772" width="10" style="173" customWidth="1"/>
    <col min="11773" max="11773" width="8.6640625" style="173" customWidth="1"/>
    <col min="11774" max="11774" width="1.5" style="173" customWidth="1"/>
    <col min="11775" max="11775" width="4.83203125" style="173" customWidth="1"/>
    <col min="11776" max="11776" width="2.33203125" style="173" customWidth="1"/>
    <col min="11777" max="11777" width="19" style="173" customWidth="1"/>
    <col min="11778" max="11778" width="4.83203125" style="173" customWidth="1"/>
    <col min="11779" max="11779" width="2.33203125" style="173" customWidth="1"/>
    <col min="11780" max="11780" width="10" style="173" customWidth="1"/>
    <col min="11781" max="11781" width="11.33203125" style="173" customWidth="1"/>
    <col min="11782" max="11782" width="2" style="173" customWidth="1"/>
    <col min="11783" max="11783" width="17.6640625" style="173" customWidth="1"/>
    <col min="11784" max="11784" width="2.33203125" style="173" customWidth="1"/>
    <col min="11785" max="12026" width="12.5" style="173"/>
    <col min="12027" max="12027" width="7.6640625" style="173" customWidth="1"/>
    <col min="12028" max="12028" width="10" style="173" customWidth="1"/>
    <col min="12029" max="12029" width="8.6640625" style="173" customWidth="1"/>
    <col min="12030" max="12030" width="1.5" style="173" customWidth="1"/>
    <col min="12031" max="12031" width="4.83203125" style="173" customWidth="1"/>
    <col min="12032" max="12032" width="2.33203125" style="173" customWidth="1"/>
    <col min="12033" max="12033" width="19" style="173" customWidth="1"/>
    <col min="12034" max="12034" width="4.83203125" style="173" customWidth="1"/>
    <col min="12035" max="12035" width="2.33203125" style="173" customWidth="1"/>
    <col min="12036" max="12036" width="10" style="173" customWidth="1"/>
    <col min="12037" max="12037" width="11.33203125" style="173" customWidth="1"/>
    <col min="12038" max="12038" width="2" style="173" customWidth="1"/>
    <col min="12039" max="12039" width="17.6640625" style="173" customWidth="1"/>
    <col min="12040" max="12040" width="2.33203125" style="173" customWidth="1"/>
    <col min="12041" max="12282" width="12.5" style="173"/>
    <col min="12283" max="12283" width="7.6640625" style="173" customWidth="1"/>
    <col min="12284" max="12284" width="10" style="173" customWidth="1"/>
    <col min="12285" max="12285" width="8.6640625" style="173" customWidth="1"/>
    <col min="12286" max="12286" width="1.5" style="173" customWidth="1"/>
    <col min="12287" max="12287" width="4.83203125" style="173" customWidth="1"/>
    <col min="12288" max="12288" width="2.33203125" style="173" customWidth="1"/>
    <col min="12289" max="12289" width="19" style="173" customWidth="1"/>
    <col min="12290" max="12290" width="4.83203125" style="173" customWidth="1"/>
    <col min="12291" max="12291" width="2.33203125" style="173" customWidth="1"/>
    <col min="12292" max="12292" width="10" style="173" customWidth="1"/>
    <col min="12293" max="12293" width="11.33203125" style="173" customWidth="1"/>
    <col min="12294" max="12294" width="2" style="173" customWidth="1"/>
    <col min="12295" max="12295" width="17.6640625" style="173" customWidth="1"/>
    <col min="12296" max="12296" width="2.33203125" style="173" customWidth="1"/>
    <col min="12297" max="12538" width="12.5" style="173"/>
    <col min="12539" max="12539" width="7.6640625" style="173" customWidth="1"/>
    <col min="12540" max="12540" width="10" style="173" customWidth="1"/>
    <col min="12541" max="12541" width="8.6640625" style="173" customWidth="1"/>
    <col min="12542" max="12542" width="1.5" style="173" customWidth="1"/>
    <col min="12543" max="12543" width="4.83203125" style="173" customWidth="1"/>
    <col min="12544" max="12544" width="2.33203125" style="173" customWidth="1"/>
    <col min="12545" max="12545" width="19" style="173" customWidth="1"/>
    <col min="12546" max="12546" width="4.83203125" style="173" customWidth="1"/>
    <col min="12547" max="12547" width="2.33203125" style="173" customWidth="1"/>
    <col min="12548" max="12548" width="10" style="173" customWidth="1"/>
    <col min="12549" max="12549" width="11.33203125" style="173" customWidth="1"/>
    <col min="12550" max="12550" width="2" style="173" customWidth="1"/>
    <col min="12551" max="12551" width="17.6640625" style="173" customWidth="1"/>
    <col min="12552" max="12552" width="2.33203125" style="173" customWidth="1"/>
    <col min="12553" max="12794" width="12.5" style="173"/>
    <col min="12795" max="12795" width="7.6640625" style="173" customWidth="1"/>
    <col min="12796" max="12796" width="10" style="173" customWidth="1"/>
    <col min="12797" max="12797" width="8.6640625" style="173" customWidth="1"/>
    <col min="12798" max="12798" width="1.5" style="173" customWidth="1"/>
    <col min="12799" max="12799" width="4.83203125" style="173" customWidth="1"/>
    <col min="12800" max="12800" width="2.33203125" style="173" customWidth="1"/>
    <col min="12801" max="12801" width="19" style="173" customWidth="1"/>
    <col min="12802" max="12802" width="4.83203125" style="173" customWidth="1"/>
    <col min="12803" max="12803" width="2.33203125" style="173" customWidth="1"/>
    <col min="12804" max="12804" width="10" style="173" customWidth="1"/>
    <col min="12805" max="12805" width="11.33203125" style="173" customWidth="1"/>
    <col min="12806" max="12806" width="2" style="173" customWidth="1"/>
    <col min="12807" max="12807" width="17.6640625" style="173" customWidth="1"/>
    <col min="12808" max="12808" width="2.33203125" style="173" customWidth="1"/>
    <col min="12809" max="13050" width="12.5" style="173"/>
    <col min="13051" max="13051" width="7.6640625" style="173" customWidth="1"/>
    <col min="13052" max="13052" width="10" style="173" customWidth="1"/>
    <col min="13053" max="13053" width="8.6640625" style="173" customWidth="1"/>
    <col min="13054" max="13054" width="1.5" style="173" customWidth="1"/>
    <col min="13055" max="13055" width="4.83203125" style="173" customWidth="1"/>
    <col min="13056" max="13056" width="2.33203125" style="173" customWidth="1"/>
    <col min="13057" max="13057" width="19" style="173" customWidth="1"/>
    <col min="13058" max="13058" width="4.83203125" style="173" customWidth="1"/>
    <col min="13059" max="13059" width="2.33203125" style="173" customWidth="1"/>
    <col min="13060" max="13060" width="10" style="173" customWidth="1"/>
    <col min="13061" max="13061" width="11.33203125" style="173" customWidth="1"/>
    <col min="13062" max="13062" width="2" style="173" customWidth="1"/>
    <col min="13063" max="13063" width="17.6640625" style="173" customWidth="1"/>
    <col min="13064" max="13064" width="2.33203125" style="173" customWidth="1"/>
    <col min="13065" max="13306" width="12.5" style="173"/>
    <col min="13307" max="13307" width="7.6640625" style="173" customWidth="1"/>
    <col min="13308" max="13308" width="10" style="173" customWidth="1"/>
    <col min="13309" max="13309" width="8.6640625" style="173" customWidth="1"/>
    <col min="13310" max="13310" width="1.5" style="173" customWidth="1"/>
    <col min="13311" max="13311" width="4.83203125" style="173" customWidth="1"/>
    <col min="13312" max="13312" width="2.33203125" style="173" customWidth="1"/>
    <col min="13313" max="13313" width="19" style="173" customWidth="1"/>
    <col min="13314" max="13314" width="4.83203125" style="173" customWidth="1"/>
    <col min="13315" max="13315" width="2.33203125" style="173" customWidth="1"/>
    <col min="13316" max="13316" width="10" style="173" customWidth="1"/>
    <col min="13317" max="13317" width="11.33203125" style="173" customWidth="1"/>
    <col min="13318" max="13318" width="2" style="173" customWidth="1"/>
    <col min="13319" max="13319" width="17.6640625" style="173" customWidth="1"/>
    <col min="13320" max="13320" width="2.33203125" style="173" customWidth="1"/>
    <col min="13321" max="13562" width="12.5" style="173"/>
    <col min="13563" max="13563" width="7.6640625" style="173" customWidth="1"/>
    <col min="13564" max="13564" width="10" style="173" customWidth="1"/>
    <col min="13565" max="13565" width="8.6640625" style="173" customWidth="1"/>
    <col min="13566" max="13566" width="1.5" style="173" customWidth="1"/>
    <col min="13567" max="13567" width="4.83203125" style="173" customWidth="1"/>
    <col min="13568" max="13568" width="2.33203125" style="173" customWidth="1"/>
    <col min="13569" max="13569" width="19" style="173" customWidth="1"/>
    <col min="13570" max="13570" width="4.83203125" style="173" customWidth="1"/>
    <col min="13571" max="13571" width="2.33203125" style="173" customWidth="1"/>
    <col min="13572" max="13572" width="10" style="173" customWidth="1"/>
    <col min="13573" max="13573" width="11.33203125" style="173" customWidth="1"/>
    <col min="13574" max="13574" width="2" style="173" customWidth="1"/>
    <col min="13575" max="13575" width="17.6640625" style="173" customWidth="1"/>
    <col min="13576" max="13576" width="2.33203125" style="173" customWidth="1"/>
    <col min="13577" max="13818" width="12.5" style="173"/>
    <col min="13819" max="13819" width="7.6640625" style="173" customWidth="1"/>
    <col min="13820" max="13820" width="10" style="173" customWidth="1"/>
    <col min="13821" max="13821" width="8.6640625" style="173" customWidth="1"/>
    <col min="13822" max="13822" width="1.5" style="173" customWidth="1"/>
    <col min="13823" max="13823" width="4.83203125" style="173" customWidth="1"/>
    <col min="13824" max="13824" width="2.33203125" style="173" customWidth="1"/>
    <col min="13825" max="13825" width="19" style="173" customWidth="1"/>
    <col min="13826" max="13826" width="4.83203125" style="173" customWidth="1"/>
    <col min="13827" max="13827" width="2.33203125" style="173" customWidth="1"/>
    <col min="13828" max="13828" width="10" style="173" customWidth="1"/>
    <col min="13829" max="13829" width="11.33203125" style="173" customWidth="1"/>
    <col min="13830" max="13830" width="2" style="173" customWidth="1"/>
    <col min="13831" max="13831" width="17.6640625" style="173" customWidth="1"/>
    <col min="13832" max="13832" width="2.33203125" style="173" customWidth="1"/>
    <col min="13833" max="14074" width="12.5" style="173"/>
    <col min="14075" max="14075" width="7.6640625" style="173" customWidth="1"/>
    <col min="14076" max="14076" width="10" style="173" customWidth="1"/>
    <col min="14077" max="14077" width="8.6640625" style="173" customWidth="1"/>
    <col min="14078" max="14078" width="1.5" style="173" customWidth="1"/>
    <col min="14079" max="14079" width="4.83203125" style="173" customWidth="1"/>
    <col min="14080" max="14080" width="2.33203125" style="173" customWidth="1"/>
    <col min="14081" max="14081" width="19" style="173" customWidth="1"/>
    <col min="14082" max="14082" width="4.83203125" style="173" customWidth="1"/>
    <col min="14083" max="14083" width="2.33203125" style="173" customWidth="1"/>
    <col min="14084" max="14084" width="10" style="173" customWidth="1"/>
    <col min="14085" max="14085" width="11.33203125" style="173" customWidth="1"/>
    <col min="14086" max="14086" width="2" style="173" customWidth="1"/>
    <col min="14087" max="14087" width="17.6640625" style="173" customWidth="1"/>
    <col min="14088" max="14088" width="2.33203125" style="173" customWidth="1"/>
    <col min="14089" max="14330" width="12.5" style="173"/>
    <col min="14331" max="14331" width="7.6640625" style="173" customWidth="1"/>
    <col min="14332" max="14332" width="10" style="173" customWidth="1"/>
    <col min="14333" max="14333" width="8.6640625" style="173" customWidth="1"/>
    <col min="14334" max="14334" width="1.5" style="173" customWidth="1"/>
    <col min="14335" max="14335" width="4.83203125" style="173" customWidth="1"/>
    <col min="14336" max="14336" width="2.33203125" style="173" customWidth="1"/>
    <col min="14337" max="14337" width="19" style="173" customWidth="1"/>
    <col min="14338" max="14338" width="4.83203125" style="173" customWidth="1"/>
    <col min="14339" max="14339" width="2.33203125" style="173" customWidth="1"/>
    <col min="14340" max="14340" width="10" style="173" customWidth="1"/>
    <col min="14341" max="14341" width="11.33203125" style="173" customWidth="1"/>
    <col min="14342" max="14342" width="2" style="173" customWidth="1"/>
    <col min="14343" max="14343" width="17.6640625" style="173" customWidth="1"/>
    <col min="14344" max="14344" width="2.33203125" style="173" customWidth="1"/>
    <col min="14345" max="14586" width="12.5" style="173"/>
    <col min="14587" max="14587" width="7.6640625" style="173" customWidth="1"/>
    <col min="14588" max="14588" width="10" style="173" customWidth="1"/>
    <col min="14589" max="14589" width="8.6640625" style="173" customWidth="1"/>
    <col min="14590" max="14590" width="1.5" style="173" customWidth="1"/>
    <col min="14591" max="14591" width="4.83203125" style="173" customWidth="1"/>
    <col min="14592" max="14592" width="2.33203125" style="173" customWidth="1"/>
    <col min="14593" max="14593" width="19" style="173" customWidth="1"/>
    <col min="14594" max="14594" width="4.83203125" style="173" customWidth="1"/>
    <col min="14595" max="14595" width="2.33203125" style="173" customWidth="1"/>
    <col min="14596" max="14596" width="10" style="173" customWidth="1"/>
    <col min="14597" max="14597" width="11.33203125" style="173" customWidth="1"/>
    <col min="14598" max="14598" width="2" style="173" customWidth="1"/>
    <col min="14599" max="14599" width="17.6640625" style="173" customWidth="1"/>
    <col min="14600" max="14600" width="2.33203125" style="173" customWidth="1"/>
    <col min="14601" max="14842" width="12.5" style="173"/>
    <col min="14843" max="14843" width="7.6640625" style="173" customWidth="1"/>
    <col min="14844" max="14844" width="10" style="173" customWidth="1"/>
    <col min="14845" max="14845" width="8.6640625" style="173" customWidth="1"/>
    <col min="14846" max="14846" width="1.5" style="173" customWidth="1"/>
    <col min="14847" max="14847" width="4.83203125" style="173" customWidth="1"/>
    <col min="14848" max="14848" width="2.33203125" style="173" customWidth="1"/>
    <col min="14849" max="14849" width="19" style="173" customWidth="1"/>
    <col min="14850" max="14850" width="4.83203125" style="173" customWidth="1"/>
    <col min="14851" max="14851" width="2.33203125" style="173" customWidth="1"/>
    <col min="14852" max="14852" width="10" style="173" customWidth="1"/>
    <col min="14853" max="14853" width="11.33203125" style="173" customWidth="1"/>
    <col min="14854" max="14854" width="2" style="173" customWidth="1"/>
    <col min="14855" max="14855" width="17.6640625" style="173" customWidth="1"/>
    <col min="14856" max="14856" width="2.33203125" style="173" customWidth="1"/>
    <col min="14857" max="15098" width="12.5" style="173"/>
    <col min="15099" max="15099" width="7.6640625" style="173" customWidth="1"/>
    <col min="15100" max="15100" width="10" style="173" customWidth="1"/>
    <col min="15101" max="15101" width="8.6640625" style="173" customWidth="1"/>
    <col min="15102" max="15102" width="1.5" style="173" customWidth="1"/>
    <col min="15103" max="15103" width="4.83203125" style="173" customWidth="1"/>
    <col min="15104" max="15104" width="2.33203125" style="173" customWidth="1"/>
    <col min="15105" max="15105" width="19" style="173" customWidth="1"/>
    <col min="15106" max="15106" width="4.83203125" style="173" customWidth="1"/>
    <col min="15107" max="15107" width="2.33203125" style="173" customWidth="1"/>
    <col min="15108" max="15108" width="10" style="173" customWidth="1"/>
    <col min="15109" max="15109" width="11.33203125" style="173" customWidth="1"/>
    <col min="15110" max="15110" width="2" style="173" customWidth="1"/>
    <col min="15111" max="15111" width="17.6640625" style="173" customWidth="1"/>
    <col min="15112" max="15112" width="2.33203125" style="173" customWidth="1"/>
    <col min="15113" max="15354" width="12.5" style="173"/>
    <col min="15355" max="15355" width="7.6640625" style="173" customWidth="1"/>
    <col min="15356" max="15356" width="10" style="173" customWidth="1"/>
    <col min="15357" max="15357" width="8.6640625" style="173" customWidth="1"/>
    <col min="15358" max="15358" width="1.5" style="173" customWidth="1"/>
    <col min="15359" max="15359" width="4.83203125" style="173" customWidth="1"/>
    <col min="15360" max="15360" width="2.33203125" style="173" customWidth="1"/>
    <col min="15361" max="15361" width="19" style="173" customWidth="1"/>
    <col min="15362" max="15362" width="4.83203125" style="173" customWidth="1"/>
    <col min="15363" max="15363" width="2.33203125" style="173" customWidth="1"/>
    <col min="15364" max="15364" width="10" style="173" customWidth="1"/>
    <col min="15365" max="15365" width="11.33203125" style="173" customWidth="1"/>
    <col min="15366" max="15366" width="2" style="173" customWidth="1"/>
    <col min="15367" max="15367" width="17.6640625" style="173" customWidth="1"/>
    <col min="15368" max="15368" width="2.33203125" style="173" customWidth="1"/>
    <col min="15369" max="15610" width="12.5" style="173"/>
    <col min="15611" max="15611" width="7.6640625" style="173" customWidth="1"/>
    <col min="15612" max="15612" width="10" style="173" customWidth="1"/>
    <col min="15613" max="15613" width="8.6640625" style="173" customWidth="1"/>
    <col min="15614" max="15614" width="1.5" style="173" customWidth="1"/>
    <col min="15615" max="15615" width="4.83203125" style="173" customWidth="1"/>
    <col min="15616" max="15616" width="2.33203125" style="173" customWidth="1"/>
    <col min="15617" max="15617" width="19" style="173" customWidth="1"/>
    <col min="15618" max="15618" width="4.83203125" style="173" customWidth="1"/>
    <col min="15619" max="15619" width="2.33203125" style="173" customWidth="1"/>
    <col min="15620" max="15620" width="10" style="173" customWidth="1"/>
    <col min="15621" max="15621" width="11.33203125" style="173" customWidth="1"/>
    <col min="15622" max="15622" width="2" style="173" customWidth="1"/>
    <col min="15623" max="15623" width="17.6640625" style="173" customWidth="1"/>
    <col min="15624" max="15624" width="2.33203125" style="173" customWidth="1"/>
    <col min="15625" max="15866" width="12.5" style="173"/>
    <col min="15867" max="15867" width="7.6640625" style="173" customWidth="1"/>
    <col min="15868" max="15868" width="10" style="173" customWidth="1"/>
    <col min="15869" max="15869" width="8.6640625" style="173" customWidth="1"/>
    <col min="15870" max="15870" width="1.5" style="173" customWidth="1"/>
    <col min="15871" max="15871" width="4.83203125" style="173" customWidth="1"/>
    <col min="15872" max="15872" width="2.33203125" style="173" customWidth="1"/>
    <col min="15873" max="15873" width="19" style="173" customWidth="1"/>
    <col min="15874" max="15874" width="4.83203125" style="173" customWidth="1"/>
    <col min="15875" max="15875" width="2.33203125" style="173" customWidth="1"/>
    <col min="15876" max="15876" width="10" style="173" customWidth="1"/>
    <col min="15877" max="15877" width="11.33203125" style="173" customWidth="1"/>
    <col min="15878" max="15878" width="2" style="173" customWidth="1"/>
    <col min="15879" max="15879" width="17.6640625" style="173" customWidth="1"/>
    <col min="15880" max="15880" width="2.33203125" style="173" customWidth="1"/>
    <col min="15881" max="16122" width="12.5" style="173"/>
    <col min="16123" max="16123" width="7.6640625" style="173" customWidth="1"/>
    <col min="16124" max="16124" width="10" style="173" customWidth="1"/>
    <col min="16125" max="16125" width="8.6640625" style="173" customWidth="1"/>
    <col min="16126" max="16126" width="1.5" style="173" customWidth="1"/>
    <col min="16127" max="16127" width="4.83203125" style="173" customWidth="1"/>
    <col min="16128" max="16128" width="2.33203125" style="173" customWidth="1"/>
    <col min="16129" max="16129" width="19" style="173" customWidth="1"/>
    <col min="16130" max="16130" width="4.83203125" style="173" customWidth="1"/>
    <col min="16131" max="16131" width="2.33203125" style="173" customWidth="1"/>
    <col min="16132" max="16132" width="10" style="173" customWidth="1"/>
    <col min="16133" max="16133" width="11.33203125" style="173" customWidth="1"/>
    <col min="16134" max="16134" width="2" style="173" customWidth="1"/>
    <col min="16135" max="16135" width="17.6640625" style="173" customWidth="1"/>
    <col min="16136" max="16136" width="2.33203125" style="173" customWidth="1"/>
    <col min="16137" max="16384" width="12.5" style="173"/>
  </cols>
  <sheetData>
    <row r="1" spans="2:16" ht="23.5" customHeight="1" x14ac:dyDescent="0.2">
      <c r="B1" s="168" t="s">
        <v>0</v>
      </c>
      <c r="C1" s="169"/>
      <c r="D1" s="169"/>
      <c r="E1" s="170"/>
      <c r="F1" s="170"/>
      <c r="G1" s="171"/>
      <c r="H1" s="171"/>
      <c r="I1" s="171"/>
      <c r="J1" s="171"/>
      <c r="K1" s="171"/>
      <c r="L1" s="171"/>
      <c r="M1" s="171"/>
      <c r="N1" s="172"/>
    </row>
    <row r="2" spans="2:16" ht="23.5" customHeight="1" x14ac:dyDescent="0.2">
      <c r="B2" s="174" t="s">
        <v>131</v>
      </c>
      <c r="C2" s="175"/>
      <c r="D2" s="175"/>
      <c r="E2" s="176"/>
      <c r="F2" s="176"/>
      <c r="G2" s="176"/>
      <c r="H2" s="176"/>
      <c r="I2" s="176"/>
      <c r="J2" s="176"/>
      <c r="K2" s="176"/>
      <c r="L2" s="176"/>
      <c r="M2" s="176"/>
      <c r="N2" s="177"/>
    </row>
    <row r="3" spans="2:16" ht="9" customHeight="1" thickBot="1" x14ac:dyDescent="0.25">
      <c r="B3" s="178"/>
      <c r="C3" s="179"/>
      <c r="D3" s="179"/>
      <c r="E3" s="179"/>
      <c r="F3" s="179"/>
      <c r="G3" s="179"/>
      <c r="H3" s="179"/>
      <c r="I3" s="179"/>
      <c r="J3" s="179"/>
      <c r="K3" s="179"/>
      <c r="L3" s="179"/>
      <c r="M3" s="180"/>
      <c r="N3" s="181"/>
    </row>
    <row r="4" spans="2:16" x14ac:dyDescent="0.2">
      <c r="B4" s="182" t="s">
        <v>132</v>
      </c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  <c r="N4" s="184"/>
    </row>
    <row r="5" spans="2:16" s="186" customFormat="1" ht="27" customHeight="1" x14ac:dyDescent="0.2">
      <c r="B5" s="185" t="s">
        <v>1</v>
      </c>
      <c r="D5" s="186" t="s">
        <v>5</v>
      </c>
      <c r="E5" s="259"/>
      <c r="F5" s="260"/>
      <c r="G5" s="261"/>
      <c r="H5" s="262"/>
      <c r="I5" s="188"/>
      <c r="J5" s="189"/>
      <c r="K5" s="190"/>
      <c r="L5" s="190"/>
      <c r="M5" s="187"/>
      <c r="N5" s="191"/>
    </row>
    <row r="6" spans="2:16" s="186" customFormat="1" ht="27.75" customHeight="1" x14ac:dyDescent="0.2">
      <c r="B6" s="192" t="s">
        <v>2</v>
      </c>
      <c r="C6" s="193"/>
      <c r="D6" s="193" t="s">
        <v>5</v>
      </c>
      <c r="E6" s="440"/>
      <c r="F6" s="440"/>
      <c r="G6" s="440"/>
      <c r="H6" s="441"/>
      <c r="J6" s="186" t="s">
        <v>133</v>
      </c>
      <c r="L6" s="186" t="s">
        <v>5</v>
      </c>
      <c r="M6" s="265"/>
      <c r="N6" s="191"/>
    </row>
    <row r="7" spans="2:16" s="186" customFormat="1" ht="26.25" customHeight="1" thickBot="1" x14ac:dyDescent="0.25">
      <c r="B7" s="194" t="s">
        <v>3</v>
      </c>
      <c r="D7" s="186" t="s">
        <v>5</v>
      </c>
      <c r="E7" s="440"/>
      <c r="F7" s="440"/>
      <c r="G7" s="440"/>
      <c r="H7" s="441"/>
      <c r="J7" s="186" t="s">
        <v>134</v>
      </c>
      <c r="L7" s="186" t="s">
        <v>5</v>
      </c>
      <c r="M7" s="260" t="s">
        <v>184</v>
      </c>
      <c r="N7" s="191"/>
      <c r="O7" s="190" t="s">
        <v>187</v>
      </c>
      <c r="P7" s="186" t="s">
        <v>184</v>
      </c>
    </row>
    <row r="8" spans="2:16" x14ac:dyDescent="0.2">
      <c r="B8" s="182" t="s">
        <v>135</v>
      </c>
      <c r="C8" s="183"/>
      <c r="D8" s="183"/>
      <c r="E8" s="183"/>
      <c r="F8" s="183"/>
      <c r="G8" s="183"/>
      <c r="H8" s="183"/>
      <c r="I8" s="183"/>
      <c r="J8" s="183"/>
      <c r="K8" s="183"/>
      <c r="L8" s="183"/>
      <c r="M8" s="183"/>
      <c r="N8" s="184"/>
      <c r="O8" s="197"/>
      <c r="P8" s="173" t="s">
        <v>181</v>
      </c>
    </row>
    <row r="9" spans="2:16" s="186" customFormat="1" ht="19.5" customHeight="1" x14ac:dyDescent="0.2">
      <c r="B9" s="185" t="s">
        <v>136</v>
      </c>
      <c r="F9" s="186" t="s">
        <v>5</v>
      </c>
      <c r="G9" s="263"/>
      <c r="H9" s="200"/>
      <c r="J9" s="186" t="s">
        <v>137</v>
      </c>
      <c r="L9" s="186" t="s">
        <v>5</v>
      </c>
      <c r="M9" s="264"/>
      <c r="N9" s="191"/>
      <c r="O9" s="190"/>
      <c r="P9" s="173" t="s">
        <v>185</v>
      </c>
    </row>
    <row r="10" spans="2:16" s="186" customFormat="1" ht="19.5" customHeight="1" x14ac:dyDescent="0.2">
      <c r="B10" s="185" t="s">
        <v>138</v>
      </c>
      <c r="F10" s="186" t="s">
        <v>5</v>
      </c>
      <c r="G10" s="263"/>
      <c r="H10" s="201"/>
      <c r="J10" s="186" t="s">
        <v>139</v>
      </c>
      <c r="L10" s="186" t="s">
        <v>5</v>
      </c>
      <c r="M10" s="264"/>
      <c r="N10" s="191"/>
      <c r="O10" s="190"/>
      <c r="P10" s="186" t="s">
        <v>186</v>
      </c>
    </row>
    <row r="11" spans="2:16" s="186" customFormat="1" ht="19.5" customHeight="1" x14ac:dyDescent="0.2">
      <c r="B11" s="185" t="s">
        <v>140</v>
      </c>
      <c r="F11" s="186" t="s">
        <v>5</v>
      </c>
      <c r="G11" s="263"/>
      <c r="H11" s="200"/>
      <c r="J11" s="186" t="s">
        <v>141</v>
      </c>
      <c r="K11" s="202"/>
      <c r="L11" s="203" t="s">
        <v>5</v>
      </c>
      <c r="M11" s="265"/>
      <c r="N11" s="191"/>
      <c r="O11" s="190"/>
    </row>
    <row r="12" spans="2:16" s="186" customFormat="1" ht="19.5" customHeight="1" x14ac:dyDescent="0.2">
      <c r="B12" s="185" t="s">
        <v>126</v>
      </c>
      <c r="F12" s="186" t="s">
        <v>5</v>
      </c>
      <c r="G12" s="263">
        <f>+G9+G11</f>
        <v>0</v>
      </c>
      <c r="H12" s="200"/>
      <c r="J12" s="186" t="s">
        <v>142</v>
      </c>
      <c r="L12" s="186" t="s">
        <v>5</v>
      </c>
      <c r="M12" s="264">
        <f>+M10+M11</f>
        <v>0</v>
      </c>
      <c r="N12" s="191"/>
      <c r="O12" s="190"/>
    </row>
    <row r="13" spans="2:16" ht="5.25" customHeight="1" thickBot="1" x14ac:dyDescent="0.25">
      <c r="B13" s="458"/>
      <c r="C13" s="459"/>
      <c r="D13" s="459"/>
      <c r="E13" s="459"/>
      <c r="F13" s="459"/>
      <c r="G13" s="459"/>
      <c r="H13" s="459"/>
      <c r="I13" s="459"/>
      <c r="J13" s="459"/>
      <c r="K13" s="459"/>
      <c r="L13" s="459"/>
      <c r="M13" s="459"/>
      <c r="N13" s="460"/>
      <c r="O13" s="197"/>
    </row>
    <row r="14" spans="2:16" x14ac:dyDescent="0.2">
      <c r="B14" s="182" t="s">
        <v>143</v>
      </c>
      <c r="C14" s="183"/>
      <c r="D14" s="183"/>
      <c r="E14" s="183"/>
      <c r="F14" s="183"/>
      <c r="G14" s="183"/>
      <c r="H14" s="183"/>
      <c r="I14" s="183"/>
      <c r="J14" s="183"/>
      <c r="K14" s="183"/>
      <c r="L14" s="183"/>
      <c r="M14" s="183"/>
      <c r="N14" s="184"/>
      <c r="O14" s="197"/>
    </row>
    <row r="15" spans="2:16" ht="31.5" customHeight="1" x14ac:dyDescent="0.2">
      <c r="B15" s="266"/>
      <c r="C15" s="268" t="s">
        <v>168</v>
      </c>
      <c r="D15" s="267" t="s">
        <v>169</v>
      </c>
      <c r="E15" s="269"/>
      <c r="F15" s="204"/>
      <c r="G15" s="205" t="s">
        <v>144</v>
      </c>
      <c r="H15" s="461" t="s">
        <v>170</v>
      </c>
      <c r="I15" s="462"/>
      <c r="J15" s="462"/>
      <c r="K15" s="462"/>
      <c r="L15" s="462"/>
      <c r="M15" s="462"/>
      <c r="N15" s="206"/>
      <c r="O15" s="207"/>
    </row>
    <row r="16" spans="2:16" s="186" customFormat="1" ht="20" customHeight="1" x14ac:dyDescent="0.2">
      <c r="B16" s="208" t="s">
        <v>145</v>
      </c>
      <c r="C16" s="209"/>
      <c r="D16" s="186" t="s">
        <v>5</v>
      </c>
      <c r="J16" s="187"/>
      <c r="K16" s="187"/>
      <c r="L16" s="187"/>
      <c r="M16" s="187"/>
      <c r="N16" s="191"/>
      <c r="P16" s="326" t="s">
        <v>212</v>
      </c>
    </row>
    <row r="17" spans="2:16" s="186" customFormat="1" ht="21.75" customHeight="1" x14ac:dyDescent="0.2">
      <c r="B17" s="210"/>
      <c r="C17" s="463" t="s">
        <v>146</v>
      </c>
      <c r="D17" s="463"/>
      <c r="E17" s="463"/>
      <c r="F17" s="463"/>
      <c r="G17" s="463"/>
      <c r="H17" s="463"/>
      <c r="I17" s="463"/>
      <c r="J17" s="463"/>
      <c r="K17" s="463"/>
      <c r="L17" s="463"/>
      <c r="M17" s="463"/>
      <c r="N17" s="191"/>
    </row>
    <row r="18" spans="2:16" ht="67.5" customHeight="1" x14ac:dyDescent="0.2">
      <c r="B18" s="211"/>
      <c r="C18" s="464" t="s">
        <v>170</v>
      </c>
      <c r="D18" s="465"/>
      <c r="E18" s="465"/>
      <c r="F18" s="465"/>
      <c r="G18" s="465"/>
      <c r="H18" s="465"/>
      <c r="I18" s="465"/>
      <c r="J18" s="465"/>
      <c r="K18" s="465"/>
      <c r="L18" s="465"/>
      <c r="M18" s="466"/>
      <c r="N18" s="196"/>
    </row>
    <row r="19" spans="2:16" ht="24" customHeight="1" x14ac:dyDescent="0.2">
      <c r="B19" s="211"/>
      <c r="C19" s="446" t="s">
        <v>213</v>
      </c>
      <c r="D19" s="447"/>
      <c r="E19" s="447"/>
      <c r="F19" s="447"/>
      <c r="G19" s="447"/>
      <c r="H19" s="447"/>
      <c r="I19" s="447"/>
      <c r="J19" s="447"/>
      <c r="K19" s="447"/>
      <c r="L19" s="447"/>
      <c r="M19" s="448"/>
      <c r="N19" s="196"/>
    </row>
    <row r="20" spans="2:16" ht="24" customHeight="1" x14ac:dyDescent="0.2">
      <c r="B20" s="211"/>
      <c r="C20" s="449" t="s">
        <v>214</v>
      </c>
      <c r="D20" s="450"/>
      <c r="E20" s="450"/>
      <c r="F20" s="450"/>
      <c r="G20" s="450"/>
      <c r="H20" s="450"/>
      <c r="I20" s="450"/>
      <c r="J20" s="450"/>
      <c r="K20" s="271" t="s">
        <v>61</v>
      </c>
      <c r="L20" s="271" t="s">
        <v>5</v>
      </c>
      <c r="M20" s="272" t="s">
        <v>215</v>
      </c>
      <c r="N20" s="196"/>
    </row>
    <row r="21" spans="2:16" ht="24" customHeight="1" x14ac:dyDescent="0.2">
      <c r="B21" s="211"/>
      <c r="C21" s="273" t="s">
        <v>175</v>
      </c>
      <c r="D21" s="274"/>
      <c r="E21" s="274"/>
      <c r="F21" s="274"/>
      <c r="G21" s="274"/>
      <c r="H21" s="274"/>
      <c r="I21" s="274"/>
      <c r="J21" s="274"/>
      <c r="K21" s="271" t="s">
        <v>61</v>
      </c>
      <c r="L21" s="271" t="s">
        <v>5</v>
      </c>
      <c r="M21" s="275"/>
      <c r="N21" s="196"/>
    </row>
    <row r="22" spans="2:16" ht="24" customHeight="1" x14ac:dyDescent="0.2">
      <c r="B22" s="211"/>
      <c r="C22" s="273" t="s">
        <v>175</v>
      </c>
      <c r="D22" s="274"/>
      <c r="E22" s="274"/>
      <c r="F22" s="274"/>
      <c r="G22" s="274"/>
      <c r="H22" s="274"/>
      <c r="I22" s="274"/>
      <c r="J22" s="274"/>
      <c r="K22" s="271" t="s">
        <v>61</v>
      </c>
      <c r="L22" s="271" t="s">
        <v>5</v>
      </c>
      <c r="M22" s="275"/>
      <c r="N22" s="196"/>
    </row>
    <row r="23" spans="2:16" ht="24" customHeight="1" x14ac:dyDescent="0.2">
      <c r="B23" s="211"/>
      <c r="C23" s="273" t="s">
        <v>175</v>
      </c>
      <c r="D23" s="274"/>
      <c r="E23" s="274"/>
      <c r="F23" s="274"/>
      <c r="G23" s="274"/>
      <c r="H23" s="274"/>
      <c r="I23" s="274"/>
      <c r="J23" s="274"/>
      <c r="K23" s="271" t="s">
        <v>61</v>
      </c>
      <c r="L23" s="271" t="s">
        <v>5</v>
      </c>
      <c r="M23" s="275"/>
      <c r="N23" s="196"/>
      <c r="P23" s="212">
        <f>+M21+M22+M23</f>
        <v>0</v>
      </c>
    </row>
    <row r="24" spans="2:16" ht="24" customHeight="1" x14ac:dyDescent="0.2">
      <c r="B24" s="211"/>
      <c r="C24" s="273" t="s">
        <v>175</v>
      </c>
      <c r="D24" s="274"/>
      <c r="E24" s="274"/>
      <c r="F24" s="274"/>
      <c r="G24" s="274"/>
      <c r="H24" s="274"/>
      <c r="I24" s="274"/>
      <c r="J24" s="274"/>
      <c r="K24" s="271" t="s">
        <v>61</v>
      </c>
      <c r="L24" s="271" t="s">
        <v>5</v>
      </c>
      <c r="M24" s="272"/>
      <c r="N24" s="196"/>
    </row>
    <row r="25" spans="2:16" ht="18.75" customHeight="1" x14ac:dyDescent="0.2">
      <c r="B25" s="211"/>
      <c r="C25" s="287" t="s">
        <v>147</v>
      </c>
      <c r="D25" s="276"/>
      <c r="E25" s="276"/>
      <c r="F25" s="276"/>
      <c r="G25" s="276"/>
      <c r="H25" s="277"/>
      <c r="I25" s="277"/>
      <c r="J25" s="277"/>
      <c r="K25" s="288" t="s">
        <v>61</v>
      </c>
      <c r="L25" s="288" t="s">
        <v>5</v>
      </c>
      <c r="M25" s="327">
        <f>SUM(M20:M24)</f>
        <v>0</v>
      </c>
      <c r="N25" s="196"/>
    </row>
    <row r="26" spans="2:16" ht="16.5" customHeight="1" x14ac:dyDescent="0.2">
      <c r="B26" s="211"/>
      <c r="C26" s="278"/>
      <c r="D26" s="279"/>
      <c r="E26" s="279"/>
      <c r="F26" s="279"/>
      <c r="G26" s="279"/>
      <c r="H26" s="279"/>
      <c r="I26" s="279"/>
      <c r="J26" s="279"/>
      <c r="K26" s="279"/>
      <c r="L26" s="279"/>
      <c r="M26" s="280"/>
      <c r="N26" s="196"/>
    </row>
    <row r="27" spans="2:16" ht="19.5" customHeight="1" x14ac:dyDescent="0.2">
      <c r="B27" s="211"/>
      <c r="C27" s="213"/>
      <c r="D27" s="213"/>
      <c r="E27" s="213"/>
      <c r="F27" s="213"/>
      <c r="G27" s="213"/>
      <c r="H27" s="213"/>
      <c r="I27" s="213"/>
      <c r="J27" s="213"/>
      <c r="K27" s="213"/>
      <c r="L27" s="213"/>
      <c r="M27" s="213"/>
      <c r="N27" s="196"/>
    </row>
    <row r="28" spans="2:16" ht="33.75" customHeight="1" x14ac:dyDescent="0.2">
      <c r="B28" s="214"/>
      <c r="C28" s="451" t="s">
        <v>148</v>
      </c>
      <c r="D28" s="451"/>
      <c r="E28" s="451"/>
      <c r="F28" s="451"/>
      <c r="G28" s="451"/>
      <c r="H28" s="451"/>
      <c r="I28" s="451"/>
      <c r="J28" s="451"/>
      <c r="K28" s="451"/>
      <c r="L28" s="451"/>
      <c r="M28" s="451"/>
      <c r="N28" s="215"/>
      <c r="P28" s="212">
        <f>+G30-P23</f>
        <v>0</v>
      </c>
    </row>
    <row r="29" spans="2:16" s="186" customFormat="1" ht="15" customHeight="1" x14ac:dyDescent="0.2">
      <c r="B29" s="194" t="s">
        <v>149</v>
      </c>
      <c r="C29" s="281"/>
      <c r="D29" s="281"/>
      <c r="E29" s="281"/>
      <c r="F29" s="282" t="s">
        <v>5</v>
      </c>
      <c r="G29" s="283">
        <f>M25</f>
        <v>0</v>
      </c>
      <c r="H29" s="452"/>
      <c r="I29" s="452"/>
      <c r="J29" s="216"/>
      <c r="K29" s="187"/>
      <c r="L29" s="187"/>
      <c r="M29" s="187"/>
      <c r="N29" s="191"/>
      <c r="P29" s="217">
        <f>+P28-75000</f>
        <v>-75000</v>
      </c>
    </row>
    <row r="30" spans="2:16" s="186" customFormat="1" ht="15" customHeight="1" x14ac:dyDescent="0.2">
      <c r="B30" s="218" t="s">
        <v>150</v>
      </c>
      <c r="F30" s="453" t="s">
        <v>5</v>
      </c>
      <c r="G30" s="454">
        <f>+G29+G12</f>
        <v>0</v>
      </c>
      <c r="H30" s="455"/>
      <c r="I30" s="455"/>
      <c r="J30" s="216"/>
      <c r="K30" s="187"/>
      <c r="L30" s="187"/>
      <c r="M30" s="187"/>
      <c r="N30" s="191"/>
      <c r="P30" s="217">
        <f>+P29-30000</f>
        <v>-105000</v>
      </c>
    </row>
    <row r="31" spans="2:16" s="186" customFormat="1" ht="15" customHeight="1" x14ac:dyDescent="0.2">
      <c r="B31" s="456" t="s">
        <v>151</v>
      </c>
      <c r="C31" s="457"/>
      <c r="D31" s="457"/>
      <c r="E31" s="457"/>
      <c r="F31" s="453"/>
      <c r="G31" s="454"/>
      <c r="H31" s="455"/>
      <c r="I31" s="455"/>
      <c r="J31" s="216"/>
      <c r="K31" s="187"/>
      <c r="L31" s="187"/>
      <c r="M31" s="187"/>
      <c r="N31" s="191"/>
    </row>
    <row r="32" spans="2:16" s="186" customFormat="1" ht="15" customHeight="1" x14ac:dyDescent="0.2">
      <c r="B32" s="194" t="s">
        <v>152</v>
      </c>
      <c r="F32" s="188" t="s">
        <v>5</v>
      </c>
      <c r="G32" s="219" t="s">
        <v>153</v>
      </c>
      <c r="H32" s="216"/>
      <c r="I32" s="216"/>
      <c r="J32" s="216"/>
      <c r="K32" s="187"/>
      <c r="L32" s="187"/>
      <c r="M32" s="187"/>
      <c r="N32" s="191"/>
    </row>
    <row r="33" spans="2:14" s="186" customFormat="1" ht="15" customHeight="1" x14ac:dyDescent="0.2">
      <c r="B33" s="194" t="s">
        <v>154</v>
      </c>
      <c r="F33" s="188" t="s">
        <v>5</v>
      </c>
      <c r="G33" s="261" t="s">
        <v>22</v>
      </c>
      <c r="H33" s="216" t="s">
        <v>172</v>
      </c>
      <c r="I33" s="216"/>
      <c r="J33" s="216"/>
      <c r="K33" s="187"/>
      <c r="L33" s="187"/>
      <c r="M33" s="187"/>
      <c r="N33" s="191"/>
    </row>
    <row r="34" spans="2:14" s="186" customFormat="1" ht="15" customHeight="1" thickBot="1" x14ac:dyDescent="0.25">
      <c r="B34" s="194" t="s">
        <v>155</v>
      </c>
      <c r="F34" s="188" t="s">
        <v>5</v>
      </c>
      <c r="G34" s="270">
        <f>+SUM(G33,M12)</f>
        <v>0</v>
      </c>
      <c r="H34" s="216"/>
      <c r="I34" s="216"/>
      <c r="J34" s="216"/>
      <c r="K34" s="187"/>
      <c r="L34" s="187"/>
      <c r="M34" s="187"/>
      <c r="N34" s="191"/>
    </row>
    <row r="35" spans="2:14" x14ac:dyDescent="0.2">
      <c r="B35" s="220" t="s">
        <v>156</v>
      </c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2"/>
    </row>
    <row r="36" spans="2:14" ht="10" customHeight="1" x14ac:dyDescent="0.2">
      <c r="B36" s="223"/>
      <c r="C36" s="224"/>
      <c r="D36" s="224"/>
      <c r="E36" s="224"/>
      <c r="F36" s="225"/>
      <c r="H36" s="226"/>
      <c r="I36" s="226"/>
      <c r="J36" s="226"/>
      <c r="K36" s="226"/>
      <c r="L36" s="226"/>
      <c r="M36" s="226"/>
      <c r="N36" s="227"/>
    </row>
    <row r="37" spans="2:14" ht="18" customHeight="1" x14ac:dyDescent="0.2">
      <c r="B37" s="442" t="s">
        <v>157</v>
      </c>
      <c r="C37" s="443"/>
      <c r="D37" s="175"/>
      <c r="G37" s="286"/>
      <c r="I37" s="228"/>
      <c r="J37" s="228"/>
      <c r="N37" s="196"/>
    </row>
    <row r="38" spans="2:14" ht="18" customHeight="1" x14ac:dyDescent="0.2">
      <c r="B38" s="229" t="s">
        <v>158</v>
      </c>
      <c r="D38" s="175"/>
      <c r="E38" s="230"/>
      <c r="F38" s="230"/>
      <c r="G38" s="289" t="s">
        <v>176</v>
      </c>
      <c r="H38" s="290"/>
      <c r="I38" s="291"/>
      <c r="J38" s="291"/>
      <c r="N38" s="196"/>
    </row>
    <row r="39" spans="2:14" ht="18" customHeight="1" x14ac:dyDescent="0.2">
      <c r="B39" s="229" t="s">
        <v>159</v>
      </c>
      <c r="D39" s="175"/>
      <c r="E39" s="230"/>
      <c r="F39" s="230"/>
      <c r="G39" s="289" t="s">
        <v>176</v>
      </c>
      <c r="H39" s="290"/>
      <c r="I39" s="291"/>
      <c r="J39" s="291"/>
      <c r="N39" s="196"/>
    </row>
    <row r="40" spans="2:14" ht="18" customHeight="1" x14ac:dyDescent="0.2">
      <c r="B40" s="229" t="s">
        <v>160</v>
      </c>
      <c r="D40" s="230"/>
      <c r="E40" s="230"/>
      <c r="F40" s="230"/>
      <c r="G40" s="289" t="s">
        <v>176</v>
      </c>
      <c r="H40" s="290"/>
      <c r="I40" s="291"/>
      <c r="J40" s="291"/>
      <c r="N40" s="196"/>
    </row>
    <row r="41" spans="2:14" ht="8" customHeight="1" thickBot="1" x14ac:dyDescent="0.25">
      <c r="B41" s="234"/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235"/>
      <c r="N41" s="199"/>
    </row>
    <row r="42" spans="2:14" x14ac:dyDescent="0.2">
      <c r="B42" s="220" t="s">
        <v>161</v>
      </c>
      <c r="C42" s="221"/>
      <c r="D42" s="221"/>
      <c r="E42" s="221"/>
      <c r="F42" s="221"/>
      <c r="G42" s="221"/>
      <c r="H42" s="221"/>
      <c r="I42" s="221"/>
      <c r="J42" s="221"/>
      <c r="K42" s="221"/>
      <c r="L42" s="221"/>
      <c r="M42" s="221"/>
      <c r="N42" s="222"/>
    </row>
    <row r="43" spans="2:14" ht="10" customHeight="1" x14ac:dyDescent="0.2">
      <c r="B43" s="223"/>
      <c r="C43" s="224"/>
      <c r="D43" s="224"/>
      <c r="E43" s="224"/>
      <c r="F43" s="225"/>
      <c r="H43" s="226"/>
      <c r="I43" s="226"/>
      <c r="J43" s="226"/>
      <c r="K43" s="226"/>
      <c r="L43" s="226"/>
      <c r="M43" s="226"/>
      <c r="N43" s="227"/>
    </row>
    <row r="44" spans="2:14" ht="18" customHeight="1" x14ac:dyDescent="0.2">
      <c r="B44" s="444" t="s">
        <v>162</v>
      </c>
      <c r="C44" s="445"/>
      <c r="D44" s="175"/>
      <c r="G44" s="286"/>
      <c r="I44" s="228"/>
      <c r="J44" s="228"/>
      <c r="N44" s="196"/>
    </row>
    <row r="45" spans="2:14" ht="18" customHeight="1" x14ac:dyDescent="0.2">
      <c r="B45" s="229" t="s">
        <v>158</v>
      </c>
      <c r="D45" s="175"/>
      <c r="E45" s="230"/>
      <c r="F45" s="230"/>
      <c r="G45" s="289" t="s">
        <v>176</v>
      </c>
      <c r="H45" s="232"/>
      <c r="I45" s="233"/>
      <c r="J45" s="233"/>
      <c r="N45" s="196"/>
    </row>
    <row r="46" spans="2:14" ht="18" customHeight="1" x14ac:dyDescent="0.2">
      <c r="B46" s="229" t="s">
        <v>159</v>
      </c>
      <c r="D46" s="175"/>
      <c r="E46" s="230"/>
      <c r="F46" s="230"/>
      <c r="G46" s="289" t="s">
        <v>176</v>
      </c>
      <c r="H46" s="232"/>
      <c r="I46" s="233"/>
      <c r="J46" s="233"/>
      <c r="N46" s="196"/>
    </row>
    <row r="47" spans="2:14" ht="18" customHeight="1" x14ac:dyDescent="0.2">
      <c r="B47" s="229" t="s">
        <v>160</v>
      </c>
      <c r="D47" s="230"/>
      <c r="E47" s="230"/>
      <c r="F47" s="230"/>
      <c r="G47" s="289" t="s">
        <v>176</v>
      </c>
      <c r="H47" s="232"/>
      <c r="I47" s="233"/>
      <c r="J47" s="233"/>
      <c r="N47" s="196"/>
    </row>
    <row r="48" spans="2:14" ht="8" customHeight="1" thickBot="1" x14ac:dyDescent="0.25">
      <c r="B48" s="234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235"/>
      <c r="N48" s="199"/>
    </row>
    <row r="49" spans="2:14" x14ac:dyDescent="0.2">
      <c r="B49" s="220" t="s">
        <v>163</v>
      </c>
      <c r="C49" s="221"/>
      <c r="D49" s="221"/>
      <c r="E49" s="221"/>
      <c r="F49" s="221"/>
      <c r="G49" s="221"/>
      <c r="H49" s="221"/>
      <c r="I49" s="221"/>
      <c r="J49" s="221"/>
      <c r="K49" s="221"/>
      <c r="L49" s="221"/>
      <c r="M49" s="221"/>
      <c r="N49" s="222"/>
    </row>
    <row r="50" spans="2:14" s="186" customFormat="1" x14ac:dyDescent="0.2">
      <c r="B50" s="236" t="s">
        <v>164</v>
      </c>
      <c r="C50" s="237"/>
      <c r="D50" s="237"/>
      <c r="E50" s="237"/>
      <c r="F50" s="237"/>
      <c r="G50" s="237"/>
      <c r="H50" s="238"/>
      <c r="I50" s="237" t="s">
        <v>165</v>
      </c>
      <c r="J50" s="237"/>
      <c r="K50" s="237"/>
      <c r="L50" s="237"/>
      <c r="M50" s="237"/>
      <c r="N50" s="239"/>
    </row>
    <row r="51" spans="2:14" ht="8" customHeight="1" x14ac:dyDescent="0.2">
      <c r="B51" s="223"/>
      <c r="C51" s="224"/>
      <c r="D51" s="224"/>
      <c r="E51" s="224"/>
      <c r="F51" s="225"/>
      <c r="H51" s="240"/>
      <c r="N51" s="196"/>
    </row>
    <row r="52" spans="2:14" ht="18" customHeight="1" x14ac:dyDescent="0.2">
      <c r="B52" s="241" t="s">
        <v>269</v>
      </c>
      <c r="C52" s="195"/>
      <c r="D52" s="175"/>
      <c r="E52" s="418"/>
      <c r="F52" s="419"/>
      <c r="G52" s="419"/>
      <c r="H52" s="240"/>
      <c r="I52" s="228" t="s">
        <v>271</v>
      </c>
      <c r="J52" s="242"/>
      <c r="K52" s="195"/>
      <c r="L52" s="284" t="s">
        <v>36</v>
      </c>
      <c r="M52" s="284"/>
      <c r="N52" s="196"/>
    </row>
    <row r="53" spans="2:14" ht="18" customHeight="1" x14ac:dyDescent="0.2">
      <c r="B53" s="229" t="s">
        <v>160</v>
      </c>
      <c r="D53" s="175"/>
      <c r="E53" s="243"/>
      <c r="F53" s="244"/>
      <c r="G53" s="232"/>
      <c r="H53" s="245"/>
      <c r="I53" s="228" t="s">
        <v>23</v>
      </c>
      <c r="J53" s="228"/>
      <c r="L53" s="232"/>
      <c r="M53" s="231"/>
      <c r="N53" s="246"/>
    </row>
    <row r="54" spans="2:14" ht="12" customHeight="1" x14ac:dyDescent="0.2">
      <c r="B54" s="229"/>
      <c r="D54" s="230"/>
      <c r="E54" s="247"/>
      <c r="H54" s="248"/>
      <c r="I54" s="228"/>
      <c r="J54" s="228"/>
      <c r="N54" s="196"/>
    </row>
    <row r="55" spans="2:14" ht="18" customHeight="1" x14ac:dyDescent="0.2">
      <c r="B55" s="241" t="s">
        <v>270</v>
      </c>
      <c r="C55" s="195"/>
      <c r="D55" s="249"/>
      <c r="E55" s="284" t="s">
        <v>266</v>
      </c>
      <c r="F55" s="284"/>
      <c r="G55" s="284"/>
      <c r="H55" s="240"/>
      <c r="I55" s="228" t="s">
        <v>82</v>
      </c>
      <c r="J55" s="242"/>
      <c r="K55" s="195"/>
      <c r="L55" s="284" t="s">
        <v>37</v>
      </c>
      <c r="M55" s="284"/>
      <c r="N55" s="196"/>
    </row>
    <row r="56" spans="2:14" ht="18" customHeight="1" x14ac:dyDescent="0.2">
      <c r="B56" s="229" t="s">
        <v>160</v>
      </c>
      <c r="D56" s="230"/>
      <c r="E56" s="243"/>
      <c r="F56" s="244"/>
      <c r="G56" s="232"/>
      <c r="H56" s="245"/>
      <c r="I56" s="228" t="s">
        <v>23</v>
      </c>
      <c r="J56" s="228"/>
      <c r="L56" s="232"/>
      <c r="M56" s="231"/>
      <c r="N56" s="246"/>
    </row>
    <row r="57" spans="2:14" ht="10" customHeight="1" x14ac:dyDescent="0.2">
      <c r="B57" s="234"/>
      <c r="C57" s="198"/>
      <c r="D57" s="198"/>
      <c r="E57" s="198"/>
      <c r="F57" s="198"/>
      <c r="G57" s="198"/>
      <c r="H57" s="250"/>
      <c r="I57" s="198"/>
      <c r="J57" s="198"/>
      <c r="K57" s="198"/>
      <c r="L57" s="198"/>
      <c r="M57" s="235"/>
      <c r="N57" s="199"/>
    </row>
    <row r="58" spans="2:14" s="186" customFormat="1" x14ac:dyDescent="0.2">
      <c r="B58" s="236" t="s">
        <v>166</v>
      </c>
      <c r="C58" s="237"/>
      <c r="D58" s="237"/>
      <c r="E58" s="237"/>
      <c r="F58" s="237"/>
      <c r="G58" s="237"/>
      <c r="H58" s="237"/>
      <c r="I58" s="251"/>
      <c r="J58" s="237"/>
      <c r="K58" s="237"/>
      <c r="L58" s="237"/>
      <c r="M58" s="237"/>
      <c r="N58" s="239"/>
    </row>
    <row r="59" spans="2:14" s="186" customFormat="1" ht="18" customHeight="1" x14ac:dyDescent="0.2">
      <c r="B59" s="252"/>
      <c r="C59" s="253"/>
      <c r="D59" s="253"/>
      <c r="E59" s="253"/>
      <c r="F59" s="253"/>
      <c r="G59" s="253"/>
      <c r="H59" s="253"/>
      <c r="I59" s="253"/>
      <c r="J59" s="253"/>
      <c r="K59" s="253"/>
      <c r="L59" s="253"/>
      <c r="M59" s="253"/>
      <c r="N59" s="254"/>
    </row>
    <row r="60" spans="2:14" ht="18" customHeight="1" x14ac:dyDescent="0.2">
      <c r="B60" s="229"/>
      <c r="C60" s="285"/>
      <c r="D60" s="175"/>
      <c r="E60" s="418"/>
      <c r="F60" s="419"/>
      <c r="G60" s="419"/>
      <c r="I60" s="228"/>
      <c r="J60" s="228"/>
      <c r="K60" s="173" t="s">
        <v>167</v>
      </c>
      <c r="N60" s="196"/>
    </row>
    <row r="61" spans="2:14" ht="18" customHeight="1" x14ac:dyDescent="0.2">
      <c r="B61" s="229" t="s">
        <v>160</v>
      </c>
      <c r="D61" s="175"/>
      <c r="E61" s="294"/>
      <c r="F61" s="294"/>
      <c r="G61" s="294"/>
      <c r="H61" s="232"/>
      <c r="I61" s="228"/>
      <c r="J61" s="228"/>
      <c r="N61" s="196"/>
    </row>
    <row r="62" spans="2:14" ht="18" customHeight="1" thickBot="1" x14ac:dyDescent="0.25">
      <c r="B62" s="178"/>
      <c r="C62" s="179"/>
      <c r="D62" s="179"/>
      <c r="E62" s="179"/>
      <c r="F62" s="179"/>
      <c r="G62" s="179"/>
      <c r="H62" s="179"/>
      <c r="I62" s="179"/>
      <c r="J62" s="179"/>
      <c r="K62" s="179"/>
      <c r="L62" s="179"/>
      <c r="M62" s="255"/>
      <c r="N62" s="181"/>
    </row>
    <row r="63" spans="2:14" ht="8" customHeight="1" x14ac:dyDescent="0.2">
      <c r="B63" s="256"/>
      <c r="C63" s="170"/>
      <c r="D63" s="170"/>
      <c r="E63" s="170"/>
      <c r="F63" s="170"/>
      <c r="G63" s="170"/>
      <c r="H63" s="170"/>
      <c r="I63" s="170"/>
      <c r="J63" s="170"/>
      <c r="K63" s="170"/>
      <c r="L63" s="170"/>
      <c r="M63" s="171"/>
      <c r="N63" s="257"/>
    </row>
    <row r="64" spans="2:14" x14ac:dyDescent="0.2">
      <c r="B64" s="258"/>
      <c r="C64" s="292" t="s">
        <v>177</v>
      </c>
      <c r="D64" s="173" t="s">
        <v>5</v>
      </c>
      <c r="E64" s="293" t="s">
        <v>176</v>
      </c>
      <c r="N64" s="196"/>
    </row>
    <row r="65" spans="2:14" x14ac:dyDescent="0.2">
      <c r="B65" s="258"/>
      <c r="C65" s="292" t="s">
        <v>178</v>
      </c>
      <c r="D65" s="195" t="s">
        <v>5</v>
      </c>
      <c r="E65" s="293" t="s">
        <v>175</v>
      </c>
      <c r="L65" s="195"/>
      <c r="N65" s="196"/>
    </row>
    <row r="66" spans="2:14" x14ac:dyDescent="0.2">
      <c r="B66" s="258"/>
      <c r="C66" s="292" t="s">
        <v>194</v>
      </c>
      <c r="D66" s="195" t="s">
        <v>5</v>
      </c>
      <c r="E66" s="293" t="s">
        <v>175</v>
      </c>
      <c r="N66" s="196"/>
    </row>
    <row r="67" spans="2:14" ht="15" thickBot="1" x14ac:dyDescent="0.25">
      <c r="B67" s="178"/>
      <c r="C67" s="179"/>
      <c r="D67" s="179"/>
      <c r="E67" s="179"/>
      <c r="F67" s="179"/>
      <c r="G67" s="179"/>
      <c r="H67" s="179"/>
      <c r="I67" s="179"/>
      <c r="J67" s="179"/>
      <c r="K67" s="179"/>
      <c r="L67" s="179"/>
      <c r="M67" s="179"/>
      <c r="N67" s="181"/>
    </row>
  </sheetData>
  <mergeCells count="18">
    <mergeCell ref="E6:H6"/>
    <mergeCell ref="B13:N13"/>
    <mergeCell ref="H15:M15"/>
    <mergeCell ref="C17:M17"/>
    <mergeCell ref="C18:M18"/>
    <mergeCell ref="E60:G60"/>
    <mergeCell ref="E7:H7"/>
    <mergeCell ref="B37:C37"/>
    <mergeCell ref="B44:C44"/>
    <mergeCell ref="E52:G52"/>
    <mergeCell ref="C19:M19"/>
    <mergeCell ref="C20:J20"/>
    <mergeCell ref="C28:M28"/>
    <mergeCell ref="H29:I29"/>
    <mergeCell ref="F30:F31"/>
    <mergeCell ref="G30:G31"/>
    <mergeCell ref="H30:I31"/>
    <mergeCell ref="B31:E31"/>
  </mergeCells>
  <dataValidations count="1">
    <dataValidation type="list" allowBlank="1" showInputMessage="1" showErrorMessage="1" sqref="M7" xr:uid="{2D80A6B3-8C32-40DD-BC87-BBCA8AF20655}">
      <formula1>$P$7:$P$10</formula1>
    </dataValidation>
  </dataValidations>
  <printOptions horizontalCentered="1"/>
  <pageMargins left="0.41" right="0.3" top="0.54" bottom="0.3" header="0.36" footer="0.01"/>
  <pageSetup paperSize="9" scale="62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7957D-8791-4F62-B1DF-517C5E71C87A}">
  <dimension ref="A1:P52"/>
  <sheetViews>
    <sheetView view="pageBreakPreview" zoomScale="115" zoomScaleNormal="100" zoomScaleSheetLayoutView="115" zoomScalePageLayoutView="70" workbookViewId="0">
      <selection activeCell="E48" sqref="E48"/>
    </sheetView>
  </sheetViews>
  <sheetFormatPr baseColWidth="10" defaultColWidth="8.83203125" defaultRowHeight="15" x14ac:dyDescent="0.2"/>
  <cols>
    <col min="1" max="1" width="8.6640625" customWidth="1"/>
    <col min="2" max="2" width="3.6640625" customWidth="1"/>
    <col min="3" max="3" width="7.6640625" customWidth="1"/>
    <col min="4" max="9" width="8.33203125" customWidth="1"/>
    <col min="10" max="10" width="8.6640625" customWidth="1"/>
    <col min="11" max="11" width="5" customWidth="1"/>
    <col min="12" max="12" width="13.5" customWidth="1"/>
    <col min="13" max="13" width="10.5" bestFit="1" customWidth="1"/>
    <col min="14" max="14" width="10" bestFit="1" customWidth="1"/>
  </cols>
  <sheetData>
    <row r="1" spans="1:12" ht="16" x14ac:dyDescent="0.2">
      <c r="A1" t="s">
        <v>188</v>
      </c>
      <c r="L1" s="297" t="s">
        <v>192</v>
      </c>
    </row>
    <row r="2" spans="1:12" x14ac:dyDescent="0.2">
      <c r="A2" t="s">
        <v>189</v>
      </c>
    </row>
    <row r="3" spans="1:12" x14ac:dyDescent="0.2">
      <c r="A3" t="s">
        <v>190</v>
      </c>
    </row>
    <row r="4" spans="1:12" x14ac:dyDescent="0.2">
      <c r="A4" t="s">
        <v>191</v>
      </c>
    </row>
    <row r="5" spans="1:12" ht="16" thickBot="1" x14ac:dyDescent="0.25"/>
    <row r="6" spans="1:12" ht="16" thickTop="1" x14ac:dyDescent="0.2">
      <c r="A6" s="60"/>
      <c r="B6" s="60"/>
      <c r="C6" s="60"/>
      <c r="D6" s="60"/>
      <c r="E6" s="60"/>
      <c r="F6" s="60"/>
      <c r="G6" s="60"/>
      <c r="H6" s="60"/>
      <c r="I6" s="60"/>
      <c r="J6" s="60"/>
      <c r="K6" s="61"/>
      <c r="L6" s="61"/>
    </row>
    <row r="7" spans="1:12" hidden="1" x14ac:dyDescent="0.2">
      <c r="A7" s="520" t="s">
        <v>46</v>
      </c>
      <c r="B7" s="520"/>
      <c r="C7" s="520"/>
      <c r="D7" s="520"/>
      <c r="E7" s="520"/>
      <c r="F7" s="520"/>
      <c r="G7" s="520"/>
      <c r="H7" s="520"/>
      <c r="I7" s="520"/>
      <c r="J7" s="520"/>
      <c r="K7" s="520"/>
      <c r="L7" s="520"/>
    </row>
    <row r="8" spans="1:12" x14ac:dyDescent="0.2">
      <c r="A8" s="521" t="s">
        <v>47</v>
      </c>
      <c r="B8" s="521"/>
      <c r="C8" s="521"/>
      <c r="D8" s="521"/>
      <c r="E8" s="521"/>
      <c r="F8" s="521"/>
      <c r="G8" s="521"/>
      <c r="H8" s="521"/>
      <c r="I8" s="521"/>
      <c r="J8" s="521"/>
      <c r="K8" s="521"/>
      <c r="L8" s="521"/>
    </row>
    <row r="9" spans="1:12" ht="8.25" customHeight="1" x14ac:dyDescent="0.2">
      <c r="A9" s="522"/>
      <c r="B9" s="523"/>
      <c r="C9" s="523"/>
      <c r="D9" s="523"/>
      <c r="E9" s="523"/>
      <c r="F9" s="523"/>
      <c r="G9" s="523"/>
      <c r="H9" s="523"/>
      <c r="I9" s="523"/>
      <c r="J9" s="523"/>
      <c r="K9" s="523"/>
      <c r="L9" s="524"/>
    </row>
    <row r="10" spans="1:12" x14ac:dyDescent="0.2">
      <c r="A10" s="62" t="s">
        <v>48</v>
      </c>
      <c r="B10" s="63"/>
      <c r="C10" s="63"/>
      <c r="D10" s="525"/>
      <c r="E10" s="525"/>
      <c r="F10" s="525"/>
      <c r="G10" s="64" t="s">
        <v>49</v>
      </c>
      <c r="H10" s="63"/>
      <c r="I10" s="63"/>
      <c r="J10" s="526"/>
      <c r="K10" s="526"/>
      <c r="L10" s="527"/>
    </row>
    <row r="11" spans="1:12" x14ac:dyDescent="0.2">
      <c r="A11" s="65" t="s">
        <v>50</v>
      </c>
      <c r="B11" s="63"/>
      <c r="C11" s="63"/>
      <c r="D11" s="99"/>
      <c r="E11" s="99"/>
      <c r="F11" s="99"/>
      <c r="G11" s="64" t="s">
        <v>51</v>
      </c>
      <c r="H11" s="63"/>
      <c r="I11" s="63"/>
      <c r="J11" s="528"/>
      <c r="K11" s="528"/>
      <c r="L11" s="529"/>
    </row>
    <row r="12" spans="1:12" x14ac:dyDescent="0.2">
      <c r="A12" s="65" t="s">
        <v>52</v>
      </c>
      <c r="B12" s="63"/>
      <c r="C12" s="63"/>
      <c r="D12" s="99"/>
      <c r="E12" s="99"/>
      <c r="F12" s="99"/>
      <c r="G12" s="530" t="s">
        <v>53</v>
      </c>
      <c r="H12" s="530"/>
      <c r="I12" s="530"/>
      <c r="J12" s="531"/>
      <c r="K12" s="531"/>
      <c r="L12" s="532"/>
    </row>
    <row r="13" spans="1:12" x14ac:dyDescent="0.2">
      <c r="A13" s="65" t="s">
        <v>54</v>
      </c>
      <c r="B13" s="63"/>
      <c r="C13" s="63"/>
      <c r="D13" s="311" t="s">
        <v>196</v>
      </c>
      <c r="E13" s="312"/>
      <c r="F13" s="312"/>
      <c r="G13" s="64" t="s">
        <v>55</v>
      </c>
      <c r="H13" s="63"/>
      <c r="I13" s="63"/>
      <c r="J13" s="533"/>
      <c r="K13" s="533"/>
      <c r="L13" s="534"/>
    </row>
    <row r="14" spans="1:12" x14ac:dyDescent="0.2">
      <c r="A14" s="65" t="s">
        <v>56</v>
      </c>
      <c r="B14" s="63"/>
      <c r="C14" s="63"/>
      <c r="D14" s="535" t="s">
        <v>199</v>
      </c>
      <c r="E14" s="536"/>
      <c r="F14" s="536"/>
      <c r="G14" s="64" t="s">
        <v>57</v>
      </c>
      <c r="H14" s="63"/>
      <c r="I14" s="63"/>
      <c r="J14" s="537"/>
      <c r="K14" s="537"/>
      <c r="L14" s="538"/>
    </row>
    <row r="15" spans="1:12" x14ac:dyDescent="0.2">
      <c r="A15" s="67" t="s">
        <v>58</v>
      </c>
      <c r="B15" s="63"/>
      <c r="C15" s="63"/>
      <c r="D15" s="516"/>
      <c r="E15" s="516"/>
      <c r="F15" s="516"/>
      <c r="G15" s="517" t="s">
        <v>195</v>
      </c>
      <c r="H15" s="517"/>
      <c r="I15" s="517"/>
      <c r="J15" s="518">
        <v>1</v>
      </c>
      <c r="K15" s="518"/>
      <c r="L15" s="519"/>
    </row>
    <row r="16" spans="1:12" x14ac:dyDescent="0.2">
      <c r="A16" s="500" t="s">
        <v>59</v>
      </c>
      <c r="B16" s="501"/>
      <c r="C16" s="501"/>
      <c r="D16" s="501"/>
      <c r="E16" s="501"/>
      <c r="F16" s="501"/>
      <c r="G16" s="501"/>
      <c r="H16" s="501"/>
      <c r="I16" s="501"/>
      <c r="J16" s="501"/>
      <c r="K16" s="501"/>
      <c r="L16" s="502"/>
    </row>
    <row r="17" spans="1:16" x14ac:dyDescent="0.2">
      <c r="A17" s="503" t="s">
        <v>60</v>
      </c>
      <c r="B17" s="503"/>
      <c r="C17" s="504" t="s">
        <v>198</v>
      </c>
      <c r="D17" s="505"/>
      <c r="E17" s="505"/>
      <c r="F17" s="505"/>
      <c r="G17" s="505"/>
      <c r="H17" s="68"/>
      <c r="I17" s="68"/>
      <c r="J17" s="68" t="s">
        <v>61</v>
      </c>
      <c r="K17" s="69"/>
      <c r="L17" s="313"/>
    </row>
    <row r="18" spans="1:16" x14ac:dyDescent="0.2">
      <c r="A18" s="503"/>
      <c r="B18" s="503"/>
      <c r="C18" s="71" t="s">
        <v>62</v>
      </c>
      <c r="D18" s="66"/>
      <c r="E18" s="66"/>
      <c r="F18" s="66"/>
      <c r="G18" s="66"/>
      <c r="H18" s="68"/>
      <c r="I18" s="68"/>
      <c r="J18" s="68" t="s">
        <v>61</v>
      </c>
      <c r="K18" s="69"/>
      <c r="L18" s="313">
        <v>0</v>
      </c>
    </row>
    <row r="19" spans="1:16" x14ac:dyDescent="0.2">
      <c r="A19" s="503"/>
      <c r="B19" s="503"/>
      <c r="C19" s="72" t="s">
        <v>63</v>
      </c>
      <c r="D19" s="73"/>
      <c r="E19" s="73"/>
      <c r="F19" s="73"/>
      <c r="G19" s="73"/>
      <c r="H19" s="74"/>
      <c r="I19" s="74"/>
      <c r="J19" s="74" t="s">
        <v>61</v>
      </c>
      <c r="K19" s="69"/>
      <c r="L19" s="328"/>
      <c r="M19" t="s">
        <v>200</v>
      </c>
    </row>
    <row r="20" spans="1:16" x14ac:dyDescent="0.2">
      <c r="A20" s="503"/>
      <c r="B20" s="503"/>
      <c r="C20" s="506" t="s">
        <v>64</v>
      </c>
      <c r="D20" s="507"/>
      <c r="E20" s="507"/>
      <c r="F20" s="507"/>
      <c r="G20" s="507"/>
      <c r="H20" s="68"/>
      <c r="I20" s="68"/>
      <c r="J20" s="68" t="s">
        <v>65</v>
      </c>
      <c r="K20" s="75"/>
      <c r="L20" s="315" t="str">
        <f>IF(ISBLANK(L17),"",(L18+L19)/L17)</f>
        <v/>
      </c>
      <c r="M20" t="s">
        <v>201</v>
      </c>
      <c r="N20" s="314" t="s">
        <v>202</v>
      </c>
      <c r="O20">
        <v>17</v>
      </c>
      <c r="P20" t="s">
        <v>216</v>
      </c>
    </row>
    <row r="21" spans="1:16" x14ac:dyDescent="0.2">
      <c r="A21" s="503"/>
      <c r="B21" s="503"/>
      <c r="C21" s="71" t="s">
        <v>66</v>
      </c>
      <c r="D21" s="66"/>
      <c r="E21" s="66"/>
      <c r="F21" s="66"/>
      <c r="G21" s="66"/>
      <c r="H21" s="68"/>
      <c r="I21" s="68"/>
      <c r="J21" s="68" t="s">
        <v>61</v>
      </c>
      <c r="K21" s="69"/>
      <c r="L21" s="313">
        <f>L17+L18+L19</f>
        <v>0</v>
      </c>
      <c r="M21" t="s">
        <v>203</v>
      </c>
    </row>
    <row r="22" spans="1:16" x14ac:dyDescent="0.2">
      <c r="A22" s="503"/>
      <c r="B22" s="503"/>
      <c r="C22" s="71" t="s">
        <v>67</v>
      </c>
      <c r="D22" s="66"/>
      <c r="E22" s="66"/>
      <c r="F22" s="66"/>
      <c r="G22" s="66"/>
      <c r="H22" s="76"/>
      <c r="I22" s="76" t="s">
        <v>68</v>
      </c>
      <c r="J22" s="100"/>
      <c r="K22" s="69"/>
      <c r="L22" s="70"/>
      <c r="M22" t="s">
        <v>96</v>
      </c>
    </row>
    <row r="23" spans="1:16" x14ac:dyDescent="0.2">
      <c r="A23" s="503" t="s">
        <v>69</v>
      </c>
      <c r="B23" s="503"/>
      <c r="C23" s="71" t="s">
        <v>70</v>
      </c>
      <c r="D23" s="66"/>
      <c r="E23" s="66"/>
      <c r="F23" s="66"/>
      <c r="G23" s="66"/>
      <c r="H23" s="76" t="s">
        <v>71</v>
      </c>
      <c r="I23" s="101">
        <v>43831</v>
      </c>
      <c r="J23" s="77" t="s">
        <v>72</v>
      </c>
      <c r="K23" s="508">
        <v>44197</v>
      </c>
      <c r="L23" s="509"/>
      <c r="N23" s="78">
        <f>+K23-I23+1</f>
        <v>367</v>
      </c>
      <c r="O23">
        <v>100</v>
      </c>
    </row>
    <row r="24" spans="1:16" x14ac:dyDescent="0.2">
      <c r="A24" s="503"/>
      <c r="B24" s="503"/>
      <c r="C24" s="71" t="s">
        <v>73</v>
      </c>
      <c r="D24" s="66"/>
      <c r="E24" s="66"/>
      <c r="F24" s="66"/>
      <c r="G24" s="66"/>
      <c r="H24" s="76" t="s">
        <v>71</v>
      </c>
      <c r="I24" s="329">
        <f>+K23+1</f>
        <v>44198</v>
      </c>
      <c r="J24" s="77" t="s">
        <v>72</v>
      </c>
      <c r="K24" s="510">
        <f>+I24+30</f>
        <v>44228</v>
      </c>
      <c r="L24" s="511"/>
      <c r="N24" s="78">
        <f>+K24-I24+1</f>
        <v>31</v>
      </c>
      <c r="O24">
        <v>50</v>
      </c>
    </row>
    <row r="25" spans="1:16" x14ac:dyDescent="0.2">
      <c r="A25" s="503"/>
      <c r="B25" s="503"/>
      <c r="C25" s="71" t="s">
        <v>74</v>
      </c>
      <c r="D25" s="66"/>
      <c r="E25" s="66"/>
      <c r="F25" s="66"/>
      <c r="G25" s="66"/>
      <c r="H25" s="76" t="s">
        <v>71</v>
      </c>
      <c r="I25" s="316">
        <f>+K24+1</f>
        <v>44229</v>
      </c>
      <c r="J25" s="77" t="s">
        <v>72</v>
      </c>
      <c r="K25" s="512">
        <f>+I25+50</f>
        <v>44279</v>
      </c>
      <c r="L25" s="513"/>
      <c r="M25">
        <v>0</v>
      </c>
      <c r="N25" s="78">
        <f>+K25-I25+1</f>
        <v>51</v>
      </c>
      <c r="O25">
        <v>12</v>
      </c>
    </row>
    <row r="26" spans="1:16" x14ac:dyDescent="0.2">
      <c r="A26" s="503"/>
      <c r="B26" s="503"/>
      <c r="C26" s="506" t="s">
        <v>75</v>
      </c>
      <c r="D26" s="507"/>
      <c r="E26" s="507"/>
      <c r="F26" s="507"/>
      <c r="G26" s="507"/>
      <c r="H26" s="79" t="s">
        <v>65</v>
      </c>
      <c r="I26" s="514">
        <f>+(N25+N24)/N23</f>
        <v>0.22343324250681199</v>
      </c>
      <c r="J26" s="514"/>
      <c r="K26" s="514"/>
      <c r="L26" s="515"/>
      <c r="M26" s="78">
        <f>+K25-K23</f>
        <v>82</v>
      </c>
      <c r="N26" s="78">
        <f>+K23-I23</f>
        <v>366</v>
      </c>
      <c r="O26" s="330">
        <f>+M26/N26</f>
        <v>0.22404371584699453</v>
      </c>
    </row>
    <row r="27" spans="1:16" x14ac:dyDescent="0.2">
      <c r="A27" s="503"/>
      <c r="B27" s="503"/>
      <c r="C27" s="71" t="s">
        <v>76</v>
      </c>
      <c r="D27" s="66"/>
      <c r="E27" s="66"/>
      <c r="F27" s="66"/>
      <c r="G27" s="66"/>
      <c r="H27" s="76" t="s">
        <v>71</v>
      </c>
      <c r="I27" s="101">
        <f>I23</f>
        <v>43831</v>
      </c>
      <c r="J27" s="77" t="s">
        <v>72</v>
      </c>
      <c r="K27" s="508">
        <f>K25</f>
        <v>44279</v>
      </c>
      <c r="L27" s="509"/>
    </row>
    <row r="28" spans="1:16" x14ac:dyDescent="0.2">
      <c r="A28" s="494" t="s">
        <v>77</v>
      </c>
      <c r="B28" s="495"/>
      <c r="C28" s="481" t="s">
        <v>183</v>
      </c>
      <c r="D28" s="481"/>
      <c r="E28" s="481"/>
      <c r="F28" s="481"/>
      <c r="G28" s="481"/>
      <c r="H28" s="481"/>
      <c r="I28" s="481"/>
      <c r="J28" s="481"/>
      <c r="K28" s="481"/>
      <c r="L28" s="482"/>
    </row>
    <row r="29" spans="1:16" ht="64.25" customHeight="1" x14ac:dyDescent="0.2">
      <c r="A29" s="496"/>
      <c r="B29" s="497"/>
      <c r="C29" s="483"/>
      <c r="D29" s="483"/>
      <c r="E29" s="483"/>
      <c r="F29" s="483"/>
      <c r="G29" s="483"/>
      <c r="H29" s="483"/>
      <c r="I29" s="483"/>
      <c r="J29" s="483"/>
      <c r="K29" s="483"/>
      <c r="L29" s="484"/>
    </row>
    <row r="30" spans="1:16" ht="47.5" customHeight="1" x14ac:dyDescent="0.2">
      <c r="A30" s="485" t="s">
        <v>182</v>
      </c>
      <c r="B30" s="486"/>
      <c r="C30" s="486"/>
      <c r="D30" s="486"/>
      <c r="E30" s="486"/>
      <c r="F30" s="486"/>
      <c r="G30" s="486"/>
      <c r="H30" s="486"/>
      <c r="I30" s="486"/>
      <c r="J30" s="486"/>
      <c r="K30" s="486"/>
      <c r="L30" s="487"/>
    </row>
    <row r="31" spans="1:16" x14ac:dyDescent="0.2">
      <c r="A31" s="308" t="s">
        <v>197</v>
      </c>
      <c r="B31" s="498"/>
      <c r="C31" s="498"/>
      <c r="D31" s="498"/>
      <c r="E31" s="498"/>
      <c r="F31" s="498"/>
      <c r="G31" s="498"/>
      <c r="H31" s="498"/>
      <c r="I31" s="498"/>
      <c r="J31" s="498"/>
      <c r="K31" s="498"/>
      <c r="L31" s="499"/>
    </row>
    <row r="32" spans="1:16" x14ac:dyDescent="0.2">
      <c r="A32" s="308" t="s">
        <v>204</v>
      </c>
      <c r="B32" s="309"/>
      <c r="C32" s="309"/>
      <c r="D32" s="309"/>
      <c r="E32" s="309"/>
      <c r="F32" s="309"/>
      <c r="G32" s="309"/>
      <c r="H32" s="309"/>
      <c r="I32" s="309"/>
      <c r="J32" s="309"/>
      <c r="K32" s="309"/>
      <c r="L32" s="310"/>
    </row>
    <row r="33" spans="1:13" x14ac:dyDescent="0.2">
      <c r="A33" s="476" t="s">
        <v>78</v>
      </c>
      <c r="B33" s="477"/>
      <c r="C33" s="477"/>
      <c r="D33" s="477"/>
      <c r="E33" s="477"/>
      <c r="F33" s="477"/>
      <c r="G33" s="477"/>
      <c r="H33" s="477"/>
      <c r="I33" s="477"/>
      <c r="J33" s="477"/>
      <c r="K33" s="477"/>
      <c r="L33" s="478"/>
    </row>
    <row r="34" spans="1:13" x14ac:dyDescent="0.2">
      <c r="A34" s="80" t="s">
        <v>79</v>
      </c>
      <c r="B34" s="81"/>
      <c r="C34" s="82"/>
      <c r="D34" s="83"/>
      <c r="E34" s="84"/>
      <c r="F34" s="85"/>
      <c r="G34" s="80" t="s">
        <v>80</v>
      </c>
      <c r="H34" s="81"/>
      <c r="I34" s="82"/>
      <c r="J34" s="80"/>
      <c r="K34" s="81"/>
      <c r="L34" s="82"/>
      <c r="M34" s="86"/>
    </row>
    <row r="35" spans="1:13" x14ac:dyDescent="0.2">
      <c r="A35" s="87" t="s">
        <v>81</v>
      </c>
      <c r="B35" s="88"/>
      <c r="C35" s="89"/>
      <c r="D35" s="87" t="s">
        <v>82</v>
      </c>
      <c r="E35" s="88"/>
      <c r="F35" s="89"/>
      <c r="G35" s="87" t="s">
        <v>83</v>
      </c>
      <c r="H35" s="88"/>
      <c r="I35" s="89"/>
      <c r="J35" s="87" t="s">
        <v>82</v>
      </c>
      <c r="K35" s="88"/>
      <c r="L35" s="89"/>
      <c r="M35" s="86"/>
    </row>
    <row r="36" spans="1:13" ht="14.5" customHeight="1" x14ac:dyDescent="0.2">
      <c r="A36" s="65" t="s">
        <v>84</v>
      </c>
      <c r="B36" s="490"/>
      <c r="C36" s="491"/>
      <c r="D36" s="65" t="s">
        <v>84</v>
      </c>
      <c r="E36" s="492" t="s">
        <v>85</v>
      </c>
      <c r="F36" s="493"/>
      <c r="G36" s="65" t="s">
        <v>84</v>
      </c>
      <c r="H36" s="492" t="s">
        <v>86</v>
      </c>
      <c r="I36" s="493"/>
      <c r="J36" s="65" t="s">
        <v>84</v>
      </c>
      <c r="K36" s="492" t="s">
        <v>37</v>
      </c>
      <c r="L36" s="493"/>
    </row>
    <row r="37" spans="1:13" x14ac:dyDescent="0.2">
      <c r="A37" s="65" t="s">
        <v>87</v>
      </c>
      <c r="B37" s="63"/>
      <c r="C37" s="90"/>
      <c r="D37" s="65" t="s">
        <v>87</v>
      </c>
      <c r="E37" s="488"/>
      <c r="F37" s="489"/>
      <c r="G37" s="65" t="s">
        <v>87</v>
      </c>
      <c r="H37" s="488"/>
      <c r="I37" s="489"/>
      <c r="J37" s="65" t="s">
        <v>87</v>
      </c>
      <c r="K37" s="488"/>
      <c r="L37" s="489"/>
    </row>
    <row r="38" spans="1:13" x14ac:dyDescent="0.2">
      <c r="A38" s="72" t="s">
        <v>88</v>
      </c>
      <c r="B38" s="467"/>
      <c r="C38" s="468"/>
      <c r="D38" s="72" t="s">
        <v>88</v>
      </c>
      <c r="E38" s="467"/>
      <c r="F38" s="468"/>
      <c r="G38" s="72" t="s">
        <v>88</v>
      </c>
      <c r="H38" s="467"/>
      <c r="I38" s="468"/>
      <c r="J38" s="72" t="s">
        <v>88</v>
      </c>
      <c r="K38" s="467"/>
      <c r="L38" s="468"/>
    </row>
    <row r="39" spans="1:13" x14ac:dyDescent="0.2">
      <c r="A39" s="476" t="s">
        <v>89</v>
      </c>
      <c r="B39" s="477"/>
      <c r="C39" s="477"/>
      <c r="D39" s="477"/>
      <c r="E39" s="477"/>
      <c r="F39" s="477"/>
      <c r="G39" s="477"/>
      <c r="H39" s="477"/>
      <c r="I39" s="477"/>
      <c r="J39" s="477"/>
      <c r="K39" s="477"/>
      <c r="L39" s="478"/>
    </row>
    <row r="40" spans="1:13" ht="14.5" customHeight="1" x14ac:dyDescent="0.2">
      <c r="A40" s="469" t="s">
        <v>90</v>
      </c>
      <c r="B40" s="469"/>
      <c r="C40" s="469"/>
      <c r="D40" s="469"/>
      <c r="E40" s="469"/>
      <c r="F40" s="470" t="s">
        <v>87</v>
      </c>
      <c r="G40" s="471"/>
      <c r="H40" s="471"/>
      <c r="I40" s="91"/>
      <c r="J40" s="92" t="s">
        <v>91</v>
      </c>
      <c r="K40" s="93"/>
      <c r="L40" s="94"/>
    </row>
    <row r="41" spans="1:13" x14ac:dyDescent="0.2">
      <c r="A41" s="469"/>
      <c r="B41" s="469"/>
      <c r="C41" s="469"/>
      <c r="D41" s="469"/>
      <c r="E41" s="469"/>
      <c r="F41" s="479"/>
      <c r="G41" s="480"/>
      <c r="H41" s="64"/>
      <c r="I41" s="90"/>
      <c r="J41" s="65" t="s">
        <v>92</v>
      </c>
      <c r="K41" s="63"/>
      <c r="L41" s="95"/>
    </row>
    <row r="42" spans="1:13" x14ac:dyDescent="0.2">
      <c r="A42" s="469"/>
      <c r="B42" s="469"/>
      <c r="C42" s="469"/>
      <c r="D42" s="469"/>
      <c r="E42" s="469"/>
      <c r="F42" s="474" t="s">
        <v>49</v>
      </c>
      <c r="G42" s="475"/>
      <c r="H42" s="475"/>
      <c r="I42" s="96"/>
      <c r="J42" s="72" t="s">
        <v>93</v>
      </c>
      <c r="K42" s="73"/>
      <c r="L42" s="97"/>
    </row>
    <row r="43" spans="1:13" x14ac:dyDescent="0.2">
      <c r="A43" s="476" t="s">
        <v>94</v>
      </c>
      <c r="B43" s="477"/>
      <c r="C43" s="477"/>
      <c r="D43" s="477"/>
      <c r="E43" s="477"/>
      <c r="F43" s="477"/>
      <c r="G43" s="477"/>
      <c r="H43" s="477"/>
      <c r="I43" s="477"/>
      <c r="J43" s="477"/>
      <c r="K43" s="477"/>
      <c r="L43" s="478"/>
    </row>
    <row r="44" spans="1:13" ht="14.5" customHeight="1" x14ac:dyDescent="0.2">
      <c r="A44" s="469" t="s">
        <v>95</v>
      </c>
      <c r="B44" s="469"/>
      <c r="C44" s="469"/>
      <c r="D44" s="469"/>
      <c r="E44" s="469"/>
      <c r="F44" s="470" t="s">
        <v>87</v>
      </c>
      <c r="G44" s="471"/>
      <c r="H44" s="471"/>
      <c r="I44" s="91"/>
      <c r="J44" s="64" t="s">
        <v>92</v>
      </c>
      <c r="K44" s="63"/>
      <c r="L44" s="95"/>
    </row>
    <row r="45" spans="1:13" x14ac:dyDescent="0.2">
      <c r="A45" s="469"/>
      <c r="B45" s="469"/>
      <c r="C45" s="469"/>
      <c r="D45" s="469"/>
      <c r="E45" s="469"/>
      <c r="F45" s="472"/>
      <c r="G45" s="473"/>
      <c r="H45" s="473"/>
      <c r="I45" s="90"/>
      <c r="J45" s="64"/>
      <c r="K45" s="63"/>
      <c r="L45" s="95"/>
    </row>
    <row r="46" spans="1:13" x14ac:dyDescent="0.2">
      <c r="A46" s="469"/>
      <c r="B46" s="469"/>
      <c r="C46" s="469"/>
      <c r="D46" s="469"/>
      <c r="E46" s="469"/>
      <c r="F46" s="474" t="s">
        <v>49</v>
      </c>
      <c r="G46" s="475"/>
      <c r="H46" s="475"/>
      <c r="I46" s="96"/>
      <c r="J46" s="98" t="s">
        <v>93</v>
      </c>
      <c r="K46" s="73"/>
      <c r="L46" s="97"/>
    </row>
    <row r="50" spans="1:1" x14ac:dyDescent="0.2">
      <c r="A50" t="s">
        <v>217</v>
      </c>
    </row>
    <row r="51" spans="1:1" x14ac:dyDescent="0.2">
      <c r="A51" t="s">
        <v>218</v>
      </c>
    </row>
    <row r="52" spans="1:1" x14ac:dyDescent="0.2">
      <c r="A52" t="s">
        <v>219</v>
      </c>
    </row>
  </sheetData>
  <sheetProtection formatCells="0" selectLockedCells="1" selectUnlockedCells="1"/>
  <mergeCells count="50">
    <mergeCell ref="D15:F15"/>
    <mergeCell ref="G15:I15"/>
    <mergeCell ref="J15:L15"/>
    <mergeCell ref="A7:L7"/>
    <mergeCell ref="A8:L8"/>
    <mergeCell ref="A9:L9"/>
    <mergeCell ref="D10:F10"/>
    <mergeCell ref="J10:L10"/>
    <mergeCell ref="J11:L11"/>
    <mergeCell ref="G12:I12"/>
    <mergeCell ref="J12:L12"/>
    <mergeCell ref="J13:L13"/>
    <mergeCell ref="D14:F14"/>
    <mergeCell ref="J14:L14"/>
    <mergeCell ref="A16:L16"/>
    <mergeCell ref="A17:B22"/>
    <mergeCell ref="C17:G17"/>
    <mergeCell ref="C20:G20"/>
    <mergeCell ref="A23:B27"/>
    <mergeCell ref="K23:L23"/>
    <mergeCell ref="K24:L24"/>
    <mergeCell ref="K25:L25"/>
    <mergeCell ref="C26:G26"/>
    <mergeCell ref="I26:L26"/>
    <mergeCell ref="K27:L27"/>
    <mergeCell ref="C28:L29"/>
    <mergeCell ref="A30:L30"/>
    <mergeCell ref="A33:L33"/>
    <mergeCell ref="E37:F37"/>
    <mergeCell ref="H37:I37"/>
    <mergeCell ref="K37:L37"/>
    <mergeCell ref="B36:C36"/>
    <mergeCell ref="E36:F36"/>
    <mergeCell ref="H36:I36"/>
    <mergeCell ref="K36:L36"/>
    <mergeCell ref="A28:B29"/>
    <mergeCell ref="B31:L31"/>
    <mergeCell ref="B38:C38"/>
    <mergeCell ref="E38:F38"/>
    <mergeCell ref="H38:I38"/>
    <mergeCell ref="K38:L38"/>
    <mergeCell ref="A44:E46"/>
    <mergeCell ref="F44:H45"/>
    <mergeCell ref="F46:H46"/>
    <mergeCell ref="A39:L39"/>
    <mergeCell ref="A40:E42"/>
    <mergeCell ref="F40:H40"/>
    <mergeCell ref="F41:G41"/>
    <mergeCell ref="F42:H42"/>
    <mergeCell ref="A43:L43"/>
  </mergeCells>
  <pageMargins left="0.6" right="0.5" top="1.3854166666666701" bottom="0.75" header="0.3" footer="0.3"/>
  <pageSetup paperSize="9" scale="93" fitToHeight="0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Check Box 1">
              <controlPr defaultSize="0" autoFill="0" autoLine="0" autoPict="0">
                <anchor moveWithCells="1">
                  <from>
                    <xdr:col>11</xdr:col>
                    <xdr:colOff>406400</xdr:colOff>
                    <xdr:row>38</xdr:row>
                    <xdr:rowOff>177800</xdr:rowOff>
                  </from>
                  <to>
                    <xdr:col>11</xdr:col>
                    <xdr:colOff>596900</xdr:colOff>
                    <xdr:row>40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Check Box 2">
              <controlPr defaultSize="0" autoFill="0" autoLine="0" autoPict="0">
                <anchor moveWithCells="1">
                  <from>
                    <xdr:col>11</xdr:col>
                    <xdr:colOff>406400</xdr:colOff>
                    <xdr:row>44</xdr:row>
                    <xdr:rowOff>165100</xdr:rowOff>
                  </from>
                  <to>
                    <xdr:col>11</xdr:col>
                    <xdr:colOff>660400</xdr:colOff>
                    <xdr:row>46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Check Box 3">
              <controlPr defaultSize="0" autoFill="0" autoLine="0" autoPict="0">
                <anchor moveWithCells="1">
                  <from>
                    <xdr:col>11</xdr:col>
                    <xdr:colOff>406400</xdr:colOff>
                    <xdr:row>43</xdr:row>
                    <xdr:rowOff>12700</xdr:rowOff>
                  </from>
                  <to>
                    <xdr:col>11</xdr:col>
                    <xdr:colOff>609600</xdr:colOff>
                    <xdr:row>44</xdr:row>
                    <xdr:rowOff>25400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Check Box 4">
              <controlPr defaultSize="0" autoFill="0" autoLine="0" autoPict="0">
                <anchor moveWithCells="1">
                  <from>
                    <xdr:col>11</xdr:col>
                    <xdr:colOff>406400</xdr:colOff>
                    <xdr:row>41</xdr:row>
                    <xdr:rowOff>0</xdr:rowOff>
                  </from>
                  <to>
                    <xdr:col>11</xdr:col>
                    <xdr:colOff>635000</xdr:colOff>
                    <xdr:row>42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Check Box 5">
              <controlPr defaultSize="0" autoFill="0" autoLine="0" autoPict="0">
                <anchor moveWithCells="1">
                  <from>
                    <xdr:col>11</xdr:col>
                    <xdr:colOff>406400</xdr:colOff>
                    <xdr:row>39</xdr:row>
                    <xdr:rowOff>152400</xdr:rowOff>
                  </from>
                  <to>
                    <xdr:col>11</xdr:col>
                    <xdr:colOff>635000</xdr:colOff>
                    <xdr:row>40</xdr:row>
                    <xdr:rowOff>165100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91D7F-BCA4-4507-883F-791BD853EC89}">
  <dimension ref="B1:J60"/>
  <sheetViews>
    <sheetView tabSelected="1" view="pageBreakPreview" topLeftCell="A29" zoomScale="115" zoomScaleNormal="100" zoomScaleSheetLayoutView="115" workbookViewId="0">
      <selection activeCell="B59" sqref="B59:D59"/>
    </sheetView>
  </sheetViews>
  <sheetFormatPr baseColWidth="10" defaultColWidth="8.83203125" defaultRowHeight="15" x14ac:dyDescent="0.2"/>
  <cols>
    <col min="2" max="2" width="18.5" customWidth="1"/>
    <col min="3" max="3" width="11.83203125" customWidth="1"/>
    <col min="4" max="4" width="8.6640625" customWidth="1"/>
    <col min="5" max="5" width="17.83203125" customWidth="1"/>
    <col min="6" max="6" width="13.1640625" customWidth="1"/>
    <col min="7" max="7" width="12" customWidth="1"/>
    <col min="8" max="8" width="14.5" customWidth="1"/>
    <col min="9" max="9" width="5.33203125" customWidth="1"/>
  </cols>
  <sheetData>
    <row r="1" spans="2:10" ht="16" x14ac:dyDescent="0.2">
      <c r="B1" s="300"/>
      <c r="C1" s="300"/>
      <c r="E1" s="299"/>
      <c r="F1" s="539" t="s">
        <v>193</v>
      </c>
      <c r="G1" s="539"/>
      <c r="H1" s="539"/>
      <c r="I1" s="539"/>
    </row>
    <row r="2" spans="2:10" ht="15" customHeight="1" x14ac:dyDescent="0.2">
      <c r="B2" s="300"/>
      <c r="C2" s="301"/>
      <c r="E2" s="299"/>
      <c r="F2" s="299"/>
      <c r="G2" s="299"/>
      <c r="H2" s="299"/>
      <c r="I2" s="299"/>
    </row>
    <row r="3" spans="2:10" x14ac:dyDescent="0.2">
      <c r="B3" s="300"/>
      <c r="C3" s="302"/>
      <c r="H3" s="298"/>
      <c r="I3" s="111"/>
    </row>
    <row r="4" spans="2:10" ht="16" thickBot="1" x14ac:dyDescent="0.25">
      <c r="B4" s="303"/>
      <c r="C4" s="303"/>
      <c r="D4" s="304"/>
      <c r="E4" s="304"/>
      <c r="F4" s="304"/>
      <c r="G4" s="304"/>
      <c r="H4" s="305"/>
      <c r="I4" s="306"/>
    </row>
    <row r="5" spans="2:10" ht="17" thickTop="1" thickBot="1" x14ac:dyDescent="0.25">
      <c r="B5" s="307"/>
      <c r="C5" s="307"/>
      <c r="D5" s="307"/>
      <c r="E5" s="307"/>
      <c r="F5" s="307"/>
      <c r="G5" s="307"/>
      <c r="H5" s="307"/>
      <c r="I5" s="307"/>
    </row>
    <row r="6" spans="2:10" ht="16.5" customHeight="1" thickTop="1" thickBot="1" x14ac:dyDescent="0.25">
      <c r="B6" s="597" t="s">
        <v>121</v>
      </c>
      <c r="C6" s="541"/>
      <c r="D6" s="541"/>
      <c r="E6" s="541"/>
      <c r="F6" s="541"/>
      <c r="G6" s="541"/>
      <c r="H6" s="115" t="s">
        <v>122</v>
      </c>
      <c r="I6" s="114"/>
      <c r="J6" s="102"/>
    </row>
    <row r="7" spans="2:10" ht="17" thickTop="1" thickBot="1" x14ac:dyDescent="0.25">
      <c r="B7" s="116" t="s">
        <v>97</v>
      </c>
      <c r="C7" s="112"/>
      <c r="D7" s="112" t="s">
        <v>98</v>
      </c>
      <c r="E7" s="121"/>
      <c r="F7" s="112" t="s">
        <v>49</v>
      </c>
      <c r="G7" s="121" t="s">
        <v>176</v>
      </c>
      <c r="H7" s="112" t="s">
        <v>99</v>
      </c>
      <c r="I7" s="124"/>
      <c r="J7" s="125"/>
    </row>
    <row r="8" spans="2:10" ht="16.5" customHeight="1" thickTop="1" thickBot="1" x14ac:dyDescent="0.25">
      <c r="B8" s="103" t="s">
        <v>100</v>
      </c>
      <c r="C8" s="579" t="s">
        <v>45</v>
      </c>
      <c r="D8" s="579"/>
      <c r="E8" s="579"/>
      <c r="F8" s="112" t="s">
        <v>101</v>
      </c>
      <c r="G8" s="112"/>
      <c r="H8" s="112"/>
      <c r="I8" s="124"/>
      <c r="J8" s="110"/>
    </row>
    <row r="9" spans="2:10" ht="17" thickTop="1" thickBot="1" x14ac:dyDescent="0.25">
      <c r="B9" s="103" t="s">
        <v>102</v>
      </c>
      <c r="C9" s="286"/>
      <c r="D9" s="129"/>
      <c r="E9" s="129"/>
      <c r="F9" s="112" t="s">
        <v>103</v>
      </c>
      <c r="G9" s="286"/>
      <c r="H9" s="129"/>
      <c r="I9" s="295"/>
      <c r="J9" s="102"/>
    </row>
    <row r="10" spans="2:10" ht="17" thickTop="1" thickBot="1" x14ac:dyDescent="0.25">
      <c r="B10" s="103" t="s">
        <v>104</v>
      </c>
      <c r="C10" s="296"/>
      <c r="D10" s="129"/>
      <c r="E10" s="129"/>
      <c r="F10" s="112" t="s">
        <v>105</v>
      </c>
      <c r="G10" s="579" t="s">
        <v>129</v>
      </c>
      <c r="H10" s="579"/>
      <c r="I10" s="579"/>
      <c r="J10" s="102"/>
    </row>
    <row r="11" spans="2:10" ht="16.5" customHeight="1" thickTop="1" thickBot="1" x14ac:dyDescent="0.25">
      <c r="B11" s="103" t="s">
        <v>106</v>
      </c>
      <c r="C11" s="112"/>
      <c r="D11" s="112"/>
      <c r="E11" s="112"/>
      <c r="F11" s="112" t="s">
        <v>107</v>
      </c>
      <c r="G11" s="579" t="s">
        <v>130</v>
      </c>
      <c r="H11" s="579"/>
      <c r="I11" s="579"/>
      <c r="J11" s="102"/>
    </row>
    <row r="12" spans="2:10" ht="16.5" customHeight="1" thickTop="1" thickBot="1" x14ac:dyDescent="0.25">
      <c r="B12" s="597" t="s">
        <v>108</v>
      </c>
      <c r="C12" s="541"/>
      <c r="D12" s="541"/>
      <c r="E12" s="541"/>
      <c r="F12" s="541"/>
      <c r="G12" s="541"/>
      <c r="H12" s="113"/>
      <c r="I12" s="114"/>
      <c r="J12" s="102"/>
    </row>
    <row r="13" spans="2:10" ht="16" thickTop="1" x14ac:dyDescent="0.2">
      <c r="B13" s="598" t="s">
        <v>171</v>
      </c>
      <c r="C13" s="599"/>
      <c r="D13" s="599"/>
      <c r="E13" s="599"/>
      <c r="F13" s="599"/>
      <c r="G13" s="599"/>
      <c r="H13" s="599"/>
      <c r="I13" s="600"/>
      <c r="J13" s="596"/>
    </row>
    <row r="14" spans="2:10" x14ac:dyDescent="0.2">
      <c r="B14" s="601"/>
      <c r="C14" s="602"/>
      <c r="D14" s="602"/>
      <c r="E14" s="602"/>
      <c r="F14" s="602"/>
      <c r="G14" s="602"/>
      <c r="H14" s="602"/>
      <c r="I14" s="603"/>
      <c r="J14" s="596"/>
    </row>
    <row r="15" spans="2:10" x14ac:dyDescent="0.2">
      <c r="B15" s="601"/>
      <c r="C15" s="602"/>
      <c r="D15" s="602"/>
      <c r="E15" s="602"/>
      <c r="F15" s="602"/>
      <c r="G15" s="602"/>
      <c r="H15" s="602"/>
      <c r="I15" s="603"/>
      <c r="J15" s="596"/>
    </row>
    <row r="16" spans="2:10" ht="16" thickBot="1" x14ac:dyDescent="0.25">
      <c r="B16" s="604"/>
      <c r="C16" s="605"/>
      <c r="D16" s="605"/>
      <c r="E16" s="605"/>
      <c r="F16" s="605"/>
      <c r="G16" s="605"/>
      <c r="H16" s="605"/>
      <c r="I16" s="606"/>
      <c r="J16" s="596"/>
    </row>
    <row r="17" spans="2:10" ht="16.5" customHeight="1" thickTop="1" thickBot="1" x14ac:dyDescent="0.25">
      <c r="B17" s="597" t="s">
        <v>109</v>
      </c>
      <c r="C17" s="541"/>
      <c r="D17" s="541"/>
      <c r="E17" s="541"/>
      <c r="F17" s="541"/>
      <c r="G17" s="541"/>
      <c r="H17" s="113"/>
      <c r="I17" s="114"/>
      <c r="J17" s="102"/>
    </row>
    <row r="18" spans="2:10" ht="16" thickTop="1" x14ac:dyDescent="0.2">
      <c r="B18" s="598" t="s">
        <v>171</v>
      </c>
      <c r="C18" s="599"/>
      <c r="D18" s="599"/>
      <c r="E18" s="599"/>
      <c r="F18" s="599"/>
      <c r="G18" s="599"/>
      <c r="H18" s="599"/>
      <c r="I18" s="600"/>
      <c r="J18" s="596"/>
    </row>
    <row r="19" spans="2:10" x14ac:dyDescent="0.2">
      <c r="B19" s="601"/>
      <c r="C19" s="602"/>
      <c r="D19" s="602"/>
      <c r="E19" s="602"/>
      <c r="F19" s="602"/>
      <c r="G19" s="602"/>
      <c r="H19" s="602"/>
      <c r="I19" s="603"/>
      <c r="J19" s="596"/>
    </row>
    <row r="20" spans="2:10" x14ac:dyDescent="0.2">
      <c r="B20" s="601"/>
      <c r="C20" s="602"/>
      <c r="D20" s="602"/>
      <c r="E20" s="602"/>
      <c r="F20" s="602"/>
      <c r="G20" s="602"/>
      <c r="H20" s="602"/>
      <c r="I20" s="603"/>
      <c r="J20" s="596"/>
    </row>
    <row r="21" spans="2:10" x14ac:dyDescent="0.2">
      <c r="B21" s="601"/>
      <c r="C21" s="602"/>
      <c r="D21" s="602"/>
      <c r="E21" s="602"/>
      <c r="F21" s="602"/>
      <c r="G21" s="602"/>
      <c r="H21" s="602"/>
      <c r="I21" s="603"/>
      <c r="J21" s="596"/>
    </row>
    <row r="22" spans="2:10" x14ac:dyDescent="0.2">
      <c r="B22" s="601"/>
      <c r="C22" s="602"/>
      <c r="D22" s="602"/>
      <c r="E22" s="602"/>
      <c r="F22" s="602"/>
      <c r="G22" s="602"/>
      <c r="H22" s="602"/>
      <c r="I22" s="603"/>
      <c r="J22" s="596"/>
    </row>
    <row r="23" spans="2:10" x14ac:dyDescent="0.2">
      <c r="B23" s="601"/>
      <c r="C23" s="602"/>
      <c r="D23" s="602"/>
      <c r="E23" s="602"/>
      <c r="F23" s="602"/>
      <c r="G23" s="602"/>
      <c r="H23" s="602"/>
      <c r="I23" s="603"/>
      <c r="J23" s="596"/>
    </row>
    <row r="24" spans="2:10" ht="16" thickBot="1" x14ac:dyDescent="0.25">
      <c r="B24" s="601"/>
      <c r="C24" s="602"/>
      <c r="D24" s="602"/>
      <c r="E24" s="602"/>
      <c r="F24" s="602"/>
      <c r="G24" s="602"/>
      <c r="H24" s="602"/>
      <c r="I24" s="603"/>
      <c r="J24" s="596"/>
    </row>
    <row r="25" spans="2:10" ht="16.5" customHeight="1" thickBot="1" x14ac:dyDescent="0.25">
      <c r="B25" s="576" t="s">
        <v>128</v>
      </c>
      <c r="C25" s="577"/>
      <c r="D25" s="577"/>
      <c r="E25" s="577"/>
      <c r="F25" s="577"/>
      <c r="G25" s="577"/>
      <c r="H25" s="577"/>
      <c r="I25" s="578"/>
      <c r="J25" s="102"/>
    </row>
    <row r="26" spans="2:10" ht="26.25" customHeight="1" thickTop="1" thickBot="1" x14ac:dyDescent="0.25">
      <c r="B26" s="580" t="s">
        <v>123</v>
      </c>
      <c r="C26" s="581"/>
      <c r="D26" s="586"/>
      <c r="E26" s="587"/>
      <c r="F26" s="559" t="s">
        <v>124</v>
      </c>
      <c r="G26" s="560"/>
      <c r="H26" s="594"/>
      <c r="I26" s="595"/>
      <c r="J26" s="111"/>
    </row>
    <row r="27" spans="2:10" ht="16" thickBot="1" x14ac:dyDescent="0.25">
      <c r="B27" s="582" t="s">
        <v>125</v>
      </c>
      <c r="C27" s="583"/>
      <c r="D27" s="588"/>
      <c r="E27" s="589"/>
      <c r="F27" s="561" t="s">
        <v>125</v>
      </c>
      <c r="G27" s="562"/>
      <c r="H27" s="557"/>
      <c r="I27" s="558"/>
    </row>
    <row r="28" spans="2:10" ht="26.25" customHeight="1" thickBot="1" x14ac:dyDescent="0.25">
      <c r="B28" s="582" t="s">
        <v>180</v>
      </c>
      <c r="C28" s="583"/>
      <c r="D28" s="590" t="s">
        <v>173</v>
      </c>
      <c r="E28" s="591"/>
      <c r="F28" s="561" t="s">
        <v>179</v>
      </c>
      <c r="G28" s="562"/>
      <c r="H28" s="572" t="s">
        <v>174</v>
      </c>
      <c r="I28" s="573"/>
    </row>
    <row r="29" spans="2:10" ht="16" thickBot="1" x14ac:dyDescent="0.25">
      <c r="B29" s="584" t="s">
        <v>126</v>
      </c>
      <c r="C29" s="585"/>
      <c r="D29" s="592"/>
      <c r="E29" s="593"/>
      <c r="F29" s="563" t="s">
        <v>127</v>
      </c>
      <c r="G29" s="564"/>
      <c r="H29" s="574"/>
      <c r="I29" s="575"/>
    </row>
    <row r="30" spans="2:10" ht="16.5" customHeight="1" thickTop="1" thickBot="1" x14ac:dyDescent="0.25">
      <c r="B30" s="554" t="s">
        <v>110</v>
      </c>
      <c r="C30" s="555"/>
      <c r="D30" s="555"/>
      <c r="E30" s="555"/>
      <c r="F30" s="555"/>
      <c r="G30" s="555"/>
      <c r="H30" s="555"/>
      <c r="I30" s="556"/>
    </row>
    <row r="31" spans="2:10" ht="25.5" customHeight="1" thickBot="1" x14ac:dyDescent="0.25">
      <c r="B31" s="126" t="s">
        <v>220</v>
      </c>
      <c r="C31" s="154" t="s">
        <v>272</v>
      </c>
      <c r="D31" s="154"/>
      <c r="E31" s="126" t="s">
        <v>273</v>
      </c>
      <c r="F31" s="154" t="s">
        <v>274</v>
      </c>
      <c r="G31" s="154"/>
      <c r="H31" s="126" t="s">
        <v>111</v>
      </c>
      <c r="I31" s="117"/>
    </row>
    <row r="32" spans="2:10" ht="15.75" customHeight="1" thickBot="1" x14ac:dyDescent="0.25">
      <c r="B32" s="331"/>
      <c r="C32" s="155" t="s">
        <v>221</v>
      </c>
      <c r="D32" s="156"/>
      <c r="E32" s="127" t="s">
        <v>36</v>
      </c>
      <c r="F32" s="155" t="s">
        <v>275</v>
      </c>
      <c r="G32" s="155"/>
      <c r="H32" s="155" t="s">
        <v>37</v>
      </c>
      <c r="I32" s="156"/>
    </row>
    <row r="33" spans="2:9" x14ac:dyDescent="0.2">
      <c r="B33" s="149" t="s">
        <v>112</v>
      </c>
      <c r="C33" s="149" t="s">
        <v>112</v>
      </c>
      <c r="D33" s="147"/>
      <c r="E33" s="149" t="s">
        <v>112</v>
      </c>
      <c r="F33" s="149" t="s">
        <v>112</v>
      </c>
      <c r="G33" s="147"/>
      <c r="H33" s="149" t="s">
        <v>112</v>
      </c>
      <c r="I33" s="147"/>
    </row>
    <row r="34" spans="2:9" ht="16" thickBot="1" x14ac:dyDescent="0.25">
      <c r="B34" s="150"/>
      <c r="C34" s="150"/>
      <c r="D34" s="148"/>
      <c r="E34" s="150"/>
      <c r="F34" s="150"/>
      <c r="G34" s="148"/>
      <c r="H34" s="150"/>
      <c r="I34" s="148"/>
    </row>
    <row r="35" spans="2:9" ht="28.5" customHeight="1" thickTop="1" thickBot="1" x14ac:dyDescent="0.25">
      <c r="B35" s="540" t="s">
        <v>113</v>
      </c>
      <c r="C35" s="541"/>
      <c r="D35" s="541"/>
      <c r="E35" s="541"/>
      <c r="F35" s="541"/>
      <c r="G35" s="541"/>
      <c r="H35" s="541"/>
      <c r="I35" s="542"/>
    </row>
    <row r="36" spans="2:9" ht="16.5" customHeight="1" thickTop="1" thickBot="1" x14ac:dyDescent="0.25">
      <c r="B36" s="549"/>
      <c r="C36" s="550"/>
      <c r="D36" s="551"/>
      <c r="E36" s="552"/>
      <c r="F36" s="550"/>
      <c r="G36" s="551"/>
      <c r="H36" s="552"/>
      <c r="I36" s="553"/>
    </row>
    <row r="37" spans="2:9" ht="15.75" customHeight="1" thickTop="1" x14ac:dyDescent="0.2">
      <c r="B37" s="165"/>
      <c r="C37" s="151"/>
      <c r="D37" s="120"/>
      <c r="F37" s="151"/>
      <c r="G37" s="120"/>
      <c r="H37" s="120"/>
      <c r="I37" s="26"/>
    </row>
    <row r="38" spans="2:9" ht="15" customHeight="1" x14ac:dyDescent="0.2">
      <c r="B38" s="166"/>
      <c r="C38" s="152"/>
      <c r="D38" s="108"/>
      <c r="F38" s="152"/>
      <c r="G38" s="108"/>
      <c r="H38" s="108"/>
      <c r="I38" s="26"/>
    </row>
    <row r="39" spans="2:9" ht="16" thickBot="1" x14ac:dyDescent="0.25">
      <c r="B39" s="167"/>
      <c r="C39" s="153"/>
      <c r="D39" s="109"/>
      <c r="F39" s="153"/>
      <c r="G39" s="109"/>
      <c r="H39" s="109"/>
      <c r="I39" s="107"/>
    </row>
    <row r="40" spans="2:9" ht="16.5" customHeight="1" thickTop="1" thickBot="1" x14ac:dyDescent="0.25">
      <c r="B40" s="549"/>
      <c r="C40" s="550"/>
      <c r="D40" s="551"/>
      <c r="E40" s="552"/>
      <c r="F40" s="550"/>
      <c r="G40" s="551"/>
      <c r="H40" s="552"/>
      <c r="I40" s="553"/>
    </row>
    <row r="41" spans="2:9" ht="15.75" customHeight="1" thickTop="1" x14ac:dyDescent="0.2">
      <c r="B41" s="165"/>
      <c r="C41" s="151"/>
      <c r="D41" s="120"/>
      <c r="F41" s="151"/>
      <c r="G41" s="120"/>
      <c r="H41" s="120"/>
      <c r="I41" s="26"/>
    </row>
    <row r="42" spans="2:9" ht="15" customHeight="1" x14ac:dyDescent="0.2">
      <c r="B42" s="166"/>
      <c r="C42" s="152"/>
      <c r="D42" s="108"/>
      <c r="F42" s="152"/>
      <c r="G42" s="108"/>
      <c r="H42" s="108"/>
      <c r="I42" s="26"/>
    </row>
    <row r="43" spans="2:9" ht="16" thickBot="1" x14ac:dyDescent="0.25">
      <c r="B43" s="167"/>
      <c r="C43" s="153"/>
      <c r="D43" s="109"/>
      <c r="F43" s="153"/>
      <c r="G43" s="109"/>
      <c r="H43" s="109"/>
      <c r="I43" s="107"/>
    </row>
    <row r="44" spans="2:9" ht="16.5" customHeight="1" thickTop="1" thickBot="1" x14ac:dyDescent="0.25">
      <c r="B44" s="549"/>
      <c r="C44" s="550"/>
      <c r="D44" s="551"/>
      <c r="E44" s="552"/>
      <c r="F44" s="550"/>
      <c r="G44" s="551"/>
      <c r="H44" s="552"/>
      <c r="I44" s="553"/>
    </row>
    <row r="45" spans="2:9" ht="15.75" customHeight="1" thickTop="1" x14ac:dyDescent="0.2">
      <c r="B45" s="165"/>
      <c r="C45" s="151"/>
      <c r="D45" s="120"/>
      <c r="F45" s="151"/>
      <c r="G45" s="120"/>
      <c r="H45" s="120"/>
      <c r="I45" s="26"/>
    </row>
    <row r="46" spans="2:9" ht="15" customHeight="1" x14ac:dyDescent="0.2">
      <c r="B46" s="166"/>
      <c r="C46" s="152"/>
      <c r="D46" s="108"/>
      <c r="F46" s="152"/>
      <c r="G46" s="108"/>
      <c r="H46" s="108"/>
      <c r="I46" s="26"/>
    </row>
    <row r="47" spans="2:9" ht="16" thickBot="1" x14ac:dyDescent="0.25">
      <c r="B47" s="167"/>
      <c r="C47" s="153"/>
      <c r="D47" s="109"/>
      <c r="F47" s="153"/>
      <c r="G47" s="109"/>
      <c r="H47" s="109"/>
      <c r="I47" s="107"/>
    </row>
    <row r="48" spans="2:9" ht="30.75" customHeight="1" thickTop="1" thickBot="1" x14ac:dyDescent="0.25">
      <c r="B48" s="554" t="s">
        <v>114</v>
      </c>
      <c r="C48" s="555"/>
      <c r="D48" s="555"/>
      <c r="E48" s="555"/>
      <c r="F48" s="555"/>
      <c r="G48" s="555"/>
      <c r="H48" s="555"/>
      <c r="I48" s="556"/>
    </row>
    <row r="49" spans="2:9" ht="16.5" customHeight="1" thickBot="1" x14ac:dyDescent="0.25">
      <c r="B49" s="127" t="s">
        <v>115</v>
      </c>
      <c r="C49" s="128"/>
      <c r="D49" s="545" t="s">
        <v>116</v>
      </c>
      <c r="E49" s="546"/>
      <c r="F49" s="543" t="s">
        <v>117</v>
      </c>
      <c r="G49" s="544"/>
      <c r="H49" s="118" t="s">
        <v>118</v>
      </c>
      <c r="I49" s="119"/>
    </row>
    <row r="50" spans="2:9" ht="15" customHeight="1" x14ac:dyDescent="0.2">
      <c r="B50" s="568" t="s">
        <v>119</v>
      </c>
      <c r="C50" s="569"/>
      <c r="D50" s="146"/>
      <c r="E50" s="146"/>
      <c r="F50" s="146"/>
      <c r="G50" s="146"/>
      <c r="H50" s="146"/>
      <c r="I50" s="147"/>
    </row>
    <row r="51" spans="2:9" x14ac:dyDescent="0.2">
      <c r="B51" s="159"/>
      <c r="C51" s="123"/>
      <c r="D51" s="123"/>
      <c r="E51" s="123"/>
      <c r="F51" s="123"/>
      <c r="G51" s="123"/>
      <c r="H51" s="123"/>
      <c r="I51" s="160"/>
    </row>
    <row r="52" spans="2:9" x14ac:dyDescent="0.2">
      <c r="B52" s="159"/>
      <c r="C52" s="123"/>
      <c r="D52" s="123"/>
      <c r="E52" s="123"/>
      <c r="F52" s="123"/>
      <c r="G52" s="123"/>
      <c r="H52" s="123"/>
      <c r="I52" s="160"/>
    </row>
    <row r="53" spans="2:9" ht="16" thickBot="1" x14ac:dyDescent="0.25">
      <c r="B53" s="150"/>
      <c r="C53" s="104"/>
      <c r="D53" s="104"/>
      <c r="E53" s="104"/>
      <c r="F53" s="104"/>
      <c r="G53" s="104"/>
      <c r="H53" s="104"/>
      <c r="I53" s="148"/>
    </row>
    <row r="54" spans="2:9" ht="16.5" customHeight="1" thickTop="1" thickBot="1" x14ac:dyDescent="0.25">
      <c r="B54" s="540" t="s">
        <v>120</v>
      </c>
      <c r="C54" s="541"/>
      <c r="D54" s="541"/>
      <c r="E54" s="541"/>
      <c r="F54" s="541"/>
      <c r="G54" s="541"/>
      <c r="H54" s="541"/>
      <c r="I54" s="542"/>
    </row>
    <row r="55" spans="2:9" ht="15.75" customHeight="1" thickTop="1" x14ac:dyDescent="0.2">
      <c r="B55" s="547"/>
      <c r="C55" s="548"/>
      <c r="D55" s="548"/>
      <c r="E55" s="122"/>
      <c r="F55" s="157"/>
      <c r="H55" s="122"/>
      <c r="I55" s="161"/>
    </row>
    <row r="56" spans="2:9" x14ac:dyDescent="0.2">
      <c r="B56" s="162"/>
      <c r="C56" s="158"/>
      <c r="D56" s="158"/>
      <c r="E56" s="158"/>
      <c r="F56" s="158"/>
      <c r="G56" s="123"/>
      <c r="H56" s="123"/>
      <c r="I56" s="160"/>
    </row>
    <row r="57" spans="2:9" ht="16" thickBot="1" x14ac:dyDescent="0.25">
      <c r="B57" s="162"/>
      <c r="C57" s="158"/>
      <c r="D57" s="158"/>
      <c r="E57" s="158"/>
      <c r="F57" s="158"/>
      <c r="G57" s="123"/>
      <c r="H57" s="123"/>
      <c r="I57" s="160"/>
    </row>
    <row r="58" spans="2:9" ht="16.5" customHeight="1" thickBot="1" x14ac:dyDescent="0.25">
      <c r="B58" s="565" t="s">
        <v>276</v>
      </c>
      <c r="C58" s="566"/>
      <c r="D58" s="566"/>
      <c r="E58" s="566"/>
      <c r="F58" s="566"/>
      <c r="G58" s="566"/>
      <c r="H58" s="566"/>
      <c r="I58" s="567"/>
    </row>
    <row r="59" spans="2:9" ht="15.75" customHeight="1" x14ac:dyDescent="0.2">
      <c r="B59" s="570"/>
      <c r="C59" s="571"/>
      <c r="D59" s="571"/>
      <c r="E59" s="123"/>
      <c r="F59" s="158"/>
      <c r="H59" s="123"/>
      <c r="I59" s="160"/>
    </row>
    <row r="60" spans="2:9" ht="16" thickBot="1" x14ac:dyDescent="0.25">
      <c r="B60" s="163"/>
      <c r="C60" s="105"/>
      <c r="D60" s="105"/>
      <c r="E60" s="105"/>
      <c r="F60" s="105"/>
      <c r="G60" s="106"/>
      <c r="H60" s="106"/>
      <c r="I60" s="164"/>
    </row>
  </sheetData>
  <mergeCells count="47">
    <mergeCell ref="J13:J16"/>
    <mergeCell ref="J18:J24"/>
    <mergeCell ref="B6:G6"/>
    <mergeCell ref="B12:G12"/>
    <mergeCell ref="B17:G17"/>
    <mergeCell ref="B13:I16"/>
    <mergeCell ref="B18:I24"/>
    <mergeCell ref="B59:D59"/>
    <mergeCell ref="H28:I28"/>
    <mergeCell ref="H29:I29"/>
    <mergeCell ref="B25:I25"/>
    <mergeCell ref="C8:E8"/>
    <mergeCell ref="G10:I10"/>
    <mergeCell ref="G11:I11"/>
    <mergeCell ref="B26:C26"/>
    <mergeCell ref="B27:C27"/>
    <mergeCell ref="B28:C28"/>
    <mergeCell ref="B29:C29"/>
    <mergeCell ref="D26:E26"/>
    <mergeCell ref="D27:E27"/>
    <mergeCell ref="D28:E28"/>
    <mergeCell ref="D29:E29"/>
    <mergeCell ref="H26:I26"/>
    <mergeCell ref="B58:I58"/>
    <mergeCell ref="B50:C50"/>
    <mergeCell ref="B40:C40"/>
    <mergeCell ref="D40:F40"/>
    <mergeCell ref="G40:I40"/>
    <mergeCell ref="B44:C44"/>
    <mergeCell ref="D44:F44"/>
    <mergeCell ref="G44:I44"/>
    <mergeCell ref="B48:I48"/>
    <mergeCell ref="F1:I1"/>
    <mergeCell ref="B35:I35"/>
    <mergeCell ref="F49:G49"/>
    <mergeCell ref="D49:E49"/>
    <mergeCell ref="B55:D55"/>
    <mergeCell ref="B54:I54"/>
    <mergeCell ref="B36:C36"/>
    <mergeCell ref="D36:F36"/>
    <mergeCell ref="G36:I36"/>
    <mergeCell ref="B30:I30"/>
    <mergeCell ref="H27:I27"/>
    <mergeCell ref="F26:G26"/>
    <mergeCell ref="F27:G27"/>
    <mergeCell ref="F28:G28"/>
    <mergeCell ref="F29:G29"/>
  </mergeCells>
  <pageMargins left="0.7" right="0.7" top="0.75" bottom="0.75" header="0.3" footer="0.3"/>
  <pageSetup paperSize="9" scale="75" orientation="portrait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Variation Request VAR</vt:lpstr>
      <vt:lpstr>BM Summary</vt:lpstr>
      <vt:lpstr>VO_Form</vt:lpstr>
      <vt:lpstr>PACOF</vt:lpstr>
      <vt:lpstr>PCD</vt:lpstr>
      <vt:lpstr>PCD!_Hlk79401910</vt:lpstr>
      <vt:lpstr>PCD!Check3</vt:lpstr>
      <vt:lpstr>'BM Summary'!Print_Area</vt:lpstr>
      <vt:lpstr>PACOF!Print_Area</vt:lpstr>
      <vt:lpstr>PCD!Print_Area</vt:lpstr>
      <vt:lpstr>'Variation Request VAR'!Print_Area</vt:lpstr>
      <vt:lpstr>VO_Form!Print_Area</vt:lpstr>
      <vt:lpstr>PCD!Print_Titles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Thekkekkara</dc:creator>
  <cp:lastModifiedBy>DCT</cp:lastModifiedBy>
  <cp:lastPrinted>2022-06-15T10:36:51Z</cp:lastPrinted>
  <dcterms:created xsi:type="dcterms:W3CDTF">2017-10-16T06:07:15Z</dcterms:created>
  <dcterms:modified xsi:type="dcterms:W3CDTF">2026-08-11T11:51:52Z</dcterms:modified>
</cp:coreProperties>
</file>