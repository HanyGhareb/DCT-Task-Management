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9" documentId="8_{B79E268B-8A71-455B-94BE-C21D39CD4AFC}" xr6:coauthVersionLast="47" xr6:coauthVersionMax="47" xr10:uidLastSave="{3A674C18-489B-4514-BC2C-9505D80D2634}"/>
  <bookViews>
    <workbookView xWindow="-98" yWindow="-98" windowWidth="19396" windowHeight="11475" activeTab="1" xr2:uid="{00000000-000D-0000-FFFF-FFFF00000000}"/>
  </bookViews>
  <sheets>
    <sheet name="Sizing_DCT_APP" sheetId="1" r:id="rId1"/>
    <sheet name="L.Z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" i="4" l="1"/>
  <c r="G14" i="4"/>
  <c r="G11" i="4"/>
  <c r="G10" i="4"/>
  <c r="G9" i="4"/>
  <c r="G8" i="4"/>
  <c r="G7" i="4"/>
  <c r="G5" i="4"/>
  <c r="G34" i="4" l="1"/>
  <c r="G35" i="4" s="1"/>
  <c r="G12" i="1"/>
  <c r="G11" i="1"/>
  <c r="G10" i="1"/>
  <c r="G7" i="1"/>
  <c r="G8" i="1"/>
  <c r="G6" i="1"/>
  <c r="G18" i="1" l="1"/>
  <c r="G19" i="1" s="1"/>
</calcChain>
</file>

<file path=xl/sharedStrings.xml><?xml version="1.0" encoding="utf-8"?>
<sst xmlns="http://schemas.openxmlformats.org/spreadsheetml/2006/main" count="171" uniqueCount="63">
  <si>
    <t xml:space="preserve"> </t>
  </si>
  <si>
    <t>Currency: USD</t>
  </si>
  <si>
    <t>Part</t>
  </si>
  <si>
    <t>Description</t>
  </si>
  <si>
    <t>Part Qty</t>
  </si>
  <si>
    <t>Instance Qty</t>
  </si>
  <si>
    <t>Usage Qty</t>
  </si>
  <si>
    <t>Unit Price</t>
  </si>
  <si>
    <t>Monthly Cost</t>
  </si>
  <si>
    <t>ProdAutonomous</t>
  </si>
  <si>
    <t>B95706</t>
  </si>
  <si>
    <t>Oracle Autonomous AI Database Storage for Transaction Processing (Gigabyte Storage Capacity Per Month)</t>
  </si>
  <si>
    <t>B95754</t>
  </si>
  <si>
    <t>Oracle Autonomous AI Database Storage (Gigabyte Storage Capacity Per Month)</t>
  </si>
  <si>
    <t>B95702</t>
  </si>
  <si>
    <t>Oracle Autonomous AI Transaction Processing - ECPU (ECPU Per Hour)</t>
  </si>
  <si>
    <t>Testing+Dev</t>
  </si>
  <si>
    <t>Monthly Total</t>
  </si>
  <si>
    <t/>
  </si>
  <si>
    <t>B89639</t>
  </si>
  <si>
    <t>Cloud Guard</t>
  </si>
  <si>
    <t>N/A</t>
  </si>
  <si>
    <t>Oracle Cloud Guard (N/A)</t>
  </si>
  <si>
    <t>OCI Identity and Access Management</t>
  </si>
  <si>
    <t>B93493</t>
  </si>
  <si>
    <t>Identity and Access Management - External User (User Per Month)</t>
  </si>
  <si>
    <t>B93494</t>
  </si>
  <si>
    <t>Identity and Access Management - Oracle Apps Premium (User Per Month)</t>
  </si>
  <si>
    <t>B93495</t>
  </si>
  <si>
    <t>Identity and Access Management - Premium (User Per Month)</t>
  </si>
  <si>
    <t>B93496</t>
  </si>
  <si>
    <t>Identity and Access Management - SMS (1 SMS Message Sent)</t>
  </si>
  <si>
    <t>B93497</t>
  </si>
  <si>
    <t>Identity and Access Management - Token (Token)</t>
  </si>
  <si>
    <t>Prod-Virtual Cloud Networks</t>
  </si>
  <si>
    <t>Network Firewall</t>
  </si>
  <si>
    <t>B95403</t>
  </si>
  <si>
    <t>Network Firewall Instance (Instance Per Hour)</t>
  </si>
  <si>
    <t>B95404</t>
  </si>
  <si>
    <t>Network Firewall Data Processing (Gigabyte (GB) of Data Processed)</t>
  </si>
  <si>
    <t>B90925</t>
  </si>
  <si>
    <t>Monitoring - Ingestion (Million Datapoints)</t>
  </si>
  <si>
    <t>B90926</t>
  </si>
  <si>
    <t>Monitoring - Retrieval (Million Datapoints)</t>
  </si>
  <si>
    <t>Monitoring</t>
  </si>
  <si>
    <t>Application Integration Main</t>
  </si>
  <si>
    <t>Application Integration Dev&amp;Test</t>
  </si>
  <si>
    <t>Oracle Integration Cloud Service - Enterprise (5K Messages Per Hour)</t>
  </si>
  <si>
    <t>Logging</t>
  </si>
  <si>
    <t>B92593</t>
  </si>
  <si>
    <t>OCI - Logging - Storage (Gigabyte Log Storage Per Month)</t>
  </si>
  <si>
    <t>Load Balancer</t>
  </si>
  <si>
    <t>B93030</t>
  </si>
  <si>
    <t>Load Balancer Base (Load Balancer)</t>
  </si>
  <si>
    <t>B93031</t>
  </si>
  <si>
    <t>Load Balancer Bandwidth (Mbps Per Hour)</t>
  </si>
  <si>
    <t>Web Application Firewall (WAF)</t>
  </si>
  <si>
    <t>B94579</t>
  </si>
  <si>
    <t>Web Application Firewall - Instance (Instance Per Month)</t>
  </si>
  <si>
    <t>B94277</t>
  </si>
  <si>
    <t>Web Application Firewall - Requests (1,000,000 Incoming Requests Per Month)</t>
  </si>
  <si>
    <t>Yearly Total</t>
  </si>
  <si>
    <t>ALL PRICES ARE SUBJECT TO ORACLE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</si>
</sst>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/>
    <xf numFmtId="0" fontId="0" fillId="0" borderId="1" xfId="0" applyBorder="1"/>
    <xf numFmtId="49" fontId="2" fillId="0" borderId="2" xfId="0" applyNumberFormat="1" applyFont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/>
    <xf numFmtId="49" fontId="0" fillId="0" borderId="0" xfId="0" applyNumberFormat="1" applyAlignment="1">
      <alignment horizontal="left" wrapText="1" indent="4"/>
    </xf>
    <xf numFmtId="0" fontId="0" fillId="0" borderId="4" xfId="0" applyBorder="1"/>
    <xf numFmtId="49" fontId="0" fillId="0" borderId="5" xfId="0" applyNumberFormat="1" applyBorder="1" applyAlignment="1">
      <alignment horizontal="left" wrapText="1" indent="4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5" fillId="0" borderId="6" xfId="0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6" xfId="0" applyBorder="1"/>
    <xf numFmtId="49" fontId="6" fillId="0" borderId="6" xfId="0" applyNumberFormat="1" applyFont="1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164" fontId="0" fillId="0" borderId="6" xfId="0" applyNumberFormat="1" applyBorder="1" applyAlignment="1">
      <alignment horizontal="left"/>
    </xf>
    <xf numFmtId="49" fontId="0" fillId="0" borderId="6" xfId="0" applyNumberFormat="1" applyBorder="1" applyAlignment="1">
      <alignment horizontal="left" wrapText="1" indent="4"/>
    </xf>
    <xf numFmtId="0" fontId="5" fillId="0" borderId="0" xfId="0" applyFont="1"/>
    <xf numFmtId="164" fontId="0" fillId="0" borderId="0" xfId="0" applyNumberFormat="1"/>
    <xf numFmtId="164" fontId="5" fillId="0" borderId="6" xfId="0" applyNumberFormat="1" applyFon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1" fillId="0" borderId="6" xfId="0" applyNumberFormat="1" applyFont="1" applyBorder="1" applyAlignment="1">
      <alignment vertical="center" wrapText="1"/>
    </xf>
    <xf numFmtId="164" fontId="0" fillId="0" borderId="6" xfId="1" applyNumberFormat="1" applyFont="1" applyBorder="1" applyAlignment="1">
      <alignment horizontal="left"/>
    </xf>
    <xf numFmtId="49" fontId="1" fillId="2" borderId="6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49" fontId="4" fillId="2" borderId="6" xfId="0" applyNumberFormat="1" applyFont="1" applyFill="1" applyBorder="1"/>
    <xf numFmtId="0" fontId="4" fillId="2" borderId="6" xfId="0" applyFont="1" applyFill="1" applyBorder="1"/>
    <xf numFmtId="164" fontId="0" fillId="0" borderId="8" xfId="0" applyNumberFormat="1" applyBorder="1" applyAlignment="1">
      <alignment horizontal="left"/>
    </xf>
    <xf numFmtId="164" fontId="1" fillId="2" borderId="6" xfId="1" applyNumberFormat="1" applyFont="1" applyFill="1" applyBorder="1" applyAlignment="1">
      <alignment horizontal="left"/>
    </xf>
    <xf numFmtId="164" fontId="4" fillId="2" borderId="6" xfId="0" applyNumberFormat="1" applyFont="1" applyFill="1" applyBorder="1"/>
    <xf numFmtId="0" fontId="5" fillId="0" borderId="7" xfId="0" applyFont="1" applyBorder="1"/>
    <xf numFmtId="164" fontId="4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0" fontId="0" fillId="0" borderId="0" xfId="0"/>
    <xf numFmtId="49" fontId="7" fillId="0" borderId="9" xfId="0" applyNumberFormat="1" applyFont="1" applyBorder="1"/>
  </cellXfs>
  <cellStyles count="2">
    <cellStyle name="Comma" xfId="1" builtinId="3"/>
    <cellStyle name="Normal" xfId="0" builtinId="0"/>
  </cellStyles>
  <dxfs count="2">
    <dxf>
      <fill>
        <patternFill patternType="solid">
          <bgColor rgb="FFE4F1F7"/>
        </patternFill>
      </fill>
    </dxf>
    <dxf>
      <fill>
        <patternFill patternType="solid">
          <bgColor rgb="FFE4F1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80000"/>
    <pageSetUpPr fitToPage="1"/>
  </sheetPr>
  <dimension ref="A1:J21"/>
  <sheetViews>
    <sheetView workbookViewId="0">
      <selection activeCell="B8" sqref="B8"/>
    </sheetView>
  </sheetViews>
  <sheetFormatPr defaultRowHeight="14.25" x14ac:dyDescent="0.45"/>
  <cols>
    <col min="1" max="1" width="13" customWidth="1"/>
    <col min="2" max="2" width="95.53125" style="1" customWidth="1"/>
    <col min="3" max="3" width="6.33203125" customWidth="1"/>
    <col min="4" max="4" width="8.53125" customWidth="1"/>
    <col min="5" max="5" width="6.33203125" customWidth="1"/>
    <col min="6" max="6" width="5.73046875" customWidth="1"/>
    <col min="7" max="7" width="12.6640625" style="27" customWidth="1"/>
  </cols>
  <sheetData>
    <row r="1" spans="1:7" ht="14.65" thickBot="1" x14ac:dyDescent="0.5">
      <c r="B1" s="48" t="s">
        <v>62</v>
      </c>
      <c r="G1" s="31"/>
    </row>
    <row r="2" spans="1:7" x14ac:dyDescent="0.45">
      <c r="G2" s="31"/>
    </row>
    <row r="3" spans="1:7" x14ac:dyDescent="0.45">
      <c r="A3" s="47" t="s">
        <v>1</v>
      </c>
      <c r="B3" s="47"/>
      <c r="C3" s="2" t="s">
        <v>0</v>
      </c>
      <c r="D3" s="2" t="s">
        <v>0</v>
      </c>
      <c r="E3" s="2" t="s">
        <v>0</v>
      </c>
      <c r="F3" s="3" t="s">
        <v>0</v>
      </c>
      <c r="G3" s="32" t="s">
        <v>0</v>
      </c>
    </row>
    <row r="4" spans="1:7" s="4" customFormat="1" ht="35.549999999999997" customHeight="1" thickBot="1" x14ac:dyDescent="0.5">
      <c r="A4" s="4" t="s">
        <v>2</v>
      </c>
      <c r="B4" s="5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33" t="s">
        <v>8</v>
      </c>
    </row>
    <row r="5" spans="1:7" x14ac:dyDescent="0.45">
      <c r="A5" s="7" t="s">
        <v>0</v>
      </c>
      <c r="B5" s="8" t="s">
        <v>9</v>
      </c>
      <c r="C5" s="9" t="s">
        <v>0</v>
      </c>
      <c r="D5" s="9" t="s">
        <v>0</v>
      </c>
      <c r="E5" s="9" t="s">
        <v>0</v>
      </c>
      <c r="F5" s="10" t="s">
        <v>0</v>
      </c>
      <c r="G5" s="24" t="s">
        <v>0</v>
      </c>
    </row>
    <row r="6" spans="1:7" x14ac:dyDescent="0.45">
      <c r="A6" s="11" t="s">
        <v>10</v>
      </c>
      <c r="B6" s="12" t="s">
        <v>11</v>
      </c>
      <c r="C6" s="2">
        <v>150</v>
      </c>
      <c r="D6" s="2">
        <v>1</v>
      </c>
      <c r="E6" s="2">
        <v>1</v>
      </c>
      <c r="F6" s="3">
        <v>0.1953</v>
      </c>
      <c r="G6" s="34">
        <f>C6*D6*E6*F6</f>
        <v>29.295000000000002</v>
      </c>
    </row>
    <row r="7" spans="1:7" x14ac:dyDescent="0.45">
      <c r="A7" s="11" t="s">
        <v>12</v>
      </c>
      <c r="B7" s="12" t="s">
        <v>13</v>
      </c>
      <c r="C7" s="2">
        <v>450</v>
      </c>
      <c r="D7" s="2">
        <v>1</v>
      </c>
      <c r="E7" s="2">
        <v>1</v>
      </c>
      <c r="F7" s="3">
        <v>2.9899999999999999E-2</v>
      </c>
      <c r="G7" s="34">
        <f t="shared" ref="G7:G8" si="0">C7*D7*E7*F7</f>
        <v>13.455</v>
      </c>
    </row>
    <row r="8" spans="1:7" ht="14.65" thickBot="1" x14ac:dyDescent="0.5">
      <c r="A8" s="13" t="s">
        <v>14</v>
      </c>
      <c r="B8" s="14" t="s">
        <v>15</v>
      </c>
      <c r="C8" s="15">
        <v>7</v>
      </c>
      <c r="D8" s="15">
        <v>1</v>
      </c>
      <c r="E8" s="15">
        <v>744</v>
      </c>
      <c r="F8" s="16">
        <v>0.33600000000000002</v>
      </c>
      <c r="G8" s="34">
        <f t="shared" si="0"/>
        <v>1749.8880000000001</v>
      </c>
    </row>
    <row r="9" spans="1:7" x14ac:dyDescent="0.45">
      <c r="A9" s="7" t="s">
        <v>0</v>
      </c>
      <c r="B9" s="8" t="s">
        <v>16</v>
      </c>
      <c r="C9" s="9" t="s">
        <v>0</v>
      </c>
      <c r="D9" s="9" t="s">
        <v>0</v>
      </c>
      <c r="E9" s="9" t="s">
        <v>0</v>
      </c>
      <c r="F9" s="10" t="s">
        <v>0</v>
      </c>
      <c r="G9" s="34" t="s">
        <v>0</v>
      </c>
    </row>
    <row r="10" spans="1:7" x14ac:dyDescent="0.45">
      <c r="A10" s="11" t="s">
        <v>10</v>
      </c>
      <c r="B10" s="12" t="s">
        <v>11</v>
      </c>
      <c r="C10" s="2">
        <v>300</v>
      </c>
      <c r="D10" s="2">
        <v>1</v>
      </c>
      <c r="E10" s="2">
        <v>1</v>
      </c>
      <c r="F10" s="3">
        <v>0.1953</v>
      </c>
      <c r="G10" s="34">
        <f>C10*D10*E10*F10</f>
        <v>58.59</v>
      </c>
    </row>
    <row r="11" spans="1:7" x14ac:dyDescent="0.45">
      <c r="A11" s="11" t="s">
        <v>12</v>
      </c>
      <c r="B11" s="12" t="s">
        <v>13</v>
      </c>
      <c r="C11" s="2">
        <v>600</v>
      </c>
      <c r="D11" s="2">
        <v>1</v>
      </c>
      <c r="E11" s="2">
        <v>1</v>
      </c>
      <c r="F11" s="3">
        <v>2.9899999999999999E-2</v>
      </c>
      <c r="G11" s="34">
        <f>C11*D11*E11*F11</f>
        <v>17.940000000000001</v>
      </c>
    </row>
    <row r="12" spans="1:7" ht="14.65" thickBot="1" x14ac:dyDescent="0.5">
      <c r="A12" s="13" t="s">
        <v>14</v>
      </c>
      <c r="B12" s="14" t="s">
        <v>15</v>
      </c>
      <c r="C12" s="15">
        <v>3</v>
      </c>
      <c r="D12" s="15">
        <v>1</v>
      </c>
      <c r="E12" s="15">
        <v>744</v>
      </c>
      <c r="F12" s="16">
        <v>0.33600000000000002</v>
      </c>
      <c r="G12" s="34">
        <f>C12*D12*E12*F12</f>
        <v>749.952</v>
      </c>
    </row>
    <row r="13" spans="1:7" x14ac:dyDescent="0.45">
      <c r="A13" s="7" t="s">
        <v>0</v>
      </c>
      <c r="B13" s="8" t="s">
        <v>45</v>
      </c>
      <c r="C13" s="9" t="s">
        <v>0</v>
      </c>
      <c r="D13" s="9" t="s">
        <v>0</v>
      </c>
      <c r="E13" s="9" t="s">
        <v>0</v>
      </c>
      <c r="F13" s="10" t="s">
        <v>0</v>
      </c>
      <c r="G13" s="24" t="s">
        <v>0</v>
      </c>
    </row>
    <row r="14" spans="1:7" ht="14.65" thickBot="1" x14ac:dyDescent="0.5">
      <c r="A14" s="13" t="s">
        <v>19</v>
      </c>
      <c r="B14" s="14" t="s">
        <v>47</v>
      </c>
      <c r="C14" s="15">
        <v>1</v>
      </c>
      <c r="D14" s="15">
        <v>1</v>
      </c>
      <c r="E14" s="15">
        <v>744</v>
      </c>
      <c r="F14" s="3">
        <v>1.2903</v>
      </c>
      <c r="G14" s="24">
        <v>959.98320000000001</v>
      </c>
    </row>
    <row r="15" spans="1:7" x14ac:dyDescent="0.45">
      <c r="A15" s="7" t="s">
        <v>0</v>
      </c>
      <c r="B15" s="8" t="s">
        <v>46</v>
      </c>
      <c r="C15" s="9" t="s">
        <v>0</v>
      </c>
      <c r="D15" s="9" t="s">
        <v>0</v>
      </c>
      <c r="E15" s="9" t="s">
        <v>0</v>
      </c>
      <c r="F15" s="3" t="s">
        <v>0</v>
      </c>
      <c r="G15" s="24" t="s">
        <v>0</v>
      </c>
    </row>
    <row r="16" spans="1:7" ht="14.65" thickBot="1" x14ac:dyDescent="0.5">
      <c r="A16" s="13" t="s">
        <v>19</v>
      </c>
      <c r="B16" s="12" t="s">
        <v>47</v>
      </c>
      <c r="C16" s="2">
        <v>1</v>
      </c>
      <c r="D16" s="2">
        <v>1</v>
      </c>
      <c r="E16" s="2">
        <v>744</v>
      </c>
      <c r="F16" s="3">
        <v>1.2903</v>
      </c>
      <c r="G16" s="40">
        <v>959.98320000000001</v>
      </c>
    </row>
    <row r="17" spans="1:10" x14ac:dyDescent="0.45">
      <c r="B17" s="25"/>
      <c r="C17" s="22"/>
      <c r="D17" s="22"/>
      <c r="E17" s="22"/>
      <c r="F17" s="23"/>
      <c r="G17" s="34"/>
    </row>
    <row r="18" spans="1:10" s="6" customFormat="1" x14ac:dyDescent="0.45">
      <c r="A18" s="6" t="s">
        <v>0</v>
      </c>
      <c r="B18" s="35" t="s">
        <v>17</v>
      </c>
      <c r="C18" s="36" t="s">
        <v>0</v>
      </c>
      <c r="D18" s="36" t="s">
        <v>0</v>
      </c>
      <c r="E18" s="36" t="s">
        <v>0</v>
      </c>
      <c r="F18" s="37" t="s">
        <v>18</v>
      </c>
      <c r="G18" s="41">
        <f>SUM(G6:G16)</f>
        <v>4539.0864000000001</v>
      </c>
    </row>
    <row r="19" spans="1:10" x14ac:dyDescent="0.45">
      <c r="B19" s="38" t="s">
        <v>61</v>
      </c>
      <c r="C19" s="39"/>
      <c r="D19" s="39"/>
      <c r="E19" s="39"/>
      <c r="F19" s="39"/>
      <c r="G19" s="42">
        <f>G18*12</f>
        <v>54469.036800000002</v>
      </c>
    </row>
    <row r="21" spans="1:10" x14ac:dyDescent="0.45">
      <c r="J21">
        <v>66</v>
      </c>
    </row>
  </sheetData>
  <mergeCells count="1">
    <mergeCell ref="A3:B3"/>
  </mergeCells>
  <conditionalFormatting sqref="A4:G4">
    <cfRule type="expression" dxfId="1" priority="1">
      <formula>1=1</formula>
    </cfRule>
  </conditionalFormatting>
  <pageMargins left="0.7" right="0.7" top="0.75" bottom="0.75" header="0.3" footer="0.3"/>
  <pageSetup paperSize="9" orientation="landscape" horizontalDpi="4294967295" verticalDpi="429496729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2AC8-9F6F-4882-B45F-EAF7527B3209}">
  <sheetPr>
    <tabColor rgb="FFF80000"/>
    <pageSetUpPr fitToPage="1"/>
  </sheetPr>
  <dimension ref="A1:G35"/>
  <sheetViews>
    <sheetView tabSelected="1" workbookViewId="0">
      <selection activeCell="B12" sqref="B12"/>
    </sheetView>
  </sheetViews>
  <sheetFormatPr defaultRowHeight="14.25" x14ac:dyDescent="0.45"/>
  <cols>
    <col min="1" max="1" width="13" customWidth="1"/>
    <col min="2" max="2" width="90" style="1" customWidth="1"/>
    <col min="3" max="5" width="14" customWidth="1"/>
    <col min="6" max="6" width="16" customWidth="1"/>
    <col min="7" max="7" width="16" style="31" customWidth="1"/>
  </cols>
  <sheetData>
    <row r="1" spans="1:7" ht="14.65" thickBot="1" x14ac:dyDescent="0.5">
      <c r="B1" s="48" t="s">
        <v>62</v>
      </c>
    </row>
    <row r="3" spans="1:7" s="19" customFormat="1" ht="15" customHeight="1" x14ac:dyDescent="0.45">
      <c r="A3" s="17" t="s">
        <v>2</v>
      </c>
      <c r="B3" s="18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28" t="s">
        <v>8</v>
      </c>
    </row>
    <row r="4" spans="1:7" ht="10.050000000000001" customHeight="1" x14ac:dyDescent="0.45">
      <c r="A4" s="20" t="s">
        <v>0</v>
      </c>
      <c r="B4" s="21" t="s">
        <v>20</v>
      </c>
      <c r="C4" s="22" t="s">
        <v>0</v>
      </c>
      <c r="D4" s="22" t="s">
        <v>0</v>
      </c>
      <c r="E4" s="22" t="s">
        <v>0</v>
      </c>
      <c r="F4" s="23" t="s">
        <v>0</v>
      </c>
      <c r="G4" s="29" t="s">
        <v>0</v>
      </c>
    </row>
    <row r="5" spans="1:7" ht="16.5" customHeight="1" x14ac:dyDescent="0.45">
      <c r="A5" s="20" t="s">
        <v>21</v>
      </c>
      <c r="B5" s="25" t="s">
        <v>22</v>
      </c>
      <c r="C5" s="22">
        <v>1</v>
      </c>
      <c r="D5" s="22">
        <v>1</v>
      </c>
      <c r="E5" s="22">
        <v>1</v>
      </c>
      <c r="F5" s="23">
        <v>0</v>
      </c>
      <c r="G5" s="29">
        <f>C5*D5*E5*F5</f>
        <v>0</v>
      </c>
    </row>
    <row r="6" spans="1:7" ht="10.050000000000001" customHeight="1" x14ac:dyDescent="0.45">
      <c r="A6" s="20" t="s">
        <v>0</v>
      </c>
      <c r="B6" s="21" t="s">
        <v>23</v>
      </c>
      <c r="C6" s="22" t="s">
        <v>0</v>
      </c>
      <c r="D6" s="22" t="s">
        <v>0</v>
      </c>
      <c r="E6" s="22" t="s">
        <v>0</v>
      </c>
      <c r="F6" s="23" t="s">
        <v>0</v>
      </c>
      <c r="G6" s="29"/>
    </row>
    <row r="7" spans="1:7" ht="16.5" customHeight="1" x14ac:dyDescent="0.45">
      <c r="A7" s="20" t="s">
        <v>24</v>
      </c>
      <c r="B7" s="25" t="s">
        <v>25</v>
      </c>
      <c r="C7" s="22">
        <v>100</v>
      </c>
      <c r="D7" s="22">
        <v>1</v>
      </c>
      <c r="E7" s="22">
        <v>1</v>
      </c>
      <c r="F7" s="23">
        <v>1.6E-2</v>
      </c>
      <c r="G7" s="29">
        <f t="shared" ref="G7:G15" si="0">C7*D7*E7*F7</f>
        <v>1.6</v>
      </c>
    </row>
    <row r="8" spans="1:7" ht="16.5" customHeight="1" x14ac:dyDescent="0.45">
      <c r="A8" s="20" t="s">
        <v>26</v>
      </c>
      <c r="B8" s="25" t="s">
        <v>27</v>
      </c>
      <c r="C8" s="22">
        <v>1</v>
      </c>
      <c r="D8" s="22">
        <v>1</v>
      </c>
      <c r="E8" s="22">
        <v>1</v>
      </c>
      <c r="F8" s="23">
        <v>0.25</v>
      </c>
      <c r="G8" s="29">
        <f t="shared" si="0"/>
        <v>0.25</v>
      </c>
    </row>
    <row r="9" spans="1:7" ht="16.5" customHeight="1" x14ac:dyDescent="0.45">
      <c r="A9" s="20" t="s">
        <v>28</v>
      </c>
      <c r="B9" s="25" t="s">
        <v>29</v>
      </c>
      <c r="C9" s="22">
        <v>100</v>
      </c>
      <c r="D9" s="22">
        <v>1</v>
      </c>
      <c r="E9" s="22">
        <v>1</v>
      </c>
      <c r="F9" s="23">
        <v>3.2</v>
      </c>
      <c r="G9" s="29">
        <f t="shared" si="0"/>
        <v>320</v>
      </c>
    </row>
    <row r="10" spans="1:7" ht="16.5" customHeight="1" x14ac:dyDescent="0.45">
      <c r="A10" s="20" t="s">
        <v>30</v>
      </c>
      <c r="B10" s="25" t="s">
        <v>31</v>
      </c>
      <c r="C10" s="22">
        <v>1000</v>
      </c>
      <c r="D10" s="22">
        <v>1</v>
      </c>
      <c r="E10" s="22">
        <v>1</v>
      </c>
      <c r="F10" s="23">
        <v>0</v>
      </c>
      <c r="G10" s="29">
        <f t="shared" si="0"/>
        <v>0</v>
      </c>
    </row>
    <row r="11" spans="1:7" ht="16.5" customHeight="1" x14ac:dyDescent="0.45">
      <c r="A11" s="20" t="s">
        <v>32</v>
      </c>
      <c r="B11" s="25" t="s">
        <v>33</v>
      </c>
      <c r="C11" s="22">
        <v>10000</v>
      </c>
      <c r="D11" s="22">
        <v>1</v>
      </c>
      <c r="E11" s="22">
        <v>1</v>
      </c>
      <c r="F11" s="23">
        <v>0</v>
      </c>
      <c r="G11" s="29">
        <f t="shared" si="0"/>
        <v>0</v>
      </c>
    </row>
    <row r="12" spans="1:7" ht="10.050000000000001" customHeight="1" x14ac:dyDescent="0.45">
      <c r="A12" s="20" t="s">
        <v>0</v>
      </c>
      <c r="B12" s="21" t="s">
        <v>34</v>
      </c>
      <c r="C12" s="22" t="s">
        <v>0</v>
      </c>
      <c r="D12" s="22" t="s">
        <v>0</v>
      </c>
      <c r="E12" s="22" t="s">
        <v>0</v>
      </c>
      <c r="F12" s="23" t="s">
        <v>0</v>
      </c>
      <c r="G12" s="29"/>
    </row>
    <row r="13" spans="1:7" ht="10.050000000000001" customHeight="1" x14ac:dyDescent="0.45">
      <c r="A13" s="20" t="s">
        <v>0</v>
      </c>
      <c r="B13" s="21" t="s">
        <v>35</v>
      </c>
      <c r="C13" s="22" t="s">
        <v>0</v>
      </c>
      <c r="D13" s="22" t="s">
        <v>0</v>
      </c>
      <c r="E13" s="22" t="s">
        <v>0</v>
      </c>
      <c r="F13" s="23" t="s">
        <v>0</v>
      </c>
      <c r="G13" s="29"/>
    </row>
    <row r="14" spans="1:7" ht="16.5" customHeight="1" x14ac:dyDescent="0.45">
      <c r="A14" s="20" t="s">
        <v>36</v>
      </c>
      <c r="B14" s="25" t="s">
        <v>37</v>
      </c>
      <c r="C14" s="22">
        <v>1</v>
      </c>
      <c r="D14" s="22">
        <v>1</v>
      </c>
      <c r="E14" s="22">
        <v>744</v>
      </c>
      <c r="F14" s="23">
        <v>2.75</v>
      </c>
      <c r="G14" s="29">
        <f t="shared" si="0"/>
        <v>2046</v>
      </c>
    </row>
    <row r="15" spans="1:7" ht="16.5" customHeight="1" x14ac:dyDescent="0.45">
      <c r="A15" s="20" t="s">
        <v>38</v>
      </c>
      <c r="B15" s="25" t="s">
        <v>39</v>
      </c>
      <c r="C15" s="22">
        <v>10240</v>
      </c>
      <c r="D15" s="22">
        <v>1</v>
      </c>
      <c r="E15" s="22">
        <v>1</v>
      </c>
      <c r="F15" s="23">
        <v>0</v>
      </c>
      <c r="G15" s="29">
        <f t="shared" si="0"/>
        <v>0</v>
      </c>
    </row>
    <row r="16" spans="1:7" ht="16.5" customHeight="1" x14ac:dyDescent="0.45">
      <c r="A16" s="20" t="s">
        <v>0</v>
      </c>
      <c r="B16" s="21" t="s">
        <v>44</v>
      </c>
      <c r="C16" s="22" t="s">
        <v>0</v>
      </c>
      <c r="D16" s="22" t="s">
        <v>0</v>
      </c>
      <c r="E16" s="22" t="s">
        <v>0</v>
      </c>
      <c r="F16" s="23" t="s">
        <v>0</v>
      </c>
      <c r="G16" s="29" t="s">
        <v>0</v>
      </c>
    </row>
    <row r="17" spans="1:7" ht="16.5" customHeight="1" x14ac:dyDescent="0.45">
      <c r="A17" s="20" t="s">
        <v>40</v>
      </c>
      <c r="B17" s="25" t="s">
        <v>41</v>
      </c>
      <c r="C17" s="22">
        <v>500</v>
      </c>
      <c r="D17" s="22">
        <v>1</v>
      </c>
      <c r="E17" s="22">
        <v>1</v>
      </c>
      <c r="F17" s="23">
        <v>0</v>
      </c>
      <c r="G17" s="29">
        <v>0</v>
      </c>
    </row>
    <row r="18" spans="1:7" ht="16.5" customHeight="1" x14ac:dyDescent="0.45">
      <c r="A18" s="20" t="s">
        <v>0</v>
      </c>
      <c r="B18" s="25" t="s">
        <v>41</v>
      </c>
      <c r="C18" s="22">
        <v>49500</v>
      </c>
      <c r="D18" s="22">
        <v>1</v>
      </c>
      <c r="E18" s="22">
        <v>1</v>
      </c>
      <c r="F18" s="23">
        <v>2.5000000000000001E-3</v>
      </c>
      <c r="G18" s="29">
        <v>123.75</v>
      </c>
    </row>
    <row r="19" spans="1:7" ht="16.5" customHeight="1" x14ac:dyDescent="0.45">
      <c r="A19" s="20" t="s">
        <v>42</v>
      </c>
      <c r="B19" s="25" t="s">
        <v>43</v>
      </c>
      <c r="C19" s="22">
        <v>1000</v>
      </c>
      <c r="D19" s="22">
        <v>1</v>
      </c>
      <c r="E19" s="22">
        <v>1</v>
      </c>
      <c r="F19" s="23">
        <v>0</v>
      </c>
      <c r="G19" s="29">
        <v>0</v>
      </c>
    </row>
    <row r="20" spans="1:7" ht="16.5" customHeight="1" x14ac:dyDescent="0.45">
      <c r="A20" s="20" t="s">
        <v>0</v>
      </c>
      <c r="B20" s="25" t="s">
        <v>43</v>
      </c>
      <c r="C20" s="22">
        <v>9000</v>
      </c>
      <c r="D20" s="22">
        <v>1</v>
      </c>
      <c r="E20" s="22">
        <v>1</v>
      </c>
      <c r="F20" s="23">
        <v>1.5E-3</v>
      </c>
      <c r="G20" s="29">
        <v>13.5</v>
      </c>
    </row>
    <row r="21" spans="1:7" ht="16.5" customHeight="1" x14ac:dyDescent="0.45">
      <c r="A21" s="20" t="s">
        <v>0</v>
      </c>
      <c r="B21" s="21" t="s">
        <v>48</v>
      </c>
      <c r="C21" s="22" t="s">
        <v>0</v>
      </c>
      <c r="D21" s="22" t="s">
        <v>0</v>
      </c>
      <c r="E21" s="22" t="s">
        <v>0</v>
      </c>
      <c r="F21" s="23" t="s">
        <v>0</v>
      </c>
      <c r="G21" s="29" t="s">
        <v>0</v>
      </c>
    </row>
    <row r="22" spans="1:7" ht="16.5" customHeight="1" x14ac:dyDescent="0.45">
      <c r="A22" s="20" t="s">
        <v>49</v>
      </c>
      <c r="B22" s="25" t="s">
        <v>50</v>
      </c>
      <c r="C22" s="22">
        <v>10</v>
      </c>
      <c r="D22" s="22">
        <v>1</v>
      </c>
      <c r="E22" s="22">
        <v>1</v>
      </c>
      <c r="F22" s="23">
        <v>0</v>
      </c>
      <c r="G22" s="29">
        <v>0</v>
      </c>
    </row>
    <row r="23" spans="1:7" ht="16.5" customHeight="1" x14ac:dyDescent="0.45">
      <c r="A23" s="20" t="s">
        <v>0</v>
      </c>
      <c r="B23" s="25" t="s">
        <v>50</v>
      </c>
      <c r="C23" s="22">
        <v>4990</v>
      </c>
      <c r="D23" s="22">
        <v>1</v>
      </c>
      <c r="E23" s="22">
        <v>1</v>
      </c>
      <c r="F23" s="23">
        <v>0.05</v>
      </c>
      <c r="G23" s="29">
        <v>249.5</v>
      </c>
    </row>
    <row r="24" spans="1:7" ht="16.5" customHeight="1" x14ac:dyDescent="0.45">
      <c r="A24" s="20" t="s">
        <v>0</v>
      </c>
      <c r="B24" s="21" t="s">
        <v>51</v>
      </c>
      <c r="C24" s="22" t="s">
        <v>0</v>
      </c>
      <c r="D24" s="22" t="s">
        <v>0</v>
      </c>
      <c r="E24" s="22" t="s">
        <v>0</v>
      </c>
      <c r="F24" s="23" t="s">
        <v>0</v>
      </c>
      <c r="G24" s="29" t="s">
        <v>0</v>
      </c>
    </row>
    <row r="25" spans="1:7" ht="16.5" customHeight="1" x14ac:dyDescent="0.45">
      <c r="A25" s="20" t="s">
        <v>52</v>
      </c>
      <c r="B25" s="25" t="s">
        <v>53</v>
      </c>
      <c r="C25" s="22">
        <v>1</v>
      </c>
      <c r="D25" s="22">
        <v>1</v>
      </c>
      <c r="E25" s="22">
        <v>744</v>
      </c>
      <c r="F25" s="23">
        <v>0</v>
      </c>
      <c r="G25" s="29">
        <v>0</v>
      </c>
    </row>
    <row r="26" spans="1:7" ht="16.5" customHeight="1" x14ac:dyDescent="0.45">
      <c r="A26" s="20" t="s">
        <v>0</v>
      </c>
      <c r="B26" s="25" t="s">
        <v>53</v>
      </c>
      <c r="C26" s="22">
        <v>1</v>
      </c>
      <c r="D26" s="22">
        <v>1</v>
      </c>
      <c r="E26" s="22">
        <v>2232</v>
      </c>
      <c r="F26" s="23">
        <v>1.1299999999999999E-2</v>
      </c>
      <c r="G26" s="29">
        <v>25.221599999999999</v>
      </c>
    </row>
    <row r="27" spans="1:7" ht="16.5" customHeight="1" x14ac:dyDescent="0.45">
      <c r="A27" s="20" t="s">
        <v>54</v>
      </c>
      <c r="B27" s="25" t="s">
        <v>55</v>
      </c>
      <c r="C27" s="22">
        <v>1</v>
      </c>
      <c r="D27" s="22">
        <v>1</v>
      </c>
      <c r="E27" s="22">
        <v>7440</v>
      </c>
      <c r="F27" s="23">
        <v>0</v>
      </c>
      <c r="G27" s="29">
        <v>0</v>
      </c>
    </row>
    <row r="28" spans="1:7" ht="16.5" customHeight="1" x14ac:dyDescent="0.45">
      <c r="A28" s="20" t="s">
        <v>0</v>
      </c>
      <c r="B28" s="25" t="s">
        <v>55</v>
      </c>
      <c r="C28" s="22">
        <v>1</v>
      </c>
      <c r="D28" s="22">
        <v>1</v>
      </c>
      <c r="E28" s="22">
        <v>736560</v>
      </c>
      <c r="F28" s="23">
        <v>1E-4</v>
      </c>
      <c r="G28" s="29">
        <v>73.656000000000006</v>
      </c>
    </row>
    <row r="29" spans="1:7" ht="16.5" customHeight="1" x14ac:dyDescent="0.45">
      <c r="A29" s="20" t="s">
        <v>0</v>
      </c>
      <c r="B29" s="21" t="s">
        <v>56</v>
      </c>
      <c r="C29" s="22" t="s">
        <v>0</v>
      </c>
      <c r="D29" s="22" t="s">
        <v>0</v>
      </c>
      <c r="E29" s="22" t="s">
        <v>0</v>
      </c>
      <c r="F29" s="23" t="s">
        <v>0</v>
      </c>
      <c r="G29" s="29" t="s">
        <v>0</v>
      </c>
    </row>
    <row r="30" spans="1:7" ht="16.5" customHeight="1" x14ac:dyDescent="0.45">
      <c r="A30" s="20" t="s">
        <v>57</v>
      </c>
      <c r="B30" s="25" t="s">
        <v>58</v>
      </c>
      <c r="C30" s="22">
        <v>1</v>
      </c>
      <c r="D30" s="22">
        <v>1</v>
      </c>
      <c r="E30" s="22">
        <v>1</v>
      </c>
      <c r="F30" s="23">
        <v>0</v>
      </c>
      <c r="G30" s="29">
        <v>0</v>
      </c>
    </row>
    <row r="31" spans="1:7" ht="16.5" customHeight="1" x14ac:dyDescent="0.45">
      <c r="A31" s="20" t="s">
        <v>59</v>
      </c>
      <c r="B31" s="25" t="s">
        <v>60</v>
      </c>
      <c r="C31" s="22">
        <v>10</v>
      </c>
      <c r="D31" s="22">
        <v>1</v>
      </c>
      <c r="E31" s="22">
        <v>1</v>
      </c>
      <c r="F31" s="23">
        <v>0</v>
      </c>
      <c r="G31" s="29">
        <v>0</v>
      </c>
    </row>
    <row r="32" spans="1:7" ht="16.5" customHeight="1" x14ac:dyDescent="0.45">
      <c r="A32" s="20" t="s">
        <v>0</v>
      </c>
      <c r="B32" s="25" t="s">
        <v>60</v>
      </c>
      <c r="C32" s="22">
        <v>990</v>
      </c>
      <c r="D32" s="22">
        <v>1</v>
      </c>
      <c r="E32" s="22">
        <v>1</v>
      </c>
      <c r="F32" s="23">
        <v>0.6</v>
      </c>
      <c r="G32" s="29">
        <v>594</v>
      </c>
    </row>
    <row r="33" spans="1:7" ht="16.5" customHeight="1" x14ac:dyDescent="0.45">
      <c r="A33" s="20"/>
      <c r="B33" s="25"/>
      <c r="C33" s="22"/>
      <c r="D33" s="22"/>
      <c r="E33" s="22"/>
      <c r="F33" s="23"/>
      <c r="G33" s="29"/>
    </row>
    <row r="34" spans="1:7" s="26" customFormat="1" x14ac:dyDescent="0.45">
      <c r="A34" s="43" t="s">
        <v>0</v>
      </c>
      <c r="B34" s="45" t="s">
        <v>17</v>
      </c>
      <c r="C34" s="45"/>
      <c r="D34" s="45"/>
      <c r="E34" s="45"/>
      <c r="F34" s="45"/>
      <c r="G34" s="30">
        <f>SUM(G4:G33)</f>
        <v>3447.4775999999997</v>
      </c>
    </row>
    <row r="35" spans="1:7" x14ac:dyDescent="0.45">
      <c r="B35" s="46" t="s">
        <v>61</v>
      </c>
      <c r="C35" s="46"/>
      <c r="D35" s="46"/>
      <c r="E35" s="46"/>
      <c r="F35" s="46"/>
      <c r="G35" s="44">
        <f>G34*12</f>
        <v>41369.731199999995</v>
      </c>
    </row>
  </sheetData>
  <mergeCells count="2">
    <mergeCell ref="B34:F34"/>
    <mergeCell ref="B35:F35"/>
  </mergeCells>
  <conditionalFormatting sqref="A3:G3">
    <cfRule type="expression" dxfId="0" priority="1">
      <formula>1=1</formula>
    </cfRule>
  </conditionalFormatting>
  <pageMargins left="0.7" right="0.7" top="0.75" bottom="0.75" header="0.3" footer="0.3"/>
  <pageSetup paperSize="9" orientation="landscape" horizontalDpi="4294967295" verticalDpi="4294967295" r:id="rId1"/>
  <headerFooter>
    <oddFooter>&amp;L_x000D_&amp;1#&amp;"Aptos"&amp;10&amp;K000000 Confidential – Oracle Internal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Sizing_DCT_APP</vt:lpstr>
      <vt:lpstr>L.Z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2026-07-01T10:26:10Z</dcterms:created>
  <dcterms:modified xsi:type="dcterms:W3CDTF">2026-08-13T11:42:27Z</dcterms:modified>
  <cp:category/>
</cp:coreProperties>
</file>