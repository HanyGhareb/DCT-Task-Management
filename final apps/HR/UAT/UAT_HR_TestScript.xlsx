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Structure" sheetId="5" state="visible" r:id="rId5"/>
    <sheet xmlns:r="http://schemas.openxmlformats.org/officeDocument/2006/relationships" name="Compliance" sheetId="6" state="visible" r:id="rId6"/>
    <sheet xmlns:r="http://schemas.openxmlformats.org/officeDocument/2006/relationships" name="Administration" sheetId="7" state="visible" r:id="rId7"/>
    <sheet xmlns:r="http://schemas.openxmlformats.org/officeDocument/2006/relationships" name="Shell &amp; Language" sheetId="8" state="visible" r:id="rId8"/>
  </sheets>
  <definedNames>
    <definedName name="_xlnm._FilterDatabase" localSheetId="1" hidden="1">'Access &amp; Session'!$A$1:$I$3</definedName>
    <definedName name="_xlnm._FilterDatabase" localSheetId="2" hidden="1">'Dashboard'!$A$1:$I$3</definedName>
    <definedName name="_xlnm._FilterDatabase" localSheetId="3" hidden="1">'People'!$A$1:$I$9</definedName>
    <definedName name="_xlnm._FilterDatabase" localSheetId="4" hidden="1">'Structure'!$A$1:$I$5</definedName>
    <definedName name="_xlnm._FilterDatabase" localSheetId="5" hidden="1">'Compliance'!$A$1:$I$4</definedName>
    <definedName name="_xlnm._FilterDatabase" localSheetId="6" hidden="1">'Administration'!$A$1:$I$3</definedName>
    <definedName name="_xlnm._FilterDatabase" localSheetId="7" hidden="1">'Shell &amp; Language'!$A$1:$I$4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b val="1"/>
      <color rgb="001A7F5A"/>
      <sz val="18"/>
    </font>
    <font>
      <b val="1"/>
      <color rgb="00444444"/>
      <sz val="12"/>
    </font>
    <font>
      <b val="1"/>
    </font>
    <font>
      <b val="1"/>
      <color rgb="001A7F5A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7F5A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0" fillId="0" borderId="0" applyAlignment="1" pivotButton="0" quotePrefix="0" xfId="0">
      <alignment vertical="top" wrapText="1"/>
    </xf>
    <xf numFmtId="0" fontId="7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HR (App 205) — Employees, Structure, Compliance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2026-06-11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3. Set Status from the dropdown: Pass / Fail / Blocked / N/A.</t>
        </is>
      </c>
    </row>
    <row r="16">
      <c r="B16" t="inlineStr">
        <is>
          <t>4. On Fail or Blocked, ALWAYS fill Comments (what happened, screenshots reference, error text).</t>
        </is>
      </c>
    </row>
    <row r="17">
      <c r="B17" t="inlineStr">
        <is>
          <t>5. Fill Tested By + Test Date on every executed row.</t>
        </is>
      </c>
    </row>
    <row r="18">
      <c r="B18" t="inlineStr">
        <is>
          <t>6. Login accounts: use the quick-login buttons on the login page, or accounts provided by the admin. Never write passwords in this file.</t>
        </is>
      </c>
    </row>
    <row r="19">
      <c r="B19" t="inlineStr">
        <is>
          <t>7. Hard-refresh (Ctrl+F5) after the team deploys a fix before retesting.</t>
        </is>
      </c>
    </row>
    <row r="21">
      <c r="B21" s="4" t="inlineStr">
        <is>
          <t>Status legend</t>
        </is>
      </c>
    </row>
    <row r="22">
      <c r="B22" s="5" t="inlineStr">
        <is>
          <t>Pass</t>
        </is>
      </c>
      <c r="C22" t="inlineStr">
        <is>
          <t>Works exactly as the Expected Result describes</t>
        </is>
      </c>
    </row>
    <row r="23">
      <c r="B23" s="6" t="inlineStr">
        <is>
          <t>Fail</t>
        </is>
      </c>
      <c r="C23" t="inlineStr">
        <is>
          <t>Does not match the Expected Result (describe in Comments)</t>
        </is>
      </c>
    </row>
    <row r="24">
      <c r="B24" s="7" t="inlineStr">
        <is>
          <t>Blocked</t>
        </is>
      </c>
      <c r="C24" t="inlineStr">
        <is>
          <t>Cannot be executed (missing data/role/dependency failed)</t>
        </is>
      </c>
    </row>
    <row r="25">
      <c r="B25" s="8" t="inlineStr">
        <is>
          <t>N/A</t>
        </is>
      </c>
      <c r="C25" t="inlineStr">
        <is>
          <t>Not applicable to this round/role</t>
        </is>
      </c>
    </row>
    <row r="27">
      <c r="B27" s="4" t="inlineStr">
        <is>
          <t>Seeded UAT data (your starting point)</t>
        </is>
      </c>
    </row>
    <row r="28" ht="30" customHeight="1">
      <c r="B28" s="9" t="inlineStr">
        <is>
          <t>- 5 active employees incl. E1101 Mohammed Al Mansoori, E1102 Fatima Al Hosani, E1103 Omar Khalil (seeded).</t>
        </is>
      </c>
    </row>
    <row r="29" ht="30" customHeight="1">
      <c r="B29" s="9" t="inlineStr">
        <is>
          <t>- Documents seeded with expiries ~20 / ~45 days (compliance list + badge data) and one ~13 months out.</t>
        </is>
      </c>
    </row>
    <row r="30" ht="30" customHeight="1">
      <c r="B30" s="9" t="inlineStr">
        <is>
          <t>- HR roles: SHAIKHA.GALAMERI = HR_MANAGER, SHAIKHA.ALSUWAIDI = HR_VIEWER.</t>
        </is>
      </c>
    </row>
    <row r="32">
      <c r="B32" s="4" t="inlineStr">
        <is>
          <t>Live summary</t>
        </is>
      </c>
    </row>
    <row r="33">
      <c r="B33" s="10" t="inlineStr">
        <is>
          <t>Functional area</t>
        </is>
      </c>
      <c r="C33" s="10" t="inlineStr">
        <is>
          <t>Cases</t>
        </is>
      </c>
      <c r="D33" s="10" t="inlineStr">
        <is>
          <t>Pass</t>
        </is>
      </c>
      <c r="E33" s="10" t="inlineStr">
        <is>
          <t>Fail</t>
        </is>
      </c>
      <c r="F33" s="10" t="inlineStr">
        <is>
          <t>Blocked</t>
        </is>
      </c>
      <c r="G33" s="10" t="inlineStr">
        <is>
          <t>Executed %</t>
        </is>
      </c>
    </row>
    <row r="34">
      <c r="B34" s="11" t="inlineStr">
        <is>
          <t>Access &amp; Session</t>
        </is>
      </c>
      <c r="C34" s="11" t="n">
        <v>2</v>
      </c>
      <c r="D34" s="11">
        <f>COUNTIF('Access &amp; Session'!F:F,"Pass")</f>
        <v/>
      </c>
      <c r="E34" s="11">
        <f>COUNTIF('Access &amp; Session'!F:F,"Fail")</f>
        <v/>
      </c>
      <c r="F34" s="11">
        <f>COUNTIF('Access &amp; Session'!F:F,"Blocked")</f>
        <v/>
      </c>
      <c r="G34" s="11">
        <f>ROUND(COUNTA('Access &amp; Session'!F2:F500)/C34*100,0)&amp;"%"</f>
        <v/>
      </c>
    </row>
    <row r="35">
      <c r="B35" s="11" t="inlineStr">
        <is>
          <t>Dashboard</t>
        </is>
      </c>
      <c r="C35" s="11" t="n">
        <v>2</v>
      </c>
      <c r="D35" s="11">
        <f>COUNTIF('Dashboard'!F:F,"Pass")</f>
        <v/>
      </c>
      <c r="E35" s="11">
        <f>COUNTIF('Dashboard'!F:F,"Fail")</f>
        <v/>
      </c>
      <c r="F35" s="11">
        <f>COUNTIF('Dashboard'!F:F,"Blocked")</f>
        <v/>
      </c>
      <c r="G35" s="11">
        <f>ROUND(COUNTA('Dashboard'!F2:F500)/C35*100,0)&amp;"%"</f>
        <v/>
      </c>
    </row>
    <row r="36">
      <c r="B36" s="11" t="inlineStr">
        <is>
          <t>People</t>
        </is>
      </c>
      <c r="C36" s="11" t="n">
        <v>8</v>
      </c>
      <c r="D36" s="11">
        <f>COUNTIF('People'!F:F,"Pass")</f>
        <v/>
      </c>
      <c r="E36" s="11">
        <f>COUNTIF('People'!F:F,"Fail")</f>
        <v/>
      </c>
      <c r="F36" s="11">
        <f>COUNTIF('People'!F:F,"Blocked")</f>
        <v/>
      </c>
      <c r="G36" s="11">
        <f>ROUND(COUNTA('People'!F2:F500)/C36*100,0)&amp;"%"</f>
        <v/>
      </c>
    </row>
    <row r="37">
      <c r="B37" s="11" t="inlineStr">
        <is>
          <t>Structure</t>
        </is>
      </c>
      <c r="C37" s="11" t="n">
        <v>4</v>
      </c>
      <c r="D37" s="11">
        <f>COUNTIF('Structure'!F:F,"Pass")</f>
        <v/>
      </c>
      <c r="E37" s="11">
        <f>COUNTIF('Structure'!F:F,"Fail")</f>
        <v/>
      </c>
      <c r="F37" s="11">
        <f>COUNTIF('Structure'!F:F,"Blocked")</f>
        <v/>
      </c>
      <c r="G37" s="11">
        <f>ROUND(COUNTA('Structure'!F2:F500)/C37*100,0)&amp;"%"</f>
        <v/>
      </c>
    </row>
    <row r="38">
      <c r="B38" s="11" t="inlineStr">
        <is>
          <t>Compliance</t>
        </is>
      </c>
      <c r="C38" s="11" t="n">
        <v>3</v>
      </c>
      <c r="D38" s="11">
        <f>COUNTIF('Compliance'!F:F,"Pass")</f>
        <v/>
      </c>
      <c r="E38" s="11">
        <f>COUNTIF('Compliance'!F:F,"Fail")</f>
        <v/>
      </c>
      <c r="F38" s="11">
        <f>COUNTIF('Compliance'!F:F,"Blocked")</f>
        <v/>
      </c>
      <c r="G38" s="11">
        <f>ROUND(COUNTA('Compliance'!F2:F500)/C38*100,0)&amp;"%"</f>
        <v/>
      </c>
    </row>
    <row r="39">
      <c r="B39" s="11" t="inlineStr">
        <is>
          <t>Administration</t>
        </is>
      </c>
      <c r="C39" s="11" t="n">
        <v>2</v>
      </c>
      <c r="D39" s="11">
        <f>COUNTIF('Administration'!F:F,"Pass")</f>
        <v/>
      </c>
      <c r="E39" s="11">
        <f>COUNTIF('Administration'!F:F,"Fail")</f>
        <v/>
      </c>
      <c r="F39" s="11">
        <f>COUNTIF('Administration'!F:F,"Blocked")</f>
        <v/>
      </c>
      <c r="G39" s="11">
        <f>ROUND(COUNTA('Administration'!F2:F500)/C39*100,0)&amp;"%"</f>
        <v/>
      </c>
    </row>
    <row r="40">
      <c r="B40" s="11" t="inlineStr">
        <is>
          <t>Shell &amp; Language</t>
        </is>
      </c>
      <c r="C40" s="11" t="n">
        <v>3</v>
      </c>
      <c r="D40" s="11">
        <f>COUNTIF('Shell &amp; Language'!F:F,"Pass")</f>
        <v/>
      </c>
      <c r="E40" s="11">
        <f>COUNTIF('Shell &amp; Language'!F:F,"Fail")</f>
        <v/>
      </c>
      <c r="F40" s="11">
        <f>COUNTIF('Shell &amp; Language'!F:F,"Blocked")</f>
        <v/>
      </c>
      <c r="G40" s="11">
        <f>ROUND(COUNTA('Shell &amp; Language'!F2:F500)/C40*100,0)&amp;"%"</f>
        <v/>
      </c>
    </row>
    <row r="41">
      <c r="B41" s="12" t="inlineStr">
        <is>
          <t>TOTAL</t>
        </is>
      </c>
      <c r="C41" s="12">
        <f>SUM(C34:C40)</f>
        <v/>
      </c>
      <c r="D41" s="12">
        <f>SUM(D34:D40)</f>
        <v/>
      </c>
      <c r="E41" s="12">
        <f>SUM(E34:E40)</f>
        <v/>
      </c>
      <c r="F41" s="12">
        <f>SUM(F34:F40)</f>
        <v/>
      </c>
    </row>
  </sheetData>
  <mergeCells count="20">
    <mergeCell ref="C6:G6"/>
    <mergeCell ref="B14:G14"/>
    <mergeCell ref="C24:G24"/>
    <mergeCell ref="B17:G17"/>
    <mergeCell ref="C5:G5"/>
    <mergeCell ref="B13:G13"/>
    <mergeCell ref="B29:G29"/>
    <mergeCell ref="B19:G19"/>
    <mergeCell ref="B28:G28"/>
    <mergeCell ref="C10:G10"/>
    <mergeCell ref="C25:G25"/>
    <mergeCell ref="C22:G22"/>
    <mergeCell ref="B30:G30"/>
    <mergeCell ref="C9:G9"/>
    <mergeCell ref="B15:G15"/>
    <mergeCell ref="C23:G23"/>
    <mergeCell ref="C8:G8"/>
    <mergeCell ref="B16:G16"/>
    <mergeCell ref="C7:G7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HR via the module dropdown</t>
        </is>
      </c>
      <c r="E2" s="15" t="inlineStr">
        <is>
          <t>HR opens logged-in; viewer/manager/admin nav per role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Fresh private window &gt; HR URL</t>
        </is>
      </c>
      <c r="E3" s="15" t="inlineStr">
        <is>
          <t>Redirected to Admin login</t>
        </is>
      </c>
      <c r="F3" s="16" t="inlineStr"/>
      <c r="G3" s="16" t="inlineStr"/>
      <c r="H3" s="16" t="inlineStr"/>
      <c r="I3" s="15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HR-DSH-01</t>
        </is>
      </c>
      <c r="B2" s="15" t="inlineStr">
        <is>
          <t>Stats</t>
        </is>
      </c>
      <c r="C2" s="15" t="inlineStr">
        <is>
          <t>Headcount cards</t>
        </is>
      </c>
      <c r="D2" s="15" t="inlineStr">
        <is>
          <t>1. Open HR Dashboard</t>
        </is>
      </c>
      <c r="E2" s="15" t="inlineStr">
        <is>
          <t>Cards (headcount, vacancies, expiring docs) show live values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HR-DSH-02</t>
        </is>
      </c>
      <c r="B3" s="15" t="inlineStr">
        <is>
          <t>Charts</t>
        </is>
      </c>
      <c r="C3" s="15" t="inlineStr">
        <is>
          <t>Headcount + expiry horizon</t>
        </is>
      </c>
      <c r="D3" s="15" t="inlineStr">
        <is>
          <t>1. Wait for both charts</t>
        </is>
      </c>
      <c r="E3" s="15" t="inlineStr">
        <is>
          <t>Approved vs filled headcount chart + document expiry horizon chart render</t>
        </is>
      </c>
      <c r="F3" s="16" t="inlineStr"/>
      <c r="G3" s="16" t="inlineStr"/>
      <c r="H3" s="16" t="inlineStr"/>
      <c r="I3" s="15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HR-EMP-01</t>
        </is>
      </c>
      <c r="B2" s="15" t="inlineStr">
        <is>
          <t>Employees list</t>
        </is>
      </c>
      <c r="C2" s="15" t="inlineStr">
        <is>
          <t>Paged list</t>
        </is>
      </c>
      <c r="D2" s="15" t="inlineStr">
        <is>
          <t>1. Open Employees
2. Page next/previous</t>
        </is>
      </c>
      <c r="E2" s="15" t="inlineStr">
        <is>
          <t>Employee cards/rows with photo or initials; paging works without losing filters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HR-EMP-02</t>
        </is>
      </c>
      <c r="B3" s="15" t="inlineStr">
        <is>
          <t>Employees list</t>
        </is>
      </c>
      <c r="C3" s="15" t="inlineStr">
        <is>
          <t>Search + filters</t>
        </is>
      </c>
      <c r="D3" s="15" t="inlineStr">
        <is>
          <t>1. Search by name
2. Filter by organisation and grade</t>
        </is>
      </c>
      <c r="E3" s="15" t="inlineStr">
        <is>
          <t>Server-side filtering; combined filters work; clear restores</t>
        </is>
      </c>
      <c r="F3" s="16" t="inlineStr"/>
      <c r="G3" s="16" t="inlineStr"/>
      <c r="H3" s="16" t="inlineStr"/>
      <c r="I3" s="15" t="inlineStr"/>
    </row>
    <row r="4">
      <c r="A4" s="14" t="inlineStr">
        <is>
          <t>HR-EMP-03</t>
        </is>
      </c>
      <c r="B4" s="15" t="inlineStr">
        <is>
          <t>Employee detail</t>
        </is>
      </c>
      <c r="C4" s="15" t="inlineStr">
        <is>
          <t>Full record</t>
        </is>
      </c>
      <c r="D4" s="15" t="inlineStr">
        <is>
          <t>1. Open an employee</t>
        </is>
      </c>
      <c r="E4" s="15" t="inlineStr">
        <is>
          <t>Personal, job (position/grade/org), contacts, documents tabs all populated</t>
        </is>
      </c>
      <c r="F4" s="16" t="inlineStr"/>
      <c r="G4" s="16" t="inlineStr"/>
      <c r="H4" s="16" t="inlineStr"/>
      <c r="I4" s="15" t="inlineStr"/>
    </row>
    <row r="5">
      <c r="A5" s="14" t="inlineStr">
        <is>
          <t>HR-EMP-04</t>
        </is>
      </c>
      <c r="B5" s="15" t="inlineStr">
        <is>
          <t>Create</t>
        </is>
      </c>
      <c r="C5" s="15" t="inlineStr">
        <is>
          <t>New employee</t>
        </is>
      </c>
      <c r="D5" s="15" t="inlineStr">
        <is>
          <t>1. New Employee: number, names EN/AR, hire date, position, org, grade
2. Save</t>
        </is>
      </c>
      <c r="E5" s="15" t="inlineStr">
        <is>
          <t>Employee created and findable; appears in headcount</t>
        </is>
      </c>
      <c r="F5" s="16" t="inlineStr"/>
      <c r="G5" s="16" t="inlineStr"/>
      <c r="H5" s="16" t="inlineStr"/>
      <c r="I5" s="15" t="inlineStr"/>
    </row>
    <row r="6">
      <c r="A6" s="14" t="inlineStr">
        <is>
          <t>HR-EMP-05</t>
        </is>
      </c>
      <c r="B6" s="15" t="inlineStr">
        <is>
          <t>Edit</t>
        </is>
      </c>
      <c r="C6" s="15" t="inlineStr">
        <is>
          <t>Update employee</t>
        </is>
      </c>
      <c r="D6" s="15" t="inlineStr">
        <is>
          <t>1. Edit job title / phone / org
2. Save and reopen</t>
        </is>
      </c>
      <c r="E6" s="15" t="inlineStr">
        <is>
          <t>Changes persist</t>
        </is>
      </c>
      <c r="F6" s="16" t="inlineStr"/>
      <c r="G6" s="16" t="inlineStr"/>
      <c r="H6" s="16" t="inlineStr"/>
      <c r="I6" s="15" t="inlineStr"/>
    </row>
    <row r="7">
      <c r="A7" s="14" t="inlineStr">
        <is>
          <t>HR-EMP-06</t>
        </is>
      </c>
      <c r="B7" s="15" t="inlineStr">
        <is>
          <t>Photo</t>
        </is>
      </c>
      <c r="C7" s="15" t="inlineStr">
        <is>
          <t>Upload employee photo</t>
        </is>
      </c>
      <c r="D7" s="15" t="inlineStr">
        <is>
          <t>1. In employee detail click photo/upload
2. Choose an image</t>
        </is>
      </c>
      <c r="E7" s="15" t="inlineStr">
        <is>
          <t>Picker opens; photo saved and shown in list + detail (small file &lt; 20KB if large files fail)</t>
        </is>
      </c>
      <c r="F7" s="16" t="inlineStr"/>
      <c r="G7" s="16" t="inlineStr"/>
      <c r="H7" s="16" t="inlineStr"/>
      <c r="I7" s="15" t="inlineStr"/>
    </row>
    <row r="8">
      <c r="A8" s="14" t="inlineStr">
        <is>
          <t>HR-EMP-07</t>
        </is>
      </c>
      <c r="B8" s="15" t="inlineStr">
        <is>
          <t>Documents</t>
        </is>
      </c>
      <c r="C8" s="15" t="inlineStr">
        <is>
          <t>Add employee document</t>
        </is>
      </c>
      <c r="D8" s="15" t="inlineStr">
        <is>
          <t>1. Add a document (type, number, expiry date) to an employee
2. Upload the file</t>
        </is>
      </c>
      <c r="E8" s="15" t="inlineStr">
        <is>
          <t>Document listed with expiry; appears in compliance views</t>
        </is>
      </c>
      <c r="F8" s="16" t="inlineStr"/>
      <c r="G8" s="16" t="inlineStr"/>
      <c r="H8" s="16" t="inlineStr"/>
      <c r="I8" s="15" t="inlineStr"/>
    </row>
    <row r="9">
      <c r="A9" s="14" t="inlineStr">
        <is>
          <t>HR-EMP-08</t>
        </is>
      </c>
      <c r="B9" s="15" t="inlineStr">
        <is>
          <t>Org hierarchy</t>
        </is>
      </c>
      <c r="C9" s="15" t="inlineStr">
        <is>
          <t>Org chart</t>
        </is>
      </c>
      <c r="D9" s="15" t="inlineStr">
        <is>
          <t>1. Open Org Hierarchy</t>
        </is>
      </c>
      <c r="E9" s="15" t="inlineStr">
        <is>
          <t>Tree/chart of org units with employees; expand/collapse works</t>
        </is>
      </c>
      <c r="F9" s="16" t="inlineStr"/>
      <c r="G9" s="16" t="inlineStr"/>
      <c r="H9" s="16" t="inlineStr"/>
      <c r="I9" s="15" t="inlineStr"/>
    </row>
  </sheetData>
  <autoFilter ref="A1:I9"/>
  <conditionalFormatting sqref="F2:F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HR-STR-01</t>
        </is>
      </c>
      <c r="B2" s="15" t="inlineStr">
        <is>
          <t>Positions</t>
        </is>
      </c>
      <c r="C2" s="15" t="inlineStr">
        <is>
          <t>CRUD</t>
        </is>
      </c>
      <c r="D2" s="15" t="inlineStr">
        <is>
          <t>1. Open Positions
2. Create a position (title, org, grade, headcount)
3. Edit it
4. Try assigning an employee to it</t>
        </is>
      </c>
      <c r="E2" s="15" t="inlineStr">
        <is>
          <t>Position created/edited; assignable to employees; filled count updates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HR-STR-02</t>
        </is>
      </c>
      <c r="B3" s="15" t="inlineStr">
        <is>
          <t>Jobs</t>
        </is>
      </c>
      <c r="C3" s="15" t="inlineStr">
        <is>
          <t>CRUD</t>
        </is>
      </c>
      <c r="D3" s="15" t="inlineStr">
        <is>
          <t>1. Open Jobs
2. Create/edit a job</t>
        </is>
      </c>
      <c r="E3" s="15" t="inlineStr">
        <is>
          <t>Job persists; selectable on positions/employees</t>
        </is>
      </c>
      <c r="F3" s="16" t="inlineStr"/>
      <c r="G3" s="16" t="inlineStr"/>
      <c r="H3" s="16" t="inlineStr"/>
      <c r="I3" s="15" t="inlineStr"/>
    </row>
    <row r="4">
      <c r="A4" s="14" t="inlineStr">
        <is>
          <t>HR-STR-03</t>
        </is>
      </c>
      <c r="B4" s="15" t="inlineStr">
        <is>
          <t>Grades</t>
        </is>
      </c>
      <c r="C4" s="15" t="inlineStr">
        <is>
          <t>List + edit</t>
        </is>
      </c>
      <c r="D4" s="15" t="inlineStr">
        <is>
          <t>1. Open Grades
2. Edit a grade label</t>
        </is>
      </c>
      <c r="E4" s="15" t="inlineStr">
        <is>
          <t>Grades listed; edit persists; grade dropdowns reflect it</t>
        </is>
      </c>
      <c r="F4" s="16" t="inlineStr"/>
      <c r="G4" s="16" t="inlineStr"/>
      <c r="H4" s="16" t="inlineStr"/>
      <c r="I4" s="15" t="inlineStr"/>
    </row>
    <row r="5">
      <c r="A5" s="14" t="inlineStr">
        <is>
          <t>HR-STR-04</t>
        </is>
      </c>
      <c r="B5" s="15" t="inlineStr">
        <is>
          <t>Locations</t>
        </is>
      </c>
      <c r="C5" s="15" t="inlineStr">
        <is>
          <t>CRUD</t>
        </is>
      </c>
      <c r="D5" s="15" t="inlineStr">
        <is>
          <t>1. Open Locations
2. Add/edit a location</t>
        </is>
      </c>
      <c r="E5" s="15" t="inlineStr">
        <is>
          <t>Location persists; selectable on employees/positions</t>
        </is>
      </c>
      <c r="F5" s="16" t="inlineStr"/>
      <c r="G5" s="16" t="inlineStr"/>
      <c r="H5" s="16" t="inlineStr"/>
      <c r="I5" s="15" t="inlineStr"/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HR-CMP-01</t>
        </is>
      </c>
      <c r="B2" s="15" t="inlineStr">
        <is>
          <t>Expiring documents</t>
        </is>
      </c>
      <c r="C2" s="15" t="inlineStr">
        <is>
          <t>Expiry list + badge</t>
        </is>
      </c>
      <c r="D2" s="15" t="inlineStr">
        <is>
          <t>1. Open Documents (compliance)
2. Compare the side-nav badge number with rows</t>
        </is>
      </c>
      <c r="E2" s="15" t="inlineStr">
        <is>
          <t>Documents expiring within the window listed with days-left; badge matches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HR-CMP-02</t>
        </is>
      </c>
      <c r="B3" s="15" t="inlineStr">
        <is>
          <t>Document detail</t>
        </is>
      </c>
      <c r="C3" s="15" t="inlineStr">
        <is>
          <t>Navigate to employee</t>
        </is>
      </c>
      <c r="D3" s="15" t="inlineStr">
        <is>
          <t>1. Click an expiring document</t>
        </is>
      </c>
      <c r="E3" s="15" t="inlineStr">
        <is>
          <t>Opens the owning employee's documents tab</t>
        </is>
      </c>
      <c r="F3" s="16" t="inlineStr"/>
      <c r="G3" s="16" t="inlineStr"/>
      <c r="H3" s="16" t="inlineStr"/>
      <c r="I3" s="15" t="inlineStr"/>
    </row>
    <row r="4">
      <c r="A4" s="14" t="inlineStr">
        <is>
          <t>HR-CMP-03</t>
        </is>
      </c>
      <c r="B4" s="15" t="inlineStr">
        <is>
          <t>Renewal</t>
        </is>
      </c>
      <c r="C4" s="15" t="inlineStr">
        <is>
          <t>Update expiry</t>
        </is>
      </c>
      <c r="D4" s="15" t="inlineStr">
        <is>
          <t>1. Update a document's expiry to a future date</t>
        </is>
      </c>
      <c r="E4" s="15" t="inlineStr">
        <is>
          <t>Item leaves the expiring list; badge decreases</t>
        </is>
      </c>
      <c r="F4" s="16" t="inlineStr"/>
      <c r="G4" s="16" t="inlineStr"/>
      <c r="H4" s="16" t="inlineStr"/>
      <c r="I4" s="15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HR-ADM-01</t>
        </is>
      </c>
      <c r="B2" s="15" t="inlineStr">
        <is>
          <t>Lookups</t>
        </is>
      </c>
      <c r="C2" s="15" t="inlineStr">
        <is>
          <t>HR lookup values</t>
        </is>
      </c>
      <c r="D2" s="15" t="inlineStr">
        <is>
          <t>1. Open Lookups
2. Add/edit a value in an HR category</t>
        </is>
      </c>
      <c r="E2" s="15" t="inlineStr">
        <is>
          <t>Value persists and appears in the matching dropdowns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HR-ADM-02</t>
        </is>
      </c>
      <c r="B3" s="15" t="inlineStr">
        <is>
          <t>Module settings</t>
        </is>
      </c>
      <c r="C3" s="15" t="inlineStr">
        <is>
          <t>HR settings</t>
        </is>
      </c>
      <c r="D3" s="15" t="inlineStr">
        <is>
          <t>1. Open Module Settings
2. Edit a value and refresh</t>
        </is>
      </c>
      <c r="E3" s="15" t="inlineStr">
        <is>
          <t>Persists; no errors</t>
        </is>
      </c>
      <c r="F3" s="16" t="inlineStr"/>
      <c r="G3" s="16" t="inlineStr"/>
      <c r="H3" s="16" t="inlineStr"/>
      <c r="I3" s="15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HR-SHL-01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Module dropdown &gt; Admin and back</t>
        </is>
      </c>
      <c r="E2" s="15" t="inlineStr">
        <is>
          <t>No re-login</t>
        </is>
      </c>
      <c r="F2" s="16" t="inlineStr"/>
      <c r="G2" s="16" t="inlineStr"/>
      <c r="H2" s="16" t="inlineStr"/>
      <c r="I2" s="15" t="inlineStr"/>
    </row>
    <row r="3">
      <c r="A3" s="14" t="inlineStr">
        <is>
          <t>HR-SHL-02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
2. Walk Employees + Dashboard</t>
        </is>
      </c>
      <c r="E3" s="15" t="inlineStr">
        <is>
          <t>Mirrored layout; Arabic shell; Arabic names display correctly; Latin digits</t>
        </is>
      </c>
      <c r="F3" s="16" t="inlineStr"/>
      <c r="G3" s="16" t="inlineStr"/>
      <c r="H3" s="16" t="inlineStr"/>
      <c r="I3" s="15" t="inlineStr"/>
    </row>
    <row r="4">
      <c r="A4" s="14" t="inlineStr">
        <is>
          <t>HR-SHL-03</t>
        </is>
      </c>
      <c r="B4" s="15" t="inlineStr">
        <is>
          <t>Notifications</t>
        </is>
      </c>
      <c r="C4" s="15" t="inlineStr">
        <is>
          <t>HR notifications</t>
        </is>
      </c>
      <c r="D4" s="15" t="inlineStr">
        <is>
          <t>1. Check the bell after document-expiry alerts run</t>
        </is>
      </c>
      <c r="E4" s="15" t="inlineStr">
        <is>
          <t>Expiry notifications visible and readable</t>
        </is>
      </c>
      <c r="F4" s="16" t="inlineStr"/>
      <c r="G4" s="16" t="inlineStr"/>
      <c r="H4" s="16" t="inlineStr"/>
      <c r="I4" s="15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2026-06-11T18:24:30Z</dcterms:created>
  <dcterms:modified xmlns:dcterms="http://purl.org/dc/terms/" xmlns:xsi="http://www.w3.org/2001/XMLSchema-instance" xsi:type="dcterms:W3CDTF">2026-06-11T18:24:30Z</dcterms:modified>
</cp:coreProperties>
</file>