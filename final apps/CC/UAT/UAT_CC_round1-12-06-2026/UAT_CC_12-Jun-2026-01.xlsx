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Access &amp; Session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My Card" sheetId="4" state="visible" r:id="rId4"/>
    <sheet xmlns:r="http://schemas.openxmlformats.org/officeDocument/2006/relationships" name="Card Requests" sheetId="5" state="visible" r:id="rId5"/>
    <sheet xmlns:r="http://schemas.openxmlformats.org/officeDocument/2006/relationships" name="Replenishments" sheetId="6" state="visible" r:id="rId6"/>
    <sheet xmlns:r="http://schemas.openxmlformats.org/officeDocument/2006/relationships" name="Approvals" sheetId="7" state="visible" r:id="rId7"/>
    <sheet xmlns:r="http://schemas.openxmlformats.org/officeDocument/2006/relationships" name="Administration" sheetId="8" state="visible" r:id="rId8"/>
    <sheet xmlns:r="http://schemas.openxmlformats.org/officeDocument/2006/relationships" name="Shell &amp; Language" sheetId="9" state="visible" r:id="rId9"/>
  </sheets>
  <definedNames>
    <definedName name="_xlnm._FilterDatabase" localSheetId="1" hidden="1">'Access &amp; Session'!$A$1:$J$4</definedName>
    <definedName name="_xlnm._FilterDatabase" localSheetId="2" hidden="1">'Dashboard'!$A$1:$J$3</definedName>
    <definedName name="_xlnm._FilterDatabase" localSheetId="3" hidden="1">'My Card'!$A$1:$J$5</definedName>
    <definedName name="_xlnm._FilterDatabase" localSheetId="4" hidden="1">'Card Requests'!$A$1:$J$7</definedName>
    <definedName name="_xlnm._FilterDatabase" localSheetId="5" hidden="1">'Replenishments'!$A$1:$J$6</definedName>
    <definedName name="_xlnm._FilterDatabase" localSheetId="6" hidden="1">'Approvals'!$A$1:$J$4</definedName>
    <definedName name="_xlnm._FilterDatabase" localSheetId="7" hidden="1">'Administration'!$A$1:$J$5</definedName>
    <definedName name="_xlnm._FilterDatabase" localSheetId="8" hidden="1">'Shell &amp; Language'!$A$1:$J$3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555555"/>
    </font>
    <font>
      <i val="1"/>
      <color rgb="001A5276"/>
    </font>
    <font>
      <b val="1"/>
      <color rgb="00B0721E"/>
      <sz val="18"/>
    </font>
    <font>
      <b val="1"/>
      <color rgb="00444444"/>
      <sz val="12"/>
    </font>
    <font>
      <b val="1"/>
    </font>
    <font>
      <b val="1"/>
      <color rgb="00B0721E"/>
      <sz val="12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B0721E"/>
      </patternFill>
    </fill>
    <fill>
      <patternFill patternType="solid">
        <fgColor rgb="00C8E6C9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ECEFF1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6" fillId="3" borderId="1" pivotButton="0" quotePrefix="0" xfId="0"/>
    <xf numFmtId="0" fontId="6" fillId="4" borderId="1" pivotButton="0" quotePrefix="0" xfId="0"/>
    <xf numFmtId="0" fontId="6" fillId="5" borderId="1" pivotButton="0" quotePrefix="0" xfId="0"/>
    <xf numFmtId="0" fontId="6" fillId="6" borderId="1" pivotButton="0" quotePrefix="0" xfId="0"/>
    <xf numFmtId="0" fontId="0" fillId="0" borderId="0" applyAlignment="1" pivotButton="0" quotePrefix="0" xfId="0">
      <alignment vertical="top" wrapText="1"/>
    </xf>
    <xf numFmtId="0" fontId="8" fillId="2" borderId="1" pivotButton="0" quotePrefix="0" xfId="0"/>
    <xf numFmtId="0" fontId="0" fillId="0" borderId="1" pivotButton="0" quotePrefix="0" xfId="0"/>
    <xf numFmtId="0" fontId="6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dxfs count="4">
    <dxf>
      <font>
        <b val="1"/>
        <color rgb="001B5E20"/>
      </font>
      <fill>
        <patternFill patternType="solid">
          <fgColor rgb="00C8E6C9"/>
        </patternFill>
      </fill>
    </dxf>
    <dxf>
      <font>
        <b val="1"/>
        <color rgb="00B71C1C"/>
      </font>
      <fill>
        <patternFill patternType="solid">
          <fgColor rgb="00FFCDD2"/>
        </patternFill>
      </fill>
    </dxf>
    <dxf>
      <font>
        <b val="1"/>
        <color rgb="00E65100"/>
      </font>
      <fill>
        <patternFill patternType="solid">
          <fgColor rgb="00FFE0B2"/>
        </patternFill>
      </fill>
    </dxf>
    <dxf>
      <font>
        <color rgb="00546E7A"/>
      </font>
      <fill>
        <patternFill patternType="solid">
          <fgColor rgb="00ECEFF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4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2">
      <c r="B2" s="1" t="inlineStr">
        <is>
          <t>i-Finance UAT Script</t>
        </is>
      </c>
    </row>
    <row r="3">
      <c r="B3" s="2" t="inlineStr">
        <is>
          <t>Credit Cards (App 202) — Cards, Requests, Replenishments</t>
        </is>
      </c>
    </row>
    <row r="5">
      <c r="B5" s="3" t="inlineStr">
        <is>
          <t>Environment URL</t>
        </is>
      </c>
      <c r="C5" t="inlineStr">
        <is>
          <t>(fill in: e.g. http://localhost:8080 or the deployed URL)</t>
        </is>
      </c>
    </row>
    <row r="6">
      <c r="B6" s="3" t="inlineStr">
        <is>
          <t>Build / version date</t>
        </is>
      </c>
      <c r="C6" t="inlineStr">
        <is>
          <t>2026-06-12 (Phase 4)</t>
        </is>
      </c>
    </row>
    <row r="7">
      <c r="B7" s="3" t="inlineStr">
        <is>
          <t>UAT round</t>
        </is>
      </c>
      <c r="C7" t="inlineStr"/>
    </row>
    <row r="8">
      <c r="B8" s="3" t="inlineStr">
        <is>
          <t>Lead tester</t>
        </is>
      </c>
      <c r="C8" t="inlineStr"/>
    </row>
    <row r="9">
      <c r="B9" s="3" t="inlineStr">
        <is>
          <t>Start date</t>
        </is>
      </c>
      <c r="C9" t="inlineStr"/>
    </row>
    <row r="10">
      <c r="B10" s="3" t="inlineStr">
        <is>
          <t>End date</t>
        </is>
      </c>
      <c r="C10" t="inlineStr"/>
    </row>
    <row r="12">
      <c r="B12" s="4" t="inlineStr">
        <is>
          <t>How to test</t>
        </is>
      </c>
    </row>
    <row r="13">
      <c r="B13" t="inlineStr">
        <is>
          <t>1. Each tab is one functional area. Work top-to-bottom; one row = one test case.</t>
        </is>
      </c>
    </row>
    <row r="14">
      <c r="B14" t="inlineStr">
        <is>
          <t>2. Follow the Steps column exactly; compare the outcome with Expected Result.</t>
        </is>
      </c>
    </row>
    <row r="15">
      <c r="B15" t="inlineStr">
        <is>
          <t>2b. Sample Data / Records tells you WHICH seeded record, account or value to use — prefer it over inventing your own so results are reproducible.</t>
        </is>
      </c>
    </row>
    <row r="16">
      <c r="B16" t="inlineStr">
        <is>
          <t>3. Set Status from the dropdown: Pass / Fail / Blocked / N/A.</t>
        </is>
      </c>
    </row>
    <row r="17">
      <c r="B17" t="inlineStr">
        <is>
          <t>4. On Fail or Blocked, ALWAYS fill Comments (what happened, screenshots reference, error text).</t>
        </is>
      </c>
    </row>
    <row r="18">
      <c r="B18" t="inlineStr">
        <is>
          <t>5. Fill Tested By + Test Date on every executed row.</t>
        </is>
      </c>
    </row>
    <row r="19">
      <c r="B19" t="inlineStr">
        <is>
          <t>6. Login accounts: use the quick-login buttons on the login page, or accounts provided by the admin. Never write passwords in this file.</t>
        </is>
      </c>
    </row>
    <row r="20">
      <c r="B20" t="inlineStr">
        <is>
          <t>7. Hard-refresh (Ctrl+F5) after the team deploys a fix before retesting.</t>
        </is>
      </c>
    </row>
    <row r="22">
      <c r="B22" s="4" t="inlineStr">
        <is>
          <t>Status legend</t>
        </is>
      </c>
    </row>
    <row r="23">
      <c r="B23" s="5" t="inlineStr">
        <is>
          <t>Pass</t>
        </is>
      </c>
      <c r="C23" t="inlineStr">
        <is>
          <t>Works exactly as the Expected Result describes</t>
        </is>
      </c>
    </row>
    <row r="24">
      <c r="B24" s="6" t="inlineStr">
        <is>
          <t>Fail</t>
        </is>
      </c>
      <c r="C24" t="inlineStr">
        <is>
          <t>Does not match the Expected Result (describe in Comments)</t>
        </is>
      </c>
    </row>
    <row r="25">
      <c r="B25" s="7" t="inlineStr">
        <is>
          <t>Blocked</t>
        </is>
      </c>
      <c r="C25" t="inlineStr">
        <is>
          <t>Cannot be executed (missing data/role/dependency failed)</t>
        </is>
      </c>
    </row>
    <row r="26">
      <c r="B26" s="8" t="inlineStr">
        <is>
          <t>N/A</t>
        </is>
      </c>
      <c r="C26" t="inlineStr">
        <is>
          <t>Not applicable to this round/role</t>
        </is>
      </c>
    </row>
    <row r="28">
      <c r="B28" s="4" t="inlineStr">
        <is>
          <t>Seeded UAT data (your starting point)</t>
        </is>
      </c>
    </row>
    <row r="29" ht="30" customHeight="1">
      <c r="B29" s="9" t="inlineStr">
        <is>
          <t>- CC roles: NASER.ALKHAJA = CC_ADMIN; card holders: SHAIKHA.ALSUWAIDI (CC-2026-00002, 20k) and HASHEM.ALKABBI (CC-2026-00003, 12k). CC-2026-00001 is a CLOSED test card.</t>
        </is>
      </c>
    </row>
    <row r="30" ht="30" customHeight="1">
      <c r="B30" s="9" t="inlineStr">
        <is>
          <t>- CCM-2026-05-00001 (May statement, 3 merchant lines, 1,970.50) - SUBMITTED, awaiting approval.</t>
        </is>
      </c>
    </row>
    <row r="31" ht="30" customHeight="1">
      <c r="B31" s="9" t="inlineStr">
        <is>
          <t>- One INCREASE_LIMIT request exists in WITHDRAWN state (negative-path evidence).</t>
        </is>
      </c>
    </row>
    <row r="32" ht="30" customHeight="1">
      <c r="B32" s="9" t="inlineStr">
        <is>
          <t>- Doc requirements seeded: 4 mandatory documents for NEW_CARD; check the wizard checklist against them.</t>
        </is>
      </c>
    </row>
    <row r="34">
      <c r="B34" s="4" t="inlineStr">
        <is>
          <t>Live summary</t>
        </is>
      </c>
    </row>
    <row r="35">
      <c r="B35" s="10" t="inlineStr">
        <is>
          <t>Functional area</t>
        </is>
      </c>
      <c r="C35" s="10" t="inlineStr">
        <is>
          <t>Cases</t>
        </is>
      </c>
      <c r="D35" s="10" t="inlineStr">
        <is>
          <t>Pass</t>
        </is>
      </c>
      <c r="E35" s="10" t="inlineStr">
        <is>
          <t>Fail</t>
        </is>
      </c>
      <c r="F35" s="10" t="inlineStr">
        <is>
          <t>Blocked</t>
        </is>
      </c>
      <c r="G35" s="10" t="inlineStr">
        <is>
          <t>Executed %</t>
        </is>
      </c>
    </row>
    <row r="36">
      <c r="B36" s="11" t="inlineStr">
        <is>
          <t>Access &amp; Session</t>
        </is>
      </c>
      <c r="C36" s="11" t="n">
        <v>3</v>
      </c>
      <c r="D36" s="11">
        <f>COUNTIF('Access &amp; Session'!G:G,"Pass")</f>
        <v/>
      </c>
      <c r="E36" s="11">
        <f>COUNTIF('Access &amp; Session'!G:G,"Fail")</f>
        <v/>
      </c>
      <c r="F36" s="11">
        <f>COUNTIF('Access &amp; Session'!G:G,"Blocked")</f>
        <v/>
      </c>
      <c r="G36" s="11">
        <f>ROUND(COUNTA('Access &amp; Session'!G2:G500)/C36*100,0)&amp;"%"</f>
        <v/>
      </c>
    </row>
    <row r="37">
      <c r="B37" s="11" t="inlineStr">
        <is>
          <t>Dashboard</t>
        </is>
      </c>
      <c r="C37" s="11" t="n">
        <v>2</v>
      </c>
      <c r="D37" s="11">
        <f>COUNTIF('Dashboard'!G:G,"Pass")</f>
        <v/>
      </c>
      <c r="E37" s="11">
        <f>COUNTIF('Dashboard'!G:G,"Fail")</f>
        <v/>
      </c>
      <c r="F37" s="11">
        <f>COUNTIF('Dashboard'!G:G,"Blocked")</f>
        <v/>
      </c>
      <c r="G37" s="11">
        <f>ROUND(COUNTA('Dashboard'!G2:G500)/C37*100,0)&amp;"%"</f>
        <v/>
      </c>
    </row>
    <row r="38">
      <c r="B38" s="11" t="inlineStr">
        <is>
          <t>My Card</t>
        </is>
      </c>
      <c r="C38" s="11" t="n">
        <v>4</v>
      </c>
      <c r="D38" s="11">
        <f>COUNTIF('My Card'!G:G,"Pass")</f>
        <v/>
      </c>
      <c r="E38" s="11">
        <f>COUNTIF('My Card'!G:G,"Fail")</f>
        <v/>
      </c>
      <c r="F38" s="11">
        <f>COUNTIF('My Card'!G:G,"Blocked")</f>
        <v/>
      </c>
      <c r="G38" s="11">
        <f>ROUND(COUNTA('My Card'!G2:G500)/C38*100,0)&amp;"%"</f>
        <v/>
      </c>
    </row>
    <row r="39">
      <c r="B39" s="11" t="inlineStr">
        <is>
          <t>Card Requests</t>
        </is>
      </c>
      <c r="C39" s="11" t="n">
        <v>6</v>
      </c>
      <c r="D39" s="11">
        <f>COUNTIF('Card Requests'!G:G,"Pass")</f>
        <v/>
      </c>
      <c r="E39" s="11">
        <f>COUNTIF('Card Requests'!G:G,"Fail")</f>
        <v/>
      </c>
      <c r="F39" s="11">
        <f>COUNTIF('Card Requests'!G:G,"Blocked")</f>
        <v/>
      </c>
      <c r="G39" s="11">
        <f>ROUND(COUNTA('Card Requests'!G2:G500)/C39*100,0)&amp;"%"</f>
        <v/>
      </c>
    </row>
    <row r="40">
      <c r="B40" s="11" t="inlineStr">
        <is>
          <t>Replenishments</t>
        </is>
      </c>
      <c r="C40" s="11" t="n">
        <v>5</v>
      </c>
      <c r="D40" s="11">
        <f>COUNTIF('Replenishments'!G:G,"Pass")</f>
        <v/>
      </c>
      <c r="E40" s="11">
        <f>COUNTIF('Replenishments'!G:G,"Fail")</f>
        <v/>
      </c>
      <c r="F40" s="11">
        <f>COUNTIF('Replenishments'!G:G,"Blocked")</f>
        <v/>
      </c>
      <c r="G40" s="11">
        <f>ROUND(COUNTA('Replenishments'!G2:G500)/C40*100,0)&amp;"%"</f>
        <v/>
      </c>
    </row>
    <row r="41">
      <c r="B41" s="11" t="inlineStr">
        <is>
          <t>Approvals</t>
        </is>
      </c>
      <c r="C41" s="11" t="n">
        <v>3</v>
      </c>
      <c r="D41" s="11">
        <f>COUNTIF('Approvals'!G:G,"Pass")</f>
        <v/>
      </c>
      <c r="E41" s="11">
        <f>COUNTIF('Approvals'!G:G,"Fail")</f>
        <v/>
      </c>
      <c r="F41" s="11">
        <f>COUNTIF('Approvals'!G:G,"Blocked")</f>
        <v/>
      </c>
      <c r="G41" s="11">
        <f>ROUND(COUNTA('Approvals'!G2:G500)/C41*100,0)&amp;"%"</f>
        <v/>
      </c>
    </row>
    <row r="42">
      <c r="B42" s="11" t="inlineStr">
        <is>
          <t>Administration</t>
        </is>
      </c>
      <c r="C42" s="11" t="n">
        <v>4</v>
      </c>
      <c r="D42" s="11">
        <f>COUNTIF('Administration'!G:G,"Pass")</f>
        <v/>
      </c>
      <c r="E42" s="11">
        <f>COUNTIF('Administration'!G:G,"Fail")</f>
        <v/>
      </c>
      <c r="F42" s="11">
        <f>COUNTIF('Administration'!G:G,"Blocked")</f>
        <v/>
      </c>
      <c r="G42" s="11">
        <f>ROUND(COUNTA('Administration'!G2:G500)/C42*100,0)&amp;"%"</f>
        <v/>
      </c>
    </row>
    <row r="43">
      <c r="B43" s="11" t="inlineStr">
        <is>
          <t>Shell &amp; Language</t>
        </is>
      </c>
      <c r="C43" s="11" t="n">
        <v>2</v>
      </c>
      <c r="D43" s="11">
        <f>COUNTIF('Shell &amp; Language'!G:G,"Pass")</f>
        <v/>
      </c>
      <c r="E43" s="11">
        <f>COUNTIF('Shell &amp; Language'!G:G,"Fail")</f>
        <v/>
      </c>
      <c r="F43" s="11">
        <f>COUNTIF('Shell &amp; Language'!G:G,"Blocked")</f>
        <v/>
      </c>
      <c r="G43" s="11">
        <f>ROUND(COUNTA('Shell &amp; Language'!G2:G500)/C43*100,0)&amp;"%"</f>
        <v/>
      </c>
    </row>
    <row r="44">
      <c r="B44" s="12" t="inlineStr">
        <is>
          <t>TOTAL</t>
        </is>
      </c>
      <c r="C44" s="12">
        <f>SUM(C36:C43)</f>
        <v/>
      </c>
      <c r="D44" s="12">
        <f>SUM(D36:D43)</f>
        <v/>
      </c>
      <c r="E44" s="12">
        <f>SUM(E36:E43)</f>
        <v/>
      </c>
      <c r="F44" s="12">
        <f>SUM(F36:F43)</f>
        <v/>
      </c>
    </row>
  </sheetData>
  <mergeCells count="22">
    <mergeCell ref="C6:G6"/>
    <mergeCell ref="B14:G14"/>
    <mergeCell ref="C24:G24"/>
    <mergeCell ref="B17:G17"/>
    <mergeCell ref="C5:G5"/>
    <mergeCell ref="B13:G13"/>
    <mergeCell ref="B29:G29"/>
    <mergeCell ref="C26:G26"/>
    <mergeCell ref="B19:G19"/>
    <mergeCell ref="C10:G10"/>
    <mergeCell ref="C25:G25"/>
    <mergeCell ref="B30:G30"/>
    <mergeCell ref="C9:G9"/>
    <mergeCell ref="B15:G15"/>
    <mergeCell ref="B20:G20"/>
    <mergeCell ref="B32:G32"/>
    <mergeCell ref="C23:G23"/>
    <mergeCell ref="C8:G8"/>
    <mergeCell ref="B16:G16"/>
    <mergeCell ref="C7:G7"/>
    <mergeCell ref="B31:G31"/>
    <mergeCell ref="B18:G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46" customWidth="1" min="4" max="4"/>
    <col width="34" customWidth="1" min="5" max="5"/>
    <col width="42" customWidth="1" min="6" max="6"/>
    <col width="11" customWidth="1" min="7" max="7"/>
    <col width="14" customWidth="1" min="8" max="8"/>
    <col width="12" customWidth="1" min="9" max="9"/>
    <col width="32" customWidth="1" min="10" max="10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Sample Data / Records</t>
        </is>
      </c>
      <c r="F1" s="13" t="inlineStr">
        <is>
          <t>Expected Result</t>
        </is>
      </c>
      <c r="G1" s="13" t="inlineStr">
        <is>
          <t>Status</t>
        </is>
      </c>
      <c r="H1" s="13" t="inlineStr">
        <is>
          <t>Tested By</t>
        </is>
      </c>
      <c r="I1" s="13" t="inlineStr">
        <is>
          <t>Test Date</t>
        </is>
      </c>
      <c r="J1" s="13" t="inlineStr">
        <is>
          <t>Comments / Defect Ref</t>
        </is>
      </c>
    </row>
    <row r="2">
      <c r="A2" s="14" t="inlineStr">
        <is>
          <t>CC-ACC-01</t>
        </is>
      </c>
      <c r="B2" s="15" t="inlineStr">
        <is>
          <t>Shared session</t>
        </is>
      </c>
      <c r="C2" s="15" t="inlineStr">
        <is>
          <t>Entry from Admin</t>
        </is>
      </c>
      <c r="D2" s="15" t="inlineStr">
        <is>
          <t>1. Login in Admin
2. Switch to Credit Cards via the module dropdown</t>
        </is>
      </c>
      <c r="E2" s="16" t="inlineStr">
        <is>
          <t>Holders: SHAIKHA.ALSUWAIDI (CC-2026-00002), HASHEM.ALKABBI (CC-2026-00003) · CC_ADMIN = NASER.ALKHAJA</t>
        </is>
      </c>
      <c r="F2" s="15" t="inlineStr">
        <is>
          <t>CC opens logged-in; holder vs approver vs CC_ADMIN nav per role</t>
        </is>
      </c>
      <c r="G2" s="17" t="inlineStr"/>
      <c r="H2" s="17" t="inlineStr"/>
      <c r="I2" s="17" t="inlineStr"/>
      <c r="J2" s="15" t="inlineStr"/>
    </row>
    <row r="3">
      <c r="A3" s="14" t="inlineStr">
        <is>
          <t>CC-ACC-02</t>
        </is>
      </c>
      <c r="B3" s="15" t="inlineStr">
        <is>
          <t>No session</t>
        </is>
      </c>
      <c r="C3" s="15" t="inlineStr">
        <is>
          <t>Direct open without login</t>
        </is>
      </c>
      <c r="D3" s="15" t="inlineStr">
        <is>
          <t>1. Fresh private window &gt; CC URL</t>
        </is>
      </c>
      <c r="E3" s="16" t="inlineStr">
        <is>
          <t>Holders: SHAIKHA.ALSUWAIDI (CC-2026-00002), HASHEM.ALKABBI (CC-2026-00003) · CC_ADMIN = NASER.ALKHAJA</t>
        </is>
      </c>
      <c r="F3" s="15" t="inlineStr">
        <is>
          <t>Redirected to Admin login</t>
        </is>
      </c>
      <c r="G3" s="17" t="inlineStr"/>
      <c r="H3" s="17" t="inlineStr"/>
      <c r="I3" s="17" t="inlineStr"/>
      <c r="J3" s="15" t="inlineStr"/>
    </row>
    <row r="4">
      <c r="A4" s="14" t="inlineStr">
        <is>
          <t>CC-ACC-03</t>
        </is>
      </c>
      <c r="B4" s="15" t="inlineStr">
        <is>
          <t>Role gating</t>
        </is>
      </c>
      <c r="C4" s="15" t="inlineStr">
        <is>
          <t>Admin menus</t>
        </is>
      </c>
      <c r="D4" s="15" t="inlineStr">
        <is>
          <t>1. Compare menus as a holder (SHAIKHA.ALSUWAIDI) vs CC_ADMIN (NASER)</t>
        </is>
      </c>
      <c r="E4" s="16" t="inlineStr">
        <is>
          <t>Holders: SHAIKHA.ALSUWAIDI (CC-2026-00002), HASHEM.ALKABBI (CC-2026-00003) · CC_ADMIN = NASER.ALKHAJA</t>
        </is>
      </c>
      <c r="F4" s="15" t="inlineStr">
        <is>
          <t>All Cards / Proxies / Module Settings only for CC_ADMIN/SYS_ADMIN; Approvals for MANAGER+</t>
        </is>
      </c>
      <c r="G4" s="17" t="inlineStr"/>
      <c r="H4" s="17" t="inlineStr"/>
      <c r="I4" s="17" t="inlineStr"/>
      <c r="J4" s="15" t="inlineStr"/>
    </row>
  </sheetData>
  <autoFilter ref="A1:J4"/>
  <conditionalFormatting sqref="G2:G4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G2:G4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46" customWidth="1" min="4" max="4"/>
    <col width="34" customWidth="1" min="5" max="5"/>
    <col width="42" customWidth="1" min="6" max="6"/>
    <col width="11" customWidth="1" min="7" max="7"/>
    <col width="14" customWidth="1" min="8" max="8"/>
    <col width="12" customWidth="1" min="9" max="9"/>
    <col width="32" customWidth="1" min="10" max="10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Sample Data / Records</t>
        </is>
      </c>
      <c r="F1" s="13" t="inlineStr">
        <is>
          <t>Expected Result</t>
        </is>
      </c>
      <c r="G1" s="13" t="inlineStr">
        <is>
          <t>Status</t>
        </is>
      </c>
      <c r="H1" s="13" t="inlineStr">
        <is>
          <t>Tested By</t>
        </is>
      </c>
      <c r="I1" s="13" t="inlineStr">
        <is>
          <t>Test Date</t>
        </is>
      </c>
      <c r="J1" s="13" t="inlineStr">
        <is>
          <t>Comments / Defect Ref</t>
        </is>
      </c>
    </row>
    <row r="2">
      <c r="A2" s="14" t="inlineStr">
        <is>
          <t>CC-DSH-01</t>
        </is>
      </c>
      <c r="B2" s="15" t="inlineStr">
        <is>
          <t>Stats</t>
        </is>
      </c>
      <c r="C2" s="15" t="inlineStr">
        <is>
          <t>Cards show live numbers</t>
        </is>
      </c>
      <c r="D2" s="15" t="inlineStr">
        <is>
          <t>1. Open CC Dashboard</t>
        </is>
      </c>
      <c r="E2" s="15" t="inlineStr"/>
      <c r="F2" s="15" t="inlineStr">
        <is>
          <t>Active cards, total credit limit, pending requests, replenishments due — sensible values</t>
        </is>
      </c>
      <c r="G2" s="17" t="inlineStr"/>
      <c r="H2" s="17" t="inlineStr"/>
      <c r="I2" s="17" t="inlineStr"/>
      <c r="J2" s="15" t="inlineStr"/>
    </row>
    <row r="3">
      <c r="A3" s="14" t="inlineStr">
        <is>
          <t>CC-DSH-02</t>
        </is>
      </c>
      <c r="B3" s="15" t="inlineStr">
        <is>
          <t>Charts</t>
        </is>
      </c>
      <c r="C3" s="15" t="inlineStr">
        <is>
          <t>Limits + compliance</t>
        </is>
      </c>
      <c r="D3" s="15" t="inlineStr">
        <is>
          <t>1. Wait for both charts</t>
        </is>
      </c>
      <c r="E3" s="15" t="inlineStr"/>
      <c r="F3" s="15" t="inlineStr">
        <is>
          <t>Credit limits by organisation bar + 6-month replenishment compliance (submitted vs due) render</t>
        </is>
      </c>
      <c r="G3" s="17" t="inlineStr"/>
      <c r="H3" s="17" t="inlineStr"/>
      <c r="I3" s="17" t="inlineStr"/>
      <c r="J3" s="15" t="inlineStr"/>
    </row>
  </sheetData>
  <autoFilter ref="A1:J3"/>
  <conditionalFormatting sqref="G2:G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G2:G3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46" customWidth="1" min="4" max="4"/>
    <col width="34" customWidth="1" min="5" max="5"/>
    <col width="42" customWidth="1" min="6" max="6"/>
    <col width="11" customWidth="1" min="7" max="7"/>
    <col width="14" customWidth="1" min="8" max="8"/>
    <col width="12" customWidth="1" min="9" max="9"/>
    <col width="32" customWidth="1" min="10" max="10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Sample Data / Records</t>
        </is>
      </c>
      <c r="F1" s="13" t="inlineStr">
        <is>
          <t>Expected Result</t>
        </is>
      </c>
      <c r="G1" s="13" t="inlineStr">
        <is>
          <t>Status</t>
        </is>
      </c>
      <c r="H1" s="13" t="inlineStr">
        <is>
          <t>Tested By</t>
        </is>
      </c>
      <c r="I1" s="13" t="inlineStr">
        <is>
          <t>Test Date</t>
        </is>
      </c>
      <c r="J1" s="13" t="inlineStr">
        <is>
          <t>Comments / Defect Ref</t>
        </is>
      </c>
    </row>
    <row r="2">
      <c r="A2" s="14" t="inlineStr">
        <is>
          <t>CC-CRD-01</t>
        </is>
      </c>
      <c r="B2" s="15" t="inlineStr">
        <is>
          <t>Card visual</t>
        </is>
      </c>
      <c r="C2" s="15" t="inlineStr">
        <is>
          <t>My card renders</t>
        </is>
      </c>
      <c r="D2" s="15" t="inlineStr">
        <is>
          <t>1. Login as a card holder
2. Open My Card</t>
        </is>
      </c>
      <c r="E2" s="16" t="inlineStr">
        <is>
          <t>Login SHAIKHA.ALSUWAIDI — CC-2026-00002 (20,000 AED)</t>
        </is>
      </c>
      <c r="F2" s="15" t="inlineStr">
        <is>
          <t>Card visual with number, holder, limit, expiry; status badge; greyed if not ACTIVE</t>
        </is>
      </c>
      <c r="G2" s="17" t="inlineStr"/>
      <c r="H2" s="17" t="inlineStr"/>
      <c r="I2" s="17" t="inlineStr"/>
      <c r="J2" s="15" t="inlineStr"/>
    </row>
    <row r="3">
      <c r="A3" s="14" t="inlineStr">
        <is>
          <t>CC-CRD-02</t>
        </is>
      </c>
      <c r="B3" s="15" t="inlineStr">
        <is>
          <t>Limit history</t>
        </is>
      </c>
      <c r="C3" s="15" t="inlineStr">
        <is>
          <t>Timeline</t>
        </is>
      </c>
      <c r="D3" s="15" t="inlineStr">
        <is>
          <t>1. Check the Limit History table</t>
        </is>
      </c>
      <c r="E3" s="16" t="inlineStr">
        <is>
          <t>CC-2026-00002 — INITIAL 0→20,000 row from registration</t>
        </is>
      </c>
      <c r="F3" s="15" t="inlineStr">
        <is>
          <t>INITIAL row from registration; INCREASE/DECREASE rows after approved limit changes</t>
        </is>
      </c>
      <c r="G3" s="17" t="inlineStr"/>
      <c r="H3" s="17" t="inlineStr"/>
      <c r="I3" s="17" t="inlineStr"/>
      <c r="J3" s="15" t="inlineStr"/>
    </row>
    <row r="4">
      <c r="A4" s="14" t="inlineStr">
        <is>
          <t>CC-CRD-03</t>
        </is>
      </c>
      <c r="B4" s="15" t="inlineStr">
        <is>
          <t>Due banner</t>
        </is>
      </c>
      <c r="C4" s="15" t="inlineStr">
        <is>
          <t>Replenishment due</t>
        </is>
      </c>
      <c r="D4" s="15" t="inlineStr">
        <is>
          <t>1. As a holder whose current-month statement is missing open My Card</t>
        </is>
      </c>
      <c r="E4" s="16" t="inlineStr">
        <is>
          <t>SHAIKHA.ALSUWAIDI — May submitted, current month missing → banner shows</t>
        </is>
      </c>
      <c r="F4" s="15" t="inlineStr">
        <is>
          <t>Amber 'this month's replenishment has not been submitted' banner with a shortcut button</t>
        </is>
      </c>
      <c r="G4" s="17" t="inlineStr"/>
      <c r="H4" s="17" t="inlineStr"/>
      <c r="I4" s="17" t="inlineStr"/>
      <c r="J4" s="15" t="inlineStr"/>
    </row>
    <row r="5">
      <c r="A5" s="14" t="inlineStr">
        <is>
          <t>CC-CRD-04</t>
        </is>
      </c>
      <c r="B5" s="15" t="inlineStr">
        <is>
          <t>No card</t>
        </is>
      </c>
      <c r="C5" s="15" t="inlineStr">
        <is>
          <t>Holder without card</t>
        </is>
      </c>
      <c r="D5" s="15" t="inlineStr">
        <is>
          <t>1. Login as a user with no card
2. Open My Card</t>
        </is>
      </c>
      <c r="E5" s="16" t="inlineStr">
        <is>
          <t>Login SHAIKHA.GALAMERI (no card)</t>
        </is>
      </c>
      <c r="F5" s="15" t="inlineStr">
        <is>
          <t>Friendly empty state offering a New Card request (no errors)</t>
        </is>
      </c>
      <c r="G5" s="17" t="inlineStr"/>
      <c r="H5" s="17" t="inlineStr"/>
      <c r="I5" s="17" t="inlineStr"/>
      <c r="J5" s="15" t="inlineStr"/>
    </row>
  </sheetData>
  <autoFilter ref="A1:J5"/>
  <conditionalFormatting sqref="G2:G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G2:G5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46" customWidth="1" min="4" max="4"/>
    <col width="34" customWidth="1" min="5" max="5"/>
    <col width="42" customWidth="1" min="6" max="6"/>
    <col width="11" customWidth="1" min="7" max="7"/>
    <col width="14" customWidth="1" min="8" max="8"/>
    <col width="12" customWidth="1" min="9" max="9"/>
    <col width="32" customWidth="1" min="10" max="10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Sample Data / Records</t>
        </is>
      </c>
      <c r="F1" s="13" t="inlineStr">
        <is>
          <t>Expected Result</t>
        </is>
      </c>
      <c r="G1" s="13" t="inlineStr">
        <is>
          <t>Status</t>
        </is>
      </c>
      <c r="H1" s="13" t="inlineStr">
        <is>
          <t>Tested By</t>
        </is>
      </c>
      <c r="I1" s="13" t="inlineStr">
        <is>
          <t>Test Date</t>
        </is>
      </c>
      <c r="J1" s="13" t="inlineStr">
        <is>
          <t>Comments / Defect Ref</t>
        </is>
      </c>
    </row>
    <row r="2">
      <c r="A2" s="14" t="inlineStr">
        <is>
          <t>CC-REQ-01</t>
        </is>
      </c>
      <c r="B2" s="15" t="inlineStr">
        <is>
          <t>Wizard</t>
        </is>
      </c>
      <c r="C2" s="15" t="inlineStr">
        <is>
          <t>Type tiles</t>
        </is>
      </c>
      <c r="D2" s="15" t="inlineStr">
        <is>
          <t>1. Open Card Requests &gt; + New Request</t>
        </is>
      </c>
      <c r="E2" s="15" t="inlineStr"/>
      <c r="F2" s="15" t="inlineStr">
        <is>
          <t>5 tiles: New Card / Increase / Decrease / Replacement / Close; 3-step wizard with progress</t>
        </is>
      </c>
      <c r="G2" s="17" t="inlineStr"/>
      <c r="H2" s="17" t="inlineStr"/>
      <c r="I2" s="17" t="inlineStr"/>
      <c r="J2" s="15" t="inlineStr"/>
    </row>
    <row r="3">
      <c r="A3" s="14" t="inlineStr">
        <is>
          <t>CC-REQ-02</t>
        </is>
      </c>
      <c r="B3" s="15" t="inlineStr">
        <is>
          <t>New card</t>
        </is>
      </c>
      <c r="C3" s="15" t="inlineStr">
        <is>
          <t>Full happy path</t>
        </is>
      </c>
      <c r="D3" s="15" t="inlineStr">
        <is>
          <t>1. Pick New Card, enter limit + reason
2. Save Draft &amp; Continue
3. Upload every mandatory document
4. Submit</t>
        </is>
      </c>
      <c r="E3" s="16" t="inlineStr">
        <is>
          <t>Limit 10,000 · 4 mandatory NEW_CARD docs (any small PNG/PDF)</t>
        </is>
      </c>
      <c r="F3" s="15" t="inlineStr">
        <is>
          <t>Submit only enabled once all mandatory docs are uploaded; request goes to approval</t>
        </is>
      </c>
      <c r="G3" s="17" t="inlineStr"/>
      <c r="H3" s="17" t="inlineStr"/>
      <c r="I3" s="17" t="inlineStr"/>
      <c r="J3" s="15" t="inlineStr"/>
    </row>
    <row r="4">
      <c r="A4" s="14" t="inlineStr">
        <is>
          <t>CC-REQ-03</t>
        </is>
      </c>
      <c r="B4" s="15" t="inlineStr">
        <is>
          <t>Doc checklist</t>
        </is>
      </c>
      <c r="C4" s="15" t="inlineStr">
        <is>
          <t>Mandatory docs enforced</t>
        </is>
      </c>
      <c r="D4" s="15" t="inlineStr">
        <is>
          <t>1. In step 3 leave a mandatory document missing
2. Try Submit</t>
        </is>
      </c>
      <c r="E4" s="16" t="inlineStr">
        <is>
          <t>Leave 'Salary Certificate' (or any mandatory doc) missing</t>
        </is>
      </c>
      <c r="F4" s="15" t="inlineStr">
        <is>
          <t>Submit disabled / blocked with a clear message naming the missing document</t>
        </is>
      </c>
      <c r="G4" s="17" t="inlineStr"/>
      <c r="H4" s="17" t="inlineStr"/>
      <c r="I4" s="17" t="inlineStr"/>
      <c r="J4" s="15" t="inlineStr"/>
    </row>
    <row r="5">
      <c r="A5" s="14" t="inlineStr">
        <is>
          <t>CC-REQ-04</t>
        </is>
      </c>
      <c r="B5" s="15" t="inlineStr">
        <is>
          <t>Increase limit</t>
        </is>
      </c>
      <c r="C5" s="15" t="inlineStr">
        <is>
          <t>Validation</t>
        </is>
      </c>
      <c r="D5" s="15" t="inlineStr">
        <is>
          <t>1. Create INCREASE_LIMIT with a limit LOWER than the current one
2. Submit</t>
        </is>
      </c>
      <c r="E5" s="16" t="inlineStr">
        <is>
          <t>CC-2026-00002 (current 20,000) — request 15,000 to test the block</t>
        </is>
      </c>
      <c r="F5" s="15" t="inlineStr">
        <is>
          <t>Blocked: requested limit must exceed the current limit</t>
        </is>
      </c>
      <c r="G5" s="17" t="inlineStr"/>
      <c r="H5" s="17" t="inlineStr"/>
      <c r="I5" s="17" t="inlineStr"/>
      <c r="J5" s="15" t="inlineStr"/>
    </row>
    <row r="6">
      <c r="A6" s="14" t="inlineStr">
        <is>
          <t>CC-REQ-05</t>
        </is>
      </c>
      <c r="B6" s="15" t="inlineStr">
        <is>
          <t>Withdraw</t>
        </is>
      </c>
      <c r="C6" s="15" t="inlineStr">
        <is>
          <t>Pull back a submitted request</t>
        </is>
      </c>
      <c r="D6" s="15" t="inlineStr">
        <is>
          <t>1. Open your SUBMITTED request
2. Withdraw</t>
        </is>
      </c>
      <c r="E6" s="16" t="inlineStr">
        <is>
          <t>Create INCREASE_LIMIT 25,000 on CC-2026-00003, submit, then withdraw (a seeded WITHDRAWN example exists)</t>
        </is>
      </c>
      <c r="F6" s="15" t="inlineStr">
        <is>
          <t>Status WITHDRAWN; leaves the approver queue; card free for new requests</t>
        </is>
      </c>
      <c r="G6" s="17" t="inlineStr"/>
      <c r="H6" s="17" t="inlineStr"/>
      <c r="I6" s="17" t="inlineStr"/>
      <c r="J6" s="15" t="inlineStr"/>
    </row>
    <row r="7">
      <c r="A7" s="14" t="inlineStr">
        <is>
          <t>CC-REQ-06</t>
        </is>
      </c>
      <c r="B7" s="15" t="inlineStr">
        <is>
          <t>Detail</t>
        </is>
      </c>
      <c r="C7" s="15" t="inlineStr">
        <is>
          <t>Request detail</t>
        </is>
      </c>
      <c r="D7" s="15" t="inlineStr">
        <is>
          <t>1. Open a request</t>
        </is>
      </c>
      <c r="E7" s="15" t="inlineStr"/>
      <c r="F7" s="15" t="inlineStr">
        <is>
          <t>Type, card, limits, reason, documents and audit info all shown</t>
        </is>
      </c>
      <c r="G7" s="17" t="inlineStr"/>
      <c r="H7" s="17" t="inlineStr"/>
      <c r="I7" s="17" t="inlineStr"/>
      <c r="J7" s="15" t="inlineStr"/>
    </row>
  </sheetData>
  <autoFilter ref="A1:J7"/>
  <conditionalFormatting sqref="G2:G7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G2:G7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46" customWidth="1" min="4" max="4"/>
    <col width="34" customWidth="1" min="5" max="5"/>
    <col width="42" customWidth="1" min="6" max="6"/>
    <col width="11" customWidth="1" min="7" max="7"/>
    <col width="14" customWidth="1" min="8" max="8"/>
    <col width="12" customWidth="1" min="9" max="9"/>
    <col width="32" customWidth="1" min="10" max="10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Sample Data / Records</t>
        </is>
      </c>
      <c r="F1" s="13" t="inlineStr">
        <is>
          <t>Expected Result</t>
        </is>
      </c>
      <c r="G1" s="13" t="inlineStr">
        <is>
          <t>Status</t>
        </is>
      </c>
      <c r="H1" s="13" t="inlineStr">
        <is>
          <t>Tested By</t>
        </is>
      </c>
      <c r="I1" s="13" t="inlineStr">
        <is>
          <t>Test Date</t>
        </is>
      </c>
      <c r="J1" s="13" t="inlineStr">
        <is>
          <t>Comments / Defect Ref</t>
        </is>
      </c>
    </row>
    <row r="2">
      <c r="A2" s="14" t="inlineStr">
        <is>
          <t>CC-RPL-01</t>
        </is>
      </c>
      <c r="B2" s="15" t="inlineStr">
        <is>
          <t>Create</t>
        </is>
      </c>
      <c r="C2" s="15" t="inlineStr">
        <is>
          <t>New monthly statement</t>
        </is>
      </c>
      <c r="D2" s="15" t="inlineStr">
        <is>
          <t>1. Open Replenishments &gt; + New Replenishment
2. Pick your card + last month
3. Create Draft</t>
        </is>
      </c>
      <c r="E2" s="16" t="inlineStr">
        <is>
          <t>CC-2026-00002 + May 2026 → duplicate blocked; use the current month</t>
        </is>
      </c>
      <c r="F2" s="15" t="inlineStr">
        <is>
          <t>Draft CCM-YYYY-MM-NNNNN created; one statement per card per month enforced</t>
        </is>
      </c>
      <c r="G2" s="17" t="inlineStr"/>
      <c r="H2" s="17" t="inlineStr"/>
      <c r="I2" s="17" t="inlineStr"/>
      <c r="J2" s="15" t="inlineStr"/>
    </row>
    <row r="3">
      <c r="A3" s="14" t="inlineStr">
        <is>
          <t>CC-RPL-02</t>
        </is>
      </c>
      <c r="B3" s="15" t="inlineStr">
        <is>
          <t>Lines</t>
        </is>
      </c>
      <c r="C3" s="15" t="inlineStr">
        <is>
          <t>Merchant lines editor</t>
        </is>
      </c>
      <c r="D3" s="15" t="inlineStr">
        <is>
          <t>1. In the detail add 3 lines: date, merchant, amount, GL or Project coding, receipt flag
2. Save Lines</t>
        </is>
      </c>
      <c r="E3" s="16" t="inlineStr">
        <is>
          <t>Lines: Etisalat 420.50 / Amazon AE 1,310.00 / ADNOC 240.00 (as in CCM-2026-05-00001)</t>
        </is>
      </c>
      <c r="F3" s="15" t="inlineStr">
        <is>
          <t>Lines saved; running total recalculates; receipt counter updates</t>
        </is>
      </c>
      <c r="G3" s="17" t="inlineStr"/>
      <c r="H3" s="17" t="inlineStr"/>
      <c r="I3" s="17" t="inlineStr"/>
      <c r="J3" s="15" t="inlineStr"/>
    </row>
    <row r="4">
      <c r="A4" s="14" t="inlineStr">
        <is>
          <t>CC-RPL-03</t>
        </is>
      </c>
      <c r="B4" s="15" t="inlineStr">
        <is>
          <t>Validation</t>
        </is>
      </c>
      <c r="C4" s="15" t="inlineStr">
        <is>
          <t>Line rules</t>
        </is>
      </c>
      <c r="D4" s="15" t="inlineStr">
        <is>
          <t>1. Try saving a line without merchant/amount/date or GL code</t>
        </is>
      </c>
      <c r="E4" s="15" t="inlineStr"/>
      <c r="F4" s="15" t="inlineStr">
        <is>
          <t>Clear per-line validation; nothing saved</t>
        </is>
      </c>
      <c r="G4" s="17" t="inlineStr"/>
      <c r="H4" s="17" t="inlineStr"/>
      <c r="I4" s="17" t="inlineStr"/>
      <c r="J4" s="15" t="inlineStr"/>
    </row>
    <row r="5">
      <c r="A5" s="14" t="inlineStr">
        <is>
          <t>CC-RPL-04</t>
        </is>
      </c>
      <c r="B5" s="15" t="inlineStr">
        <is>
          <t>Submit</t>
        </is>
      </c>
      <c r="C5" s="15" t="inlineStr">
        <is>
          <t>Send for approval</t>
        </is>
      </c>
      <c r="D5" s="15" t="inlineStr">
        <is>
          <t>1. Submit the statement</t>
        </is>
      </c>
      <c r="E5" s="16" t="inlineStr">
        <is>
          <t>Your current-month draft from the previous cases</t>
        </is>
      </c>
      <c r="F5" s="15" t="inlineStr">
        <is>
          <t>Status SUBMITTED; appears in the approvals queue; only the holder or an active proxy may submit</t>
        </is>
      </c>
      <c r="G5" s="17" t="inlineStr"/>
      <c r="H5" s="17" t="inlineStr"/>
      <c r="I5" s="17" t="inlineStr"/>
      <c r="J5" s="15" t="inlineStr"/>
    </row>
    <row r="6">
      <c r="A6" s="14" t="inlineStr">
        <is>
          <t>CC-RPL-05</t>
        </is>
      </c>
      <c r="B6" s="15" t="inlineStr">
        <is>
          <t>Proxy</t>
        </is>
      </c>
      <c r="C6" s="15" t="inlineStr">
        <is>
          <t>Proxy submits for the holder</t>
        </is>
      </c>
      <c r="D6" s="15" t="inlineStr">
        <is>
          <t>1. As CC_ADMIN create a proxy for a card
2. Login as the proxy and create/submit a statement for that card</t>
        </is>
      </c>
      <c r="E6" s="16" t="inlineStr">
        <is>
          <t>Proxy HASHEM.ALKABBI on CC-2026-00002 (create in Proxies first)</t>
        </is>
      </c>
      <c r="F6" s="15" t="inlineStr">
        <is>
          <t>Proxy can submit; non-proxies are blocked with a clear message</t>
        </is>
      </c>
      <c r="G6" s="17" t="inlineStr"/>
      <c r="H6" s="17" t="inlineStr"/>
      <c r="I6" s="17" t="inlineStr"/>
      <c r="J6" s="15" t="inlineStr"/>
    </row>
  </sheetData>
  <autoFilter ref="A1:J6"/>
  <conditionalFormatting sqref="G2:G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G2:G6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46" customWidth="1" min="4" max="4"/>
    <col width="34" customWidth="1" min="5" max="5"/>
    <col width="42" customWidth="1" min="6" max="6"/>
    <col width="11" customWidth="1" min="7" max="7"/>
    <col width="14" customWidth="1" min="8" max="8"/>
    <col width="12" customWidth="1" min="9" max="9"/>
    <col width="32" customWidth="1" min="10" max="10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Sample Data / Records</t>
        </is>
      </c>
      <c r="F1" s="13" t="inlineStr">
        <is>
          <t>Expected Result</t>
        </is>
      </c>
      <c r="G1" s="13" t="inlineStr">
        <is>
          <t>Status</t>
        </is>
      </c>
      <c r="H1" s="13" t="inlineStr">
        <is>
          <t>Tested By</t>
        </is>
      </c>
      <c r="I1" s="13" t="inlineStr">
        <is>
          <t>Test Date</t>
        </is>
      </c>
      <c r="J1" s="13" t="inlineStr">
        <is>
          <t>Comments / Defect Ref</t>
        </is>
      </c>
    </row>
    <row r="2">
      <c r="A2" s="14" t="inlineStr">
        <is>
          <t>CC-APR-01</t>
        </is>
      </c>
      <c r="B2" s="15" t="inlineStr">
        <is>
          <t>Queue</t>
        </is>
      </c>
      <c r="C2" s="15" t="inlineStr">
        <is>
          <t>Pending list</t>
        </is>
      </c>
      <c r="D2" s="15" t="inlineStr">
        <is>
          <t>1. Login as an approver (MANAGER/CC_ADMIN)
2. Open Pending Approvals</t>
        </is>
      </c>
      <c r="E2" s="16" t="inlineStr">
        <is>
          <t>CCM-2026-05-00001 (May statement, 1,970.50) — SUBMITTED, in the approver queue</t>
        </is>
      </c>
      <c r="F2" s="15" t="inlineStr">
        <is>
          <t>CC requests + replenishments awaiting your step; badge matches</t>
        </is>
      </c>
      <c r="G2" s="17" t="inlineStr"/>
      <c r="H2" s="17" t="inlineStr"/>
      <c r="I2" s="17" t="inlineStr"/>
      <c r="J2" s="15" t="inlineStr"/>
    </row>
    <row r="3">
      <c r="A3" s="14" t="inlineStr">
        <is>
          <t>CC-APR-02</t>
        </is>
      </c>
      <c r="B3" s="15" t="inlineStr">
        <is>
          <t>Comment required</t>
        </is>
      </c>
      <c r="C3" s="15" t="inlineStr">
        <is>
          <t>Approve needs a comment</t>
        </is>
      </c>
      <c r="D3" s="15" t="inlineStr">
        <is>
          <t>1. Approve with an empty comment</t>
        </is>
      </c>
      <c r="E3" s="16" t="inlineStr">
        <is>
          <t>CCM-2026-05-00001 (May statement, 1,970.50) — SUBMITTED, in the approver queue</t>
        </is>
      </c>
      <c r="F3" s="15" t="inlineStr">
        <is>
          <t>Blocked; succeeds with a comment</t>
        </is>
      </c>
      <c r="G3" s="17" t="inlineStr"/>
      <c r="H3" s="17" t="inlineStr"/>
      <c r="I3" s="17" t="inlineStr"/>
      <c r="J3" s="15" t="inlineStr"/>
    </row>
    <row r="4">
      <c r="A4" s="14" t="inlineStr">
        <is>
          <t>CC-APR-03</t>
        </is>
      </c>
      <c r="B4" s="15" t="inlineStr">
        <is>
          <t>Lifecycle</t>
        </is>
      </c>
      <c r="C4" s="15" t="inlineStr">
        <is>
          <t>Approved request applies</t>
        </is>
      </c>
      <c r="D4" s="15" t="inlineStr">
        <is>
          <t>1. Fully approve an INCREASE_LIMIT request</t>
        </is>
      </c>
      <c r="E4" s="16" t="inlineStr">
        <is>
          <t>INCREASE_LIMIT on CC-2026-00003: 12,000 → 14,000</t>
        </is>
      </c>
      <c r="F4" s="15" t="inlineStr">
        <is>
          <t>Card limit updates; INCREASE row added to limit history; holder notified</t>
        </is>
      </c>
      <c r="G4" s="17" t="inlineStr"/>
      <c r="H4" s="17" t="inlineStr"/>
      <c r="I4" s="17" t="inlineStr"/>
      <c r="J4" s="15" t="inlineStr"/>
    </row>
  </sheetData>
  <autoFilter ref="A1:J4"/>
  <conditionalFormatting sqref="G2:G4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G2:G4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46" customWidth="1" min="4" max="4"/>
    <col width="34" customWidth="1" min="5" max="5"/>
    <col width="42" customWidth="1" min="6" max="6"/>
    <col width="11" customWidth="1" min="7" max="7"/>
    <col width="14" customWidth="1" min="8" max="8"/>
    <col width="12" customWidth="1" min="9" max="9"/>
    <col width="32" customWidth="1" min="10" max="10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Sample Data / Records</t>
        </is>
      </c>
      <c r="F1" s="13" t="inlineStr">
        <is>
          <t>Expected Result</t>
        </is>
      </c>
      <c r="G1" s="13" t="inlineStr">
        <is>
          <t>Status</t>
        </is>
      </c>
      <c r="H1" s="13" t="inlineStr">
        <is>
          <t>Tested By</t>
        </is>
      </c>
      <c r="I1" s="13" t="inlineStr">
        <is>
          <t>Test Date</t>
        </is>
      </c>
      <c r="J1" s="13" t="inlineStr">
        <is>
          <t>Comments / Defect Ref</t>
        </is>
      </c>
    </row>
    <row r="2">
      <c r="A2" s="14" t="inlineStr">
        <is>
          <t>CC-ADM-01</t>
        </is>
      </c>
      <c r="B2" s="15" t="inlineStr">
        <is>
          <t>All cards</t>
        </is>
      </c>
      <c r="C2" s="15" t="inlineStr">
        <is>
          <t>Registry + search</t>
        </is>
      </c>
      <c r="D2" s="15" t="inlineStr">
        <is>
          <t>1. As CC_ADMIN open All Cards
2. Search and filter by status</t>
        </is>
      </c>
      <c r="E2" s="16" t="inlineStr">
        <is>
          <t>CC-2026-00001 (CLOSED) · 00002 (SHAIKHA.ALSUWAIDI) · 00003 (HASHEM)</t>
        </is>
      </c>
      <c r="F2" s="15" t="inlineStr">
        <is>
          <t>All cards org-wide; pending operation chips for in-flight requests</t>
        </is>
      </c>
      <c r="G2" s="17" t="inlineStr"/>
      <c r="H2" s="17" t="inlineStr"/>
      <c r="I2" s="17" t="inlineStr"/>
      <c r="J2" s="15" t="inlineStr"/>
    </row>
    <row r="3">
      <c r="A3" s="14" t="inlineStr">
        <is>
          <t>CC-ADM-02</t>
        </is>
      </c>
      <c r="B3" s="15" t="inlineStr">
        <is>
          <t>Register card</t>
        </is>
      </c>
      <c r="C3" s="15" t="inlineStr">
        <is>
          <t>From approved NEW_CARD</t>
        </is>
      </c>
      <c r="D3" s="15" t="inlineStr">
        <is>
          <t>1. + Register Card
2. Pick an APPROVED NEW_CARD request
3. Fill holder, mother name, nationality, limit, expiry, email, org
4. Register</t>
        </is>
      </c>
      <c r="E3" s="16" t="inlineStr">
        <is>
          <t>Approve a fresh NEW_CARD request first (wizard case), then register it here</t>
        </is>
      </c>
      <c r="F3" s="15" t="inlineStr">
        <is>
          <t>Card created ACTIVE with CC-YYYY-NNNNN number + INITIAL limit history; holder notified</t>
        </is>
      </c>
      <c r="G3" s="17" t="inlineStr"/>
      <c r="H3" s="17" t="inlineStr"/>
      <c r="I3" s="17" t="inlineStr"/>
      <c r="J3" s="15" t="inlineStr"/>
    </row>
    <row r="4">
      <c r="A4" s="14" t="inlineStr">
        <is>
          <t>CC-ADM-03</t>
        </is>
      </c>
      <c r="B4" s="15" t="inlineStr">
        <is>
          <t>Proxies</t>
        </is>
      </c>
      <c r="C4" s="15" t="inlineStr">
        <is>
          <t>Manage proxies</t>
        </is>
      </c>
      <c r="D4" s="15" t="inlineStr">
        <is>
          <t>1. Open Proxies
2. Create one (card + proxy user + window)
3. Deactivate it</t>
        </is>
      </c>
      <c r="E4" s="16" t="inlineStr">
        <is>
          <t>Card CC-2026-00002 · proxy SHAIKHA.GALAMERI · window today → +30 days</t>
        </is>
      </c>
      <c r="F4" s="15" t="inlineStr">
        <is>
          <t>Proxy listed; deactivation removes submit rights</t>
        </is>
      </c>
      <c r="G4" s="17" t="inlineStr"/>
      <c r="H4" s="17" t="inlineStr"/>
      <c r="I4" s="17" t="inlineStr"/>
      <c r="J4" s="15" t="inlineStr"/>
    </row>
    <row r="5">
      <c r="A5" s="14" t="inlineStr">
        <is>
          <t>CC-ADM-04</t>
        </is>
      </c>
      <c r="B5" s="15" t="inlineStr">
        <is>
          <t>Module settings</t>
        </is>
      </c>
      <c r="C5" s="15" t="inlineStr">
        <is>
          <t>CC settings</t>
        </is>
      </c>
      <c r="D5" s="15" t="inlineStr">
        <is>
          <t>1. Open Module Settings
2. Edit a value (e.g. REPLENISHMENT_DUE_DAY)
3. Save + refresh</t>
        </is>
      </c>
      <c r="E5" s="16" t="inlineStr">
        <is>
          <t>REPLENISHMENT_DUE_DAY (restore the value after)</t>
        </is>
      </c>
      <c r="F5" s="15" t="inlineStr">
        <is>
          <t>Persists; non-admins do not see the page</t>
        </is>
      </c>
      <c r="G5" s="17" t="inlineStr"/>
      <c r="H5" s="17" t="inlineStr"/>
      <c r="I5" s="17" t="inlineStr"/>
      <c r="J5" s="15" t="inlineStr"/>
    </row>
  </sheetData>
  <autoFilter ref="A1:J5"/>
  <conditionalFormatting sqref="G2:G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G2:G5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46" customWidth="1" min="4" max="4"/>
    <col width="34" customWidth="1" min="5" max="5"/>
    <col width="42" customWidth="1" min="6" max="6"/>
    <col width="11" customWidth="1" min="7" max="7"/>
    <col width="14" customWidth="1" min="8" max="8"/>
    <col width="12" customWidth="1" min="9" max="9"/>
    <col width="32" customWidth="1" min="10" max="10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Sample Data / Records</t>
        </is>
      </c>
      <c r="F1" s="13" t="inlineStr">
        <is>
          <t>Expected Result</t>
        </is>
      </c>
      <c r="G1" s="13" t="inlineStr">
        <is>
          <t>Status</t>
        </is>
      </c>
      <c r="H1" s="13" t="inlineStr">
        <is>
          <t>Tested By</t>
        </is>
      </c>
      <c r="I1" s="13" t="inlineStr">
        <is>
          <t>Test Date</t>
        </is>
      </c>
      <c r="J1" s="13" t="inlineStr">
        <is>
          <t>Comments / Defect Ref</t>
        </is>
      </c>
    </row>
    <row r="2">
      <c r="A2" s="14" t="inlineStr">
        <is>
          <t>CC-SHL-01</t>
        </is>
      </c>
      <c r="B2" s="15" t="inlineStr">
        <is>
          <t>Switcher</t>
        </is>
      </c>
      <c r="C2" s="15" t="inlineStr">
        <is>
          <t>Cross-module hop</t>
        </is>
      </c>
      <c r="D2" s="15" t="inlineStr">
        <is>
          <t>1. Module dropdown &gt; Admin / FL and back</t>
        </is>
      </c>
      <c r="E2" s="15" t="inlineStr"/>
      <c r="F2" s="15" t="inlineStr">
        <is>
          <t>No re-login; CC shows live (no 'soon' badge)</t>
        </is>
      </c>
      <c r="G2" s="17" t="inlineStr"/>
      <c r="H2" s="17" t="inlineStr"/>
      <c r="I2" s="17" t="inlineStr"/>
      <c r="J2" s="15" t="inlineStr"/>
    </row>
    <row r="3">
      <c r="A3" s="14" t="inlineStr">
        <is>
          <t>CC-SHL-02</t>
        </is>
      </c>
      <c r="B3" s="15" t="inlineStr">
        <is>
          <t>Arabic</t>
        </is>
      </c>
      <c r="C3" s="15" t="inlineStr">
        <is>
          <t>RTL pass</t>
        </is>
      </c>
      <c r="D3" s="15" t="inlineStr">
        <is>
          <t>1. Switch to AR
2. Walk Dashboard + My Card + a request detail</t>
        </is>
      </c>
      <c r="E3" s="15" t="inlineStr"/>
      <c r="F3" s="15" t="inlineStr">
        <is>
          <t>Mirrored layout, Arabic labels, Latin digits; card visual unaffected</t>
        </is>
      </c>
      <c r="G3" s="17" t="inlineStr"/>
      <c r="H3" s="17" t="inlineStr"/>
      <c r="I3" s="17" t="inlineStr"/>
      <c r="J3" s="15" t="inlineStr"/>
    </row>
  </sheetData>
  <autoFilter ref="A1:J3"/>
  <conditionalFormatting sqref="G2:G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G2:G3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2026-06-12T00:09:18Z</dcterms:created>
  <dcterms:modified xmlns:dcterms="http://purl.org/dc/terms/" xmlns:xsi="http://www.w3.org/2001/XMLSchema-instance" xsi:type="dcterms:W3CDTF">2026-06-12T00:09:18Z</dcterms:modified>
</cp:coreProperties>
</file>