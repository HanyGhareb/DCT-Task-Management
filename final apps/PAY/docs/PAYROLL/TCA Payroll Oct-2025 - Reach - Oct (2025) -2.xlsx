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-my.sharepoint.com/personal/c-dalhammami_dctabudhabi_ae/Documents/Documents/PayRoll/Salaries/Outsource/Oct/Reach/"/>
    </mc:Choice>
  </mc:AlternateContent>
  <xr:revisionPtr revIDLastSave="4" documentId="8_{BF35F22C-74D5-4A61-9777-9349EA2CD193}" xr6:coauthVersionLast="47" xr6:coauthVersionMax="47" xr10:uidLastSave="{703744D0-B64C-4223-AF6B-375317190F09}"/>
  <bookViews>
    <workbookView xWindow="25665" yWindow="0" windowWidth="25800" windowHeight="21000" xr2:uid="{A1B408C2-04DF-457C-8BC2-3505AA8EB697}"/>
  </bookViews>
  <sheets>
    <sheet name="Oct-25" sheetId="1" r:id="rId1"/>
  </sheets>
  <externalReferences>
    <externalReference r:id="rId2"/>
    <externalReference r:id="rId3"/>
  </externalReferences>
  <definedNames>
    <definedName name="_xlnm._FilterDatabase" localSheetId="0" hidden="1">'Oct-25'!$N$5:$Y$151</definedName>
    <definedName name="APTSlab">[1]APTSlab!$A$2:$B$6</definedName>
    <definedName name="EmpMaster">#REF!</definedName>
    <definedName name="KPTSlab">[1]KPTSlab!$A$2:$B$13</definedName>
    <definedName name="_xlnm.Print_Area" localSheetId="0">'Oct-25'!$A$1:$T$161</definedName>
    <definedName name="_xlnm.Print_Titles" localSheetId="0">'Oct-25'!$5:$6</definedName>
    <definedName name="PublicHolidays">#REF!</definedName>
    <definedName name="WorkingDay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2" i="1" l="1"/>
  <c r="N154" i="1"/>
  <c r="N153" i="1"/>
  <c r="M160" i="1"/>
  <c r="M159" i="1"/>
  <c r="M158" i="1"/>
  <c r="M157" i="1"/>
  <c r="M161" i="1" s="1"/>
  <c r="M156" i="1"/>
  <c r="Q151" i="1"/>
  <c r="L151" i="1"/>
  <c r="J151" i="1"/>
  <c r="I151" i="1"/>
  <c r="N150" i="1"/>
  <c r="K150" i="1"/>
  <c r="O150" i="1" s="1"/>
  <c r="O151" i="1" s="1"/>
  <c r="K149" i="1"/>
  <c r="N149" i="1" s="1"/>
  <c r="T149" i="1" s="1"/>
  <c r="N159" i="1" s="1"/>
  <c r="T148" i="1"/>
  <c r="N148" i="1"/>
  <c r="K148" i="1"/>
  <c r="K147" i="1"/>
  <c r="N147" i="1" s="1"/>
  <c r="T147" i="1" s="1"/>
  <c r="K146" i="1"/>
  <c r="N146" i="1" s="1"/>
  <c r="T146" i="1" s="1"/>
  <c r="H146" i="1"/>
  <c r="N145" i="1"/>
  <c r="T145" i="1" s="1"/>
  <c r="K145" i="1"/>
  <c r="H145" i="1"/>
  <c r="K144" i="1"/>
  <c r="N144" i="1" s="1"/>
  <c r="T144" i="1" s="1"/>
  <c r="H144" i="1"/>
  <c r="N143" i="1"/>
  <c r="T143" i="1" s="1"/>
  <c r="K143" i="1"/>
  <c r="H143" i="1"/>
  <c r="K142" i="1"/>
  <c r="N142" i="1" s="1"/>
  <c r="T142" i="1" s="1"/>
  <c r="H142" i="1"/>
  <c r="N141" i="1"/>
  <c r="T141" i="1" s="1"/>
  <c r="K141" i="1"/>
  <c r="H141" i="1"/>
  <c r="K140" i="1"/>
  <c r="N140" i="1" s="1"/>
  <c r="T140" i="1" s="1"/>
  <c r="H140" i="1"/>
  <c r="N139" i="1"/>
  <c r="T139" i="1" s="1"/>
  <c r="K139" i="1"/>
  <c r="H139" i="1"/>
  <c r="K138" i="1"/>
  <c r="N138" i="1" s="1"/>
  <c r="T138" i="1" s="1"/>
  <c r="H138" i="1"/>
  <c r="N137" i="1"/>
  <c r="T137" i="1" s="1"/>
  <c r="K137" i="1"/>
  <c r="H137" i="1"/>
  <c r="K136" i="1"/>
  <c r="N136" i="1" s="1"/>
  <c r="T136" i="1" s="1"/>
  <c r="H136" i="1"/>
  <c r="N135" i="1"/>
  <c r="T135" i="1" s="1"/>
  <c r="K135" i="1"/>
  <c r="H135" i="1"/>
  <c r="K134" i="1"/>
  <c r="N134" i="1" s="1"/>
  <c r="T134" i="1" s="1"/>
  <c r="H134" i="1"/>
  <c r="N133" i="1"/>
  <c r="T133" i="1" s="1"/>
  <c r="K133" i="1"/>
  <c r="H133" i="1"/>
  <c r="K132" i="1"/>
  <c r="N132" i="1" s="1"/>
  <c r="T132" i="1" s="1"/>
  <c r="H132" i="1"/>
  <c r="N131" i="1"/>
  <c r="T131" i="1" s="1"/>
  <c r="K131" i="1"/>
  <c r="H131" i="1"/>
  <c r="K130" i="1"/>
  <c r="N130" i="1" s="1"/>
  <c r="T130" i="1" s="1"/>
  <c r="H130" i="1"/>
  <c r="N129" i="1"/>
  <c r="T129" i="1" s="1"/>
  <c r="K129" i="1"/>
  <c r="H129" i="1"/>
  <c r="K128" i="1"/>
  <c r="N128" i="1" s="1"/>
  <c r="T128" i="1" s="1"/>
  <c r="H128" i="1"/>
  <c r="N127" i="1"/>
  <c r="T127" i="1" s="1"/>
  <c r="K127" i="1"/>
  <c r="H127" i="1"/>
  <c r="K126" i="1"/>
  <c r="N126" i="1" s="1"/>
  <c r="T126" i="1" s="1"/>
  <c r="H126" i="1"/>
  <c r="N125" i="1"/>
  <c r="T125" i="1" s="1"/>
  <c r="K125" i="1"/>
  <c r="H125" i="1"/>
  <c r="K124" i="1"/>
  <c r="N124" i="1" s="1"/>
  <c r="T124" i="1" s="1"/>
  <c r="H124" i="1"/>
  <c r="N123" i="1"/>
  <c r="T123" i="1" s="1"/>
  <c r="K123" i="1"/>
  <c r="H123" i="1"/>
  <c r="K122" i="1"/>
  <c r="N122" i="1" s="1"/>
  <c r="T122" i="1" s="1"/>
  <c r="H122" i="1"/>
  <c r="N121" i="1"/>
  <c r="T121" i="1" s="1"/>
  <c r="K121" i="1"/>
  <c r="H121" i="1"/>
  <c r="K120" i="1"/>
  <c r="N120" i="1" s="1"/>
  <c r="T120" i="1" s="1"/>
  <c r="H120" i="1"/>
  <c r="N119" i="1"/>
  <c r="T119" i="1" s="1"/>
  <c r="K119" i="1"/>
  <c r="H119" i="1"/>
  <c r="K118" i="1"/>
  <c r="N118" i="1" s="1"/>
  <c r="T118" i="1" s="1"/>
  <c r="H118" i="1"/>
  <c r="N117" i="1"/>
  <c r="T117" i="1" s="1"/>
  <c r="K117" i="1"/>
  <c r="H117" i="1"/>
  <c r="K116" i="1"/>
  <c r="N116" i="1" s="1"/>
  <c r="T116" i="1" s="1"/>
  <c r="H116" i="1"/>
  <c r="N115" i="1"/>
  <c r="T115" i="1" s="1"/>
  <c r="K115" i="1"/>
  <c r="H115" i="1"/>
  <c r="K114" i="1"/>
  <c r="N114" i="1" s="1"/>
  <c r="T114" i="1" s="1"/>
  <c r="H114" i="1"/>
  <c r="N113" i="1"/>
  <c r="T113" i="1" s="1"/>
  <c r="K113" i="1"/>
  <c r="H113" i="1"/>
  <c r="K112" i="1"/>
  <c r="N112" i="1" s="1"/>
  <c r="T112" i="1" s="1"/>
  <c r="H112" i="1"/>
  <c r="N111" i="1"/>
  <c r="T111" i="1" s="1"/>
  <c r="K111" i="1"/>
  <c r="H111" i="1"/>
  <c r="K110" i="1"/>
  <c r="N110" i="1" s="1"/>
  <c r="T110" i="1" s="1"/>
  <c r="H110" i="1"/>
  <c r="N109" i="1"/>
  <c r="T109" i="1" s="1"/>
  <c r="K109" i="1"/>
  <c r="H109" i="1"/>
  <c r="K108" i="1"/>
  <c r="N108" i="1" s="1"/>
  <c r="T108" i="1" s="1"/>
  <c r="H108" i="1"/>
  <c r="N107" i="1"/>
  <c r="T107" i="1" s="1"/>
  <c r="K107" i="1"/>
  <c r="H107" i="1"/>
  <c r="K106" i="1"/>
  <c r="N106" i="1" s="1"/>
  <c r="T106" i="1" s="1"/>
  <c r="H106" i="1"/>
  <c r="N105" i="1"/>
  <c r="T105" i="1" s="1"/>
  <c r="K105" i="1"/>
  <c r="H105" i="1"/>
  <c r="K104" i="1"/>
  <c r="N104" i="1" s="1"/>
  <c r="T104" i="1" s="1"/>
  <c r="H104" i="1"/>
  <c r="N103" i="1"/>
  <c r="T103" i="1" s="1"/>
  <c r="K103" i="1"/>
  <c r="H103" i="1"/>
  <c r="K102" i="1"/>
  <c r="N102" i="1" s="1"/>
  <c r="T102" i="1" s="1"/>
  <c r="H102" i="1"/>
  <c r="N101" i="1"/>
  <c r="T101" i="1" s="1"/>
  <c r="K101" i="1"/>
  <c r="H101" i="1"/>
  <c r="K100" i="1"/>
  <c r="N100" i="1" s="1"/>
  <c r="H100" i="1"/>
  <c r="K99" i="1"/>
  <c r="N99" i="1" s="1"/>
  <c r="T99" i="1" s="1"/>
  <c r="H99" i="1"/>
  <c r="K98" i="1"/>
  <c r="N98" i="1" s="1"/>
  <c r="T98" i="1" s="1"/>
  <c r="H98" i="1"/>
  <c r="K97" i="1"/>
  <c r="N97" i="1" s="1"/>
  <c r="T97" i="1" s="1"/>
  <c r="H97" i="1"/>
  <c r="K96" i="1"/>
  <c r="N96" i="1" s="1"/>
  <c r="T96" i="1" s="1"/>
  <c r="H96" i="1"/>
  <c r="N95" i="1"/>
  <c r="K95" i="1"/>
  <c r="P95" i="1" s="1"/>
  <c r="T95" i="1" s="1"/>
  <c r="H95" i="1"/>
  <c r="R94" i="1"/>
  <c r="K94" i="1"/>
  <c r="N94" i="1" s="1"/>
  <c r="T94" i="1" s="1"/>
  <c r="H94" i="1"/>
  <c r="T93" i="1"/>
  <c r="N93" i="1"/>
  <c r="K93" i="1"/>
  <c r="H93" i="1"/>
  <c r="K92" i="1"/>
  <c r="N92" i="1" s="1"/>
  <c r="T92" i="1" s="1"/>
  <c r="H92" i="1"/>
  <c r="T91" i="1"/>
  <c r="N91" i="1"/>
  <c r="K91" i="1"/>
  <c r="H91" i="1"/>
  <c r="K90" i="1"/>
  <c r="N90" i="1" s="1"/>
  <c r="T90" i="1" s="1"/>
  <c r="H90" i="1"/>
  <c r="T89" i="1"/>
  <c r="N89" i="1"/>
  <c r="K89" i="1"/>
  <c r="H89" i="1"/>
  <c r="K88" i="1"/>
  <c r="N88" i="1" s="1"/>
  <c r="T88" i="1" s="1"/>
  <c r="H88" i="1"/>
  <c r="T87" i="1"/>
  <c r="N87" i="1"/>
  <c r="K87" i="1"/>
  <c r="H87" i="1"/>
  <c r="K86" i="1"/>
  <c r="N86" i="1" s="1"/>
  <c r="T86" i="1" s="1"/>
  <c r="H86" i="1"/>
  <c r="T85" i="1"/>
  <c r="N85" i="1"/>
  <c r="K85" i="1"/>
  <c r="H85" i="1"/>
  <c r="K84" i="1"/>
  <c r="N84" i="1" s="1"/>
  <c r="T84" i="1" s="1"/>
  <c r="H84" i="1"/>
  <c r="T83" i="1"/>
  <c r="N83" i="1"/>
  <c r="K83" i="1"/>
  <c r="H83" i="1"/>
  <c r="K82" i="1"/>
  <c r="N82" i="1" s="1"/>
  <c r="T82" i="1" s="1"/>
  <c r="H82" i="1"/>
  <c r="T81" i="1"/>
  <c r="N81" i="1"/>
  <c r="K81" i="1"/>
  <c r="H81" i="1"/>
  <c r="K80" i="1"/>
  <c r="N80" i="1" s="1"/>
  <c r="T80" i="1" s="1"/>
  <c r="H80" i="1"/>
  <c r="T79" i="1"/>
  <c r="N79" i="1"/>
  <c r="K79" i="1"/>
  <c r="H79" i="1"/>
  <c r="K78" i="1"/>
  <c r="N78" i="1" s="1"/>
  <c r="T78" i="1" s="1"/>
  <c r="H78" i="1"/>
  <c r="T77" i="1"/>
  <c r="N77" i="1"/>
  <c r="K77" i="1"/>
  <c r="H77" i="1"/>
  <c r="K76" i="1"/>
  <c r="N76" i="1" s="1"/>
  <c r="T76" i="1" s="1"/>
  <c r="H76" i="1"/>
  <c r="K75" i="1"/>
  <c r="R75" i="1" s="1"/>
  <c r="H75" i="1"/>
  <c r="N74" i="1"/>
  <c r="T74" i="1" s="1"/>
  <c r="K74" i="1"/>
  <c r="H74" i="1"/>
  <c r="N73" i="1"/>
  <c r="T73" i="1" s="1"/>
  <c r="K73" i="1"/>
  <c r="P73" i="1" s="1"/>
  <c r="H73" i="1"/>
  <c r="K72" i="1"/>
  <c r="N72" i="1" s="1"/>
  <c r="T72" i="1" s="1"/>
  <c r="H72" i="1"/>
  <c r="N71" i="1"/>
  <c r="T71" i="1" s="1"/>
  <c r="K71" i="1"/>
  <c r="H71" i="1"/>
  <c r="K70" i="1"/>
  <c r="N70" i="1" s="1"/>
  <c r="T70" i="1" s="1"/>
  <c r="H70" i="1"/>
  <c r="N69" i="1"/>
  <c r="T69" i="1" s="1"/>
  <c r="K69" i="1"/>
  <c r="H69" i="1"/>
  <c r="K68" i="1"/>
  <c r="N68" i="1" s="1"/>
  <c r="T68" i="1" s="1"/>
  <c r="H68" i="1"/>
  <c r="N67" i="1"/>
  <c r="T67" i="1" s="1"/>
  <c r="K67" i="1"/>
  <c r="H67" i="1"/>
  <c r="K66" i="1"/>
  <c r="N66" i="1" s="1"/>
  <c r="T66" i="1" s="1"/>
  <c r="H66" i="1"/>
  <c r="N65" i="1"/>
  <c r="T65" i="1" s="1"/>
  <c r="K65" i="1"/>
  <c r="H65" i="1"/>
  <c r="K64" i="1"/>
  <c r="N64" i="1" s="1"/>
  <c r="T64" i="1" s="1"/>
  <c r="H64" i="1"/>
  <c r="P63" i="1"/>
  <c r="N63" i="1"/>
  <c r="T63" i="1" s="1"/>
  <c r="K63" i="1"/>
  <c r="H63" i="1"/>
  <c r="N62" i="1"/>
  <c r="T62" i="1" s="1"/>
  <c r="K62" i="1"/>
  <c r="H62" i="1"/>
  <c r="T61" i="1"/>
  <c r="N61" i="1"/>
  <c r="K61" i="1"/>
  <c r="H61" i="1"/>
  <c r="N60" i="1"/>
  <c r="T60" i="1" s="1"/>
  <c r="K60" i="1"/>
  <c r="H60" i="1"/>
  <c r="T59" i="1"/>
  <c r="N59" i="1"/>
  <c r="K59" i="1"/>
  <c r="H59" i="1"/>
  <c r="N58" i="1"/>
  <c r="T58" i="1" s="1"/>
  <c r="K58" i="1"/>
  <c r="H58" i="1"/>
  <c r="T57" i="1"/>
  <c r="N57" i="1"/>
  <c r="K57" i="1"/>
  <c r="H57" i="1"/>
  <c r="N56" i="1"/>
  <c r="T56" i="1" s="1"/>
  <c r="K56" i="1"/>
  <c r="H56" i="1"/>
  <c r="T55" i="1"/>
  <c r="N55" i="1"/>
  <c r="K55" i="1"/>
  <c r="H55" i="1"/>
  <c r="P54" i="1"/>
  <c r="T54" i="1" s="1"/>
  <c r="N54" i="1"/>
  <c r="K54" i="1"/>
  <c r="H54" i="1"/>
  <c r="K53" i="1"/>
  <c r="N53" i="1" s="1"/>
  <c r="T53" i="1" s="1"/>
  <c r="H53" i="1"/>
  <c r="T52" i="1"/>
  <c r="N52" i="1"/>
  <c r="K52" i="1"/>
  <c r="H52" i="1"/>
  <c r="K51" i="1"/>
  <c r="N51" i="1" s="1"/>
  <c r="T51" i="1" s="1"/>
  <c r="H51" i="1"/>
  <c r="T50" i="1"/>
  <c r="N50" i="1"/>
  <c r="K50" i="1"/>
  <c r="H50" i="1"/>
  <c r="K49" i="1"/>
  <c r="N49" i="1" s="1"/>
  <c r="T49" i="1" s="1"/>
  <c r="H49" i="1"/>
  <c r="T48" i="1"/>
  <c r="N48" i="1"/>
  <c r="K48" i="1"/>
  <c r="H48" i="1"/>
  <c r="K47" i="1"/>
  <c r="N47" i="1" s="1"/>
  <c r="T47" i="1" s="1"/>
  <c r="H47" i="1"/>
  <c r="T46" i="1"/>
  <c r="N46" i="1"/>
  <c r="K46" i="1"/>
  <c r="H46" i="1"/>
  <c r="K45" i="1"/>
  <c r="N45" i="1" s="1"/>
  <c r="T45" i="1" s="1"/>
  <c r="H45" i="1"/>
  <c r="S44" i="1"/>
  <c r="S151" i="1" s="1"/>
  <c r="K44" i="1"/>
  <c r="N44" i="1" s="1"/>
  <c r="T44" i="1" s="1"/>
  <c r="H44" i="1"/>
  <c r="N43" i="1"/>
  <c r="T43" i="1" s="1"/>
  <c r="K43" i="1"/>
  <c r="H43" i="1"/>
  <c r="K42" i="1"/>
  <c r="N42" i="1" s="1"/>
  <c r="T42" i="1" s="1"/>
  <c r="H42" i="1"/>
  <c r="R41" i="1"/>
  <c r="K41" i="1"/>
  <c r="N41" i="1" s="1"/>
  <c r="T41" i="1" s="1"/>
  <c r="H41" i="1"/>
  <c r="N40" i="1"/>
  <c r="T40" i="1" s="1"/>
  <c r="K40" i="1"/>
  <c r="H40" i="1"/>
  <c r="K39" i="1"/>
  <c r="N39" i="1" s="1"/>
  <c r="T39" i="1" s="1"/>
  <c r="H39" i="1"/>
  <c r="N38" i="1"/>
  <c r="T38" i="1" s="1"/>
  <c r="K38" i="1"/>
  <c r="H38" i="1"/>
  <c r="K37" i="1"/>
  <c r="N37" i="1" s="1"/>
  <c r="T37" i="1" s="1"/>
  <c r="H37" i="1"/>
  <c r="N36" i="1"/>
  <c r="T36" i="1" s="1"/>
  <c r="K36" i="1"/>
  <c r="H36" i="1"/>
  <c r="K35" i="1"/>
  <c r="N35" i="1" s="1"/>
  <c r="T35" i="1" s="1"/>
  <c r="H35" i="1"/>
  <c r="N34" i="1"/>
  <c r="T34" i="1" s="1"/>
  <c r="K34" i="1"/>
  <c r="H34" i="1"/>
  <c r="K33" i="1"/>
  <c r="N33" i="1" s="1"/>
  <c r="T33" i="1" s="1"/>
  <c r="H33" i="1"/>
  <c r="N32" i="1"/>
  <c r="T32" i="1" s="1"/>
  <c r="K32" i="1"/>
  <c r="H32" i="1"/>
  <c r="K31" i="1"/>
  <c r="N31" i="1" s="1"/>
  <c r="T31" i="1" s="1"/>
  <c r="H31" i="1"/>
  <c r="P30" i="1"/>
  <c r="N30" i="1"/>
  <c r="T30" i="1" s="1"/>
  <c r="K30" i="1"/>
  <c r="H30" i="1"/>
  <c r="N29" i="1"/>
  <c r="T29" i="1" s="1"/>
  <c r="K29" i="1"/>
  <c r="H29" i="1"/>
  <c r="T28" i="1"/>
  <c r="N28" i="1"/>
  <c r="K28" i="1"/>
  <c r="H28" i="1"/>
  <c r="N27" i="1"/>
  <c r="T27" i="1" s="1"/>
  <c r="K27" i="1"/>
  <c r="H27" i="1"/>
  <c r="T26" i="1"/>
  <c r="N26" i="1"/>
  <c r="K26" i="1"/>
  <c r="H26" i="1"/>
  <c r="N25" i="1"/>
  <c r="T25" i="1" s="1"/>
  <c r="K25" i="1"/>
  <c r="H25" i="1"/>
  <c r="T24" i="1"/>
  <c r="N24" i="1"/>
  <c r="K24" i="1"/>
  <c r="H24" i="1"/>
  <c r="N23" i="1"/>
  <c r="T23" i="1" s="1"/>
  <c r="K23" i="1"/>
  <c r="H23" i="1"/>
  <c r="T22" i="1"/>
  <c r="N22" i="1"/>
  <c r="K22" i="1"/>
  <c r="H22" i="1"/>
  <c r="N21" i="1"/>
  <c r="T21" i="1" s="1"/>
  <c r="K21" i="1"/>
  <c r="H21" i="1"/>
  <c r="T20" i="1"/>
  <c r="N20" i="1"/>
  <c r="K20" i="1"/>
  <c r="H20" i="1"/>
  <c r="N19" i="1"/>
  <c r="T19" i="1" s="1"/>
  <c r="K19" i="1"/>
  <c r="H19" i="1"/>
  <c r="T18" i="1"/>
  <c r="N18" i="1"/>
  <c r="K18" i="1"/>
  <c r="H18" i="1"/>
  <c r="N17" i="1"/>
  <c r="T17" i="1" s="1"/>
  <c r="K17" i="1"/>
  <c r="H17" i="1"/>
  <c r="T16" i="1"/>
  <c r="N16" i="1"/>
  <c r="K16" i="1"/>
  <c r="H16" i="1"/>
  <c r="N15" i="1"/>
  <c r="T15" i="1" s="1"/>
  <c r="K15" i="1"/>
  <c r="H15" i="1"/>
  <c r="K14" i="1"/>
  <c r="N14" i="1" s="1"/>
  <c r="H14" i="1"/>
  <c r="K13" i="1"/>
  <c r="P13" i="1" s="1"/>
  <c r="H13" i="1"/>
  <c r="N12" i="1"/>
  <c r="T12" i="1" s="1"/>
  <c r="K12" i="1"/>
  <c r="H12" i="1"/>
  <c r="K11" i="1"/>
  <c r="N11" i="1" s="1"/>
  <c r="T11" i="1" s="1"/>
  <c r="H11" i="1"/>
  <c r="N10" i="1"/>
  <c r="T10" i="1" s="1"/>
  <c r="K10" i="1"/>
  <c r="H10" i="1"/>
  <c r="K9" i="1"/>
  <c r="N9" i="1" s="1"/>
  <c r="T9" i="1" s="1"/>
  <c r="H9" i="1"/>
  <c r="N8" i="1"/>
  <c r="T8" i="1" s="1"/>
  <c r="K8" i="1"/>
  <c r="H8" i="1"/>
  <c r="K7" i="1"/>
  <c r="K151" i="1" s="1"/>
  <c r="H7" i="1"/>
  <c r="B3" i="1"/>
  <c r="N158" i="1" l="1"/>
  <c r="T150" i="1"/>
  <c r="N160" i="1" s="1"/>
  <c r="R14" i="1"/>
  <c r="R151" i="1" s="1"/>
  <c r="N75" i="1"/>
  <c r="T75" i="1" s="1"/>
  <c r="N157" i="1" s="1"/>
  <c r="P100" i="1"/>
  <c r="P151" i="1" s="1"/>
  <c r="N7" i="1"/>
  <c r="N13" i="1"/>
  <c r="T13" i="1" s="1"/>
  <c r="T14" i="1" l="1"/>
  <c r="T100" i="1"/>
  <c r="N151" i="1"/>
  <c r="T7" i="1"/>
  <c r="N156" i="1" l="1"/>
  <c r="N161" i="1" s="1"/>
  <c r="T151" i="1"/>
</calcChain>
</file>

<file path=xl/sharedStrings.xml><?xml version="1.0" encoding="utf-8"?>
<sst xmlns="http://schemas.openxmlformats.org/spreadsheetml/2006/main" count="1074" uniqueCount="376">
  <si>
    <t>Month</t>
  </si>
  <si>
    <t>Calculation</t>
  </si>
  <si>
    <t>Period</t>
  </si>
  <si>
    <t>Working Days</t>
  </si>
  <si>
    <t>Client : TCA Payroll for Oct - 2025</t>
  </si>
  <si>
    <t>Sn #</t>
  </si>
  <si>
    <t>Company Name</t>
  </si>
  <si>
    <t>Client ID#</t>
  </si>
  <si>
    <t xml:space="preserve">Oracle no. </t>
  </si>
  <si>
    <t>ID#</t>
  </si>
  <si>
    <t>NAME</t>
  </si>
  <si>
    <t>Designation</t>
  </si>
  <si>
    <t>DOJ</t>
  </si>
  <si>
    <t>Basic Salary</t>
  </si>
  <si>
    <t>Other Allowance</t>
  </si>
  <si>
    <t>Monthly Salary</t>
  </si>
  <si>
    <t>UAE Child Allowance</t>
  </si>
  <si>
    <t># of
Days</t>
  </si>
  <si>
    <t>Earnings</t>
  </si>
  <si>
    <t>Pension Employee Contribution</t>
  </si>
  <si>
    <t>Net Salary</t>
  </si>
  <si>
    <t>Gross Salary</t>
  </si>
  <si>
    <t>Arrears Salary</t>
  </si>
  <si>
    <t>Pension AUH (5%)</t>
  </si>
  <si>
    <t>Pension KSA (9%)</t>
  </si>
  <si>
    <t>Pension Oman (7.5%)</t>
  </si>
  <si>
    <t>Deduction</t>
  </si>
  <si>
    <t>Remarks</t>
  </si>
  <si>
    <t xml:space="preserve">Bank Name </t>
  </si>
  <si>
    <t>Account Number</t>
  </si>
  <si>
    <t>WPS/ NON WPS</t>
  </si>
  <si>
    <t>TCA</t>
  </si>
  <si>
    <t>MUHAMMAD ABDUL HAMEED</t>
  </si>
  <si>
    <t>Historic Environment Worker</t>
  </si>
  <si>
    <t>Abu Dhabi Islamic Bank</t>
  </si>
  <si>
    <t>WPS</t>
  </si>
  <si>
    <t xml:space="preserve">WFC </t>
  </si>
  <si>
    <t>SHAHID HUSSAIN</t>
  </si>
  <si>
    <t>NASSEM SYED MUHAMMAD</t>
  </si>
  <si>
    <t>MAHMOUD SHAABAN GAD ABDELAAL</t>
  </si>
  <si>
    <t>Laborer</t>
  </si>
  <si>
    <t xml:space="preserve">Reach Abu Dhabi </t>
  </si>
  <si>
    <t>GUL MAR JAN</t>
  </si>
  <si>
    <t>MURAD KAMAL</t>
  </si>
  <si>
    <t>MOHAMED ALI SALEM ALKAABI</t>
  </si>
  <si>
    <t>Artisan</t>
  </si>
  <si>
    <t>With UAE Pension Deduction</t>
  </si>
  <si>
    <t>RABIA AL NUAIMI</t>
  </si>
  <si>
    <t>With Omani Pension Deduction</t>
  </si>
  <si>
    <t>RAHIN ULLAH KHAN</t>
  </si>
  <si>
    <t>TAHIR NAWAZ</t>
  </si>
  <si>
    <t>labour</t>
  </si>
  <si>
    <t>Commercial Bank of Dubai</t>
  </si>
  <si>
    <t>‭AE460230000001003473871‬</t>
  </si>
  <si>
    <t>MOHAMMAD MOHAMMAD KHAN</t>
  </si>
  <si>
    <t>‭AE530230000001006660680‬</t>
  </si>
  <si>
    <t>RASHID AKRAM</t>
  </si>
  <si>
    <t>‭AE800230000001003507306‬</t>
  </si>
  <si>
    <t>SAJJID SHAH</t>
  </si>
  <si>
    <t>Office Boy</t>
  </si>
  <si>
    <t>ASLAM DIN MUHAMMAD</t>
  </si>
  <si>
    <t>National Bank of Abu Dhabi</t>
  </si>
  <si>
    <t>SHAFQAT MOHAMMAD IQBAL</t>
  </si>
  <si>
    <t>Union National Bank</t>
  </si>
  <si>
    <t>SANOKAJI DHAKAL</t>
  </si>
  <si>
    <t>ABDUL SALAM ALLAH BAKHSH</t>
  </si>
  <si>
    <t>SWAIBU MUTYABA</t>
  </si>
  <si>
    <t>ARSHAD GUL GUL</t>
  </si>
  <si>
    <t>Ordinary Labourer</t>
  </si>
  <si>
    <t>MOHAMMAD FEROZE</t>
  </si>
  <si>
    <t>Gardener</t>
  </si>
  <si>
    <t>AVAIS MUHAMMAD NASEEM</t>
  </si>
  <si>
    <t>SHAHZAD SAGHEER KHOKHAR</t>
  </si>
  <si>
    <t>FARMAN ULLAH JAN</t>
  </si>
  <si>
    <t>MARIAM SAEED SAIF ALKAABI</t>
  </si>
  <si>
    <t>with pension deduction, Salary increment WEF Sep, from sep to Nov increment amount paid with NOV salary</t>
  </si>
  <si>
    <t>DILDAR ABBAS FIAZ AHMED</t>
  </si>
  <si>
    <t>OMAR MUSSA</t>
  </si>
  <si>
    <t>MUHAMMAD SHAKEEL GHULAM RASOOL</t>
  </si>
  <si>
    <t>ABDUL JALIL SAEED</t>
  </si>
  <si>
    <t>Dubai Islamic Bank</t>
  </si>
  <si>
    <t>AE750240004523199477401</t>
  </si>
  <si>
    <t>CHOUDHRY AHMAD</t>
  </si>
  <si>
    <t>Labour/Gardner</t>
  </si>
  <si>
    <t>‭AE490240010520023082201‬</t>
  </si>
  <si>
    <t>GHULAM YASIN ALLAH WASAYA</t>
  </si>
  <si>
    <t>ADCB</t>
  </si>
  <si>
    <t>‭AE750030011520716820001‬</t>
  </si>
  <si>
    <t>BADR GOMAA ABDOU MOHAMED</t>
  </si>
  <si>
    <t>ABULSALAM MEETHAL</t>
  </si>
  <si>
    <t>FATIMA ABDULLAH</t>
  </si>
  <si>
    <t>Salary increment WEF Sep, from sep to Nov increment amount paid with NOV salary</t>
  </si>
  <si>
    <t>SAMANDAR DARYA KHAN</t>
  </si>
  <si>
    <t>MOZA RASHID AL NAAIMI</t>
  </si>
  <si>
    <t>ABDEL HALIM ABDEL HALIM HASSAN</t>
  </si>
  <si>
    <t>Foreman</t>
  </si>
  <si>
    <t>ALAM FIRDOUS MUHAMMAD</t>
  </si>
  <si>
    <t>AE220030014310565920001</t>
  </si>
  <si>
    <t>RAUF MEHBOOB KHAN</t>
  </si>
  <si>
    <t>Deduction AED 152/- into 2 installments(oct &amp; Nov) for mobile number modification</t>
  </si>
  <si>
    <t>Emirates NBD</t>
  </si>
  <si>
    <t>‭AE800260000232059153501‬</t>
  </si>
  <si>
    <t>MUHAMMAD MUSTAFA</t>
  </si>
  <si>
    <t>First Abu Dhabi Bank</t>
  </si>
  <si>
    <t>‭AE800351576005620869001‬</t>
  </si>
  <si>
    <t>JACOB MATHEW JOY</t>
  </si>
  <si>
    <t>SAFI KADAIM</t>
  </si>
  <si>
    <t>Driver</t>
  </si>
  <si>
    <t>‭AE030030000570833102001‬</t>
  </si>
  <si>
    <t>Bank transfer</t>
  </si>
  <si>
    <t>FURQAN ABID ABID HUSSAIN</t>
  </si>
  <si>
    <t>‭AE800030011516962820001‬</t>
  </si>
  <si>
    <t>MUHAMMAD ATTIQUE MUHAMMAD</t>
  </si>
  <si>
    <t>‭AE210030011518230820001‬</t>
  </si>
  <si>
    <t>ABU BAKAR ARIF</t>
  </si>
  <si>
    <t>BISMILLAH JAN GUL AHMED</t>
  </si>
  <si>
    <t>ASHRAF PERINGALAM</t>
  </si>
  <si>
    <t>AMAR RANA</t>
  </si>
  <si>
    <t>KHALID AL KAABI</t>
  </si>
  <si>
    <t>RASHID AHMAD</t>
  </si>
  <si>
    <t>MOHAMMAD WORKAI KHAN</t>
  </si>
  <si>
    <t>KHALED WALNOUS</t>
  </si>
  <si>
    <t>Watchman</t>
  </si>
  <si>
    <t>TAHIR MEHAMOOD MEENA GUL</t>
  </si>
  <si>
    <t>MANSOUR ELSAYED</t>
  </si>
  <si>
    <t>ABDUL SALAM ABDUL KHALIQ</t>
  </si>
  <si>
    <t>SYED YASIR SHAH</t>
  </si>
  <si>
    <t>‭AE040240010520021925801‬</t>
  </si>
  <si>
    <t>ABDUL KHALIQ MOHAMMAD</t>
  </si>
  <si>
    <t>‭AE220351576005613396001‬</t>
  </si>
  <si>
    <t>ZAHRAH H AL MARRI</t>
  </si>
  <si>
    <t>With UAE Pension Deduction 11%</t>
  </si>
  <si>
    <t>MOHAMMED NASIR NASIR AHMED</t>
  </si>
  <si>
    <t>Master Craft</t>
  </si>
  <si>
    <t>Sharjah Islamic Bank</t>
  </si>
  <si>
    <t>‭AE590410000011378577001‬</t>
  </si>
  <si>
    <t>KHUDA BAKHSH EBRAHIM</t>
  </si>
  <si>
    <t>ZAHID SYAD MOHAMMAD</t>
  </si>
  <si>
    <t>SAIDALAVI CHAKKALA KUNNAN KUNHIMOHAMED</t>
  </si>
  <si>
    <t>TARIQ ALI NIAZ MUHAMMAD</t>
  </si>
  <si>
    <t>‭AE370030011688354920001‬</t>
  </si>
  <si>
    <t>NOOR KHAN</t>
  </si>
  <si>
    <t>KASHIF MUHAMAD AKRAM</t>
  </si>
  <si>
    <t>JASEM KHAN KHAN</t>
  </si>
  <si>
    <t>NOOR BAKHSH BALOCH</t>
  </si>
  <si>
    <t>ALI AL KAABI</t>
  </si>
  <si>
    <t>MOHAMMAD GAJIYAN</t>
  </si>
  <si>
    <t>HALIMA AL SHIHHI</t>
  </si>
  <si>
    <t xml:space="preserve">With Omani Pension Deduction </t>
  </si>
  <si>
    <t>RAFIQ ULLAH RASOL</t>
  </si>
  <si>
    <t>MUHAMMAD ASIF ABDUL GHAFOOR</t>
  </si>
  <si>
    <t>BASHARAT HUSSAIN MUHAMMAD</t>
  </si>
  <si>
    <t>HARI DANGOL</t>
  </si>
  <si>
    <t>PRABIN SHARMA</t>
  </si>
  <si>
    <t>‭AE770240003520024923301‬</t>
  </si>
  <si>
    <t>WASANTHA ELVITIGALA</t>
  </si>
  <si>
    <t>‭AE350240004580790574201‬</t>
  </si>
  <si>
    <t>ZAHER GUL RASOOL</t>
  </si>
  <si>
    <t>‭AE200240004520633899201‬</t>
  </si>
  <si>
    <t>GULSHER KHAN</t>
  </si>
  <si>
    <t>AFZAL MEHBOOB KHAN</t>
  </si>
  <si>
    <t>HIDER GAD ABDELAAL</t>
  </si>
  <si>
    <t>NIAZ MUHAMMAD</t>
  </si>
  <si>
    <t>‭AE800230000001008115097‬</t>
  </si>
  <si>
    <t>SAMEER HASSAN</t>
  </si>
  <si>
    <t>‭AE080030011767367820001‬</t>
  </si>
  <si>
    <t>RAB ABDUL QADIR</t>
  </si>
  <si>
    <t>FAZAL AFZAL SALAM</t>
  </si>
  <si>
    <t>JAN AKBAR ABDUL AKBAR KHATAK</t>
  </si>
  <si>
    <t>BINU KAIPLACKAL PODIMON</t>
  </si>
  <si>
    <t>Assistant Master</t>
  </si>
  <si>
    <t>WALEED SYED MUHAMMAD</t>
  </si>
  <si>
    <t>BAHRAM JAN</t>
  </si>
  <si>
    <t>ABDULLA SALIM AL MAQBALI</t>
  </si>
  <si>
    <t>KALFAN AL KAABI</t>
  </si>
  <si>
    <t>WILBARD MOSHA</t>
  </si>
  <si>
    <t>MUHAMMAD ISHAQUE</t>
  </si>
  <si>
    <t>KIYASTHEEN DHEEN MANI</t>
  </si>
  <si>
    <t>SIDHARTH MOHANAN DEV</t>
  </si>
  <si>
    <t>HEDAYA JUMA MOHAMMED AL KAABI</t>
  </si>
  <si>
    <t>‭AE820240028580024196301‬</t>
  </si>
  <si>
    <t>MUHAMMAD NAEEM ABDUL HAMEED</t>
  </si>
  <si>
    <t>‭AE910240084580165080601‬</t>
  </si>
  <si>
    <t>MUHAMMAD SHEREEF</t>
  </si>
  <si>
    <t>Digitization Specialist</t>
  </si>
  <si>
    <t>Salary increment WEF Sep, from sep to Nov increment amount paid with NOV salary.</t>
  </si>
  <si>
    <t>‭AE280260001011368039001‬</t>
  </si>
  <si>
    <t>ABDULLAH DAD</t>
  </si>
  <si>
    <t>‭AE680351566003676605015‬</t>
  </si>
  <si>
    <t>RAFEEK THIRUMANGALATH KUNNUMMAL</t>
  </si>
  <si>
    <t>MEERASAIBU BAZEER</t>
  </si>
  <si>
    <t>MANAUWAR RAY SADAN</t>
  </si>
  <si>
    <t>HARIS MUHAMMAD HANIF</t>
  </si>
  <si>
    <t>NAEEM IQBAL UMRA KHAN</t>
  </si>
  <si>
    <t>MOHSIN HAQ NAWAZ</t>
  </si>
  <si>
    <t>KOMBO OTHMAN JUMA</t>
  </si>
  <si>
    <t>MUHAMMAD SALAM</t>
  </si>
  <si>
    <t>GUL KHANIAZ</t>
  </si>
  <si>
    <t>MOHAMMED ISMAIL</t>
  </si>
  <si>
    <t>MUHAMMAD KHAN</t>
  </si>
  <si>
    <t>KHIAL KHALIMAT SHAH</t>
  </si>
  <si>
    <t>NABI GHULAM RASOL</t>
  </si>
  <si>
    <t>HASNAT MEHMOOD</t>
  </si>
  <si>
    <t>MBARAKA KANYIKA</t>
  </si>
  <si>
    <t>SHAHBAZ SAGHIR KHOKHAR</t>
  </si>
  <si>
    <t>Al Hilal Bank</t>
  </si>
  <si>
    <t>‭AE930530000021561844001‬</t>
  </si>
  <si>
    <t>MUHAMMAD HILAL MULLANTEVIDA</t>
  </si>
  <si>
    <t>‭AE570240004520068919901‬</t>
  </si>
  <si>
    <t>BISMILA SHAD SHAD</t>
  </si>
  <si>
    <t>HABIB SALEH MOHAMMAD</t>
  </si>
  <si>
    <t>MUHAMMAD SHARIF</t>
  </si>
  <si>
    <t>SHOUKAT ZAMAN</t>
  </si>
  <si>
    <t>KARUMARATHODIKA MOHAMMED KUTTY KARUMARATHODIKA</t>
  </si>
  <si>
    <t>AFSAR KHAN</t>
  </si>
  <si>
    <t>SUBAIR KOYA PARAMPAT</t>
  </si>
  <si>
    <t>GANGA GIRI</t>
  </si>
  <si>
    <t>ELLAHI MUHAMMAD</t>
  </si>
  <si>
    <t>MUHAMMAD WASAYA</t>
  </si>
  <si>
    <t>NAZAR DUR MOHAMMAD</t>
  </si>
  <si>
    <t>HABIB ULLAH DOST MUHAMMAD</t>
  </si>
  <si>
    <t>SAHIB NOOR DIN RASOOLA</t>
  </si>
  <si>
    <t>ANISH DHAKAL</t>
  </si>
  <si>
    <t>SALIM ALI HASSAN</t>
  </si>
  <si>
    <t>MUHAMMAD KAMAL</t>
  </si>
  <si>
    <t>SAID AL SHAQSI</t>
  </si>
  <si>
    <t>ABDULLAH MIAN RASOOL BAKHSH</t>
  </si>
  <si>
    <t>ABDI KOMBO RASHID</t>
  </si>
  <si>
    <t>MOHAMMED IRFAN SARKHEL</t>
  </si>
  <si>
    <t>‭AE450240004580280603602‬</t>
  </si>
  <si>
    <t>NASSER ABDULLAH AWADH</t>
  </si>
  <si>
    <t>‭AE830240014580181481901‬</t>
  </si>
  <si>
    <t>ALI MOHAMED</t>
  </si>
  <si>
    <t>OSMAN QURESHI</t>
  </si>
  <si>
    <t>PARVEEZ MALIK AMAN MALIK AMAN</t>
  </si>
  <si>
    <t>MOHAMMED SIRAJ DIN</t>
  </si>
  <si>
    <t>Heavy Equipment Driver</t>
  </si>
  <si>
    <t>MUHAMMAD YASEEN KHAN</t>
  </si>
  <si>
    <t>HARPREET SINGH</t>
  </si>
  <si>
    <t>Worker</t>
  </si>
  <si>
    <t>National Bank of Abudhabi</t>
  </si>
  <si>
    <t>AE610352455001128758012</t>
  </si>
  <si>
    <t>ABU BAKER BIN OSMAN QURESHI</t>
  </si>
  <si>
    <t>MOHAMED ATTA MOHAMED OSMAN</t>
  </si>
  <si>
    <t>Reach Dubai</t>
  </si>
  <si>
    <t>DHAKAL MANIRAM</t>
  </si>
  <si>
    <t>New Joiner, Sep 2 days salary added with Oct salary</t>
  </si>
  <si>
    <t>-</t>
  </si>
  <si>
    <t>Cash</t>
  </si>
  <si>
    <t>Batch - 1</t>
  </si>
  <si>
    <t xml:space="preserve">Pay-Method </t>
  </si>
  <si>
    <t>Head Count</t>
  </si>
  <si>
    <t>Total</t>
  </si>
  <si>
    <t>Batch - 2</t>
  </si>
  <si>
    <t>DCT Payroll Calculations</t>
  </si>
  <si>
    <t>DCT Total Salary to be paid</t>
  </si>
  <si>
    <t xml:space="preserve">DCT Employer Contibution </t>
  </si>
  <si>
    <t>AA - AB</t>
  </si>
  <si>
    <t xml:space="preserve">Reach Net Salary </t>
  </si>
  <si>
    <t>Reach Pension (P - Q - R)</t>
  </si>
  <si>
    <t>AD - AE</t>
  </si>
  <si>
    <t>AC - AF</t>
  </si>
  <si>
    <t>‭AE23050000015421881‬</t>
  </si>
  <si>
    <t>‭AE24050000015466095‬</t>
  </si>
  <si>
    <t>‭AE39050000015588627‬</t>
  </si>
  <si>
    <t>‭AE50050000028717185‬</t>
  </si>
  <si>
    <t>‭AE26050000028389078‬</t>
  </si>
  <si>
    <t>‭AE11050000028410785‬</t>
  </si>
  <si>
    <t>‭AE56050000028601841‬</t>
  </si>
  <si>
    <t>‭AE45050000014399105‬</t>
  </si>
  <si>
    <t>‭AE56050000028281644‬</t>
  </si>
  <si>
    <t>AE71050000019498509</t>
  </si>
  <si>
    <t>‭AE30035004554243775‬</t>
  </si>
  <si>
    <t>‭AE12045003001009833‬</t>
  </si>
  <si>
    <t>‭AE69045003005004916‬</t>
  </si>
  <si>
    <t>‭AE46045014507459330‬</t>
  </si>
  <si>
    <t>‭AE21045014507338142‬</t>
  </si>
  <si>
    <t>‭AE09050000028443898‬</t>
  </si>
  <si>
    <t>‭AE60050000028523393‬</t>
  </si>
  <si>
    <t>‭AE73050000028442455‬</t>
  </si>
  <si>
    <t>‭AE41050000028749745‬</t>
  </si>
  <si>
    <t>‭AE31050000028151726‬</t>
  </si>
  <si>
    <t>‭AE89050000024871985‬</t>
  </si>
  <si>
    <t>‭AE48050000018921773‬</t>
  </si>
  <si>
    <t>‭AE59050000028281881‬</t>
  </si>
  <si>
    <t>‭AE88050000028309586‬</t>
  </si>
  <si>
    <t>‭AE42050000028315749‬</t>
  </si>
  <si>
    <t>‭AE48050000028218641‬</t>
  </si>
  <si>
    <t>‭AE71050000015655660‬</t>
  </si>
  <si>
    <t>‭AE93050000015472225‬</t>
  </si>
  <si>
    <t>‭AE82050000014399118‬</t>
  </si>
  <si>
    <t>‭AE74050000028383655‬</t>
  </si>
  <si>
    <t>‭AE89045003005010958‬</t>
  </si>
  <si>
    <t>‭AE47050000015506324‬</t>
  </si>
  <si>
    <t>‭AE83050000028304923‬</t>
  </si>
  <si>
    <t>‭AE97050000022105983</t>
  </si>
  <si>
    <t>‭AE05050000028749132‬</t>
  </si>
  <si>
    <t>‭AE28050000024299813‬</t>
  </si>
  <si>
    <t>‭AE02050000015589875‬</t>
  </si>
  <si>
    <t>‭AE60050000015421506‬</t>
  </si>
  <si>
    <t>‭AE31050000028390443‬</t>
  </si>
  <si>
    <t>‭AE12050000028393889‬</t>
  </si>
  <si>
    <t>‭AE54050000018931753‬</t>
  </si>
  <si>
    <t>‭AE90050000028309938‬</t>
  </si>
  <si>
    <t>AE87050000022179883</t>
  </si>
  <si>
    <t>‭AE41045003005302337‬</t>
  </si>
  <si>
    <t>‭AE03045003005011051‬</t>
  </si>
  <si>
    <t>‭AE36045003005302815‬</t>
  </si>
  <si>
    <t>‭AE49050000028445506‬</t>
  </si>
  <si>
    <t>‭AE34050000028310946‬</t>
  </si>
  <si>
    <t>‭AE31050000028319827‬</t>
  </si>
  <si>
    <t>‭AE35050000028511912‬</t>
  </si>
  <si>
    <t>‭AE34050000028602043‬</t>
  </si>
  <si>
    <t>‭AE42050000028153856‬</t>
  </si>
  <si>
    <t>‭AE19050000022940520‬</t>
  </si>
  <si>
    <t>‭AE21050000028392951‬</t>
  </si>
  <si>
    <t>‭AE80050000028427682‬</t>
  </si>
  <si>
    <t>‭AE73050000028420824‬</t>
  </si>
  <si>
    <t>‭AE94050000028304046‬</t>
  </si>
  <si>
    <t>‭AE80045012285395910‬</t>
  </si>
  <si>
    <t>‭AE85045012255159174‬</t>
  </si>
  <si>
    <t>‭AE33045012273426568‬</t>
  </si>
  <si>
    <t>‭AE31050000015508649‬</t>
  </si>
  <si>
    <t>‭AE36050000015500993‬</t>
  </si>
  <si>
    <t>‭AE35050000028316069‬</t>
  </si>
  <si>
    <t>‭AE67050000028696897‬</t>
  </si>
  <si>
    <t>‭AE06050000028150818‬</t>
  </si>
  <si>
    <t>‭AE88050000028293290‬</t>
  </si>
  <si>
    <t>‭AE64050000028468613‬</t>
  </si>
  <si>
    <t>‭AE32050000020885535‬</t>
  </si>
  <si>
    <t>‭AE46050000028174736‬</t>
  </si>
  <si>
    <t>‭AE77050000018926101‬</t>
  </si>
  <si>
    <t>‭AE55050000028304069‬</t>
  </si>
  <si>
    <t>‭AE13050000028304049‬</t>
  </si>
  <si>
    <t>‭AE45045003005011653‬</t>
  </si>
  <si>
    <t>‭AE80045006905310601‬</t>
  </si>
  <si>
    <t>‭AE80045014507265785‬</t>
  </si>
  <si>
    <t>‭AE98050000015508704‬</t>
  </si>
  <si>
    <t>‭AE33050000028389631‬</t>
  </si>
  <si>
    <t>‭AE19050000028320237‬</t>
  </si>
  <si>
    <t>‭AE33050000028381580‬</t>
  </si>
  <si>
    <t>‭AE89050000028747620‬</t>
  </si>
  <si>
    <t>‭AE47050000028707345‬</t>
  </si>
  <si>
    <t>‭AE52050000028370180‬</t>
  </si>
  <si>
    <t>‭AE18050000014357299‬</t>
  </si>
  <si>
    <t>‭AE79050000028150959‬</t>
  </si>
  <si>
    <t>‭AE53050000015421535‬</t>
  </si>
  <si>
    <t>‭AE83050000028281643‬</t>
  </si>
  <si>
    <t>‭AE45050000028281648‬</t>
  </si>
  <si>
    <t>‭AE28045003005001968‬</t>
  </si>
  <si>
    <t>‭AE30045005105310922‬</t>
  </si>
  <si>
    <t>‭AE66045007705006110‬</t>
  </si>
  <si>
    <t>‭AE93045012292062583‬</t>
  </si>
  <si>
    <t>‭AE85045003205004078‬</t>
  </si>
  <si>
    <t>‭AE18045005105352557‬</t>
  </si>
  <si>
    <t>‭AE78045003005002038‬</t>
  </si>
  <si>
    <t>‭AE97045003005010232‬</t>
  </si>
  <si>
    <t>‭AE19050000024127024‬</t>
  </si>
  <si>
    <t>‭AE91050000015507763‬</t>
  </si>
  <si>
    <t>‭AE41050000015588591‬</t>
  </si>
  <si>
    <t>‭AE67050000028304047‬</t>
  </si>
  <si>
    <t>‭AE77050000028484190‬</t>
  </si>
  <si>
    <t>‭AE93050000028711852‬</t>
  </si>
  <si>
    <t>‭AE40050000028743846‬</t>
  </si>
  <si>
    <t>‭AE73050000015465601‬</t>
  </si>
  <si>
    <t>‭AE52050000014399464‬</t>
  </si>
  <si>
    <t>‭AE23050000028393788‬</t>
  </si>
  <si>
    <t>‭AE77050000028281654‬</t>
  </si>
  <si>
    <t>‭AE81045003005302393‬</t>
  </si>
  <si>
    <t>‭AE62045007705008510‬</t>
  </si>
  <si>
    <t>‭AE86045003005001991‬</t>
  </si>
  <si>
    <t>‭AE70045012265309233‬</t>
  </si>
  <si>
    <t>‭AE42045014500213696‬</t>
  </si>
  <si>
    <t>AE13050000029336517</t>
  </si>
  <si>
    <t>AE35050000029366870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</si>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</sst>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m/yy"/>
    <numFmt numFmtId="165" formatCode="[$-409]d/mmm/yy;@"/>
    <numFmt numFmtId="166" formatCode="[$-409]d\-mmm\-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sz val="12"/>
      <color rgb="FF262626"/>
      <name val="Tahoma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6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1">
    <xf numFmtId="0" fontId="0" fillId="0" borderId="0" xfId="0"/>
    <xf numFmtId="0" fontId="3" fillId="2" borderId="1" xfId="0" applyFont="1" applyFill="1" applyBorder="1" applyAlignment="1">
      <alignment vertical="center"/>
    </xf>
    <xf numFmtId="164" fontId="3" fillId="2" borderId="1" xfId="0" quotePrefix="1" applyNumberFormat="1" applyFont="1" applyFill="1" applyBorder="1" applyAlignment="1">
      <alignment horizontal="centerContinuous" vertical="center"/>
    </xf>
    <xf numFmtId="17" fontId="3" fillId="2" borderId="1" xfId="0" quotePrefix="1" applyNumberFormat="1" applyFont="1" applyFill="1" applyBorder="1" applyAlignment="1">
      <alignment horizontal="centerContinuous" vertical="center"/>
    </xf>
    <xf numFmtId="17" fontId="3" fillId="2" borderId="0" xfId="0" quotePrefix="1" applyNumberFormat="1" applyFont="1" applyFill="1" applyAlignment="1">
      <alignment horizontal="centerContinuous" vertical="center"/>
    </xf>
    <xf numFmtId="0" fontId="0" fillId="0" borderId="0" xfId="0" applyAlignment="1">
      <alignment horizontal="center"/>
    </xf>
    <xf numFmtId="165" fontId="3" fillId="2" borderId="1" xfId="0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horizontal="centerContinuous" vertical="center"/>
    </xf>
    <xf numFmtId="0" fontId="4" fillId="3" borderId="5" xfId="0" applyFont="1" applyFill="1" applyBorder="1" applyAlignment="1">
      <alignment horizontal="centerContinuous" vertical="center"/>
    </xf>
    <xf numFmtId="0" fontId="4" fillId="3" borderId="6" xfId="0" applyFont="1" applyFill="1" applyBorder="1" applyAlignment="1">
      <alignment horizontal="centerContinuous" vertical="center"/>
    </xf>
    <xf numFmtId="0" fontId="4" fillId="3" borderId="7" xfId="0" applyFont="1" applyFill="1" applyBorder="1" applyAlignment="1">
      <alignment horizontal="centerContinuous"/>
    </xf>
    <xf numFmtId="0" fontId="4" fillId="3" borderId="7" xfId="0" applyFont="1" applyFill="1" applyBorder="1" applyAlignment="1">
      <alignment horizontal="center"/>
    </xf>
    <xf numFmtId="0" fontId="4" fillId="3" borderId="7" xfId="0" applyFont="1" applyFill="1" applyBorder="1"/>
    <xf numFmtId="0" fontId="4" fillId="3" borderId="8" xfId="0" applyFont="1" applyFill="1" applyBorder="1"/>
    <xf numFmtId="0" fontId="5" fillId="0" borderId="0" xfId="0" applyFont="1"/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/>
    </xf>
    <xf numFmtId="0" fontId="4" fillId="3" borderId="15" xfId="0" applyFont="1" applyFill="1" applyBorder="1"/>
    <xf numFmtId="0" fontId="4" fillId="3" borderId="11" xfId="0" applyFont="1" applyFill="1" applyBorder="1"/>
    <xf numFmtId="0" fontId="4" fillId="3" borderId="14" xfId="0" applyFont="1" applyFill="1" applyBorder="1"/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vertical="center" wrapText="1"/>
    </xf>
    <xf numFmtId="0" fontId="7" fillId="6" borderId="25" xfId="0" applyFont="1" applyFill="1" applyBorder="1" applyAlignment="1">
      <alignment horizontal="left" vertical="center"/>
    </xf>
    <xf numFmtId="166" fontId="7" fillId="6" borderId="25" xfId="0" applyNumberFormat="1" applyFont="1" applyFill="1" applyBorder="1" applyAlignment="1">
      <alignment vertical="center"/>
    </xf>
    <xf numFmtId="43" fontId="7" fillId="6" borderId="25" xfId="1" applyFont="1" applyFill="1" applyBorder="1" applyAlignment="1">
      <alignment vertical="center"/>
    </xf>
    <xf numFmtId="43" fontId="7" fillId="0" borderId="25" xfId="1" applyFont="1" applyFill="1" applyBorder="1" applyAlignment="1">
      <alignment vertical="center"/>
    </xf>
    <xf numFmtId="0" fontId="7" fillId="6" borderId="25" xfId="1" applyNumberFormat="1" applyFont="1" applyFill="1" applyBorder="1" applyAlignment="1">
      <alignment horizontal="center" vertical="center"/>
    </xf>
    <xf numFmtId="43" fontId="7" fillId="6" borderId="22" xfId="1" applyFont="1" applyFill="1" applyBorder="1" applyAlignment="1">
      <alignment vertical="center"/>
    </xf>
    <xf numFmtId="43" fontId="7" fillId="6" borderId="26" xfId="1" applyFont="1" applyFill="1" applyBorder="1" applyAlignment="1">
      <alignment vertical="center"/>
    </xf>
    <xf numFmtId="43" fontId="7" fillId="6" borderId="23" xfId="1" applyFont="1" applyFill="1" applyBorder="1" applyAlignment="1">
      <alignment vertical="center"/>
    </xf>
    <xf numFmtId="43" fontId="8" fillId="6" borderId="22" xfId="1" applyFont="1" applyFill="1" applyBorder="1" applyAlignment="1">
      <alignment horizontal="center" vertical="center"/>
    </xf>
    <xf numFmtId="43" fontId="8" fillId="6" borderId="27" xfId="1" applyFont="1" applyFill="1" applyBorder="1" applyAlignment="1">
      <alignment horizontal="center" vertical="center"/>
    </xf>
    <xf numFmtId="43" fontId="8" fillId="6" borderId="28" xfId="1" applyFont="1" applyFill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vertical="center" wrapText="1"/>
    </xf>
    <xf numFmtId="0" fontId="7" fillId="6" borderId="29" xfId="0" applyFont="1" applyFill="1" applyBorder="1" applyAlignment="1">
      <alignment horizontal="left" vertical="center"/>
    </xf>
    <xf numFmtId="166" fontId="7" fillId="6" borderId="29" xfId="0" applyNumberFormat="1" applyFont="1" applyFill="1" applyBorder="1" applyAlignment="1">
      <alignment vertical="center"/>
    </xf>
    <xf numFmtId="43" fontId="7" fillId="6" borderId="29" xfId="1" applyFont="1" applyFill="1" applyBorder="1" applyAlignment="1">
      <alignment vertical="center"/>
    </xf>
    <xf numFmtId="43" fontId="7" fillId="0" borderId="29" xfId="1" applyFont="1" applyFill="1" applyBorder="1" applyAlignment="1">
      <alignment vertical="center"/>
    </xf>
    <xf numFmtId="0" fontId="7" fillId="6" borderId="29" xfId="1" applyNumberFormat="1" applyFont="1" applyFill="1" applyBorder="1" applyAlignment="1">
      <alignment horizontal="center" vertical="center"/>
    </xf>
    <xf numFmtId="43" fontId="7" fillId="6" borderId="31" xfId="1" applyFont="1" applyFill="1" applyBorder="1" applyAlignment="1">
      <alignment vertical="center"/>
    </xf>
    <xf numFmtId="43" fontId="8" fillId="6" borderId="29" xfId="1" applyFont="1" applyFill="1" applyBorder="1" applyAlignment="1">
      <alignment horizontal="center" vertical="center"/>
    </xf>
    <xf numFmtId="43" fontId="8" fillId="6" borderId="32" xfId="1" applyFont="1" applyFill="1" applyBorder="1" applyAlignment="1">
      <alignment horizontal="center" vertical="center"/>
    </xf>
    <xf numFmtId="43" fontId="8" fillId="6" borderId="33" xfId="1" applyFont="1" applyFill="1" applyBorder="1" applyAlignment="1">
      <alignment horizontal="center" vertical="center"/>
    </xf>
    <xf numFmtId="43" fontId="7" fillId="6" borderId="34" xfId="1" applyFont="1" applyFill="1" applyBorder="1" applyAlignment="1">
      <alignment vertical="center"/>
    </xf>
    <xf numFmtId="43" fontId="7" fillId="6" borderId="35" xfId="1" applyFont="1" applyFill="1" applyBorder="1" applyAlignment="1">
      <alignment vertical="center"/>
    </xf>
    <xf numFmtId="39" fontId="7" fillId="6" borderId="29" xfId="1" applyNumberFormat="1" applyFont="1" applyFill="1" applyBorder="1" applyAlignment="1">
      <alignment vertical="center"/>
    </xf>
    <xf numFmtId="43" fontId="7" fillId="6" borderId="30" xfId="1" applyFont="1" applyFill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3" fontId="7" fillId="0" borderId="22" xfId="1" applyFont="1" applyFill="1" applyBorder="1" applyAlignment="1">
      <alignment vertical="center"/>
    </xf>
    <xf numFmtId="0" fontId="7" fillId="0" borderId="29" xfId="0" applyFont="1" applyBorder="1"/>
    <xf numFmtId="43" fontId="8" fillId="0" borderId="33" xfId="1" applyFont="1" applyFill="1" applyBorder="1" applyAlignment="1">
      <alignment horizontal="center" vertical="center"/>
    </xf>
    <xf numFmtId="43" fontId="8" fillId="6" borderId="36" xfId="1" applyFont="1" applyFill="1" applyBorder="1" applyAlignment="1">
      <alignment horizontal="center" vertical="center"/>
    </xf>
    <xf numFmtId="43" fontId="8" fillId="6" borderId="37" xfId="1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vertical="center" wrapText="1"/>
    </xf>
    <xf numFmtId="0" fontId="7" fillId="6" borderId="39" xfId="0" applyFont="1" applyFill="1" applyBorder="1" applyAlignment="1">
      <alignment horizontal="left" vertical="center"/>
    </xf>
    <xf numFmtId="166" fontId="7" fillId="6" borderId="39" xfId="0" applyNumberFormat="1" applyFont="1" applyFill="1" applyBorder="1" applyAlignment="1">
      <alignment vertical="center"/>
    </xf>
    <xf numFmtId="43" fontId="7" fillId="6" borderId="39" xfId="1" applyFont="1" applyFill="1" applyBorder="1" applyAlignment="1">
      <alignment vertical="center"/>
    </xf>
    <xf numFmtId="43" fontId="7" fillId="0" borderId="39" xfId="1" applyFont="1" applyFill="1" applyBorder="1" applyAlignment="1">
      <alignment vertical="center"/>
    </xf>
    <xf numFmtId="0" fontId="7" fillId="6" borderId="26" xfId="1" applyNumberFormat="1" applyFont="1" applyFill="1" applyBorder="1" applyAlignment="1">
      <alignment horizontal="center" vertical="center"/>
    </xf>
    <xf numFmtId="43" fontId="7" fillId="6" borderId="40" xfId="1" applyFont="1" applyFill="1" applyBorder="1" applyAlignment="1">
      <alignment vertical="center"/>
    </xf>
    <xf numFmtId="43" fontId="8" fillId="6" borderId="41" xfId="1" applyFont="1" applyFill="1" applyBorder="1" applyAlignment="1">
      <alignment horizontal="center" vertical="center"/>
    </xf>
    <xf numFmtId="43" fontId="8" fillId="6" borderId="42" xfId="1" applyFont="1" applyFill="1" applyBorder="1" applyAlignment="1">
      <alignment horizontal="center" vertical="center"/>
    </xf>
    <xf numFmtId="43" fontId="8" fillId="6" borderId="43" xfId="1" applyFont="1" applyFill="1" applyBorder="1" applyAlignment="1">
      <alignment horizontal="center" vertical="center"/>
    </xf>
    <xf numFmtId="43" fontId="8" fillId="6" borderId="44" xfId="1" applyFont="1" applyFill="1" applyBorder="1" applyAlignment="1">
      <alignment horizontal="center" vertical="center"/>
    </xf>
    <xf numFmtId="0" fontId="9" fillId="6" borderId="32" xfId="0" applyFont="1" applyFill="1" applyBorder="1"/>
    <xf numFmtId="0" fontId="9" fillId="6" borderId="42" xfId="0" applyFont="1" applyFill="1" applyBorder="1" applyAlignment="1">
      <alignment horizontal="left" vertical="center" indent="1"/>
    </xf>
    <xf numFmtId="0" fontId="9" fillId="6" borderId="43" xfId="0" applyFont="1" applyFill="1" applyBorder="1" applyAlignment="1">
      <alignment horizontal="center" vertical="center"/>
    </xf>
    <xf numFmtId="43" fontId="8" fillId="6" borderId="45" xfId="1" applyFont="1" applyFill="1" applyBorder="1" applyAlignment="1">
      <alignment horizontal="center" vertical="center"/>
    </xf>
    <xf numFmtId="0" fontId="7" fillId="6" borderId="40" xfId="0" applyFont="1" applyFill="1" applyBorder="1" applyAlignment="1">
      <alignment horizontal="center" vertical="center"/>
    </xf>
    <xf numFmtId="43" fontId="7" fillId="6" borderId="39" xfId="1" applyFont="1" applyFill="1" applyBorder="1" applyAlignment="1">
      <alignment horizontal="center" vertical="center"/>
    </xf>
    <xf numFmtId="43" fontId="8" fillId="6" borderId="34" xfId="1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/>
    </xf>
    <xf numFmtId="43" fontId="8" fillId="6" borderId="47" xfId="1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0" xfId="0" applyFont="1" applyBorder="1" applyAlignment="1">
      <alignment horizontal="left" vertical="center"/>
    </xf>
    <xf numFmtId="166" fontId="7" fillId="0" borderId="40" xfId="0" applyNumberFormat="1" applyFont="1" applyBorder="1" applyAlignment="1">
      <alignment vertical="center"/>
    </xf>
    <xf numFmtId="43" fontId="7" fillId="0" borderId="40" xfId="1" applyFont="1" applyBorder="1" applyAlignment="1">
      <alignment vertical="center"/>
    </xf>
    <xf numFmtId="0" fontId="7" fillId="0" borderId="40" xfId="1" applyNumberFormat="1" applyFont="1" applyFill="1" applyBorder="1" applyAlignment="1">
      <alignment horizontal="center" vertical="center"/>
    </xf>
    <xf numFmtId="43" fontId="7" fillId="0" borderId="31" xfId="1" applyFont="1" applyBorder="1" applyAlignment="1">
      <alignment vertical="center"/>
    </xf>
    <xf numFmtId="0" fontId="8" fillId="0" borderId="29" xfId="0" applyFont="1" applyBorder="1" applyAlignment="1">
      <alignment horizontal="center"/>
    </xf>
    <xf numFmtId="43" fontId="8" fillId="6" borderId="49" xfId="1" applyFont="1" applyFill="1" applyBorder="1" applyAlignment="1">
      <alignment horizontal="center" vertical="center"/>
    </xf>
    <xf numFmtId="43" fontId="8" fillId="6" borderId="5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1" xfId="0" applyBorder="1" applyAlignment="1">
      <alignment horizontal="center" vertical="center"/>
    </xf>
    <xf numFmtId="0" fontId="7" fillId="6" borderId="5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2" xfId="0" applyFont="1" applyBorder="1"/>
    <xf numFmtId="0" fontId="7" fillId="0" borderId="52" xfId="0" applyFont="1" applyBorder="1" applyAlignment="1">
      <alignment horizontal="left" vertical="center"/>
    </xf>
    <xf numFmtId="166" fontId="7" fillId="0" borderId="52" xfId="0" applyNumberFormat="1" applyFont="1" applyBorder="1" applyAlignment="1">
      <alignment vertical="center"/>
    </xf>
    <xf numFmtId="43" fontId="7" fillId="0" borderId="52" xfId="1" applyFont="1" applyBorder="1" applyAlignment="1">
      <alignment vertical="center"/>
    </xf>
    <xf numFmtId="0" fontId="7" fillId="0" borderId="52" xfId="1" applyNumberFormat="1" applyFont="1" applyFill="1" applyBorder="1" applyAlignment="1">
      <alignment horizontal="center" vertical="center"/>
    </xf>
    <xf numFmtId="43" fontId="7" fillId="6" borderId="52" xfId="1" applyFont="1" applyFill="1" applyBorder="1" applyAlignment="1">
      <alignment vertical="center"/>
    </xf>
    <xf numFmtId="43" fontId="8" fillId="6" borderId="52" xfId="1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/>
    </xf>
    <xf numFmtId="43" fontId="8" fillId="6" borderId="53" xfId="1" applyFont="1" applyFill="1" applyBorder="1" applyAlignment="1">
      <alignment horizontal="center" vertical="center"/>
    </xf>
    <xf numFmtId="43" fontId="8" fillId="6" borderId="54" xfId="1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43" fontId="2" fillId="0" borderId="56" xfId="0" applyNumberFormat="1" applyFont="1" applyBorder="1" applyAlignment="1">
      <alignment vertical="center"/>
    </xf>
    <xf numFmtId="43" fontId="2" fillId="3" borderId="56" xfId="1" applyFont="1" applyFill="1" applyBorder="1" applyAlignment="1">
      <alignment vertical="center"/>
    </xf>
    <xf numFmtId="43" fontId="2" fillId="0" borderId="57" xfId="0" applyNumberFormat="1" applyFont="1" applyBorder="1" applyAlignment="1">
      <alignment vertical="center"/>
    </xf>
    <xf numFmtId="43" fontId="6" fillId="0" borderId="58" xfId="1" applyFont="1" applyFill="1" applyBorder="1" applyAlignment="1">
      <alignment horizontal="center" vertical="center"/>
    </xf>
    <xf numFmtId="43" fontId="6" fillId="0" borderId="59" xfId="1" applyFont="1" applyFill="1" applyBorder="1" applyAlignment="1">
      <alignment horizontal="center" vertical="center"/>
    </xf>
    <xf numFmtId="43" fontId="6" fillId="0" borderId="60" xfId="1" applyFont="1" applyFill="1" applyBorder="1" applyAlignment="1">
      <alignment horizontal="center" vertical="center"/>
    </xf>
    <xf numFmtId="43" fontId="6" fillId="0" borderId="6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0" fillId="0" borderId="0" xfId="0" applyNumberFormat="1"/>
    <xf numFmtId="43" fontId="2" fillId="0" borderId="0" xfId="1" applyFont="1" applyFill="1" applyBorder="1" applyAlignment="1">
      <alignment horizontal="center" vertical="center"/>
    </xf>
    <xf numFmtId="0" fontId="0" fillId="0" borderId="62" xfId="0" applyBorder="1"/>
    <xf numFmtId="0" fontId="0" fillId="0" borderId="63" xfId="0" applyBorder="1"/>
    <xf numFmtId="43" fontId="0" fillId="0" borderId="63" xfId="0" applyNumberFormat="1" applyBorder="1"/>
    <xf numFmtId="0" fontId="10" fillId="3" borderId="9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43" fontId="8" fillId="6" borderId="64" xfId="1" applyFont="1" applyFill="1" applyBorder="1" applyAlignment="1">
      <alignment horizontal="center" vertical="center"/>
    </xf>
    <xf numFmtId="0" fontId="7" fillId="0" borderId="63" xfId="0" applyFont="1" applyBorder="1" applyAlignment="1">
      <alignment horizontal="center"/>
    </xf>
    <xf numFmtId="43" fontId="7" fillId="0" borderId="65" xfId="0" applyNumberFormat="1" applyFont="1" applyBorder="1" applyAlignment="1">
      <alignment horizontal="center"/>
    </xf>
    <xf numFmtId="15" fontId="0" fillId="0" borderId="0" xfId="0" applyNumberFormat="1"/>
    <xf numFmtId="0" fontId="7" fillId="0" borderId="66" xfId="0" applyFont="1" applyBorder="1" applyAlignment="1">
      <alignment horizontal="center"/>
    </xf>
    <xf numFmtId="43" fontId="11" fillId="3" borderId="67" xfId="1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/>
    </xf>
    <xf numFmtId="43" fontId="10" fillId="3" borderId="21" xfId="0" applyNumberFormat="1" applyFont="1" applyFill="1" applyBorder="1" applyAlignment="1">
      <alignment horizontal="center"/>
    </xf>
    <xf numFmtId="0" fontId="7" fillId="7" borderId="38" xfId="0" applyFont="1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5" fillId="8" borderId="0" xfId="0" applyFont="1" applyFill="1"/>
    <xf numFmtId="43" fontId="0" fillId="9" borderId="0" xfId="1" applyFont="1" applyFill="1" applyAlignment="1">
      <alignment horizontal="center" vertical="center" wrapText="1"/>
    </xf>
    <xf numFmtId="43" fontId="0" fillId="10" borderId="0" xfId="1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43" fontId="7" fillId="6" borderId="0" xfId="1" applyFont="1" applyFill="1" applyAlignment="1">
      <alignment vertical="center"/>
    </xf>
    <xf numFmtId="43" fontId="2" fillId="8" borderId="0" xfId="1" applyFont="1" applyFill="1" applyAlignment="1">
      <alignment vertical="center"/>
    </xf>
    <xf numFmtId="0" fontId="2" fillId="12" borderId="0" xfId="0" applyFont="1" applyFill="1" applyAlignment="1">
      <alignment vertical="center"/>
    </xf>
    <xf numFmtId="43" fontId="0" fillId="0" borderId="0" xfId="0" applyNumberFormat="1" applyAlignment="1">
      <alignment horizontal="center"/>
    </xf>
    <xf numFmtId="43" fontId="0" fillId="12" borderId="0" xfId="0" applyNumberFormat="1" applyFill="1"/>
    <xf numFmtId="0" fontId="0" fillId="12" borderId="0" xfId="0" applyFill="1"/>
    <xf numFmtId="0" fontId="0" fillId="7" borderId="52" xfId="0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43" fontId="5" fillId="8" borderId="0" xfId="1" applyFont="1" applyFill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NIWORLD\UW%20-%20February-09%20Pay%20Bil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aliza.see\OneDrive%20-%20Workforce%20Connexion\Desktop\WFC%20Payroll%202021\2023\Dec%202023\Current%20payroll\TCA\TCA%20Payroll%20Dec%20'23%20with%20banks%20.xlsx" TargetMode="External"/><Relationship Id="rId1" Type="http://schemas.openxmlformats.org/officeDocument/2006/relationships/externalLinkPath" Target="file:///C:\Users\annaliza.see\OneDrive%20-%20Workforce%20Connexion\Desktop\WFC%20Payroll%202021\2023\Dec%202023\Current%20payroll\TCA\TCA%20Payroll%20Dec%20'23%20with%20bank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Bill"/>
      <sheetName val="APTSlab"/>
      <sheetName val="KPTSlab"/>
      <sheetName val="Sheet1"/>
    </sheetNames>
    <sheetDataSet>
      <sheetData sheetId="0"/>
      <sheetData sheetId="1">
        <row r="2">
          <cell r="A2">
            <v>3000</v>
          </cell>
          <cell r="B2">
            <v>20</v>
          </cell>
        </row>
        <row r="3">
          <cell r="A3">
            <v>6000</v>
          </cell>
          <cell r="B3">
            <v>80</v>
          </cell>
        </row>
        <row r="4">
          <cell r="A4">
            <v>9000</v>
          </cell>
          <cell r="B4">
            <v>150</v>
          </cell>
        </row>
        <row r="5">
          <cell r="A5">
            <v>12000</v>
          </cell>
          <cell r="B5">
            <v>200</v>
          </cell>
        </row>
        <row r="6">
          <cell r="A6">
            <v>500000</v>
          </cell>
          <cell r="B6">
            <v>200</v>
          </cell>
        </row>
      </sheetData>
      <sheetData sheetId="2">
        <row r="2">
          <cell r="A2">
            <v>0</v>
          </cell>
          <cell r="B2">
            <v>0</v>
          </cell>
        </row>
        <row r="3">
          <cell r="A3">
            <v>1501</v>
          </cell>
          <cell r="B3">
            <v>18</v>
          </cell>
        </row>
        <row r="4">
          <cell r="A4">
            <v>2001</v>
          </cell>
          <cell r="B4">
            <v>25</v>
          </cell>
        </row>
        <row r="5">
          <cell r="A5">
            <v>3001</v>
          </cell>
          <cell r="B5">
            <v>30</v>
          </cell>
        </row>
        <row r="6">
          <cell r="A6">
            <v>5001</v>
          </cell>
          <cell r="B6">
            <v>40</v>
          </cell>
        </row>
        <row r="7">
          <cell r="A7">
            <v>6001</v>
          </cell>
          <cell r="B7">
            <v>45</v>
          </cell>
        </row>
        <row r="8">
          <cell r="A8">
            <v>7001</v>
          </cell>
          <cell r="B8">
            <v>50</v>
          </cell>
        </row>
        <row r="9">
          <cell r="A9">
            <v>8001</v>
          </cell>
          <cell r="B9">
            <v>90</v>
          </cell>
        </row>
        <row r="10">
          <cell r="A10">
            <v>9001</v>
          </cell>
          <cell r="B10">
            <v>110</v>
          </cell>
        </row>
        <row r="11">
          <cell r="A11">
            <v>15001</v>
          </cell>
          <cell r="B11">
            <v>130</v>
          </cell>
        </row>
        <row r="12">
          <cell r="A12">
            <v>25001</v>
          </cell>
          <cell r="B12">
            <v>150</v>
          </cell>
        </row>
        <row r="13">
          <cell r="A13">
            <v>40001</v>
          </cell>
          <cell r="B13">
            <v>200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G_Payroll_Run_Report__Shared__"/>
    </sheetNames>
    <sheetDataSet>
      <sheetData sheetId="0" refreshError="1">
        <row r="6">
          <cell r="A6">
            <v>33445</v>
          </cell>
          <cell r="B6" t="str">
            <v>WFC33445</v>
          </cell>
          <cell r="C6">
            <v>5000145</v>
          </cell>
          <cell r="D6" t="str">
            <v>‭20016029117954‬</v>
          </cell>
          <cell r="E6" t="str">
            <v>Abu Bakar Arif</v>
          </cell>
          <cell r="F6">
            <v>41640</v>
          </cell>
        </row>
        <row r="7">
          <cell r="A7">
            <v>33446</v>
          </cell>
          <cell r="B7" t="str">
            <v>WFC33446</v>
          </cell>
          <cell r="C7">
            <v>5000156</v>
          </cell>
          <cell r="D7" t="str">
            <v>‭20001018879111‬</v>
          </cell>
          <cell r="E7" t="str">
            <v>Ellahi Muhammad</v>
          </cell>
          <cell r="F7">
            <v>41640</v>
          </cell>
        </row>
        <row r="8">
          <cell r="A8">
            <v>33447</v>
          </cell>
          <cell r="B8" t="str">
            <v>WFC33447</v>
          </cell>
          <cell r="C8">
            <v>5000166</v>
          </cell>
          <cell r="D8" t="str">
            <v>‭20001015990954‬</v>
          </cell>
          <cell r="E8" t="str">
            <v>Choudhry Ahmad</v>
          </cell>
          <cell r="F8">
            <v>41640</v>
          </cell>
        </row>
        <row r="9">
          <cell r="A9">
            <v>33448</v>
          </cell>
          <cell r="B9" t="str">
            <v>WFC33448</v>
          </cell>
          <cell r="C9">
            <v>5000167</v>
          </cell>
          <cell r="D9" t="str">
            <v>‭20001047880383‬</v>
          </cell>
          <cell r="E9" t="str">
            <v>Javed Khan</v>
          </cell>
          <cell r="F9">
            <v>41640</v>
          </cell>
        </row>
        <row r="10">
          <cell r="A10">
            <v>33449</v>
          </cell>
          <cell r="B10" t="str">
            <v>WFC33449</v>
          </cell>
          <cell r="C10">
            <v>5000168</v>
          </cell>
          <cell r="D10" t="str">
            <v>‭20003047827625‬</v>
          </cell>
          <cell r="E10" t="str">
            <v>Noor Khan</v>
          </cell>
          <cell r="F10">
            <v>41640</v>
          </cell>
        </row>
        <row r="11">
          <cell r="A11">
            <v>33450</v>
          </cell>
          <cell r="B11" t="str">
            <v>WFC33450</v>
          </cell>
          <cell r="C11">
            <v>5000170</v>
          </cell>
          <cell r="D11" t="str">
            <v>‭20004056525662‬</v>
          </cell>
          <cell r="E11" t="str">
            <v>Tahir Nawaz</v>
          </cell>
          <cell r="F11">
            <v>41640</v>
          </cell>
        </row>
        <row r="12">
          <cell r="A12">
            <v>33452</v>
          </cell>
          <cell r="B12" t="str">
            <v>WFC33452</v>
          </cell>
          <cell r="C12">
            <v>5000143</v>
          </cell>
          <cell r="D12" t="str">
            <v>‭20006119060164‬</v>
          </cell>
          <cell r="E12" t="str">
            <v>Haris Muhammad Hanif</v>
          </cell>
          <cell r="F12">
            <v>41640</v>
          </cell>
        </row>
        <row r="13">
          <cell r="A13">
            <v>33453</v>
          </cell>
          <cell r="B13" t="str">
            <v>WFC33453</v>
          </cell>
          <cell r="C13">
            <v>5000048</v>
          </cell>
          <cell r="D13" t="str">
            <v>‭10024067714778‬</v>
          </cell>
          <cell r="E13" t="str">
            <v>Ali Mohamed</v>
          </cell>
          <cell r="F13">
            <v>41640</v>
          </cell>
        </row>
        <row r="14">
          <cell r="A14">
            <v>33454</v>
          </cell>
          <cell r="B14" t="str">
            <v>WFC33454</v>
          </cell>
          <cell r="C14">
            <v>5000049</v>
          </cell>
          <cell r="D14" t="str">
            <v>‭20001017580533‬</v>
          </cell>
          <cell r="E14" t="str">
            <v>Aslam Din Muhammad</v>
          </cell>
          <cell r="F14">
            <v>41640</v>
          </cell>
        </row>
        <row r="15">
          <cell r="A15">
            <v>33455</v>
          </cell>
          <cell r="B15" t="str">
            <v>WFC33455</v>
          </cell>
          <cell r="C15">
            <v>5000053</v>
          </cell>
          <cell r="D15" t="str">
            <v>‭20005018134292‬</v>
          </cell>
          <cell r="E15" t="str">
            <v>Bismila Shad Shad</v>
          </cell>
          <cell r="F15">
            <v>41640</v>
          </cell>
        </row>
        <row r="16">
          <cell r="A16">
            <v>33456</v>
          </cell>
          <cell r="B16" t="str">
            <v>WFC33456</v>
          </cell>
          <cell r="C16">
            <v>5000055</v>
          </cell>
          <cell r="D16" t="str">
            <v>‭20001017977053‬</v>
          </cell>
          <cell r="E16" t="str">
            <v>Habib Saleh Mohammad</v>
          </cell>
          <cell r="F16">
            <v>41640</v>
          </cell>
        </row>
        <row r="17">
          <cell r="A17">
            <v>33457</v>
          </cell>
          <cell r="B17" t="str">
            <v>WFC33457</v>
          </cell>
          <cell r="C17">
            <v>5000060</v>
          </cell>
          <cell r="D17" t="str">
            <v>‭20001017579546‬</v>
          </cell>
          <cell r="E17" t="str">
            <v>Khuda Bakhsh Ebrahim</v>
          </cell>
          <cell r="F17">
            <v>41640</v>
          </cell>
        </row>
        <row r="18">
          <cell r="A18">
            <v>33458</v>
          </cell>
          <cell r="B18" t="str">
            <v>WFC33458</v>
          </cell>
          <cell r="C18">
            <v>5000104</v>
          </cell>
          <cell r="D18" t="str">
            <v>‭20025098339414‬</v>
          </cell>
          <cell r="E18" t="str">
            <v>Muhammad Sharif</v>
          </cell>
          <cell r="F18">
            <v>41640</v>
          </cell>
        </row>
        <row r="19">
          <cell r="A19">
            <v>33459</v>
          </cell>
          <cell r="B19" t="str">
            <v>WFC33459</v>
          </cell>
          <cell r="C19">
            <v>5000105</v>
          </cell>
          <cell r="D19" t="str">
            <v>‭20001088019776‬</v>
          </cell>
          <cell r="E19" t="str">
            <v>Mohammad Mohammad Khan</v>
          </cell>
          <cell r="F19">
            <v>41640</v>
          </cell>
        </row>
        <row r="20">
          <cell r="A20">
            <v>33461</v>
          </cell>
          <cell r="B20" t="str">
            <v>WFC33461</v>
          </cell>
          <cell r="C20">
            <v>5000120</v>
          </cell>
          <cell r="D20" t="str">
            <v>‭20015128878399‬</v>
          </cell>
          <cell r="E20" t="str">
            <v>Muhammad Abdul Hameed</v>
          </cell>
          <cell r="F20">
            <v>41640</v>
          </cell>
        </row>
        <row r="21">
          <cell r="A21">
            <v>33462</v>
          </cell>
          <cell r="B21" t="str">
            <v>WFC33462</v>
          </cell>
          <cell r="C21">
            <v>5000124</v>
          </cell>
          <cell r="D21" t="str">
            <v>‭20001018977047‬</v>
          </cell>
          <cell r="E21" t="str">
            <v>Shahid Hussain</v>
          </cell>
          <cell r="F21">
            <v>41640</v>
          </cell>
        </row>
        <row r="22">
          <cell r="A22">
            <v>33471</v>
          </cell>
          <cell r="B22" t="str">
            <v>WFC33471</v>
          </cell>
          <cell r="C22">
            <v>5000123</v>
          </cell>
          <cell r="D22" t="str">
            <v>‭20009069004298‬</v>
          </cell>
          <cell r="E22" t="str">
            <v>Sameer Hassan</v>
          </cell>
          <cell r="F22">
            <v>41609</v>
          </cell>
        </row>
        <row r="23">
          <cell r="A23">
            <v>33472</v>
          </cell>
          <cell r="B23" t="str">
            <v>WFC33472</v>
          </cell>
          <cell r="C23">
            <v>5000144</v>
          </cell>
          <cell r="D23" t="str">
            <v>‭20022067594434‬</v>
          </cell>
          <cell r="E23" t="str">
            <v>Rab Abdul Qadir</v>
          </cell>
          <cell r="F23">
            <v>41609</v>
          </cell>
        </row>
        <row r="24">
          <cell r="A24">
            <v>33474</v>
          </cell>
          <cell r="B24" t="str">
            <v>WFC33474</v>
          </cell>
          <cell r="C24">
            <v>5000147</v>
          </cell>
          <cell r="D24" t="str">
            <v>‭20015019035204‬</v>
          </cell>
          <cell r="E24" t="str">
            <v>Muhammad Wasaya</v>
          </cell>
          <cell r="F24">
            <v>41609</v>
          </cell>
        </row>
        <row r="25">
          <cell r="A25">
            <v>33475</v>
          </cell>
          <cell r="B25" t="str">
            <v>WFC33475</v>
          </cell>
          <cell r="C25">
            <v>5000149</v>
          </cell>
          <cell r="D25" t="str">
            <v>‭20001018794368‬</v>
          </cell>
          <cell r="E25" t="str">
            <v>Rashid Akram</v>
          </cell>
          <cell r="F25">
            <v>41609</v>
          </cell>
        </row>
        <row r="26">
          <cell r="A26">
            <v>33476</v>
          </cell>
          <cell r="B26" t="str">
            <v>WFC33476</v>
          </cell>
          <cell r="C26">
            <v>5000152</v>
          </cell>
          <cell r="D26" t="str">
            <v>‭20026019305346‬</v>
          </cell>
          <cell r="E26" t="str">
            <v>Alam Firdous Muhammad</v>
          </cell>
          <cell r="F26">
            <v>41609</v>
          </cell>
        </row>
        <row r="27">
          <cell r="A27">
            <v>33477</v>
          </cell>
          <cell r="B27" t="str">
            <v>WFC33477</v>
          </cell>
          <cell r="C27">
            <v>5000157</v>
          </cell>
          <cell r="D27" t="str">
            <v>‭20001017396152‬</v>
          </cell>
          <cell r="E27" t="str">
            <v>Nazar Dur Mohammad</v>
          </cell>
          <cell r="F27">
            <v>41609</v>
          </cell>
        </row>
        <row r="28">
          <cell r="A28">
            <v>33478</v>
          </cell>
          <cell r="B28" t="str">
            <v>WFC33478</v>
          </cell>
          <cell r="C28">
            <v>5000158</v>
          </cell>
          <cell r="D28" t="str">
            <v>‭20006037887044‬</v>
          </cell>
          <cell r="E28" t="str">
            <v>Abdul Jalil Saeed</v>
          </cell>
          <cell r="F28">
            <v>41609</v>
          </cell>
        </row>
        <row r="29">
          <cell r="A29">
            <v>33479</v>
          </cell>
          <cell r="B29" t="str">
            <v>WFC33479</v>
          </cell>
          <cell r="C29">
            <v>5000159</v>
          </cell>
          <cell r="D29" t="str">
            <v>‭20001018009666‬</v>
          </cell>
          <cell r="E29" t="str">
            <v>Arshad Gul Gul</v>
          </cell>
          <cell r="F29">
            <v>41609</v>
          </cell>
        </row>
        <row r="30">
          <cell r="A30">
            <v>33480</v>
          </cell>
          <cell r="B30" t="str">
            <v>WFC33480</v>
          </cell>
          <cell r="C30">
            <v>5000161</v>
          </cell>
          <cell r="D30" t="str">
            <v>‭20001018025899‬</v>
          </cell>
          <cell r="E30" t="str">
            <v>Mohammad Feroze</v>
          </cell>
          <cell r="F30">
            <v>41609</v>
          </cell>
        </row>
        <row r="31">
          <cell r="A31">
            <v>33481</v>
          </cell>
          <cell r="B31" t="str">
            <v>WFC33481</v>
          </cell>
          <cell r="C31">
            <v>5000163</v>
          </cell>
          <cell r="D31" t="str">
            <v>‭20006097769286‬</v>
          </cell>
          <cell r="E31" t="str">
            <v>Shoukat Zaman</v>
          </cell>
          <cell r="F31">
            <v>41609</v>
          </cell>
        </row>
        <row r="32">
          <cell r="A32">
            <v>33482</v>
          </cell>
          <cell r="B32" t="str">
            <v>WFC33482</v>
          </cell>
          <cell r="C32">
            <v>5000164</v>
          </cell>
          <cell r="D32" t="str">
            <v>‭20025108594990‬</v>
          </cell>
          <cell r="E32" t="str">
            <v>Syed Yasir Shah</v>
          </cell>
          <cell r="F32">
            <v>41609</v>
          </cell>
        </row>
        <row r="33">
          <cell r="A33">
            <v>33483</v>
          </cell>
          <cell r="B33" t="str">
            <v>WFC33483</v>
          </cell>
          <cell r="C33">
            <v>5000142</v>
          </cell>
          <cell r="D33" t="str">
            <v>‭20001019004834‬</v>
          </cell>
          <cell r="E33" t="str">
            <v>Fazal Afzal Salam</v>
          </cell>
          <cell r="F33">
            <v>41609</v>
          </cell>
        </row>
        <row r="34">
          <cell r="A34">
            <v>33485</v>
          </cell>
          <cell r="B34" t="str">
            <v>WFC33485</v>
          </cell>
          <cell r="C34">
            <v>5000089</v>
          </cell>
          <cell r="D34" t="str">
            <v>‭10002046913236‬</v>
          </cell>
          <cell r="E34" t="str">
            <v>Osman Qureshi</v>
          </cell>
          <cell r="F34">
            <v>41609</v>
          </cell>
        </row>
        <row r="35">
          <cell r="A35">
            <v>33487</v>
          </cell>
          <cell r="B35" t="str">
            <v>WFC33487</v>
          </cell>
          <cell r="C35">
            <v>5000153</v>
          </cell>
          <cell r="D35" t="str">
            <v>‭20001099305509‬</v>
          </cell>
          <cell r="E35" t="str">
            <v>Nassem Syed Muhammad</v>
          </cell>
          <cell r="F35">
            <v>41609</v>
          </cell>
        </row>
        <row r="36">
          <cell r="A36">
            <v>33488</v>
          </cell>
          <cell r="B36" t="str">
            <v>WFC33488</v>
          </cell>
          <cell r="C36">
            <v>5000160</v>
          </cell>
          <cell r="D36" t="str">
            <v>‭20002047896167‬</v>
          </cell>
          <cell r="E36" t="str">
            <v>Gulsher Khan</v>
          </cell>
          <cell r="F36">
            <v>41609</v>
          </cell>
        </row>
        <row r="37">
          <cell r="A37">
            <v>33489</v>
          </cell>
          <cell r="B37" t="str">
            <v>WFC33489</v>
          </cell>
          <cell r="C37">
            <v>5000106</v>
          </cell>
          <cell r="D37" t="str">
            <v>‭20030128167364‬</v>
          </cell>
          <cell r="E37" t="str">
            <v>Naeem Iqbal Umra Khan</v>
          </cell>
          <cell r="F37">
            <v>41609</v>
          </cell>
        </row>
        <row r="38">
          <cell r="A38">
            <v>33490</v>
          </cell>
          <cell r="B38" t="str">
            <v>WFC33490</v>
          </cell>
          <cell r="C38">
            <v>5000151</v>
          </cell>
          <cell r="D38" t="str">
            <v>‭20002027296854‬</v>
          </cell>
          <cell r="E38" t="str">
            <v>Shafqat Mohammad Iqbal</v>
          </cell>
          <cell r="F38">
            <v>41609</v>
          </cell>
        </row>
        <row r="39">
          <cell r="A39">
            <v>33492</v>
          </cell>
          <cell r="B39" t="str">
            <v>WFC33492</v>
          </cell>
          <cell r="C39">
            <v>5000033</v>
          </cell>
          <cell r="D39" t="str">
            <v>‭20001016896615‬</v>
          </cell>
          <cell r="E39" t="str">
            <v>Abdullah Dad</v>
          </cell>
          <cell r="F39">
            <v>41609</v>
          </cell>
        </row>
        <row r="40">
          <cell r="A40">
            <v>33493</v>
          </cell>
          <cell r="B40" t="str">
            <v>WFC33493</v>
          </cell>
          <cell r="C40">
            <v>5000041</v>
          </cell>
          <cell r="D40" t="str">
            <v>‭20012016005460‬</v>
          </cell>
          <cell r="E40" t="str">
            <v>Noor Bakhsh Baloch</v>
          </cell>
          <cell r="F40">
            <v>41609</v>
          </cell>
        </row>
        <row r="41">
          <cell r="A41">
            <v>33495</v>
          </cell>
          <cell r="B41" t="str">
            <v>WFC33495</v>
          </cell>
          <cell r="C41">
            <v>5000047</v>
          </cell>
          <cell r="D41" t="str">
            <v>‭20001016696712‬</v>
          </cell>
          <cell r="E41" t="str">
            <v>Afzal Mehboob Khan</v>
          </cell>
          <cell r="F41">
            <v>41609</v>
          </cell>
        </row>
        <row r="42">
          <cell r="A42">
            <v>33497</v>
          </cell>
          <cell r="B42" t="str">
            <v>WFC33497</v>
          </cell>
          <cell r="C42">
            <v>5000059</v>
          </cell>
          <cell r="D42" t="str">
            <v>‭10028046750682‬</v>
          </cell>
          <cell r="E42" t="str">
            <v>Karumarathodika Mohammed Kutty Karumarathodika</v>
          </cell>
          <cell r="F42">
            <v>41609</v>
          </cell>
        </row>
        <row r="43">
          <cell r="A43">
            <v>33499</v>
          </cell>
          <cell r="B43" t="str">
            <v>WFC33499</v>
          </cell>
          <cell r="C43">
            <v>5000066</v>
          </cell>
          <cell r="D43" t="str">
            <v>‭10015017714759‬</v>
          </cell>
          <cell r="E43" t="str">
            <v>Mohammed Ismail</v>
          </cell>
          <cell r="F43">
            <v>41609</v>
          </cell>
        </row>
        <row r="44">
          <cell r="A44">
            <v>33502</v>
          </cell>
          <cell r="B44" t="str">
            <v>WFC33502</v>
          </cell>
          <cell r="C44">
            <v>5000078</v>
          </cell>
          <cell r="D44" t="str">
            <v>‭20001016105098‬</v>
          </cell>
          <cell r="E44" t="str">
            <v>Parveez Malik Aman Malik Aman</v>
          </cell>
          <cell r="F44">
            <v>41609</v>
          </cell>
        </row>
        <row r="45">
          <cell r="A45">
            <v>33503</v>
          </cell>
          <cell r="B45" t="str">
            <v>WFC33503</v>
          </cell>
          <cell r="C45">
            <v>5000085</v>
          </cell>
          <cell r="D45" t="str">
            <v>‭20007027387927‬</v>
          </cell>
          <cell r="E45" t="str">
            <v>Gul Mar Jan</v>
          </cell>
          <cell r="F45">
            <v>41609</v>
          </cell>
        </row>
        <row r="46">
          <cell r="A46">
            <v>33504</v>
          </cell>
          <cell r="B46" t="str">
            <v>WFC33504</v>
          </cell>
          <cell r="C46">
            <v>5000088</v>
          </cell>
          <cell r="D46" t="str">
            <v>‭20014117405572‬</v>
          </cell>
          <cell r="E46" t="str">
            <v>Murad Kamal</v>
          </cell>
          <cell r="F46">
            <v>41609</v>
          </cell>
        </row>
        <row r="47">
          <cell r="A47">
            <v>33505</v>
          </cell>
          <cell r="B47" t="str">
            <v>WFC33505</v>
          </cell>
          <cell r="C47">
            <v>5000091</v>
          </cell>
          <cell r="D47" t="str">
            <v>‭20001017305539‬</v>
          </cell>
          <cell r="E47" t="str">
            <v>Rauf Mehboob Khan</v>
          </cell>
          <cell r="F47">
            <v>41609</v>
          </cell>
        </row>
        <row r="48">
          <cell r="A48">
            <v>33506</v>
          </cell>
          <cell r="B48" t="str">
            <v>WFC33506</v>
          </cell>
          <cell r="C48">
            <v>5000092</v>
          </cell>
          <cell r="D48" t="str">
            <v>‭20002058504739‬</v>
          </cell>
          <cell r="E48" t="str">
            <v>Zahid Syad Mohammad</v>
          </cell>
          <cell r="F48">
            <v>41609</v>
          </cell>
        </row>
        <row r="49">
          <cell r="A49">
            <v>33507</v>
          </cell>
          <cell r="B49" t="str">
            <v>WFC33507</v>
          </cell>
          <cell r="C49">
            <v>5000094</v>
          </cell>
          <cell r="D49" t="str">
            <v>‭10020057996907‬</v>
          </cell>
          <cell r="E49" t="str">
            <v>Abulsalam Meethal</v>
          </cell>
          <cell r="F49">
            <v>41609</v>
          </cell>
        </row>
        <row r="50">
          <cell r="A50">
            <v>33508</v>
          </cell>
          <cell r="B50" t="str">
            <v>WFC33508</v>
          </cell>
          <cell r="C50">
            <v>5000102</v>
          </cell>
          <cell r="D50" t="str">
            <v>‭20006067909561‬</v>
          </cell>
          <cell r="E50" t="str">
            <v>Afsar Khan</v>
          </cell>
          <cell r="F50">
            <v>41609</v>
          </cell>
        </row>
        <row r="51">
          <cell r="A51">
            <v>33509</v>
          </cell>
          <cell r="B51" t="str">
            <v>WFC33509</v>
          </cell>
          <cell r="C51">
            <v>5000103</v>
          </cell>
          <cell r="D51" t="str">
            <v>‭20007067694486‬</v>
          </cell>
          <cell r="E51" t="str">
            <v>Abdul Khaliq Mohammad</v>
          </cell>
          <cell r="F51">
            <v>41609</v>
          </cell>
        </row>
        <row r="52">
          <cell r="A52">
            <v>33512</v>
          </cell>
          <cell r="B52" t="str">
            <v>WFC33512</v>
          </cell>
          <cell r="C52">
            <v>5000114</v>
          </cell>
          <cell r="D52" t="str">
            <v>‭20001017207743‬</v>
          </cell>
          <cell r="E52" t="str">
            <v>Muhammad Khan</v>
          </cell>
          <cell r="F52">
            <v>41609</v>
          </cell>
        </row>
        <row r="53">
          <cell r="A53">
            <v>33513</v>
          </cell>
          <cell r="B53" t="str">
            <v>WFC33513</v>
          </cell>
          <cell r="C53">
            <v>5000115</v>
          </cell>
          <cell r="D53" t="str">
            <v>‭20001018101854‬</v>
          </cell>
          <cell r="E53" t="str">
            <v>Sajjid Shah</v>
          </cell>
          <cell r="F53">
            <v>41609</v>
          </cell>
        </row>
        <row r="54">
          <cell r="A54">
            <v>33514</v>
          </cell>
          <cell r="B54" t="str">
            <v>WFC33514</v>
          </cell>
          <cell r="C54">
            <v>5000121</v>
          </cell>
          <cell r="D54" t="str">
            <v>‭20015057741343‬</v>
          </cell>
          <cell r="E54" t="str">
            <v>Muhammad Kamal</v>
          </cell>
          <cell r="F54">
            <v>41609</v>
          </cell>
        </row>
        <row r="55">
          <cell r="A55">
            <v>33516</v>
          </cell>
          <cell r="B55" t="str">
            <v>WFC33516</v>
          </cell>
          <cell r="C55">
            <v>5000036</v>
          </cell>
          <cell r="D55" t="str">
            <v>‭‬</v>
          </cell>
          <cell r="E55" t="str">
            <v>Muhammad Shereef</v>
          </cell>
          <cell r="F55">
            <v>41730</v>
          </cell>
        </row>
        <row r="56">
          <cell r="A56">
            <v>33517</v>
          </cell>
          <cell r="B56" t="str">
            <v>WFC33517</v>
          </cell>
          <cell r="C56">
            <v>5000098</v>
          </cell>
          <cell r="D56" t="str">
            <v>‭01710128286771‬</v>
          </cell>
          <cell r="E56" t="str">
            <v>Nasser Abdullah Awadh</v>
          </cell>
          <cell r="F56">
            <v>41730</v>
          </cell>
        </row>
        <row r="57">
          <cell r="A57">
            <v>33518</v>
          </cell>
          <cell r="B57" t="str">
            <v>WFC33518</v>
          </cell>
          <cell r="C57">
            <v>5000126</v>
          </cell>
          <cell r="D57" t="str">
            <v>‭02301015489151‬</v>
          </cell>
          <cell r="E57" t="str">
            <v>Ali Al Kaabi</v>
          </cell>
          <cell r="F57">
            <v>41730</v>
          </cell>
        </row>
        <row r="58">
          <cell r="A58">
            <v>33519</v>
          </cell>
          <cell r="B58" t="str">
            <v>WFC33519</v>
          </cell>
          <cell r="C58">
            <v>5000127</v>
          </cell>
          <cell r="D58" t="str">
            <v>‭20001015753029‬</v>
          </cell>
          <cell r="E58" t="str">
            <v>Fatima Abdullah</v>
          </cell>
          <cell r="F58">
            <v>41730</v>
          </cell>
        </row>
        <row r="59">
          <cell r="A59">
            <v>33521</v>
          </cell>
          <cell r="B59" t="str">
            <v>WFC33521</v>
          </cell>
          <cell r="C59">
            <v>5000135</v>
          </cell>
          <cell r="D59" t="str">
            <v>‭02301015652597‬</v>
          </cell>
          <cell r="E59" t="str">
            <v>Mohamed Ali Salem Alkaabi</v>
          </cell>
          <cell r="F59">
            <v>41730</v>
          </cell>
        </row>
        <row r="60">
          <cell r="A60">
            <v>33522</v>
          </cell>
          <cell r="B60" t="str">
            <v>WFC33522</v>
          </cell>
          <cell r="C60">
            <v>5000141</v>
          </cell>
          <cell r="D60" t="str">
            <v>‭02506067870310‬</v>
          </cell>
          <cell r="E60" t="str">
            <v>Zahrah H Al Marri</v>
          </cell>
          <cell r="F60">
            <v>41730</v>
          </cell>
        </row>
        <row r="61">
          <cell r="A61">
            <v>33523</v>
          </cell>
          <cell r="B61" t="str">
            <v>WFC33523</v>
          </cell>
          <cell r="C61">
            <v>5000175</v>
          </cell>
          <cell r="D61" t="str">
            <v>‭02302038152583‬</v>
          </cell>
          <cell r="E61" t="str">
            <v>Khalid Al Kaabi</v>
          </cell>
          <cell r="F61">
            <v>41760</v>
          </cell>
        </row>
        <row r="62">
          <cell r="A62">
            <v>33526</v>
          </cell>
          <cell r="B62" t="str">
            <v>WFC33526</v>
          </cell>
          <cell r="C62">
            <v>5000185</v>
          </cell>
          <cell r="D62" t="str">
            <v>‭20001017138649‬</v>
          </cell>
          <cell r="E62" t="str">
            <v>Mohammad Gajiyan</v>
          </cell>
          <cell r="F62">
            <v>42989</v>
          </cell>
        </row>
        <row r="63">
          <cell r="A63">
            <v>33528</v>
          </cell>
          <cell r="B63" t="str">
            <v>WFC33528</v>
          </cell>
          <cell r="C63">
            <v>5000184</v>
          </cell>
          <cell r="D63" t="str">
            <v>‭20013049364165‬</v>
          </cell>
          <cell r="E63" t="str">
            <v>Farman Ullah Jan</v>
          </cell>
          <cell r="F63">
            <v>42982</v>
          </cell>
        </row>
        <row r="64">
          <cell r="A64">
            <v>33529</v>
          </cell>
          <cell r="B64" t="str">
            <v>WFC33529</v>
          </cell>
          <cell r="C64">
            <v>5000183</v>
          </cell>
          <cell r="D64" t="str">
            <v>‭20001018992266‬</v>
          </cell>
          <cell r="E64" t="str">
            <v>Khial Khalimat Shah</v>
          </cell>
          <cell r="F64">
            <v>42982</v>
          </cell>
        </row>
        <row r="65">
          <cell r="A65">
            <v>33532</v>
          </cell>
          <cell r="B65" t="str">
            <v>WFC33532</v>
          </cell>
          <cell r="C65">
            <v>5000180</v>
          </cell>
          <cell r="D65" t="str">
            <v>‭20001019792601‬</v>
          </cell>
          <cell r="E65" t="str">
            <v>Waleed Syed Muhammad</v>
          </cell>
          <cell r="F65">
            <v>42982</v>
          </cell>
        </row>
        <row r="66">
          <cell r="A66">
            <v>33535</v>
          </cell>
          <cell r="B66" t="str">
            <v>WFC33535</v>
          </cell>
          <cell r="C66">
            <v>5000096</v>
          </cell>
          <cell r="D66" t="str">
            <v>‭10001128378437‬</v>
          </cell>
          <cell r="E66" t="str">
            <v>Rafeek Thirumangalath Kunnummal</v>
          </cell>
          <cell r="F66">
            <v>41640</v>
          </cell>
        </row>
        <row r="67">
          <cell r="A67">
            <v>33536</v>
          </cell>
          <cell r="B67" t="str">
            <v>WFC33536</v>
          </cell>
          <cell r="C67">
            <v>5000150</v>
          </cell>
          <cell r="D67" t="str">
            <v>‭20001018877075‬</v>
          </cell>
          <cell r="E67" t="str">
            <v>Samandar Darya Khan</v>
          </cell>
          <cell r="F67">
            <v>41640</v>
          </cell>
        </row>
        <row r="68">
          <cell r="A68">
            <v>33537</v>
          </cell>
          <cell r="B68" t="str">
            <v>WFC33537</v>
          </cell>
          <cell r="C68">
            <v>5000154</v>
          </cell>
          <cell r="D68" t="str">
            <v>‭20006079379085‬</v>
          </cell>
          <cell r="E68" t="str">
            <v>Rashid Ahmad</v>
          </cell>
          <cell r="F68">
            <v>41640</v>
          </cell>
        </row>
        <row r="69">
          <cell r="A69">
            <v>33540</v>
          </cell>
          <cell r="B69" t="str">
            <v>WFC33540</v>
          </cell>
          <cell r="C69">
            <v>5000084</v>
          </cell>
          <cell r="D69" t="str">
            <v>‭10028047792210‬</v>
          </cell>
          <cell r="E69" t="str">
            <v>Subair Koya Parampat</v>
          </cell>
          <cell r="F69">
            <v>41609</v>
          </cell>
        </row>
        <row r="70">
          <cell r="A70">
            <v>33541</v>
          </cell>
          <cell r="B70" t="str">
            <v>WFC33541</v>
          </cell>
          <cell r="C70">
            <v>5000086</v>
          </cell>
          <cell r="D70" t="str">
            <v>‭10017057295222‬</v>
          </cell>
          <cell r="E70" t="str">
            <v>Jacob Mathew Joy</v>
          </cell>
          <cell r="F70">
            <v>41609</v>
          </cell>
        </row>
        <row r="71">
          <cell r="A71">
            <v>33542</v>
          </cell>
          <cell r="B71" t="str">
            <v>WFC33542</v>
          </cell>
          <cell r="C71">
            <v>5000081</v>
          </cell>
          <cell r="D71" t="str">
            <v>‭10003036392513‬</v>
          </cell>
          <cell r="E71" t="str">
            <v>Saidalavi Chakkala Kunnan Kunhimohamed</v>
          </cell>
          <cell r="F71">
            <v>41609</v>
          </cell>
        </row>
        <row r="72">
          <cell r="A72">
            <v>33544</v>
          </cell>
          <cell r="B72" t="str">
            <v>WFC33544</v>
          </cell>
          <cell r="C72">
            <v>5000051</v>
          </cell>
          <cell r="D72" t="str">
            <v>‭10014086514654‬</v>
          </cell>
          <cell r="E72" t="str">
            <v>Bava Abdul Azeez</v>
          </cell>
          <cell r="F72">
            <v>41609</v>
          </cell>
        </row>
        <row r="73">
          <cell r="A73">
            <v>33546</v>
          </cell>
          <cell r="B73" t="str">
            <v>WFC33546</v>
          </cell>
          <cell r="C73">
            <v>5000052</v>
          </cell>
          <cell r="D73" t="str">
            <v>‭20001017204965‬</v>
          </cell>
          <cell r="E73" t="str">
            <v>Bahram Jan</v>
          </cell>
          <cell r="F73">
            <v>41609</v>
          </cell>
        </row>
        <row r="74">
          <cell r="A74">
            <v>33548</v>
          </cell>
          <cell r="B74" t="str">
            <v>WFC33548</v>
          </cell>
          <cell r="C74">
            <v>5000139</v>
          </cell>
          <cell r="D74" t="str">
            <v>‭02301015752588‬</v>
          </cell>
          <cell r="E74" t="str">
            <v>Rabia Al Nuaimi</v>
          </cell>
          <cell r="F74">
            <v>41730</v>
          </cell>
        </row>
        <row r="75">
          <cell r="A75">
            <v>33549</v>
          </cell>
          <cell r="B75" t="str">
            <v>WFC33549</v>
          </cell>
          <cell r="C75">
            <v>5000174</v>
          </cell>
          <cell r="D75" t="str">
            <v>‭02319116952593‬</v>
          </cell>
          <cell r="E75" t="str">
            <v>Abdulla Salim Al Maqbali</v>
          </cell>
          <cell r="F75">
            <v>41730</v>
          </cell>
        </row>
        <row r="76">
          <cell r="A76">
            <v>33551</v>
          </cell>
          <cell r="B76" t="str">
            <v>WFC33551</v>
          </cell>
          <cell r="C76">
            <v>5000140</v>
          </cell>
          <cell r="D76" t="str">
            <v>‭02301015592603‬</v>
          </cell>
          <cell r="E76" t="str">
            <v>Said Al Shaqsi</v>
          </cell>
          <cell r="F76">
            <v>41730</v>
          </cell>
        </row>
        <row r="77">
          <cell r="A77">
            <v>33552</v>
          </cell>
          <cell r="B77" t="str">
            <v>WFC33552</v>
          </cell>
          <cell r="C77">
            <v>5000129</v>
          </cell>
          <cell r="D77" t="str">
            <v>‭02323076319779‬</v>
          </cell>
          <cell r="E77" t="str">
            <v>Halima Al Shihhi</v>
          </cell>
          <cell r="F77">
            <v>41730</v>
          </cell>
        </row>
        <row r="78">
          <cell r="A78">
            <v>33553</v>
          </cell>
          <cell r="B78" t="str">
            <v>WFC33553</v>
          </cell>
          <cell r="C78">
            <v>5000128</v>
          </cell>
          <cell r="D78" t="str">
            <v>‭02301016343216‬</v>
          </cell>
          <cell r="E78" t="str">
            <v>Hedaya Juma Mohammed Al Kaabi</v>
          </cell>
          <cell r="F78">
            <v>41730</v>
          </cell>
        </row>
        <row r="79">
          <cell r="A79">
            <v>33554</v>
          </cell>
          <cell r="B79" t="str">
            <v>WFC33554</v>
          </cell>
          <cell r="C79">
            <v>5000131</v>
          </cell>
          <cell r="D79" t="str">
            <v>‭02301015452591‬</v>
          </cell>
          <cell r="E79" t="str">
            <v>Kalfan Al Kaabi</v>
          </cell>
          <cell r="F79">
            <v>41730</v>
          </cell>
        </row>
        <row r="80">
          <cell r="A80">
            <v>33555</v>
          </cell>
          <cell r="B80" t="str">
            <v>WFC33555</v>
          </cell>
          <cell r="C80">
            <v>5000136</v>
          </cell>
          <cell r="D80" t="str">
            <v>‭02301016043190‬</v>
          </cell>
          <cell r="E80" t="str">
            <v>Moza Rashid Al Naaimi</v>
          </cell>
          <cell r="F80">
            <v>41730</v>
          </cell>
        </row>
        <row r="81">
          <cell r="A81">
            <v>33557</v>
          </cell>
          <cell r="B81" t="str">
            <v>WFC33557</v>
          </cell>
          <cell r="C81">
            <v>5000171</v>
          </cell>
          <cell r="D81" t="str">
            <v>‭00104128491029‬</v>
          </cell>
          <cell r="E81" t="str">
            <v>Hider Gad Abdelaal</v>
          </cell>
          <cell r="F81">
            <v>41640</v>
          </cell>
        </row>
        <row r="82">
          <cell r="A82">
            <v>33558</v>
          </cell>
          <cell r="B82" t="str">
            <v>WFC33558</v>
          </cell>
          <cell r="C82">
            <v>5000111</v>
          </cell>
          <cell r="D82" t="str">
            <v>‭31602097140827‬</v>
          </cell>
          <cell r="E82" t="str">
            <v>Ganga Giri</v>
          </cell>
          <cell r="F82">
            <v>41640</v>
          </cell>
        </row>
        <row r="83">
          <cell r="A83">
            <v>33559</v>
          </cell>
          <cell r="B83" t="str">
            <v>WFC33559</v>
          </cell>
          <cell r="C83">
            <v>5000169</v>
          </cell>
          <cell r="D83" t="str">
            <v>‭31631108272580‬</v>
          </cell>
          <cell r="E83" t="str">
            <v>Rabin Rai</v>
          </cell>
          <cell r="F83">
            <v>41640</v>
          </cell>
        </row>
        <row r="84">
          <cell r="A84">
            <v>33560</v>
          </cell>
          <cell r="B84" t="str">
            <v>WFC33560</v>
          </cell>
          <cell r="C84">
            <v>5000162</v>
          </cell>
          <cell r="D84" t="str">
            <v>‭31628017747632‬</v>
          </cell>
          <cell r="E84" t="str">
            <v>Prabin Sharma</v>
          </cell>
          <cell r="F84">
            <v>41609</v>
          </cell>
        </row>
        <row r="85">
          <cell r="A85">
            <v>33561</v>
          </cell>
          <cell r="B85" t="str">
            <v>WFC33561</v>
          </cell>
          <cell r="C85">
            <v>5000110</v>
          </cell>
          <cell r="D85" t="str">
            <v>‭31631127610500‬</v>
          </cell>
          <cell r="E85" t="str">
            <v>Sanokaji Dhakal</v>
          </cell>
          <cell r="F85">
            <v>41609</v>
          </cell>
        </row>
        <row r="86">
          <cell r="A86">
            <v>33562</v>
          </cell>
          <cell r="B86" t="str">
            <v>WFC33562</v>
          </cell>
          <cell r="C86">
            <v>5000097</v>
          </cell>
          <cell r="D86" t="str">
            <v>‭30323027294255‬</v>
          </cell>
          <cell r="E86" t="str">
            <v>Wasantha Elvitigala</v>
          </cell>
          <cell r="F86">
            <v>41609</v>
          </cell>
        </row>
        <row r="87">
          <cell r="A87">
            <v>33563</v>
          </cell>
          <cell r="B87" t="str">
            <v>WFC33563</v>
          </cell>
          <cell r="C87">
            <v>5000099</v>
          </cell>
          <cell r="D87" t="str">
            <v>‭30310117387144‬</v>
          </cell>
          <cell r="E87" t="str">
            <v>Meerasaibu Bazeer</v>
          </cell>
          <cell r="F87">
            <v>41609</v>
          </cell>
        </row>
        <row r="88">
          <cell r="A88">
            <v>33564</v>
          </cell>
          <cell r="B88" t="str">
            <v>WFC33564</v>
          </cell>
          <cell r="C88">
            <v>5000122</v>
          </cell>
          <cell r="D88" t="str">
            <v>‭31110127961505‬</v>
          </cell>
          <cell r="E88" t="str">
            <v>Nabi Ghulam Rasol</v>
          </cell>
          <cell r="F88">
            <v>41730</v>
          </cell>
        </row>
        <row r="89">
          <cell r="A89">
            <v>33565</v>
          </cell>
          <cell r="B89" t="str">
            <v>WFC33565</v>
          </cell>
          <cell r="C89">
            <v>5000090</v>
          </cell>
          <cell r="D89" t="str">
            <v>‭31123038130778‬</v>
          </cell>
          <cell r="E89" t="str">
            <v>Rafiq Ullah Rasol</v>
          </cell>
          <cell r="F89">
            <v>41730</v>
          </cell>
        </row>
        <row r="90">
          <cell r="A90">
            <v>33566</v>
          </cell>
          <cell r="B90" t="str">
            <v>WFC33566</v>
          </cell>
          <cell r="C90">
            <v>5000040</v>
          </cell>
          <cell r="D90" t="str">
            <v>‭31101015967981‬</v>
          </cell>
          <cell r="E90" t="str">
            <v>Mohammed Siraj Din</v>
          </cell>
          <cell r="F90">
            <v>41730</v>
          </cell>
        </row>
        <row r="91">
          <cell r="A91">
            <v>33567</v>
          </cell>
          <cell r="B91" t="str">
            <v>WFC33567</v>
          </cell>
          <cell r="C91">
            <v>5000119</v>
          </cell>
          <cell r="D91" t="str">
            <v>‭31101018092166‬</v>
          </cell>
          <cell r="E91" t="str">
            <v>Mohammad Workai Khan</v>
          </cell>
          <cell r="F91">
            <v>41730</v>
          </cell>
        </row>
        <row r="92">
          <cell r="A92">
            <v>33568</v>
          </cell>
          <cell r="B92" t="str">
            <v>WFC33568</v>
          </cell>
          <cell r="C92">
            <v>5000087</v>
          </cell>
          <cell r="D92" t="str">
            <v>‭31130018880281‬</v>
          </cell>
          <cell r="E92" t="str">
            <v>Khaled Walnous</v>
          </cell>
          <cell r="F92">
            <v>41730</v>
          </cell>
        </row>
        <row r="93">
          <cell r="A93">
            <v>33569</v>
          </cell>
          <cell r="B93" t="str">
            <v>WFC33569</v>
          </cell>
          <cell r="C93">
            <v>5000083</v>
          </cell>
          <cell r="D93" t="str">
            <v>‭31101016934958‬</v>
          </cell>
          <cell r="E93" t="str">
            <v>Zaher Gul Rasool</v>
          </cell>
          <cell r="F93">
            <v>41730</v>
          </cell>
        </row>
        <row r="94">
          <cell r="A94">
            <v>33573</v>
          </cell>
          <cell r="B94" t="str">
            <v>WFC33573</v>
          </cell>
          <cell r="C94">
            <v>5000100</v>
          </cell>
          <cell r="D94" t="str">
            <v>‭00130068587567‬</v>
          </cell>
          <cell r="E94" t="str">
            <v>Abdel Halim Abdel Halim Hassan</v>
          </cell>
          <cell r="F94">
            <v>41730</v>
          </cell>
        </row>
        <row r="95">
          <cell r="A95">
            <v>33576</v>
          </cell>
          <cell r="B95" t="str">
            <v>WFC33576</v>
          </cell>
          <cell r="C95">
            <v>5000186</v>
          </cell>
          <cell r="D95" t="str">
            <v>‭40131058971316‬</v>
          </cell>
          <cell r="E95" t="str">
            <v>Wilbard Mosha</v>
          </cell>
          <cell r="F95">
            <v>43093</v>
          </cell>
        </row>
        <row r="96">
          <cell r="A96">
            <v>33577</v>
          </cell>
          <cell r="B96" t="str">
            <v>WFC33577</v>
          </cell>
          <cell r="C96">
            <v>5000173</v>
          </cell>
          <cell r="D96" t="str">
            <v>‭02301057752601‬</v>
          </cell>
          <cell r="E96" t="str">
            <v>Mariam Saeed Saif Alkaabi</v>
          </cell>
          <cell r="F96">
            <v>41730</v>
          </cell>
        </row>
        <row r="97">
          <cell r="A97">
            <v>33578</v>
          </cell>
          <cell r="B97" t="str">
            <v>WFC33578</v>
          </cell>
          <cell r="C97">
            <v>5000101</v>
          </cell>
          <cell r="D97" t="str">
            <v>‭‬</v>
          </cell>
          <cell r="E97" t="str">
            <v>Safi Kadaim</v>
          </cell>
          <cell r="F97">
            <v>41730</v>
          </cell>
        </row>
        <row r="98">
          <cell r="A98">
            <v>33606</v>
          </cell>
          <cell r="B98" t="str">
            <v>WFC33606</v>
          </cell>
          <cell r="C98">
            <v>5000195</v>
          </cell>
          <cell r="D98" t="str">
            <v>‭10024029537147‬</v>
          </cell>
          <cell r="E98" t="str">
            <v>Muhammad Hilal Mullantevida</v>
          </cell>
          <cell r="F98">
            <v>43389</v>
          </cell>
        </row>
        <row r="99">
          <cell r="A99">
            <v>33608</v>
          </cell>
          <cell r="B99" t="str">
            <v>WFC33608</v>
          </cell>
          <cell r="C99">
            <v>5000197</v>
          </cell>
          <cell r="D99" t="str">
            <v>‭20028049364324‬</v>
          </cell>
          <cell r="E99" t="str">
            <v>Muhammad Yasir Muhammad</v>
          </cell>
          <cell r="F99">
            <v>43389</v>
          </cell>
        </row>
        <row r="100">
          <cell r="A100">
            <v>33685</v>
          </cell>
          <cell r="B100" t="str">
            <v>WFC33685</v>
          </cell>
          <cell r="C100">
            <v>5000198</v>
          </cell>
          <cell r="D100" t="str">
            <v>‭10010018977611‬</v>
          </cell>
          <cell r="E100" t="str">
            <v>Manauwar Ray Sadan</v>
          </cell>
          <cell r="F100">
            <v>43389</v>
          </cell>
        </row>
        <row r="101">
          <cell r="A101">
            <v>33687</v>
          </cell>
          <cell r="B101" t="str">
            <v>WFC33687</v>
          </cell>
          <cell r="C101">
            <v>5000201</v>
          </cell>
          <cell r="D101" t="str">
            <v>‭20013029773990‬</v>
          </cell>
          <cell r="E101" t="str">
            <v>Furqan Abid Abid Hussain</v>
          </cell>
          <cell r="F101">
            <v>43403</v>
          </cell>
        </row>
        <row r="102">
          <cell r="A102">
            <v>33688</v>
          </cell>
          <cell r="B102" t="str">
            <v>WFC33688</v>
          </cell>
          <cell r="C102">
            <v>5000202</v>
          </cell>
          <cell r="D102" t="str">
            <v>‭20016058765960‬</v>
          </cell>
          <cell r="E102" t="str">
            <v>Muhammad Asif Abdul Ghafoor</v>
          </cell>
          <cell r="F102">
            <v>43403</v>
          </cell>
        </row>
        <row r="103">
          <cell r="A103">
            <v>33689</v>
          </cell>
          <cell r="B103" t="str">
            <v>WFC33689</v>
          </cell>
          <cell r="C103">
            <v>5000203</v>
          </cell>
          <cell r="D103" t="str">
            <v>‭20002099818712‬</v>
          </cell>
          <cell r="E103" t="str">
            <v>Abdullah Mian Rasool Bakhsh</v>
          </cell>
          <cell r="F103">
            <v>43403</v>
          </cell>
        </row>
        <row r="104">
          <cell r="A104">
            <v>33690</v>
          </cell>
          <cell r="B104" t="str">
            <v>WFC33690</v>
          </cell>
          <cell r="C104">
            <v>5000200</v>
          </cell>
          <cell r="D104" t="str">
            <v>‭20010049179643‬</v>
          </cell>
          <cell r="E104" t="str">
            <v>Tahir Mehamood Meena Gul</v>
          </cell>
          <cell r="F104">
            <v>43397</v>
          </cell>
        </row>
        <row r="105">
          <cell r="A105">
            <v>33691</v>
          </cell>
          <cell r="B105" t="str">
            <v>WFC33691</v>
          </cell>
          <cell r="C105">
            <v>5000205</v>
          </cell>
          <cell r="D105" t="str">
            <v>‭20018058073916‬</v>
          </cell>
          <cell r="E105" t="str">
            <v>Tariq Ali Niaz Muhammad</v>
          </cell>
          <cell r="F105">
            <v>43409</v>
          </cell>
        </row>
        <row r="106">
          <cell r="A106">
            <v>33692</v>
          </cell>
          <cell r="B106" t="str">
            <v>WFC33692</v>
          </cell>
          <cell r="C106">
            <v>5000206</v>
          </cell>
          <cell r="D106" t="str">
            <v>‭20007059220693‬</v>
          </cell>
          <cell r="E106" t="str">
            <v>Muhammad Yaseen Khan</v>
          </cell>
          <cell r="F106">
            <v>43409</v>
          </cell>
        </row>
        <row r="107">
          <cell r="A107">
            <v>33693</v>
          </cell>
          <cell r="B107" t="str">
            <v>WFC33693</v>
          </cell>
          <cell r="C107">
            <v>5000207</v>
          </cell>
          <cell r="D107" t="str">
            <v>‭20002108962844‬</v>
          </cell>
          <cell r="E107" t="str">
            <v>Muhammad attique Muhammad</v>
          </cell>
          <cell r="F107">
            <v>43414</v>
          </cell>
        </row>
        <row r="108">
          <cell r="A108">
            <v>33698</v>
          </cell>
          <cell r="B108" t="str">
            <v>WFC33698</v>
          </cell>
          <cell r="C108">
            <v>5000193</v>
          </cell>
          <cell r="D108" t="str">
            <v>‭20016038749774‬</v>
          </cell>
          <cell r="E108" t="str">
            <v>Ghulam Yasin Allah Wasaya</v>
          </cell>
          <cell r="F108">
            <v>43375</v>
          </cell>
        </row>
        <row r="109">
          <cell r="A109">
            <v>33699</v>
          </cell>
          <cell r="B109" t="str">
            <v>WFC33699</v>
          </cell>
          <cell r="C109">
            <v>5000204</v>
          </cell>
          <cell r="D109" t="str">
            <v>‭20003069520454‬</v>
          </cell>
          <cell r="E109" t="str">
            <v>Basharat Hussain Muhammad</v>
          </cell>
          <cell r="F109">
            <v>43408</v>
          </cell>
        </row>
        <row r="110">
          <cell r="A110">
            <v>33761</v>
          </cell>
          <cell r="B110" t="str">
            <v>WFC33761</v>
          </cell>
          <cell r="C110">
            <v>5000216</v>
          </cell>
          <cell r="D110" t="str">
            <v>‭20001018576989‬</v>
          </cell>
          <cell r="E110" t="str">
            <v>Muhammad Ishaque</v>
          </cell>
          <cell r="F110">
            <v>43451</v>
          </cell>
        </row>
        <row r="111">
          <cell r="A111">
            <v>33762</v>
          </cell>
          <cell r="B111" t="str">
            <v>WFC33762</v>
          </cell>
          <cell r="C111">
            <v>5000217</v>
          </cell>
          <cell r="D111" t="str">
            <v>‭20001099669165‬</v>
          </cell>
          <cell r="E111" t="str">
            <v>Hasnat Mehmood</v>
          </cell>
          <cell r="F111">
            <v>43451</v>
          </cell>
        </row>
        <row r="112">
          <cell r="A112">
            <v>33778</v>
          </cell>
          <cell r="B112" t="str">
            <v>WFC33778</v>
          </cell>
          <cell r="C112">
            <v>5000208</v>
          </cell>
          <cell r="D112" t="str">
            <v>‭20011060068905‬</v>
          </cell>
          <cell r="E112" t="str">
            <v>Abdul Salam Allah Bakhsh</v>
          </cell>
          <cell r="F112">
            <v>43446</v>
          </cell>
        </row>
        <row r="113">
          <cell r="A113">
            <v>33781</v>
          </cell>
          <cell r="B113" t="str">
            <v>WFC33781</v>
          </cell>
          <cell r="C113">
            <v>5000209</v>
          </cell>
          <cell r="D113" t="str">
            <v>‭40605059279510‬</v>
          </cell>
          <cell r="E113" t="str">
            <v>Swaibu Mutyaba</v>
          </cell>
          <cell r="F113">
            <v>43416</v>
          </cell>
        </row>
        <row r="114">
          <cell r="A114">
            <v>33783</v>
          </cell>
          <cell r="B114" t="str">
            <v>WFC33783</v>
          </cell>
          <cell r="C114">
            <v>5000219</v>
          </cell>
          <cell r="D114" t="str">
            <v>‭40102079178791‬</v>
          </cell>
          <cell r="E114" t="str">
            <v>Mahmud Ally Mbaruku</v>
          </cell>
          <cell r="F114">
            <v>43457</v>
          </cell>
        </row>
        <row r="115">
          <cell r="A115">
            <v>33785</v>
          </cell>
          <cell r="B115" t="str">
            <v>WFC33785</v>
          </cell>
          <cell r="C115">
            <v>5000222</v>
          </cell>
          <cell r="D115" t="str">
            <v>‭20031079268818‬</v>
          </cell>
          <cell r="E115" t="str">
            <v>Dildar Abbas Fiaz Ahmed</v>
          </cell>
          <cell r="F115">
            <v>43457</v>
          </cell>
        </row>
        <row r="116">
          <cell r="A116">
            <v>33789</v>
          </cell>
          <cell r="B116" t="str">
            <v>WFC33789</v>
          </cell>
          <cell r="C116">
            <v>5000218</v>
          </cell>
          <cell r="D116" t="str">
            <v>‭40106019078724‬</v>
          </cell>
          <cell r="E116" t="str">
            <v>Omar Mussa</v>
          </cell>
          <cell r="F116">
            <v>43457</v>
          </cell>
        </row>
        <row r="117">
          <cell r="A117">
            <v>33790</v>
          </cell>
          <cell r="B117" t="str">
            <v>WFC33790</v>
          </cell>
          <cell r="C117">
            <v>5000220</v>
          </cell>
          <cell r="D117" t="str">
            <v>‭40114099078625‬</v>
          </cell>
          <cell r="E117" t="str">
            <v>Mbaraka Kanyika</v>
          </cell>
          <cell r="F117">
            <v>43457</v>
          </cell>
        </row>
        <row r="118">
          <cell r="A118">
            <v>33791</v>
          </cell>
          <cell r="B118" t="str">
            <v>WFC33791</v>
          </cell>
          <cell r="C118">
            <v>5000223</v>
          </cell>
          <cell r="D118" t="str">
            <v>‭20001018568941‬</v>
          </cell>
          <cell r="E118" t="str">
            <v>Rahin Ullah Khan</v>
          </cell>
          <cell r="F118">
            <v>43460</v>
          </cell>
        </row>
        <row r="119">
          <cell r="A119">
            <v>33792</v>
          </cell>
          <cell r="B119" t="str">
            <v>WFC33792</v>
          </cell>
          <cell r="C119">
            <v>5000221</v>
          </cell>
          <cell r="D119" t="str">
            <v>‭40130058978598‬</v>
          </cell>
          <cell r="E119" t="str">
            <v>Abdi Kombo Rashid</v>
          </cell>
          <cell r="F119">
            <v>43457</v>
          </cell>
        </row>
        <row r="120">
          <cell r="A120">
            <v>33951</v>
          </cell>
          <cell r="B120" t="str">
            <v>WFC33951</v>
          </cell>
          <cell r="C120">
            <v>5000229</v>
          </cell>
          <cell r="D120" t="str">
            <v>‭10015047365606‬</v>
          </cell>
          <cell r="E120" t="str">
            <v>Kiyastheen Dheen Mani</v>
          </cell>
          <cell r="F120">
            <v>43506</v>
          </cell>
        </row>
        <row r="121">
          <cell r="A121">
            <v>34139</v>
          </cell>
          <cell r="B121" t="str">
            <v>WFC34139</v>
          </cell>
          <cell r="C121">
            <v>5000231</v>
          </cell>
          <cell r="D121" t="str">
            <v>‭10024089450574‬</v>
          </cell>
          <cell r="E121" t="str">
            <v>Sidharth Mohanan Dev</v>
          </cell>
          <cell r="F121">
            <v>43520</v>
          </cell>
        </row>
        <row r="122">
          <cell r="A122">
            <v>34145</v>
          </cell>
          <cell r="B122" t="str">
            <v>WFC34145</v>
          </cell>
          <cell r="C122">
            <v>5000232</v>
          </cell>
          <cell r="D122" t="str">
            <v>‭31625108423649‬</v>
          </cell>
          <cell r="E122" t="str">
            <v>Hari Dangol</v>
          </cell>
          <cell r="F122">
            <v>43563</v>
          </cell>
        </row>
        <row r="123">
          <cell r="A123">
            <v>34253</v>
          </cell>
          <cell r="B123" t="str">
            <v>WFC34253</v>
          </cell>
          <cell r="C123">
            <v>5000233</v>
          </cell>
          <cell r="D123" t="str">
            <v>‭20004059442642‬</v>
          </cell>
          <cell r="E123" t="str">
            <v>Muhammad Naeem Abdul Hameed</v>
          </cell>
          <cell r="F123">
            <v>43573</v>
          </cell>
        </row>
        <row r="124">
          <cell r="A124">
            <v>34274</v>
          </cell>
          <cell r="B124" t="str">
            <v>WFC34274</v>
          </cell>
          <cell r="C124">
            <v>5000234</v>
          </cell>
          <cell r="D124" t="str">
            <v>‭00119099412408‬</v>
          </cell>
          <cell r="E124" t="str">
            <v>Mansour Elsayed</v>
          </cell>
          <cell r="F124">
            <v>43598</v>
          </cell>
        </row>
        <row r="125">
          <cell r="A125">
            <v>34404</v>
          </cell>
          <cell r="B125" t="str">
            <v>WFC34404</v>
          </cell>
          <cell r="C125">
            <v>5000235</v>
          </cell>
          <cell r="D125" t="str">
            <v>‭20001018521654‬</v>
          </cell>
          <cell r="E125" t="str">
            <v>Abdul Salam Abdul Khaliq</v>
          </cell>
          <cell r="F125">
            <v>43608</v>
          </cell>
        </row>
        <row r="126">
          <cell r="A126">
            <v>34405</v>
          </cell>
          <cell r="B126" t="str">
            <v>WFC34405</v>
          </cell>
          <cell r="C126">
            <v>5000236</v>
          </cell>
          <cell r="D126" t="str">
            <v>‭20010077839480‬</v>
          </cell>
          <cell r="E126" t="str">
            <v>Muhammad Shakeel Ghulam Rasool</v>
          </cell>
          <cell r="F126">
            <v>43611</v>
          </cell>
        </row>
        <row r="127">
          <cell r="A127">
            <v>34430</v>
          </cell>
          <cell r="B127" t="str">
            <v>WFC34430</v>
          </cell>
          <cell r="C127">
            <v>5000237</v>
          </cell>
          <cell r="D127" t="str">
            <v>‭20001018387483‬</v>
          </cell>
          <cell r="E127" t="str">
            <v>Bismillah Jan Gul Ahmed</v>
          </cell>
          <cell r="F127">
            <v>43632</v>
          </cell>
        </row>
        <row r="128">
          <cell r="A128">
            <v>34442</v>
          </cell>
          <cell r="B128" t="str">
            <v>WFC34442</v>
          </cell>
          <cell r="C128">
            <v>5000238</v>
          </cell>
          <cell r="D128" t="str">
            <v>‭20010017821563‬</v>
          </cell>
          <cell r="E128" t="str">
            <v>Habib Ullah Dost Muhammad</v>
          </cell>
          <cell r="F128">
            <v>43635</v>
          </cell>
        </row>
        <row r="129">
          <cell r="A129">
            <v>34483</v>
          </cell>
          <cell r="B129" t="str">
            <v>WFC34483</v>
          </cell>
          <cell r="C129">
            <v>5000239</v>
          </cell>
          <cell r="D129" t="str">
            <v>‭20015088856470‬</v>
          </cell>
          <cell r="E129" t="str">
            <v>Kashif Muhamad Akram</v>
          </cell>
          <cell r="F129">
            <v>43648</v>
          </cell>
        </row>
        <row r="130">
          <cell r="A130">
            <v>34492</v>
          </cell>
          <cell r="B130" t="str">
            <v>WFC34492</v>
          </cell>
          <cell r="C130">
            <v>5000240</v>
          </cell>
          <cell r="D130" t="str">
            <v>‭00130077544980‬</v>
          </cell>
          <cell r="E130" t="str">
            <v>Badr Gomaa Abdou Mohamed</v>
          </cell>
          <cell r="F130">
            <v>43650</v>
          </cell>
        </row>
        <row r="131">
          <cell r="A131">
            <v>34502</v>
          </cell>
          <cell r="B131" t="str">
            <v>WFC34502</v>
          </cell>
          <cell r="C131">
            <v>5000241</v>
          </cell>
          <cell r="D131" t="str">
            <v>‭20019108656432‬</v>
          </cell>
          <cell r="E131" t="str">
            <v>Jan Akbar Abdul Akbar Khatak</v>
          </cell>
          <cell r="F131">
            <v>43653</v>
          </cell>
        </row>
        <row r="132">
          <cell r="A132">
            <v>34562</v>
          </cell>
          <cell r="B132" t="str">
            <v>WFC34562</v>
          </cell>
          <cell r="C132">
            <v>5000242</v>
          </cell>
          <cell r="D132" t="str">
            <v>‭20001017833928‬</v>
          </cell>
          <cell r="E132" t="str">
            <v>Jasem Khan Khan</v>
          </cell>
          <cell r="F132">
            <v>43662</v>
          </cell>
        </row>
        <row r="133">
          <cell r="A133">
            <v>34669</v>
          </cell>
          <cell r="B133" t="str">
            <v>WFC34669</v>
          </cell>
          <cell r="C133">
            <v>5000243</v>
          </cell>
          <cell r="D133" t="str">
            <v>‭20008089455454‬</v>
          </cell>
          <cell r="E133" t="str">
            <v>Mohsin Haq Nawaz</v>
          </cell>
          <cell r="F133">
            <v>43681</v>
          </cell>
        </row>
        <row r="134">
          <cell r="A134">
            <v>35783</v>
          </cell>
          <cell r="B134" t="str">
            <v>WFC35783</v>
          </cell>
          <cell r="C134">
            <v>5000245</v>
          </cell>
          <cell r="D134" t="str">
            <v>‭20029109719767‬</v>
          </cell>
          <cell r="E134" t="str">
            <v>Avais Muhammad Naseem</v>
          </cell>
          <cell r="F134">
            <v>43859</v>
          </cell>
        </row>
        <row r="135">
          <cell r="A135">
            <v>35839</v>
          </cell>
          <cell r="B135" t="str">
            <v>WFC35839</v>
          </cell>
          <cell r="C135">
            <v>5000247</v>
          </cell>
          <cell r="D135" t="str">
            <v>‭20030100148772‬</v>
          </cell>
          <cell r="E135" t="str">
            <v>Shahbaz Saghir Khokhar</v>
          </cell>
          <cell r="F135">
            <v>43873</v>
          </cell>
        </row>
        <row r="136">
          <cell r="A136">
            <v>35840</v>
          </cell>
          <cell r="B136" t="str">
            <v>WFC35840</v>
          </cell>
          <cell r="C136">
            <v>5000248</v>
          </cell>
          <cell r="D136" t="str">
            <v>‭40102038411281‬</v>
          </cell>
          <cell r="E136" t="str">
            <v>Kombo Othman Juma</v>
          </cell>
          <cell r="F136">
            <v>43877</v>
          </cell>
        </row>
        <row r="137">
          <cell r="A137">
            <v>36231</v>
          </cell>
          <cell r="B137" t="str">
            <v>WFC36231</v>
          </cell>
          <cell r="C137">
            <v>5000250</v>
          </cell>
          <cell r="D137" t="str">
            <v>‭10018058190929‬</v>
          </cell>
          <cell r="E137" t="str">
            <v>Ashraf Peringalam</v>
          </cell>
          <cell r="F137">
            <v>43955</v>
          </cell>
        </row>
        <row r="138">
          <cell r="A138">
            <v>37667</v>
          </cell>
          <cell r="B138" t="str">
            <v>WFC37667</v>
          </cell>
          <cell r="C138">
            <v>5000251</v>
          </cell>
          <cell r="D138" t="str">
            <v>‭20001019221825‬</v>
          </cell>
          <cell r="E138" t="str">
            <v>Sahib Noor Din Rasoola</v>
          </cell>
          <cell r="F138">
            <v>44170</v>
          </cell>
        </row>
        <row r="139">
          <cell r="A139">
            <v>43631</v>
          </cell>
          <cell r="B139" t="str">
            <v>WFC43631</v>
          </cell>
          <cell r="C139">
            <v>5000252</v>
          </cell>
          <cell r="D139" t="str">
            <v>‭10028118352402‬</v>
          </cell>
          <cell r="E139" t="str">
            <v>Mohammed Irfan Sarkhel</v>
          </cell>
          <cell r="F139">
            <v>44670</v>
          </cell>
        </row>
        <row r="140">
          <cell r="A140">
            <v>43632</v>
          </cell>
          <cell r="B140" t="str">
            <v>WFC43632</v>
          </cell>
          <cell r="C140">
            <v>5000253</v>
          </cell>
          <cell r="D140" t="str">
            <v>‭10024067940616‬</v>
          </cell>
          <cell r="E140" t="str">
            <v>Mohammed Nasir Nasir Ahmed</v>
          </cell>
          <cell r="F140">
            <v>44670</v>
          </cell>
        </row>
        <row r="141">
          <cell r="A141">
            <v>43722</v>
          </cell>
          <cell r="B141" t="str">
            <v>WFC43722</v>
          </cell>
          <cell r="C141">
            <v>5000254</v>
          </cell>
          <cell r="D141" t="str">
            <v>‭20011099227277‬</v>
          </cell>
          <cell r="E141" t="str">
            <v>Muhammad Mustafa</v>
          </cell>
          <cell r="F141">
            <v>44691</v>
          </cell>
        </row>
        <row r="142">
          <cell r="A142">
            <v>43835</v>
          </cell>
          <cell r="B142" t="str">
            <v>WFC43835</v>
          </cell>
          <cell r="C142">
            <v>5000255</v>
          </cell>
          <cell r="D142" t="str">
            <v>‭10018057807441‬</v>
          </cell>
          <cell r="E142" t="str">
            <v>Binu Kaiplackal Podimon</v>
          </cell>
          <cell r="F142">
            <v>44705</v>
          </cell>
        </row>
        <row r="143">
          <cell r="A143">
            <v>44077</v>
          </cell>
          <cell r="B143" t="str">
            <v>WFC44077</v>
          </cell>
          <cell r="C143">
            <v>5000256</v>
          </cell>
          <cell r="D143" t="str">
            <v>‭20001018181660‬</v>
          </cell>
          <cell r="E143" t="str">
            <v>Gul Khaniaz</v>
          </cell>
          <cell r="F143">
            <v>44726</v>
          </cell>
        </row>
        <row r="144">
          <cell r="A144">
            <v>44129</v>
          </cell>
          <cell r="B144" t="str">
            <v>WFC44129</v>
          </cell>
          <cell r="C144">
            <v>5000257</v>
          </cell>
          <cell r="D144" t="str">
            <v>‭31608129845596‬</v>
          </cell>
          <cell r="E144" t="str">
            <v>Anish Dhakal</v>
          </cell>
          <cell r="F144">
            <v>44727</v>
          </cell>
        </row>
        <row r="145">
          <cell r="A145">
            <v>44260</v>
          </cell>
          <cell r="B145" t="str">
            <v>WFC44260</v>
          </cell>
          <cell r="C145">
            <v>5000258</v>
          </cell>
          <cell r="D145" t="str">
            <v>‭31613048827053‬</v>
          </cell>
          <cell r="E145" t="str">
            <v>Amar Rana</v>
          </cell>
          <cell r="F145">
            <v>44749</v>
          </cell>
        </row>
        <row r="146">
          <cell r="A146">
            <v>44265</v>
          </cell>
          <cell r="B146" t="str">
            <v>WFC44265</v>
          </cell>
          <cell r="C146">
            <v>5000259</v>
          </cell>
          <cell r="D146" t="str">
            <v>‭20002030347075‬</v>
          </cell>
          <cell r="E146" t="str">
            <v>Muhammad Salam</v>
          </cell>
          <cell r="F146">
            <v>44749</v>
          </cell>
        </row>
        <row r="147">
          <cell r="A147">
            <v>44350</v>
          </cell>
          <cell r="B147" t="str">
            <v>WFC44350</v>
          </cell>
          <cell r="C147">
            <v>5000260</v>
          </cell>
          <cell r="D147" t="str">
            <v>‭20010010079796‬</v>
          </cell>
          <cell r="E147" t="str">
            <v>Shahzad Sagheer Khokhar</v>
          </cell>
          <cell r="F147">
            <v>44756</v>
          </cell>
        </row>
        <row r="148">
          <cell r="A148">
            <v>44357</v>
          </cell>
          <cell r="B148" t="str">
            <v>WFC44357</v>
          </cell>
          <cell r="C148">
            <v>5000261</v>
          </cell>
          <cell r="D148" t="str">
            <v>‭00115039058249‬</v>
          </cell>
          <cell r="E148" t="str">
            <v>Mahmoud Shaaban Gad Abdelaal</v>
          </cell>
          <cell r="F148">
            <v>44760</v>
          </cell>
        </row>
        <row r="149">
          <cell r="A149">
            <v>44372</v>
          </cell>
          <cell r="B149" t="str">
            <v>WFC44372</v>
          </cell>
          <cell r="C149">
            <v>5000262</v>
          </cell>
          <cell r="D149" t="str">
            <v>‭40125129146597‬</v>
          </cell>
          <cell r="E149" t="str">
            <v>Salim Ali Hassan</v>
          </cell>
          <cell r="F149">
            <v>44760</v>
          </cell>
        </row>
        <row r="150">
          <cell r="A150">
            <v>47257</v>
          </cell>
          <cell r="B150" t="str">
            <v>WFC47257</v>
          </cell>
          <cell r="C150">
            <v>5000263</v>
          </cell>
          <cell r="D150" t="str">
            <v>‭20001010355493‬</v>
          </cell>
          <cell r="E150" t="str">
            <v>Niaz Muhammad</v>
          </cell>
          <cell r="F150">
            <v>45170</v>
          </cell>
        </row>
        <row r="151">
          <cell r="A151" t="str">
            <v>Total</v>
          </cell>
          <cell r="B151"/>
          <cell r="C151"/>
          <cell r="D151"/>
          <cell r="E151"/>
          <cell r="F151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CD4E-94A7-40A2-BCA7-4CC8A8CE4408}">
  <sheetPr>
    <pageSetUpPr fitToPage="1"/>
  </sheetPr>
  <dimension ref="A1:AH163"/>
  <sheetViews>
    <sheetView tabSelected="1" topLeftCell="H106" zoomScale="85" zoomScaleNormal="85" workbookViewId="0">
      <selection activeCell="K151" sqref="K151:L151"/>
    </sheetView>
  </sheetViews>
  <sheetFormatPr defaultRowHeight="15" x14ac:dyDescent="0.25"/>
  <cols>
    <col min="1" max="1" width="12.7109375" style="5" bestFit="1" customWidth="1"/>
    <col min="2" max="2" width="12.7109375" style="5" customWidth="1"/>
    <col min="3" max="3" width="11.5703125" customWidth="1"/>
    <col min="4" max="4" width="10" bestFit="1" customWidth="1"/>
    <col min="5" max="5" width="10.7109375" bestFit="1" customWidth="1"/>
    <col min="6" max="6" width="33.85546875" bestFit="1" customWidth="1"/>
    <col min="7" max="7" width="27.28515625" bestFit="1" customWidth="1"/>
    <col min="8" max="8" width="10.7109375" bestFit="1" customWidth="1"/>
    <col min="9" max="9" width="11.7109375" bestFit="1" customWidth="1"/>
    <col min="10" max="10" width="12.85546875" customWidth="1"/>
    <col min="11" max="11" width="14.28515625" style="5" bestFit="1" customWidth="1"/>
    <col min="12" max="12" width="20.7109375" bestFit="1" customWidth="1"/>
    <col min="13" max="13" width="12" style="5" bestFit="1" customWidth="1"/>
    <col min="14" max="14" width="13.5703125" bestFit="1" customWidth="1"/>
    <col min="15" max="15" width="13.5703125" customWidth="1"/>
    <col min="16" max="16" width="15.85546875" customWidth="1"/>
    <col min="17" max="17" width="11.5703125" bestFit="1" customWidth="1"/>
    <col min="18" max="19" width="14.42578125" customWidth="1"/>
    <col min="20" max="20" width="18.140625" bestFit="1" customWidth="1"/>
    <col min="21" max="21" width="33.7109375" customWidth="1"/>
    <col min="22" max="22" width="30.5703125" bestFit="1" customWidth="1"/>
    <col min="23" max="23" width="30.7109375" customWidth="1"/>
    <col min="24" max="24" width="16.140625" bestFit="1" customWidth="1"/>
    <col min="25" max="25" width="20.7109375" bestFit="1" customWidth="1"/>
    <col min="27" max="27" width="12.140625" bestFit="1" customWidth="1"/>
    <col min="28" max="28" width="10.85546875" bestFit="1" customWidth="1"/>
    <col min="29" max="30" width="12.140625" bestFit="1" customWidth="1"/>
    <col min="31" max="31" width="11.5703125" bestFit="1" customWidth="1"/>
    <col min="32" max="32" width="12.140625" bestFit="1" customWidth="1"/>
    <col min="33" max="33" width="9.42578125" bestFit="1" customWidth="1"/>
  </cols>
  <sheetData>
    <row r="1" spans="1:33" ht="24" customHeight="1" x14ac:dyDescent="0.25">
      <c r="A1" s="1" t="s">
        <v>0</v>
      </c>
      <c r="B1" s="2">
        <v>45931</v>
      </c>
      <c r="C1" s="3"/>
      <c r="D1" s="4" t="s">
        <v>1</v>
      </c>
      <c r="J1" s="5"/>
      <c r="K1"/>
      <c r="L1" s="5"/>
      <c r="M1"/>
    </row>
    <row r="2" spans="1:33" x14ac:dyDescent="0.25">
      <c r="A2" s="1" t="s">
        <v>2</v>
      </c>
      <c r="B2" s="6">
        <v>45931</v>
      </c>
      <c r="C2" s="6">
        <v>45961</v>
      </c>
      <c r="D2" s="7">
        <v>30</v>
      </c>
      <c r="J2" s="5"/>
      <c r="K2"/>
      <c r="L2" s="5"/>
      <c r="M2"/>
    </row>
    <row r="3" spans="1:33" ht="15.75" thickBot="1" x14ac:dyDescent="0.3">
      <c r="A3" s="8" t="s">
        <v>3</v>
      </c>
      <c r="B3" s="161">
        <f>C2-B2+1</f>
        <v>31</v>
      </c>
      <c r="C3" s="162"/>
      <c r="D3" s="9"/>
      <c r="J3" s="5"/>
      <c r="K3"/>
      <c r="L3" s="5"/>
      <c r="M3"/>
    </row>
    <row r="4" spans="1:33" s="16" customFormat="1" ht="27" customHeight="1" thickBot="1" x14ac:dyDescent="0.35">
      <c r="A4" s="10" t="s">
        <v>4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2"/>
      <c r="O4" s="12"/>
      <c r="P4" s="12"/>
      <c r="Q4" s="12"/>
      <c r="R4" s="12"/>
      <c r="S4" s="12"/>
      <c r="T4" s="14"/>
      <c r="U4" s="15"/>
      <c r="V4" s="14"/>
      <c r="W4" s="14"/>
      <c r="X4" s="15"/>
      <c r="Y4" s="15"/>
    </row>
    <row r="5" spans="1:33" s="16" customFormat="1" ht="18.75" x14ac:dyDescent="0.3">
      <c r="A5" s="163" t="s">
        <v>5</v>
      </c>
      <c r="B5" s="165" t="s">
        <v>6</v>
      </c>
      <c r="C5" s="158" t="s">
        <v>7</v>
      </c>
      <c r="D5" s="158" t="s">
        <v>8</v>
      </c>
      <c r="E5" s="158" t="s">
        <v>9</v>
      </c>
      <c r="F5" s="158" t="s">
        <v>10</v>
      </c>
      <c r="G5" s="158" t="s">
        <v>11</v>
      </c>
      <c r="H5" s="158" t="s">
        <v>12</v>
      </c>
      <c r="I5" s="158" t="s">
        <v>13</v>
      </c>
      <c r="J5" s="158" t="s">
        <v>14</v>
      </c>
      <c r="K5" s="158" t="s">
        <v>15</v>
      </c>
      <c r="L5" s="158" t="s">
        <v>16</v>
      </c>
      <c r="M5" s="158" t="s">
        <v>17</v>
      </c>
      <c r="N5" s="17" t="s">
        <v>18</v>
      </c>
      <c r="O5" s="18"/>
      <c r="P5" s="167" t="s">
        <v>19</v>
      </c>
      <c r="Q5" s="168"/>
      <c r="R5" s="168"/>
      <c r="S5" s="19"/>
      <c r="T5" s="169" t="s">
        <v>20</v>
      </c>
      <c r="U5" s="20"/>
      <c r="V5" s="21"/>
      <c r="W5" s="21"/>
      <c r="X5" s="22"/>
      <c r="Y5" s="22"/>
      <c r="AA5" s="160" t="s">
        <v>254</v>
      </c>
      <c r="AB5" s="160"/>
      <c r="AC5" s="160"/>
      <c r="AD5" s="160"/>
      <c r="AE5" s="160"/>
      <c r="AF5" s="160"/>
      <c r="AG5" s="146"/>
    </row>
    <row r="6" spans="1:33" s="27" customFormat="1" ht="60.75" thickBot="1" x14ac:dyDescent="0.3">
      <c r="A6" s="164"/>
      <c r="B6" s="166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24" t="s">
        <v>21</v>
      </c>
      <c r="O6" s="23" t="s">
        <v>22</v>
      </c>
      <c r="P6" s="23" t="s">
        <v>23</v>
      </c>
      <c r="Q6" s="23" t="s">
        <v>24</v>
      </c>
      <c r="R6" s="23" t="s">
        <v>25</v>
      </c>
      <c r="S6" s="23" t="s">
        <v>26</v>
      </c>
      <c r="T6" s="170"/>
      <c r="U6" s="25" t="s">
        <v>27</v>
      </c>
      <c r="V6" s="23" t="s">
        <v>28</v>
      </c>
      <c r="W6" s="23" t="s">
        <v>29</v>
      </c>
      <c r="X6" s="26" t="s">
        <v>30</v>
      </c>
      <c r="Y6" s="26" t="s">
        <v>27</v>
      </c>
      <c r="AA6" s="147" t="s">
        <v>255</v>
      </c>
      <c r="AB6" s="147" t="s">
        <v>256</v>
      </c>
      <c r="AC6" s="147" t="s">
        <v>257</v>
      </c>
      <c r="AD6" s="148" t="s">
        <v>258</v>
      </c>
      <c r="AE6" s="148" t="s">
        <v>259</v>
      </c>
      <c r="AF6" s="148" t="s">
        <v>260</v>
      </c>
      <c r="AG6" s="149" t="s">
        <v>261</v>
      </c>
    </row>
    <row r="7" spans="1:33" s="44" customFormat="1" ht="15.75" x14ac:dyDescent="0.25">
      <c r="A7" s="28">
        <v>1</v>
      </c>
      <c r="B7" s="29" t="s">
        <v>31</v>
      </c>
      <c r="C7" s="30">
        <v>50120</v>
      </c>
      <c r="D7" s="31">
        <v>33461</v>
      </c>
      <c r="E7" s="31">
        <v>27864</v>
      </c>
      <c r="F7" s="32" t="s">
        <v>32</v>
      </c>
      <c r="G7" s="33" t="s">
        <v>33</v>
      </c>
      <c r="H7" s="34">
        <f>VLOOKUP(D7,[2]PG_Payroll_Run_Report__Shared__!$A$6:$F$151,6,FALSE)</f>
        <v>41640</v>
      </c>
      <c r="I7" s="35">
        <v>1200</v>
      </c>
      <c r="J7" s="35">
        <v>1160</v>
      </c>
      <c r="K7" s="36">
        <f t="shared" ref="K7:K70" si="0">SUM(I7:J7)</f>
        <v>2360</v>
      </c>
      <c r="L7" s="35"/>
      <c r="M7" s="37">
        <v>30</v>
      </c>
      <c r="N7" s="38">
        <f t="shared" ref="N7:N70" si="1">K7/$D$2*M7+L7</f>
        <v>2360</v>
      </c>
      <c r="O7" s="38"/>
      <c r="P7" s="35"/>
      <c r="Q7" s="35"/>
      <c r="R7" s="35"/>
      <c r="S7" s="39"/>
      <c r="T7" s="38">
        <f>ROUND(SUM(N7:S7),0)</f>
        <v>2360</v>
      </c>
      <c r="U7" s="40"/>
      <c r="V7" s="41" t="s">
        <v>34</v>
      </c>
      <c r="W7" s="42" t="s">
        <v>262</v>
      </c>
      <c r="X7" s="43" t="s">
        <v>35</v>
      </c>
      <c r="Y7" s="43" t="s">
        <v>36</v>
      </c>
      <c r="AA7" s="150">
        <v>2360</v>
      </c>
      <c r="AB7" s="150">
        <v>0</v>
      </c>
      <c r="AC7" s="150">
        <v>2360</v>
      </c>
      <c r="AD7" s="150">
        <v>2360</v>
      </c>
      <c r="AE7" s="150">
        <v>0</v>
      </c>
      <c r="AF7" s="150">
        <v>2360</v>
      </c>
      <c r="AG7" s="150">
        <v>0</v>
      </c>
    </row>
    <row r="8" spans="1:33" s="44" customFormat="1" ht="15.75" x14ac:dyDescent="0.25">
      <c r="A8" s="45">
        <v>2</v>
      </c>
      <c r="B8" s="29" t="s">
        <v>31</v>
      </c>
      <c r="C8" s="46">
        <v>50124</v>
      </c>
      <c r="D8" s="45">
        <v>33462</v>
      </c>
      <c r="E8" s="45">
        <v>27865</v>
      </c>
      <c r="F8" s="47" t="s">
        <v>37</v>
      </c>
      <c r="G8" s="48" t="s">
        <v>33</v>
      </c>
      <c r="H8" s="49">
        <f>VLOOKUP(D8,[2]PG_Payroll_Run_Report__Shared__!$A$6:$F$151,6,FALSE)</f>
        <v>41640</v>
      </c>
      <c r="I8" s="50">
        <v>1200</v>
      </c>
      <c r="J8" s="50">
        <v>1160</v>
      </c>
      <c r="K8" s="51">
        <f t="shared" si="0"/>
        <v>2360</v>
      </c>
      <c r="L8" s="50"/>
      <c r="M8" s="52">
        <v>30</v>
      </c>
      <c r="N8" s="38">
        <f t="shared" si="1"/>
        <v>2360</v>
      </c>
      <c r="O8" s="50"/>
      <c r="P8" s="50"/>
      <c r="Q8" s="50"/>
      <c r="R8" s="50"/>
      <c r="S8" s="53"/>
      <c r="T8" s="38">
        <f t="shared" ref="T8:T71" si="2">ROUND(SUM(N8:S8),0)</f>
        <v>2360</v>
      </c>
      <c r="U8" s="40"/>
      <c r="V8" s="54" t="s">
        <v>34</v>
      </c>
      <c r="W8" s="55" t="s">
        <v>263</v>
      </c>
      <c r="X8" s="56" t="s">
        <v>35</v>
      </c>
      <c r="Y8" s="56" t="s">
        <v>36</v>
      </c>
      <c r="AA8" s="150">
        <v>2360</v>
      </c>
      <c r="AB8" s="150">
        <v>0</v>
      </c>
      <c r="AC8" s="150">
        <v>2360</v>
      </c>
      <c r="AD8" s="150">
        <v>2360</v>
      </c>
      <c r="AE8" s="150">
        <v>0</v>
      </c>
      <c r="AF8" s="150">
        <v>2360</v>
      </c>
      <c r="AG8" s="150">
        <v>0</v>
      </c>
    </row>
    <row r="9" spans="1:33" s="44" customFormat="1" ht="15.75" x14ac:dyDescent="0.25">
      <c r="A9" s="45">
        <v>3</v>
      </c>
      <c r="B9" s="29" t="s">
        <v>31</v>
      </c>
      <c r="C9" s="46">
        <v>50153</v>
      </c>
      <c r="D9" s="45">
        <v>33487</v>
      </c>
      <c r="E9" s="45">
        <v>27872</v>
      </c>
      <c r="F9" s="47" t="s">
        <v>38</v>
      </c>
      <c r="G9" s="48" t="s">
        <v>33</v>
      </c>
      <c r="H9" s="49">
        <f>VLOOKUP(D9,[2]PG_Payroll_Run_Report__Shared__!$A$6:$F$151,6,FALSE)</f>
        <v>41609</v>
      </c>
      <c r="I9" s="50">
        <v>1200</v>
      </c>
      <c r="J9" s="50">
        <v>1160</v>
      </c>
      <c r="K9" s="51">
        <f t="shared" si="0"/>
        <v>2360</v>
      </c>
      <c r="L9" s="50"/>
      <c r="M9" s="52">
        <v>30</v>
      </c>
      <c r="N9" s="38">
        <f t="shared" si="1"/>
        <v>2360</v>
      </c>
      <c r="O9" s="50"/>
      <c r="P9" s="50"/>
      <c r="Q9" s="50"/>
      <c r="R9" s="50"/>
      <c r="S9" s="57"/>
      <c r="T9" s="38">
        <f t="shared" si="2"/>
        <v>2360</v>
      </c>
      <c r="U9" s="40"/>
      <c r="V9" s="54" t="s">
        <v>34</v>
      </c>
      <c r="W9" s="55" t="s">
        <v>264</v>
      </c>
      <c r="X9" s="56" t="s">
        <v>35</v>
      </c>
      <c r="Y9" s="56" t="s">
        <v>36</v>
      </c>
      <c r="AA9" s="150">
        <v>2360</v>
      </c>
      <c r="AB9" s="150">
        <v>0</v>
      </c>
      <c r="AC9" s="150">
        <v>2360</v>
      </c>
      <c r="AD9" s="150">
        <v>2360</v>
      </c>
      <c r="AE9" s="150">
        <v>0</v>
      </c>
      <c r="AF9" s="150">
        <v>2360</v>
      </c>
      <c r="AG9" s="150">
        <v>0</v>
      </c>
    </row>
    <row r="10" spans="1:33" s="44" customFormat="1" ht="31.5" x14ac:dyDescent="0.25">
      <c r="A10" s="45">
        <v>4</v>
      </c>
      <c r="B10" s="29" t="s">
        <v>31</v>
      </c>
      <c r="C10" s="46">
        <v>50261</v>
      </c>
      <c r="D10" s="45">
        <v>44357</v>
      </c>
      <c r="E10" s="45">
        <v>27964</v>
      </c>
      <c r="F10" s="47" t="s">
        <v>39</v>
      </c>
      <c r="G10" s="48" t="s">
        <v>40</v>
      </c>
      <c r="H10" s="49">
        <f>VLOOKUP(D10,[2]PG_Payroll_Run_Report__Shared__!$A$6:$F$151,6,FALSE)</f>
        <v>44760</v>
      </c>
      <c r="I10" s="50">
        <v>1200</v>
      </c>
      <c r="J10" s="50">
        <v>800</v>
      </c>
      <c r="K10" s="51">
        <f t="shared" si="0"/>
        <v>2000</v>
      </c>
      <c r="L10" s="50"/>
      <c r="M10" s="52">
        <v>30</v>
      </c>
      <c r="N10" s="38">
        <f t="shared" si="1"/>
        <v>2000.0000000000002</v>
      </c>
      <c r="O10" s="50"/>
      <c r="P10" s="50"/>
      <c r="Q10" s="50"/>
      <c r="R10" s="50"/>
      <c r="S10" s="58"/>
      <c r="T10" s="38">
        <f t="shared" si="2"/>
        <v>2000</v>
      </c>
      <c r="U10" s="40"/>
      <c r="V10" s="54" t="s">
        <v>34</v>
      </c>
      <c r="W10" s="55" t="s">
        <v>265</v>
      </c>
      <c r="X10" s="56" t="s">
        <v>35</v>
      </c>
      <c r="Y10" s="56" t="s">
        <v>41</v>
      </c>
      <c r="AA10" s="150">
        <v>2000</v>
      </c>
      <c r="AB10" s="150">
        <v>0</v>
      </c>
      <c r="AC10" s="150">
        <v>2000</v>
      </c>
      <c r="AD10" s="150">
        <v>2000</v>
      </c>
      <c r="AE10" s="150">
        <v>0</v>
      </c>
      <c r="AF10" s="150">
        <v>2000</v>
      </c>
      <c r="AG10" s="150">
        <v>0</v>
      </c>
    </row>
    <row r="11" spans="1:33" s="44" customFormat="1" ht="15.75" x14ac:dyDescent="0.25">
      <c r="A11" s="45">
        <v>5</v>
      </c>
      <c r="B11" s="29" t="s">
        <v>31</v>
      </c>
      <c r="C11" s="46">
        <v>50085</v>
      </c>
      <c r="D11" s="45">
        <v>33503</v>
      </c>
      <c r="E11" s="45">
        <v>27986</v>
      </c>
      <c r="F11" s="47" t="s">
        <v>42</v>
      </c>
      <c r="G11" s="48" t="s">
        <v>33</v>
      </c>
      <c r="H11" s="49">
        <f>VLOOKUP(D11,[2]PG_Payroll_Run_Report__Shared__!$A$6:$F$151,6,FALSE)</f>
        <v>41609</v>
      </c>
      <c r="I11" s="50">
        <v>1200</v>
      </c>
      <c r="J11" s="50">
        <v>1480</v>
      </c>
      <c r="K11" s="51">
        <f t="shared" si="0"/>
        <v>2680</v>
      </c>
      <c r="L11" s="50"/>
      <c r="M11" s="52">
        <v>30</v>
      </c>
      <c r="N11" s="38">
        <f t="shared" si="1"/>
        <v>2680</v>
      </c>
      <c r="O11" s="50"/>
      <c r="P11" s="50"/>
      <c r="Q11" s="50"/>
      <c r="R11" s="50"/>
      <c r="S11" s="39"/>
      <c r="T11" s="38">
        <f t="shared" si="2"/>
        <v>2680</v>
      </c>
      <c r="U11" s="40"/>
      <c r="V11" s="54" t="s">
        <v>34</v>
      </c>
      <c r="W11" s="55" t="s">
        <v>266</v>
      </c>
      <c r="X11" s="56" t="s">
        <v>35</v>
      </c>
      <c r="Y11" s="56" t="s">
        <v>36</v>
      </c>
      <c r="AA11" s="150">
        <v>2680</v>
      </c>
      <c r="AB11" s="150">
        <v>0</v>
      </c>
      <c r="AC11" s="150">
        <v>2680</v>
      </c>
      <c r="AD11" s="150">
        <v>2680</v>
      </c>
      <c r="AE11" s="150">
        <v>0</v>
      </c>
      <c r="AF11" s="150">
        <v>2680</v>
      </c>
      <c r="AG11" s="150">
        <v>0</v>
      </c>
    </row>
    <row r="12" spans="1:33" s="44" customFormat="1" ht="15.75" x14ac:dyDescent="0.25">
      <c r="A12" s="45">
        <v>6</v>
      </c>
      <c r="B12" s="29" t="s">
        <v>31</v>
      </c>
      <c r="C12" s="46">
        <v>50088</v>
      </c>
      <c r="D12" s="45">
        <v>33504</v>
      </c>
      <c r="E12" s="45">
        <v>27987</v>
      </c>
      <c r="F12" s="47" t="s">
        <v>43</v>
      </c>
      <c r="G12" s="48" t="s">
        <v>33</v>
      </c>
      <c r="H12" s="49">
        <f>VLOOKUP(D12,[2]PG_Payroll_Run_Report__Shared__!$A$6:$F$151,6,FALSE)</f>
        <v>41609</v>
      </c>
      <c r="I12" s="50">
        <v>1200</v>
      </c>
      <c r="J12" s="50">
        <v>1480</v>
      </c>
      <c r="K12" s="51">
        <f t="shared" si="0"/>
        <v>2680</v>
      </c>
      <c r="L12" s="50"/>
      <c r="M12" s="52">
        <v>30</v>
      </c>
      <c r="N12" s="38">
        <f t="shared" si="1"/>
        <v>2680</v>
      </c>
      <c r="O12" s="50"/>
      <c r="P12" s="50"/>
      <c r="Q12" s="50"/>
      <c r="R12" s="50"/>
      <c r="S12" s="53"/>
      <c r="T12" s="38">
        <f t="shared" si="2"/>
        <v>2680</v>
      </c>
      <c r="U12" s="40"/>
      <c r="V12" s="54" t="s">
        <v>34</v>
      </c>
      <c r="W12" s="55" t="s">
        <v>267</v>
      </c>
      <c r="X12" s="56" t="s">
        <v>35</v>
      </c>
      <c r="Y12" s="56" t="s">
        <v>36</v>
      </c>
      <c r="AA12" s="150">
        <v>2680</v>
      </c>
      <c r="AB12" s="150">
        <v>0</v>
      </c>
      <c r="AC12" s="150">
        <v>2680</v>
      </c>
      <c r="AD12" s="150">
        <v>2680</v>
      </c>
      <c r="AE12" s="150">
        <v>0</v>
      </c>
      <c r="AF12" s="150">
        <v>2680</v>
      </c>
      <c r="AG12" s="150">
        <v>0</v>
      </c>
    </row>
    <row r="13" spans="1:33" s="44" customFormat="1" ht="15.75" x14ac:dyDescent="0.25">
      <c r="A13" s="45">
        <v>7</v>
      </c>
      <c r="B13" s="29" t="s">
        <v>31</v>
      </c>
      <c r="C13" s="46">
        <v>50135</v>
      </c>
      <c r="D13" s="45">
        <v>33521</v>
      </c>
      <c r="E13" s="45">
        <v>27993</v>
      </c>
      <c r="F13" s="47" t="s">
        <v>44</v>
      </c>
      <c r="G13" s="48" t="s">
        <v>45</v>
      </c>
      <c r="H13" s="49">
        <f>VLOOKUP(D13,[2]PG_Payroll_Run_Report__Shared__!$A$6:$F$151,6,FALSE)</f>
        <v>41730</v>
      </c>
      <c r="I13" s="50">
        <v>8474.4</v>
      </c>
      <c r="J13" s="50">
        <v>12711.6</v>
      </c>
      <c r="K13" s="51">
        <f t="shared" si="0"/>
        <v>21186</v>
      </c>
      <c r="L13" s="50">
        <v>1800</v>
      </c>
      <c r="M13" s="52">
        <v>30</v>
      </c>
      <c r="N13" s="38">
        <f t="shared" si="1"/>
        <v>22986</v>
      </c>
      <c r="O13" s="50"/>
      <c r="P13" s="59">
        <f>-K13*5%</f>
        <v>-1059.3</v>
      </c>
      <c r="Q13" s="50"/>
      <c r="R13" s="50"/>
      <c r="S13" s="53"/>
      <c r="T13" s="38">
        <f t="shared" si="2"/>
        <v>21927</v>
      </c>
      <c r="U13" s="60" t="s">
        <v>46</v>
      </c>
      <c r="V13" s="54" t="s">
        <v>34</v>
      </c>
      <c r="W13" s="55" t="s">
        <v>268</v>
      </c>
      <c r="X13" s="56" t="s">
        <v>35</v>
      </c>
      <c r="Y13" s="56" t="s">
        <v>36</v>
      </c>
      <c r="AA13" s="150">
        <v>26433.9</v>
      </c>
      <c r="AB13" s="150">
        <v>3447.9</v>
      </c>
      <c r="AC13" s="150">
        <v>22986</v>
      </c>
      <c r="AD13" s="150">
        <v>21927</v>
      </c>
      <c r="AE13" s="150">
        <v>-1059.3</v>
      </c>
      <c r="AF13" s="150">
        <v>22986.3</v>
      </c>
      <c r="AG13" s="150">
        <v>-0.2999999999992724</v>
      </c>
    </row>
    <row r="14" spans="1:33" s="44" customFormat="1" ht="15.75" x14ac:dyDescent="0.25">
      <c r="A14" s="45">
        <v>8</v>
      </c>
      <c r="B14" s="29" t="s">
        <v>31</v>
      </c>
      <c r="C14" s="46">
        <v>50139</v>
      </c>
      <c r="D14" s="45">
        <v>33548</v>
      </c>
      <c r="E14" s="45">
        <v>28004</v>
      </c>
      <c r="F14" s="47" t="s">
        <v>47</v>
      </c>
      <c r="G14" s="48" t="s">
        <v>45</v>
      </c>
      <c r="H14" s="49">
        <f>VLOOKUP(D14,[2]PG_Payroll_Run_Report__Shared__!$A$6:$F$151,6,FALSE)</f>
        <v>41730</v>
      </c>
      <c r="I14" s="50">
        <v>6420</v>
      </c>
      <c r="J14" s="50">
        <v>9630</v>
      </c>
      <c r="K14" s="51">
        <f t="shared" si="0"/>
        <v>16050</v>
      </c>
      <c r="L14" s="50"/>
      <c r="M14" s="52">
        <v>30</v>
      </c>
      <c r="N14" s="38">
        <f t="shared" si="1"/>
        <v>16050</v>
      </c>
      <c r="O14" s="50"/>
      <c r="P14" s="50"/>
      <c r="Q14" s="50"/>
      <c r="R14" s="50">
        <f>-K14*7.5%</f>
        <v>-1203.75</v>
      </c>
      <c r="S14" s="53"/>
      <c r="T14" s="38">
        <f t="shared" si="2"/>
        <v>14846</v>
      </c>
      <c r="U14" s="60" t="s">
        <v>48</v>
      </c>
      <c r="V14" s="54" t="s">
        <v>34</v>
      </c>
      <c r="W14" s="55" t="s">
        <v>269</v>
      </c>
      <c r="X14" s="56" t="s">
        <v>35</v>
      </c>
      <c r="Y14" s="56" t="s">
        <v>36</v>
      </c>
      <c r="AA14" s="150">
        <v>17815.5</v>
      </c>
      <c r="AB14" s="150">
        <v>1765.5</v>
      </c>
      <c r="AC14" s="150">
        <v>16050</v>
      </c>
      <c r="AD14" s="150">
        <v>14846</v>
      </c>
      <c r="AE14" s="150">
        <v>-1203.75</v>
      </c>
      <c r="AF14" s="150">
        <v>16049.75</v>
      </c>
      <c r="AG14" s="150">
        <v>0.25</v>
      </c>
    </row>
    <row r="15" spans="1:33" s="44" customFormat="1" ht="15.75" x14ac:dyDescent="0.25">
      <c r="A15" s="45">
        <v>9</v>
      </c>
      <c r="B15" s="29" t="s">
        <v>31</v>
      </c>
      <c r="C15" s="46">
        <v>50223</v>
      </c>
      <c r="D15" s="45">
        <v>33791</v>
      </c>
      <c r="E15" s="45">
        <v>28028</v>
      </c>
      <c r="F15" s="47" t="s">
        <v>49</v>
      </c>
      <c r="G15" s="48" t="s">
        <v>33</v>
      </c>
      <c r="H15" s="49">
        <f>VLOOKUP(D15,[2]PG_Payroll_Run_Report__Shared__!$A$6:$F$151,6,FALSE)</f>
        <v>43460</v>
      </c>
      <c r="I15" s="50">
        <v>1200</v>
      </c>
      <c r="J15" s="50">
        <v>1040</v>
      </c>
      <c r="K15" s="51">
        <f t="shared" si="0"/>
        <v>2240</v>
      </c>
      <c r="L15" s="50"/>
      <c r="M15" s="52">
        <v>30</v>
      </c>
      <c r="N15" s="38">
        <f t="shared" si="1"/>
        <v>2240</v>
      </c>
      <c r="O15" s="50"/>
      <c r="P15" s="50"/>
      <c r="Q15" s="50"/>
      <c r="R15" s="50"/>
      <c r="S15" s="57"/>
      <c r="T15" s="38">
        <f t="shared" si="2"/>
        <v>2240</v>
      </c>
      <c r="U15" s="40"/>
      <c r="V15" s="54" t="s">
        <v>34</v>
      </c>
      <c r="W15" s="55" t="s">
        <v>270</v>
      </c>
      <c r="X15" s="56" t="s">
        <v>35</v>
      </c>
      <c r="Y15" s="56" t="s">
        <v>36</v>
      </c>
      <c r="AA15" s="150">
        <v>2240</v>
      </c>
      <c r="AB15" s="150">
        <v>0</v>
      </c>
      <c r="AC15" s="150">
        <v>2240</v>
      </c>
      <c r="AD15" s="150">
        <v>2240</v>
      </c>
      <c r="AE15" s="150">
        <v>0</v>
      </c>
      <c r="AF15" s="150">
        <v>2240</v>
      </c>
      <c r="AG15" s="150">
        <v>0</v>
      </c>
    </row>
    <row r="16" spans="1:33" s="44" customFormat="1" ht="15.75" x14ac:dyDescent="0.25">
      <c r="A16" s="45">
        <v>10</v>
      </c>
      <c r="B16" s="29" t="s">
        <v>31</v>
      </c>
      <c r="C16" s="46">
        <v>50170</v>
      </c>
      <c r="D16" s="45">
        <v>33450</v>
      </c>
      <c r="E16" s="45">
        <v>28065</v>
      </c>
      <c r="F16" s="47" t="s">
        <v>50</v>
      </c>
      <c r="G16" s="48" t="s">
        <v>51</v>
      </c>
      <c r="H16" s="49">
        <f>VLOOKUP(D16,[2]PG_Payroll_Run_Report__Shared__!$A$6:$F$151,6,FALSE)</f>
        <v>41640</v>
      </c>
      <c r="I16" s="50">
        <v>1200</v>
      </c>
      <c r="J16" s="50">
        <v>1160</v>
      </c>
      <c r="K16" s="51">
        <f t="shared" si="0"/>
        <v>2360</v>
      </c>
      <c r="L16" s="50"/>
      <c r="M16" s="52">
        <v>30</v>
      </c>
      <c r="N16" s="38">
        <f t="shared" si="1"/>
        <v>2360</v>
      </c>
      <c r="O16" s="50"/>
      <c r="P16" s="50"/>
      <c r="Q16" s="50"/>
      <c r="R16" s="50"/>
      <c r="S16" s="58"/>
      <c r="T16" s="38">
        <f t="shared" si="2"/>
        <v>2360</v>
      </c>
      <c r="U16" s="40"/>
      <c r="V16" s="54" t="s">
        <v>52</v>
      </c>
      <c r="W16" s="55" t="s">
        <v>53</v>
      </c>
      <c r="X16" s="56" t="s">
        <v>35</v>
      </c>
      <c r="Y16" s="56" t="s">
        <v>36</v>
      </c>
      <c r="AA16" s="150">
        <v>2360</v>
      </c>
      <c r="AB16" s="150">
        <v>0</v>
      </c>
      <c r="AC16" s="150">
        <v>2360</v>
      </c>
      <c r="AD16" s="150">
        <v>2360</v>
      </c>
      <c r="AE16" s="150">
        <v>0</v>
      </c>
      <c r="AF16" s="150">
        <v>2360</v>
      </c>
      <c r="AG16" s="150">
        <v>0</v>
      </c>
    </row>
    <row r="17" spans="1:33" s="44" customFormat="1" ht="15.75" x14ac:dyDescent="0.25">
      <c r="A17" s="45">
        <v>11</v>
      </c>
      <c r="B17" s="29" t="s">
        <v>31</v>
      </c>
      <c r="C17" s="46">
        <v>50105</v>
      </c>
      <c r="D17" s="45">
        <v>33459</v>
      </c>
      <c r="E17" s="45">
        <v>28066</v>
      </c>
      <c r="F17" s="47" t="s">
        <v>54</v>
      </c>
      <c r="G17" s="48" t="s">
        <v>33</v>
      </c>
      <c r="H17" s="49">
        <f>VLOOKUP(D17,[2]PG_Payroll_Run_Report__Shared__!$A$6:$F$151,6,FALSE)</f>
        <v>41640</v>
      </c>
      <c r="I17" s="50">
        <v>1200</v>
      </c>
      <c r="J17" s="50">
        <v>1280</v>
      </c>
      <c r="K17" s="51">
        <f t="shared" si="0"/>
        <v>2480</v>
      </c>
      <c r="L17" s="50"/>
      <c r="M17" s="52">
        <v>30</v>
      </c>
      <c r="N17" s="38">
        <f t="shared" si="1"/>
        <v>2480</v>
      </c>
      <c r="O17" s="50"/>
      <c r="P17" s="50"/>
      <c r="Q17" s="50"/>
      <c r="R17" s="50"/>
      <c r="S17" s="58"/>
      <c r="T17" s="38">
        <f t="shared" si="2"/>
        <v>2480</v>
      </c>
      <c r="U17" s="40"/>
      <c r="V17" s="54" t="s">
        <v>52</v>
      </c>
      <c r="W17" s="55" t="s">
        <v>55</v>
      </c>
      <c r="X17" s="56" t="s">
        <v>35</v>
      </c>
      <c r="Y17" s="56" t="s">
        <v>36</v>
      </c>
      <c r="AA17" s="150">
        <v>2480</v>
      </c>
      <c r="AB17" s="150">
        <v>0</v>
      </c>
      <c r="AC17" s="150">
        <v>2480</v>
      </c>
      <c r="AD17" s="150">
        <v>2480</v>
      </c>
      <c r="AE17" s="150">
        <v>0</v>
      </c>
      <c r="AF17" s="150">
        <v>2480</v>
      </c>
      <c r="AG17" s="150">
        <v>0</v>
      </c>
    </row>
    <row r="18" spans="1:33" s="44" customFormat="1" ht="15.75" x14ac:dyDescent="0.25">
      <c r="A18" s="45">
        <v>12</v>
      </c>
      <c r="B18" s="29" t="s">
        <v>31</v>
      </c>
      <c r="C18" s="46">
        <v>50149</v>
      </c>
      <c r="D18" s="45">
        <v>33475</v>
      </c>
      <c r="E18" s="45">
        <v>28067</v>
      </c>
      <c r="F18" s="47" t="s">
        <v>56</v>
      </c>
      <c r="G18" s="48" t="s">
        <v>33</v>
      </c>
      <c r="H18" s="49">
        <f>VLOOKUP(D18,[2]PG_Payroll_Run_Report__Shared__!$A$6:$F$151,6,FALSE)</f>
        <v>41609</v>
      </c>
      <c r="I18" s="50">
        <v>1200</v>
      </c>
      <c r="J18" s="50">
        <v>1160</v>
      </c>
      <c r="K18" s="51">
        <f t="shared" si="0"/>
        <v>2360</v>
      </c>
      <c r="L18" s="50"/>
      <c r="M18" s="52">
        <v>30</v>
      </c>
      <c r="N18" s="38">
        <f t="shared" si="1"/>
        <v>2360</v>
      </c>
      <c r="O18" s="50"/>
      <c r="P18" s="50"/>
      <c r="Q18" s="50"/>
      <c r="R18" s="50"/>
      <c r="S18" s="58"/>
      <c r="T18" s="38">
        <f t="shared" si="2"/>
        <v>2360</v>
      </c>
      <c r="U18" s="40"/>
      <c r="V18" s="54" t="s">
        <v>52</v>
      </c>
      <c r="W18" s="55" t="s">
        <v>57</v>
      </c>
      <c r="X18" s="56" t="s">
        <v>35</v>
      </c>
      <c r="Y18" s="56" t="s">
        <v>36</v>
      </c>
      <c r="AA18" s="150">
        <v>2360</v>
      </c>
      <c r="AB18" s="150">
        <v>0</v>
      </c>
      <c r="AC18" s="150">
        <v>2360</v>
      </c>
      <c r="AD18" s="150">
        <v>2360</v>
      </c>
      <c r="AE18" s="150">
        <v>0</v>
      </c>
      <c r="AF18" s="150">
        <v>2360</v>
      </c>
      <c r="AG18" s="150">
        <v>0</v>
      </c>
    </row>
    <row r="19" spans="1:33" s="44" customFormat="1" ht="15.75" x14ac:dyDescent="0.25">
      <c r="A19" s="45">
        <v>13</v>
      </c>
      <c r="B19" s="29" t="s">
        <v>31</v>
      </c>
      <c r="C19" s="46">
        <v>50115</v>
      </c>
      <c r="D19" s="45">
        <v>33513</v>
      </c>
      <c r="E19" s="45">
        <v>28070</v>
      </c>
      <c r="F19" s="47" t="s">
        <v>58</v>
      </c>
      <c r="G19" s="48" t="s">
        <v>59</v>
      </c>
      <c r="H19" s="49">
        <f>VLOOKUP(D19,[2]PG_Payroll_Run_Report__Shared__!$A$6:$F$151,6,FALSE)</f>
        <v>41609</v>
      </c>
      <c r="I19" s="50">
        <v>1200</v>
      </c>
      <c r="J19" s="50">
        <v>1280</v>
      </c>
      <c r="K19" s="51">
        <f t="shared" si="0"/>
        <v>2480</v>
      </c>
      <c r="L19" s="50"/>
      <c r="M19" s="52">
        <v>30</v>
      </c>
      <c r="N19" s="38">
        <f t="shared" si="1"/>
        <v>2480</v>
      </c>
      <c r="O19" s="50"/>
      <c r="P19" s="50"/>
      <c r="Q19" s="50"/>
      <c r="R19" s="50"/>
      <c r="S19" s="58"/>
      <c r="T19" s="38">
        <f t="shared" si="2"/>
        <v>2480</v>
      </c>
      <c r="U19" s="40"/>
      <c r="V19" s="54" t="s">
        <v>34</v>
      </c>
      <c r="W19" s="55" t="s">
        <v>271</v>
      </c>
      <c r="X19" s="56" t="s">
        <v>35</v>
      </c>
      <c r="Y19" s="56" t="s">
        <v>36</v>
      </c>
      <c r="AA19" s="150">
        <v>2480</v>
      </c>
      <c r="AB19" s="150">
        <v>0</v>
      </c>
      <c r="AC19" s="150">
        <v>2480</v>
      </c>
      <c r="AD19" s="150">
        <v>2480</v>
      </c>
      <c r="AE19" s="150">
        <v>0</v>
      </c>
      <c r="AF19" s="150">
        <v>2480</v>
      </c>
      <c r="AG19" s="150">
        <v>0</v>
      </c>
    </row>
    <row r="20" spans="1:33" s="44" customFormat="1" ht="15.75" x14ac:dyDescent="0.25">
      <c r="A20" s="45">
        <v>14</v>
      </c>
      <c r="B20" s="29" t="s">
        <v>31</v>
      </c>
      <c r="C20" s="46">
        <v>50049</v>
      </c>
      <c r="D20" s="45">
        <v>33454</v>
      </c>
      <c r="E20" s="45">
        <v>28334</v>
      </c>
      <c r="F20" s="47" t="s">
        <v>60</v>
      </c>
      <c r="G20" s="48" t="s">
        <v>59</v>
      </c>
      <c r="H20" s="49">
        <f>VLOOKUP(D20,[2]PG_Payroll_Run_Report__Shared__!$A$6:$F$151,6,FALSE)</f>
        <v>41640</v>
      </c>
      <c r="I20" s="50">
        <v>1500</v>
      </c>
      <c r="J20" s="50">
        <v>1850</v>
      </c>
      <c r="K20" s="51">
        <f t="shared" si="0"/>
        <v>3350</v>
      </c>
      <c r="L20" s="50"/>
      <c r="M20" s="52">
        <v>30</v>
      </c>
      <c r="N20" s="38">
        <f t="shared" si="1"/>
        <v>3350</v>
      </c>
      <c r="O20" s="50"/>
      <c r="P20" s="50"/>
      <c r="Q20" s="50"/>
      <c r="R20" s="50"/>
      <c r="S20" s="39"/>
      <c r="T20" s="38">
        <f t="shared" si="2"/>
        <v>3350</v>
      </c>
      <c r="U20" s="40"/>
      <c r="V20" s="54" t="s">
        <v>61</v>
      </c>
      <c r="W20" s="55" t="s">
        <v>272</v>
      </c>
      <c r="X20" s="56" t="s">
        <v>35</v>
      </c>
      <c r="Y20" s="56" t="s">
        <v>36</v>
      </c>
      <c r="AA20" s="150">
        <v>3350</v>
      </c>
      <c r="AB20" s="150">
        <v>0</v>
      </c>
      <c r="AC20" s="150">
        <v>3350</v>
      </c>
      <c r="AD20" s="150">
        <v>3350</v>
      </c>
      <c r="AE20" s="150">
        <v>0</v>
      </c>
      <c r="AF20" s="150">
        <v>3350</v>
      </c>
      <c r="AG20" s="150">
        <v>0</v>
      </c>
    </row>
    <row r="21" spans="1:33" s="44" customFormat="1" ht="15.75" x14ac:dyDescent="0.25">
      <c r="A21" s="45">
        <v>15</v>
      </c>
      <c r="B21" s="29" t="s">
        <v>31</v>
      </c>
      <c r="C21" s="46">
        <v>50151</v>
      </c>
      <c r="D21" s="45">
        <v>33490</v>
      </c>
      <c r="E21" s="45">
        <v>28348</v>
      </c>
      <c r="F21" s="47" t="s">
        <v>62</v>
      </c>
      <c r="G21" s="48" t="s">
        <v>33</v>
      </c>
      <c r="H21" s="49">
        <f>VLOOKUP(D21,[2]PG_Payroll_Run_Report__Shared__!$A$6:$F$151,6,FALSE)</f>
        <v>41609</v>
      </c>
      <c r="I21" s="50">
        <v>1200</v>
      </c>
      <c r="J21" s="50">
        <v>1160</v>
      </c>
      <c r="K21" s="51">
        <f t="shared" si="0"/>
        <v>2360</v>
      </c>
      <c r="L21" s="50"/>
      <c r="M21" s="52">
        <v>30</v>
      </c>
      <c r="N21" s="38">
        <f t="shared" si="1"/>
        <v>2360</v>
      </c>
      <c r="O21" s="50"/>
      <c r="P21" s="50"/>
      <c r="Q21" s="50"/>
      <c r="R21" s="50"/>
      <c r="S21" s="53"/>
      <c r="T21" s="38">
        <f t="shared" si="2"/>
        <v>2360</v>
      </c>
      <c r="U21" s="40"/>
      <c r="V21" s="54" t="s">
        <v>63</v>
      </c>
      <c r="W21" s="55" t="s">
        <v>273</v>
      </c>
      <c r="X21" s="56" t="s">
        <v>35</v>
      </c>
      <c r="Y21" s="56" t="s">
        <v>36</v>
      </c>
      <c r="AA21" s="150">
        <v>2360</v>
      </c>
      <c r="AB21" s="150">
        <v>0</v>
      </c>
      <c r="AC21" s="150">
        <v>2360</v>
      </c>
      <c r="AD21" s="150">
        <v>2360</v>
      </c>
      <c r="AE21" s="150">
        <v>0</v>
      </c>
      <c r="AF21" s="150">
        <v>2360</v>
      </c>
      <c r="AG21" s="150">
        <v>0</v>
      </c>
    </row>
    <row r="22" spans="1:33" s="44" customFormat="1" ht="15.75" x14ac:dyDescent="0.25">
      <c r="A22" s="45">
        <v>16</v>
      </c>
      <c r="B22" s="29" t="s">
        <v>31</v>
      </c>
      <c r="C22" s="46">
        <v>50110</v>
      </c>
      <c r="D22" s="45">
        <v>33561</v>
      </c>
      <c r="E22" s="45">
        <v>28360</v>
      </c>
      <c r="F22" s="47" t="s">
        <v>64</v>
      </c>
      <c r="G22" s="48" t="s">
        <v>33</v>
      </c>
      <c r="H22" s="49">
        <f>VLOOKUP(D22,[2]PG_Payroll_Run_Report__Shared__!$A$6:$F$151,6,FALSE)</f>
        <v>41609</v>
      </c>
      <c r="I22" s="50">
        <v>1200</v>
      </c>
      <c r="J22" s="50">
        <v>1280</v>
      </c>
      <c r="K22" s="51">
        <f t="shared" si="0"/>
        <v>2480</v>
      </c>
      <c r="L22" s="50"/>
      <c r="M22" s="52">
        <v>30</v>
      </c>
      <c r="N22" s="38">
        <f t="shared" si="1"/>
        <v>2480</v>
      </c>
      <c r="O22" s="50"/>
      <c r="P22" s="50"/>
      <c r="Q22" s="50"/>
      <c r="R22" s="50"/>
      <c r="S22" s="57"/>
      <c r="T22" s="38">
        <f t="shared" si="2"/>
        <v>2480</v>
      </c>
      <c r="U22" s="40"/>
      <c r="V22" s="54" t="s">
        <v>63</v>
      </c>
      <c r="W22" s="55" t="s">
        <v>274</v>
      </c>
      <c r="X22" s="56" t="s">
        <v>35</v>
      </c>
      <c r="Y22" s="56" t="s">
        <v>36</v>
      </c>
      <c r="AA22" s="150">
        <v>2480</v>
      </c>
      <c r="AB22" s="150">
        <v>0</v>
      </c>
      <c r="AC22" s="150">
        <v>2480</v>
      </c>
      <c r="AD22" s="150">
        <v>2480</v>
      </c>
      <c r="AE22" s="150">
        <v>0</v>
      </c>
      <c r="AF22" s="150">
        <v>2480</v>
      </c>
      <c r="AG22" s="150">
        <v>0</v>
      </c>
    </row>
    <row r="23" spans="1:33" s="44" customFormat="1" ht="15.75" x14ac:dyDescent="0.25">
      <c r="A23" s="61">
        <v>17</v>
      </c>
      <c r="B23" s="29" t="s">
        <v>31</v>
      </c>
      <c r="C23" s="62">
        <v>50208</v>
      </c>
      <c r="D23" s="45">
        <v>33778</v>
      </c>
      <c r="E23" s="45">
        <v>28365</v>
      </c>
      <c r="F23" s="47" t="s">
        <v>65</v>
      </c>
      <c r="G23" s="48" t="s">
        <v>33</v>
      </c>
      <c r="H23" s="49">
        <f>VLOOKUP(D23,[2]PG_Payroll_Run_Report__Shared__!$A$6:$F$151,6,FALSE)</f>
        <v>43446</v>
      </c>
      <c r="I23" s="50">
        <v>1200</v>
      </c>
      <c r="J23" s="50">
        <v>1040</v>
      </c>
      <c r="K23" s="51">
        <f t="shared" si="0"/>
        <v>2240</v>
      </c>
      <c r="L23" s="50"/>
      <c r="M23" s="52">
        <v>30</v>
      </c>
      <c r="N23" s="38">
        <f t="shared" si="1"/>
        <v>2240</v>
      </c>
      <c r="O23" s="50"/>
      <c r="P23" s="50"/>
      <c r="Q23" s="50"/>
      <c r="R23" s="50"/>
      <c r="S23" s="58"/>
      <c r="T23" s="38">
        <f t="shared" si="2"/>
        <v>2240</v>
      </c>
      <c r="U23" s="60"/>
      <c r="V23" s="54" t="s">
        <v>63</v>
      </c>
      <c r="W23" s="55" t="s">
        <v>275</v>
      </c>
      <c r="X23" s="56" t="s">
        <v>35</v>
      </c>
      <c r="Y23" s="56" t="s">
        <v>36</v>
      </c>
      <c r="AA23" s="150">
        <v>2240</v>
      </c>
      <c r="AB23" s="150">
        <v>0</v>
      </c>
      <c r="AC23" s="150">
        <v>2240</v>
      </c>
      <c r="AD23" s="150">
        <v>2240</v>
      </c>
      <c r="AE23" s="150">
        <v>0</v>
      </c>
      <c r="AF23" s="150">
        <v>2240</v>
      </c>
      <c r="AG23" s="150">
        <v>0</v>
      </c>
    </row>
    <row r="24" spans="1:33" s="44" customFormat="1" ht="15.75" x14ac:dyDescent="0.25">
      <c r="A24" s="45">
        <v>18</v>
      </c>
      <c r="B24" s="29" t="s">
        <v>31</v>
      </c>
      <c r="C24" s="46">
        <v>50209</v>
      </c>
      <c r="D24" s="45">
        <v>33781</v>
      </c>
      <c r="E24" s="45">
        <v>28366</v>
      </c>
      <c r="F24" s="47" t="s">
        <v>66</v>
      </c>
      <c r="G24" s="48" t="s">
        <v>33</v>
      </c>
      <c r="H24" s="49">
        <f>VLOOKUP(D24,[2]PG_Payroll_Run_Report__Shared__!$A$6:$F$151,6,FALSE)</f>
        <v>43416</v>
      </c>
      <c r="I24" s="50">
        <v>1200</v>
      </c>
      <c r="J24" s="50">
        <v>1040</v>
      </c>
      <c r="K24" s="51">
        <f t="shared" si="0"/>
        <v>2240</v>
      </c>
      <c r="L24" s="50"/>
      <c r="M24" s="52">
        <v>30</v>
      </c>
      <c r="N24" s="38">
        <f t="shared" si="1"/>
        <v>2240</v>
      </c>
      <c r="O24" s="50"/>
      <c r="P24" s="50"/>
      <c r="Q24" s="50"/>
      <c r="R24" s="50"/>
      <c r="S24" s="39"/>
      <c r="T24" s="38">
        <f t="shared" si="2"/>
        <v>2240</v>
      </c>
      <c r="U24" s="40"/>
      <c r="V24" s="54" t="s">
        <v>63</v>
      </c>
      <c r="W24" s="55" t="s">
        <v>276</v>
      </c>
      <c r="X24" s="56" t="s">
        <v>35</v>
      </c>
      <c r="Y24" s="56" t="s">
        <v>36</v>
      </c>
      <c r="AA24" s="150">
        <v>2240</v>
      </c>
      <c r="AB24" s="150">
        <v>0</v>
      </c>
      <c r="AC24" s="150">
        <v>2240</v>
      </c>
      <c r="AD24" s="150">
        <v>2240</v>
      </c>
      <c r="AE24" s="150">
        <v>0</v>
      </c>
      <c r="AF24" s="150">
        <v>2240</v>
      </c>
      <c r="AG24" s="150">
        <v>0</v>
      </c>
    </row>
    <row r="25" spans="1:33" s="44" customFormat="1" ht="15.75" x14ac:dyDescent="0.25">
      <c r="A25" s="45">
        <v>19</v>
      </c>
      <c r="B25" s="29" t="s">
        <v>31</v>
      </c>
      <c r="C25" s="46">
        <v>50159</v>
      </c>
      <c r="D25" s="45">
        <v>33479</v>
      </c>
      <c r="E25" s="45">
        <v>27869</v>
      </c>
      <c r="F25" s="47" t="s">
        <v>67</v>
      </c>
      <c r="G25" s="48" t="s">
        <v>68</v>
      </c>
      <c r="H25" s="49">
        <f>VLOOKUP(D25,[2]PG_Payroll_Run_Report__Shared__!$A$6:$F$151,6,FALSE)</f>
        <v>41609</v>
      </c>
      <c r="I25" s="50">
        <v>1200</v>
      </c>
      <c r="J25" s="50">
        <v>1160</v>
      </c>
      <c r="K25" s="51">
        <f t="shared" si="0"/>
        <v>2360</v>
      </c>
      <c r="L25" s="50"/>
      <c r="M25" s="52">
        <v>30</v>
      </c>
      <c r="N25" s="38">
        <f t="shared" si="1"/>
        <v>2360</v>
      </c>
      <c r="O25" s="50"/>
      <c r="P25" s="50"/>
      <c r="Q25" s="50"/>
      <c r="R25" s="50"/>
      <c r="S25" s="53"/>
      <c r="T25" s="38">
        <f t="shared" si="2"/>
        <v>2360</v>
      </c>
      <c r="U25" s="40"/>
      <c r="V25" s="54" t="s">
        <v>34</v>
      </c>
      <c r="W25" s="55" t="s">
        <v>277</v>
      </c>
      <c r="X25" s="56" t="s">
        <v>35</v>
      </c>
      <c r="Y25" s="56" t="s">
        <v>36</v>
      </c>
      <c r="AA25" s="150">
        <v>2360</v>
      </c>
      <c r="AB25" s="150">
        <v>0</v>
      </c>
      <c r="AC25" s="150">
        <v>2360</v>
      </c>
      <c r="AD25" s="150">
        <v>2360</v>
      </c>
      <c r="AE25" s="150">
        <v>0</v>
      </c>
      <c r="AF25" s="150">
        <v>2360</v>
      </c>
      <c r="AG25" s="150">
        <v>0</v>
      </c>
    </row>
    <row r="26" spans="1:33" s="44" customFormat="1" ht="15.75" x14ac:dyDescent="0.25">
      <c r="A26" s="45">
        <v>20</v>
      </c>
      <c r="B26" s="29" t="s">
        <v>31</v>
      </c>
      <c r="C26" s="46">
        <v>50161</v>
      </c>
      <c r="D26" s="45">
        <v>33480</v>
      </c>
      <c r="E26" s="45">
        <v>27870</v>
      </c>
      <c r="F26" s="47" t="s">
        <v>69</v>
      </c>
      <c r="G26" s="48" t="s">
        <v>70</v>
      </c>
      <c r="H26" s="49">
        <f>VLOOKUP(D26,[2]PG_Payroll_Run_Report__Shared__!$A$6:$F$151,6,FALSE)</f>
        <v>41609</v>
      </c>
      <c r="I26" s="50">
        <v>1200</v>
      </c>
      <c r="J26" s="50">
        <v>1160</v>
      </c>
      <c r="K26" s="51">
        <f t="shared" si="0"/>
        <v>2360</v>
      </c>
      <c r="L26" s="50"/>
      <c r="M26" s="52">
        <v>30</v>
      </c>
      <c r="N26" s="38">
        <f t="shared" si="1"/>
        <v>2360</v>
      </c>
      <c r="O26" s="50"/>
      <c r="P26" s="50"/>
      <c r="Q26" s="50"/>
      <c r="R26" s="50"/>
      <c r="S26" s="57"/>
      <c r="T26" s="38">
        <f t="shared" si="2"/>
        <v>2360</v>
      </c>
      <c r="U26" s="40"/>
      <c r="V26" s="54" t="s">
        <v>34</v>
      </c>
      <c r="W26" s="55" t="s">
        <v>278</v>
      </c>
      <c r="X26" s="56" t="s">
        <v>35</v>
      </c>
      <c r="Y26" s="56" t="s">
        <v>36</v>
      </c>
      <c r="AA26" s="150">
        <v>2360</v>
      </c>
      <c r="AB26" s="150">
        <v>0</v>
      </c>
      <c r="AC26" s="150">
        <v>2360</v>
      </c>
      <c r="AD26" s="150">
        <v>2360</v>
      </c>
      <c r="AE26" s="150">
        <v>0</v>
      </c>
      <c r="AF26" s="150">
        <v>2360</v>
      </c>
      <c r="AG26" s="150">
        <v>0</v>
      </c>
    </row>
    <row r="27" spans="1:33" s="44" customFormat="1" ht="15.75" x14ac:dyDescent="0.25">
      <c r="A27" s="45">
        <v>21</v>
      </c>
      <c r="B27" s="29" t="s">
        <v>31</v>
      </c>
      <c r="C27" s="46">
        <v>50245</v>
      </c>
      <c r="D27" s="45">
        <v>35783</v>
      </c>
      <c r="E27" s="45">
        <v>27956</v>
      </c>
      <c r="F27" s="47" t="s">
        <v>71</v>
      </c>
      <c r="G27" s="48" t="s">
        <v>33</v>
      </c>
      <c r="H27" s="49">
        <f>VLOOKUP(D27,[2]PG_Payroll_Run_Report__Shared__!$A$6:$F$151,6,FALSE)</f>
        <v>43859</v>
      </c>
      <c r="I27" s="50">
        <v>1200</v>
      </c>
      <c r="J27" s="50">
        <v>800</v>
      </c>
      <c r="K27" s="51">
        <f t="shared" si="0"/>
        <v>2000</v>
      </c>
      <c r="L27" s="50"/>
      <c r="M27" s="52">
        <v>30</v>
      </c>
      <c r="N27" s="38">
        <f t="shared" si="1"/>
        <v>2000.0000000000002</v>
      </c>
      <c r="O27" s="50"/>
      <c r="P27" s="50"/>
      <c r="Q27" s="50"/>
      <c r="R27" s="50"/>
      <c r="S27" s="57"/>
      <c r="T27" s="38">
        <f t="shared" si="2"/>
        <v>2000</v>
      </c>
      <c r="U27" s="40"/>
      <c r="V27" s="54" t="s">
        <v>34</v>
      </c>
      <c r="W27" s="55" t="s">
        <v>279</v>
      </c>
      <c r="X27" s="56" t="s">
        <v>35</v>
      </c>
      <c r="Y27" s="56" t="s">
        <v>36</v>
      </c>
      <c r="AA27" s="150">
        <v>2000</v>
      </c>
      <c r="AB27" s="150">
        <v>0</v>
      </c>
      <c r="AC27" s="150">
        <v>2000</v>
      </c>
      <c r="AD27" s="150">
        <v>2000</v>
      </c>
      <c r="AE27" s="150">
        <v>0</v>
      </c>
      <c r="AF27" s="150">
        <v>2000</v>
      </c>
      <c r="AG27" s="150">
        <v>0</v>
      </c>
    </row>
    <row r="28" spans="1:33" s="44" customFormat="1" ht="15.75" x14ac:dyDescent="0.25">
      <c r="A28" s="45">
        <v>22</v>
      </c>
      <c r="B28" s="29" t="s">
        <v>31</v>
      </c>
      <c r="C28" s="46">
        <v>50260</v>
      </c>
      <c r="D28" s="45">
        <v>44350</v>
      </c>
      <c r="E28" s="45">
        <v>27963</v>
      </c>
      <c r="F28" s="47" t="s">
        <v>72</v>
      </c>
      <c r="G28" s="48" t="s">
        <v>40</v>
      </c>
      <c r="H28" s="49">
        <f>VLOOKUP(D28,[2]PG_Payroll_Run_Report__Shared__!$A$6:$F$151,6,FALSE)</f>
        <v>44756</v>
      </c>
      <c r="I28" s="50">
        <v>1200</v>
      </c>
      <c r="J28" s="50">
        <v>800</v>
      </c>
      <c r="K28" s="51">
        <f t="shared" si="0"/>
        <v>2000</v>
      </c>
      <c r="L28" s="50"/>
      <c r="M28" s="52">
        <v>30</v>
      </c>
      <c r="N28" s="38">
        <f t="shared" si="1"/>
        <v>2000.0000000000002</v>
      </c>
      <c r="O28" s="50"/>
      <c r="P28" s="50"/>
      <c r="Q28" s="50"/>
      <c r="R28" s="50"/>
      <c r="S28" s="57"/>
      <c r="T28" s="38">
        <f t="shared" si="2"/>
        <v>2000</v>
      </c>
      <c r="U28" s="40"/>
      <c r="V28" s="54" t="s">
        <v>34</v>
      </c>
      <c r="W28" s="55" t="s">
        <v>280</v>
      </c>
      <c r="X28" s="56" t="s">
        <v>35</v>
      </c>
      <c r="Y28" s="56" t="s">
        <v>41</v>
      </c>
      <c r="AA28" s="150">
        <v>2000</v>
      </c>
      <c r="AB28" s="150">
        <v>0</v>
      </c>
      <c r="AC28" s="150">
        <v>2000</v>
      </c>
      <c r="AD28" s="150">
        <v>2000</v>
      </c>
      <c r="AE28" s="150">
        <v>0</v>
      </c>
      <c r="AF28" s="150">
        <v>2000</v>
      </c>
      <c r="AG28" s="150">
        <v>0</v>
      </c>
    </row>
    <row r="29" spans="1:33" s="44" customFormat="1" ht="15.75" x14ac:dyDescent="0.25">
      <c r="A29" s="45">
        <v>23</v>
      </c>
      <c r="B29" s="29" t="s">
        <v>31</v>
      </c>
      <c r="C29" s="46">
        <v>50184</v>
      </c>
      <c r="D29" s="45">
        <v>33528</v>
      </c>
      <c r="E29" s="45">
        <v>27998</v>
      </c>
      <c r="F29" s="47" t="s">
        <v>73</v>
      </c>
      <c r="G29" s="48" t="s">
        <v>68</v>
      </c>
      <c r="H29" s="49">
        <f>VLOOKUP(D29,[2]PG_Payroll_Run_Report__Shared__!$A$6:$F$151,6,FALSE)</f>
        <v>42982</v>
      </c>
      <c r="I29" s="50">
        <v>1200</v>
      </c>
      <c r="J29" s="50">
        <v>1040</v>
      </c>
      <c r="K29" s="51">
        <f t="shared" si="0"/>
        <v>2240</v>
      </c>
      <c r="L29" s="50"/>
      <c r="M29" s="52">
        <v>30</v>
      </c>
      <c r="N29" s="38">
        <f t="shared" si="1"/>
        <v>2240</v>
      </c>
      <c r="O29" s="50"/>
      <c r="P29" s="50"/>
      <c r="Q29" s="50"/>
      <c r="R29" s="50"/>
      <c r="S29" s="57"/>
      <c r="T29" s="38">
        <f t="shared" si="2"/>
        <v>2240</v>
      </c>
      <c r="U29" s="40"/>
      <c r="V29" s="54" t="s">
        <v>34</v>
      </c>
      <c r="W29" s="55" t="s">
        <v>281</v>
      </c>
      <c r="X29" s="56" t="s">
        <v>35</v>
      </c>
      <c r="Y29" s="56" t="s">
        <v>36</v>
      </c>
      <c r="AA29" s="150">
        <v>2240</v>
      </c>
      <c r="AB29" s="150">
        <v>0</v>
      </c>
      <c r="AC29" s="150">
        <v>2240</v>
      </c>
      <c r="AD29" s="150">
        <v>2240</v>
      </c>
      <c r="AE29" s="150">
        <v>0</v>
      </c>
      <c r="AF29" s="150">
        <v>2240</v>
      </c>
      <c r="AG29" s="150">
        <v>0</v>
      </c>
    </row>
    <row r="30" spans="1:33" s="44" customFormat="1" ht="15.75" x14ac:dyDescent="0.25">
      <c r="A30" s="45">
        <v>24</v>
      </c>
      <c r="B30" s="29" t="s">
        <v>31</v>
      </c>
      <c r="C30" s="46">
        <v>50173</v>
      </c>
      <c r="D30" s="45">
        <v>33577</v>
      </c>
      <c r="E30" s="45">
        <v>28012</v>
      </c>
      <c r="F30" s="47" t="s">
        <v>74</v>
      </c>
      <c r="G30" s="48" t="s">
        <v>45</v>
      </c>
      <c r="H30" s="49">
        <f>VLOOKUP(D30,[2]PG_Payroll_Run_Report__Shared__!$A$6:$F$151,6,FALSE)</f>
        <v>41730</v>
      </c>
      <c r="I30" s="50">
        <v>7704</v>
      </c>
      <c r="J30" s="50">
        <v>11556</v>
      </c>
      <c r="K30" s="51">
        <f t="shared" si="0"/>
        <v>19260</v>
      </c>
      <c r="L30" s="50"/>
      <c r="M30" s="52">
        <v>30</v>
      </c>
      <c r="N30" s="38">
        <f t="shared" si="1"/>
        <v>19260</v>
      </c>
      <c r="O30" s="50"/>
      <c r="P30" s="50">
        <f>-K30*5%</f>
        <v>-963</v>
      </c>
      <c r="Q30" s="50"/>
      <c r="R30" s="50"/>
      <c r="S30" s="57"/>
      <c r="T30" s="38">
        <f t="shared" si="2"/>
        <v>18297</v>
      </c>
      <c r="U30" s="60" t="s">
        <v>75</v>
      </c>
      <c r="V30" s="54" t="s">
        <v>34</v>
      </c>
      <c r="W30" s="55" t="s">
        <v>282</v>
      </c>
      <c r="X30" s="56" t="s">
        <v>35</v>
      </c>
      <c r="Y30" s="56" t="s">
        <v>36</v>
      </c>
      <c r="AA30" s="150">
        <v>22149</v>
      </c>
      <c r="AB30" s="150">
        <v>2889</v>
      </c>
      <c r="AC30" s="150">
        <v>19260</v>
      </c>
      <c r="AD30" s="150">
        <v>18297</v>
      </c>
      <c r="AE30" s="150">
        <v>-963</v>
      </c>
      <c r="AF30" s="150">
        <v>19260</v>
      </c>
      <c r="AG30" s="150">
        <v>0</v>
      </c>
    </row>
    <row r="31" spans="1:33" s="44" customFormat="1" ht="15.75" x14ac:dyDescent="0.25">
      <c r="A31" s="45">
        <v>25</v>
      </c>
      <c r="B31" s="29" t="s">
        <v>31</v>
      </c>
      <c r="C31" s="62">
        <v>50222</v>
      </c>
      <c r="D31" s="45">
        <v>33785</v>
      </c>
      <c r="E31" s="45">
        <v>28025</v>
      </c>
      <c r="F31" s="47" t="s">
        <v>76</v>
      </c>
      <c r="G31" s="48" t="s">
        <v>33</v>
      </c>
      <c r="H31" s="49">
        <f>VLOOKUP(D31,[2]PG_Payroll_Run_Report__Shared__!$A$6:$F$151,6,FALSE)</f>
        <v>43457</v>
      </c>
      <c r="I31" s="50">
        <v>1200</v>
      </c>
      <c r="J31" s="50">
        <v>1040</v>
      </c>
      <c r="K31" s="51">
        <f t="shared" si="0"/>
        <v>2240</v>
      </c>
      <c r="L31" s="50"/>
      <c r="M31" s="52">
        <v>30</v>
      </c>
      <c r="N31" s="38">
        <f t="shared" si="1"/>
        <v>2240</v>
      </c>
      <c r="O31" s="50"/>
      <c r="P31" s="50"/>
      <c r="Q31" s="50"/>
      <c r="R31" s="50"/>
      <c r="S31" s="58"/>
      <c r="T31" s="38">
        <f t="shared" si="2"/>
        <v>2240</v>
      </c>
      <c r="U31" s="40"/>
      <c r="V31" s="54" t="s">
        <v>34</v>
      </c>
      <c r="W31" s="55" t="s">
        <v>283</v>
      </c>
      <c r="X31" s="56" t="s">
        <v>35</v>
      </c>
      <c r="Y31" s="56" t="s">
        <v>36</v>
      </c>
      <c r="AA31" s="150">
        <v>2240</v>
      </c>
      <c r="AB31" s="150">
        <v>0</v>
      </c>
      <c r="AC31" s="150">
        <v>2240</v>
      </c>
      <c r="AD31" s="150">
        <v>2240</v>
      </c>
      <c r="AE31" s="150">
        <v>0</v>
      </c>
      <c r="AF31" s="150">
        <v>2240</v>
      </c>
      <c r="AG31" s="150">
        <v>0</v>
      </c>
    </row>
    <row r="32" spans="1:33" s="44" customFormat="1" ht="15.75" x14ac:dyDescent="0.25">
      <c r="A32" s="45">
        <v>26</v>
      </c>
      <c r="B32" s="29" t="s">
        <v>31</v>
      </c>
      <c r="C32" s="46">
        <v>50218</v>
      </c>
      <c r="D32" s="45">
        <v>33789</v>
      </c>
      <c r="E32" s="45">
        <v>28026</v>
      </c>
      <c r="F32" s="47" t="s">
        <v>77</v>
      </c>
      <c r="G32" s="48" t="s">
        <v>33</v>
      </c>
      <c r="H32" s="49">
        <f>VLOOKUP(D32,[2]PG_Payroll_Run_Report__Shared__!$A$6:$F$151,6,FALSE)</f>
        <v>43457</v>
      </c>
      <c r="I32" s="50">
        <v>1200</v>
      </c>
      <c r="J32" s="50">
        <v>1040</v>
      </c>
      <c r="K32" s="51">
        <f t="shared" si="0"/>
        <v>2240</v>
      </c>
      <c r="L32" s="50"/>
      <c r="M32" s="52">
        <v>30</v>
      </c>
      <c r="N32" s="38">
        <f t="shared" si="1"/>
        <v>2240</v>
      </c>
      <c r="O32" s="50"/>
      <c r="P32" s="50"/>
      <c r="Q32" s="50"/>
      <c r="R32" s="50"/>
      <c r="S32" s="58"/>
      <c r="T32" s="38">
        <f t="shared" si="2"/>
        <v>2240</v>
      </c>
      <c r="U32" s="40"/>
      <c r="V32" s="54" t="s">
        <v>34</v>
      </c>
      <c r="W32" s="55" t="s">
        <v>284</v>
      </c>
      <c r="X32" s="56" t="s">
        <v>35</v>
      </c>
      <c r="Y32" s="56" t="s">
        <v>36</v>
      </c>
      <c r="AA32" s="150">
        <v>2240</v>
      </c>
      <c r="AB32" s="150">
        <v>0</v>
      </c>
      <c r="AC32" s="150">
        <v>2240</v>
      </c>
      <c r="AD32" s="150">
        <v>2240</v>
      </c>
      <c r="AE32" s="150">
        <v>0</v>
      </c>
      <c r="AF32" s="150">
        <v>2240</v>
      </c>
      <c r="AG32" s="150">
        <v>0</v>
      </c>
    </row>
    <row r="33" spans="1:33" s="44" customFormat="1" ht="31.5" x14ac:dyDescent="0.25">
      <c r="A33" s="45">
        <v>27</v>
      </c>
      <c r="B33" s="29" t="s">
        <v>31</v>
      </c>
      <c r="C33" s="46">
        <v>50236</v>
      </c>
      <c r="D33" s="45">
        <v>34405</v>
      </c>
      <c r="E33" s="45">
        <v>28035</v>
      </c>
      <c r="F33" s="47" t="s">
        <v>78</v>
      </c>
      <c r="G33" s="48" t="s">
        <v>33</v>
      </c>
      <c r="H33" s="49">
        <f>VLOOKUP(D33,[2]PG_Payroll_Run_Report__Shared__!$A$6:$F$151,6,FALSE)</f>
        <v>43611</v>
      </c>
      <c r="I33" s="50">
        <v>1200</v>
      </c>
      <c r="J33" s="50">
        <v>800</v>
      </c>
      <c r="K33" s="51">
        <f t="shared" si="0"/>
        <v>2000</v>
      </c>
      <c r="L33" s="50"/>
      <c r="M33" s="52">
        <v>30</v>
      </c>
      <c r="N33" s="38">
        <f t="shared" si="1"/>
        <v>2000.0000000000002</v>
      </c>
      <c r="O33" s="50"/>
      <c r="P33" s="50"/>
      <c r="Q33" s="50"/>
      <c r="R33" s="50"/>
      <c r="S33" s="39"/>
      <c r="T33" s="38">
        <f t="shared" si="2"/>
        <v>2000</v>
      </c>
      <c r="U33" s="40"/>
      <c r="V33" s="54" t="s">
        <v>34</v>
      </c>
      <c r="W33" s="55" t="s">
        <v>285</v>
      </c>
      <c r="X33" s="56" t="s">
        <v>35</v>
      </c>
      <c r="Y33" s="56" t="s">
        <v>36</v>
      </c>
      <c r="AA33" s="150">
        <v>2000</v>
      </c>
      <c r="AB33" s="150">
        <v>0</v>
      </c>
      <c r="AC33" s="150">
        <v>2000</v>
      </c>
      <c r="AD33" s="150">
        <v>2000</v>
      </c>
      <c r="AE33" s="150">
        <v>0</v>
      </c>
      <c r="AF33" s="150">
        <v>2000</v>
      </c>
      <c r="AG33" s="150">
        <v>0</v>
      </c>
    </row>
    <row r="34" spans="1:33" s="44" customFormat="1" ht="15.75" x14ac:dyDescent="0.25">
      <c r="A34" s="45">
        <v>28</v>
      </c>
      <c r="B34" s="29" t="s">
        <v>31</v>
      </c>
      <c r="C34" s="46">
        <v>50158</v>
      </c>
      <c r="D34" s="45">
        <v>33478</v>
      </c>
      <c r="E34" s="45">
        <v>28069</v>
      </c>
      <c r="F34" s="47" t="s">
        <v>79</v>
      </c>
      <c r="G34" s="48" t="s">
        <v>68</v>
      </c>
      <c r="H34" s="49">
        <f>VLOOKUP(D34,[2]PG_Payroll_Run_Report__Shared__!$A$6:$F$151,6,FALSE)</f>
        <v>41609</v>
      </c>
      <c r="I34" s="50">
        <v>1200</v>
      </c>
      <c r="J34" s="50">
        <v>1160</v>
      </c>
      <c r="K34" s="51">
        <f t="shared" si="0"/>
        <v>2360</v>
      </c>
      <c r="L34" s="50"/>
      <c r="M34" s="52">
        <v>30</v>
      </c>
      <c r="N34" s="38">
        <f t="shared" si="1"/>
        <v>2360</v>
      </c>
      <c r="O34" s="50"/>
      <c r="P34" s="50"/>
      <c r="Q34" s="50"/>
      <c r="R34" s="50"/>
      <c r="S34" s="57"/>
      <c r="T34" s="38">
        <f t="shared" si="2"/>
        <v>2360</v>
      </c>
      <c r="U34" s="40"/>
      <c r="V34" s="54" t="s">
        <v>80</v>
      </c>
      <c r="W34" s="55" t="s">
        <v>81</v>
      </c>
      <c r="X34" s="56" t="s">
        <v>35</v>
      </c>
      <c r="Y34" s="56" t="s">
        <v>36</v>
      </c>
      <c r="AA34" s="150">
        <v>2360</v>
      </c>
      <c r="AB34" s="150">
        <v>0</v>
      </c>
      <c r="AC34" s="150">
        <v>2360</v>
      </c>
      <c r="AD34" s="150">
        <v>2360</v>
      </c>
      <c r="AE34" s="150">
        <v>0</v>
      </c>
      <c r="AF34" s="150">
        <v>2360</v>
      </c>
      <c r="AG34" s="150">
        <v>0</v>
      </c>
    </row>
    <row r="35" spans="1:33" s="44" customFormat="1" ht="15.75" x14ac:dyDescent="0.25">
      <c r="A35" s="45">
        <v>29</v>
      </c>
      <c r="B35" s="29" t="s">
        <v>31</v>
      </c>
      <c r="C35" s="46">
        <v>50166</v>
      </c>
      <c r="D35" s="45">
        <v>33447</v>
      </c>
      <c r="E35" s="45">
        <v>28072</v>
      </c>
      <c r="F35" s="47" t="s">
        <v>82</v>
      </c>
      <c r="G35" s="48" t="s">
        <v>83</v>
      </c>
      <c r="H35" s="49">
        <f>VLOOKUP(D35,[2]PG_Payroll_Run_Report__Shared__!$A$6:$F$151,6,FALSE)</f>
        <v>41640</v>
      </c>
      <c r="I35" s="50">
        <v>1200</v>
      </c>
      <c r="J35" s="50">
        <v>1160</v>
      </c>
      <c r="K35" s="51">
        <f t="shared" si="0"/>
        <v>2360</v>
      </c>
      <c r="L35" s="50"/>
      <c r="M35" s="52">
        <v>30</v>
      </c>
      <c r="N35" s="38">
        <f t="shared" si="1"/>
        <v>2360</v>
      </c>
      <c r="O35" s="50"/>
      <c r="P35" s="50"/>
      <c r="Q35" s="50"/>
      <c r="R35" s="50"/>
      <c r="S35" s="57"/>
      <c r="T35" s="38">
        <f t="shared" si="2"/>
        <v>2360</v>
      </c>
      <c r="U35" s="40"/>
      <c r="V35" s="54" t="s">
        <v>80</v>
      </c>
      <c r="W35" s="55" t="s">
        <v>84</v>
      </c>
      <c r="X35" s="56" t="s">
        <v>35</v>
      </c>
      <c r="Y35" s="56" t="s">
        <v>36</v>
      </c>
      <c r="AA35" s="150">
        <v>2360</v>
      </c>
      <c r="AB35" s="150">
        <v>0</v>
      </c>
      <c r="AC35" s="150">
        <v>2360</v>
      </c>
      <c r="AD35" s="150">
        <v>2360</v>
      </c>
      <c r="AE35" s="150">
        <v>0</v>
      </c>
      <c r="AF35" s="150">
        <v>2360</v>
      </c>
      <c r="AG35" s="150">
        <v>0</v>
      </c>
    </row>
    <row r="36" spans="1:33" s="44" customFormat="1" ht="15.75" x14ac:dyDescent="0.25">
      <c r="A36" s="45">
        <v>30</v>
      </c>
      <c r="B36" s="29" t="s">
        <v>31</v>
      </c>
      <c r="C36" s="46">
        <v>50193</v>
      </c>
      <c r="D36" s="45">
        <v>33698</v>
      </c>
      <c r="E36" s="45">
        <v>27773</v>
      </c>
      <c r="F36" s="47" t="s">
        <v>85</v>
      </c>
      <c r="G36" s="48" t="s">
        <v>68</v>
      </c>
      <c r="H36" s="49">
        <f>VLOOKUP(D36,[2]PG_Payroll_Run_Report__Shared__!$A$6:$F$151,6,FALSE)</f>
        <v>43375</v>
      </c>
      <c r="I36" s="50">
        <v>1200</v>
      </c>
      <c r="J36" s="50">
        <v>1040</v>
      </c>
      <c r="K36" s="51">
        <f t="shared" si="0"/>
        <v>2240</v>
      </c>
      <c r="L36" s="50"/>
      <c r="M36" s="52">
        <v>30</v>
      </c>
      <c r="N36" s="38">
        <f t="shared" si="1"/>
        <v>2240</v>
      </c>
      <c r="O36" s="50"/>
      <c r="P36" s="50"/>
      <c r="Q36" s="50"/>
      <c r="R36" s="50"/>
      <c r="S36" s="57"/>
      <c r="T36" s="38">
        <f t="shared" si="2"/>
        <v>2240</v>
      </c>
      <c r="U36" s="40"/>
      <c r="V36" s="54" t="s">
        <v>86</v>
      </c>
      <c r="W36" s="55" t="s">
        <v>87</v>
      </c>
      <c r="X36" s="56" t="s">
        <v>35</v>
      </c>
      <c r="Y36" s="56" t="s">
        <v>41</v>
      </c>
      <c r="AA36" s="150">
        <v>2240</v>
      </c>
      <c r="AB36" s="150">
        <v>0</v>
      </c>
      <c r="AC36" s="150">
        <v>2240</v>
      </c>
      <c r="AD36" s="150">
        <v>2240</v>
      </c>
      <c r="AE36" s="150">
        <v>0</v>
      </c>
      <c r="AF36" s="150">
        <v>2240</v>
      </c>
      <c r="AG36" s="150">
        <v>0</v>
      </c>
    </row>
    <row r="37" spans="1:33" s="44" customFormat="1" ht="15.75" x14ac:dyDescent="0.25">
      <c r="A37" s="45">
        <v>31</v>
      </c>
      <c r="B37" s="29" t="s">
        <v>31</v>
      </c>
      <c r="C37" s="46">
        <v>50240</v>
      </c>
      <c r="D37" s="45">
        <v>34492</v>
      </c>
      <c r="E37" s="45">
        <v>27952</v>
      </c>
      <c r="F37" s="47" t="s">
        <v>88</v>
      </c>
      <c r="G37" s="48" t="s">
        <v>33</v>
      </c>
      <c r="H37" s="49">
        <f>VLOOKUP(D37,[2]PG_Payroll_Run_Report__Shared__!$A$6:$F$151,6,FALSE)</f>
        <v>43650</v>
      </c>
      <c r="I37" s="50">
        <v>1200</v>
      </c>
      <c r="J37" s="50">
        <v>800</v>
      </c>
      <c r="K37" s="51">
        <f t="shared" si="0"/>
        <v>2000</v>
      </c>
      <c r="L37" s="50"/>
      <c r="M37" s="52">
        <v>30</v>
      </c>
      <c r="N37" s="38">
        <f t="shared" si="1"/>
        <v>2000.0000000000002</v>
      </c>
      <c r="O37" s="50"/>
      <c r="P37" s="50"/>
      <c r="Q37" s="50"/>
      <c r="R37" s="50"/>
      <c r="S37" s="57"/>
      <c r="T37" s="38">
        <f t="shared" si="2"/>
        <v>2000</v>
      </c>
      <c r="U37" s="40"/>
      <c r="V37" s="54" t="s">
        <v>34</v>
      </c>
      <c r="W37" s="55" t="s">
        <v>286</v>
      </c>
      <c r="X37" s="56" t="s">
        <v>35</v>
      </c>
      <c r="Y37" s="56" t="s">
        <v>41</v>
      </c>
      <c r="AA37" s="150">
        <v>2000</v>
      </c>
      <c r="AB37" s="150">
        <v>0</v>
      </c>
      <c r="AC37" s="150">
        <v>2000</v>
      </c>
      <c r="AD37" s="150">
        <v>2000</v>
      </c>
      <c r="AE37" s="150">
        <v>0</v>
      </c>
      <c r="AF37" s="150">
        <v>2000</v>
      </c>
      <c r="AG37" s="150">
        <v>0</v>
      </c>
    </row>
    <row r="38" spans="1:33" s="44" customFormat="1" ht="15.75" x14ac:dyDescent="0.25">
      <c r="A38" s="45">
        <v>32</v>
      </c>
      <c r="B38" s="29" t="s">
        <v>31</v>
      </c>
      <c r="C38" s="46">
        <v>50094</v>
      </c>
      <c r="D38" s="45">
        <v>33507</v>
      </c>
      <c r="E38" s="45">
        <v>27988</v>
      </c>
      <c r="F38" s="47" t="s">
        <v>89</v>
      </c>
      <c r="G38" s="48" t="s">
        <v>59</v>
      </c>
      <c r="H38" s="49">
        <f>VLOOKUP(D38,[2]PG_Payroll_Run_Report__Shared__!$A$6:$F$151,6,FALSE)</f>
        <v>41609</v>
      </c>
      <c r="I38" s="50">
        <v>1200</v>
      </c>
      <c r="J38" s="50">
        <v>1480</v>
      </c>
      <c r="K38" s="51">
        <f t="shared" si="0"/>
        <v>2680</v>
      </c>
      <c r="L38" s="50"/>
      <c r="M38" s="52">
        <v>30</v>
      </c>
      <c r="N38" s="38">
        <f t="shared" si="1"/>
        <v>2680</v>
      </c>
      <c r="O38" s="50"/>
      <c r="P38" s="50"/>
      <c r="Q38" s="50"/>
      <c r="R38" s="50"/>
      <c r="S38" s="57"/>
      <c r="T38" s="38">
        <f t="shared" si="2"/>
        <v>2680</v>
      </c>
      <c r="U38" s="40"/>
      <c r="V38" s="54" t="s">
        <v>34</v>
      </c>
      <c r="W38" s="55" t="s">
        <v>287</v>
      </c>
      <c r="X38" s="56" t="s">
        <v>35</v>
      </c>
      <c r="Y38" s="56" t="s">
        <v>41</v>
      </c>
      <c r="AA38" s="150">
        <v>2680</v>
      </c>
      <c r="AB38" s="150">
        <v>0</v>
      </c>
      <c r="AC38" s="150">
        <v>2680</v>
      </c>
      <c r="AD38" s="150">
        <v>2680</v>
      </c>
      <c r="AE38" s="150">
        <v>0</v>
      </c>
      <c r="AF38" s="150">
        <v>2680</v>
      </c>
      <c r="AG38" s="150">
        <v>0</v>
      </c>
    </row>
    <row r="39" spans="1:33" s="44" customFormat="1" ht="15.75" x14ac:dyDescent="0.25">
      <c r="A39" s="45">
        <v>33</v>
      </c>
      <c r="B39" s="29" t="s">
        <v>31</v>
      </c>
      <c r="C39" s="46">
        <v>50127</v>
      </c>
      <c r="D39" s="45">
        <v>33519</v>
      </c>
      <c r="E39" s="45">
        <v>27992</v>
      </c>
      <c r="F39" s="47" t="s">
        <v>90</v>
      </c>
      <c r="G39" s="48" t="s">
        <v>45</v>
      </c>
      <c r="H39" s="49">
        <f>VLOOKUP(D39,[2]PG_Payroll_Run_Report__Shared__!$A$6:$F$151,6,FALSE)</f>
        <v>41730</v>
      </c>
      <c r="I39" s="50">
        <v>6420</v>
      </c>
      <c r="J39" s="50">
        <v>9630</v>
      </c>
      <c r="K39" s="51">
        <f t="shared" si="0"/>
        <v>16050</v>
      </c>
      <c r="L39" s="50"/>
      <c r="M39" s="52">
        <v>30</v>
      </c>
      <c r="N39" s="63">
        <f t="shared" si="1"/>
        <v>16050</v>
      </c>
      <c r="O39" s="50"/>
      <c r="P39" s="50"/>
      <c r="Q39" s="50"/>
      <c r="R39" s="50"/>
      <c r="S39" s="57"/>
      <c r="T39" s="38">
        <f t="shared" si="2"/>
        <v>16050</v>
      </c>
      <c r="U39" s="60" t="s">
        <v>91</v>
      </c>
      <c r="V39" s="54" t="s">
        <v>34</v>
      </c>
      <c r="W39" s="55" t="s">
        <v>288</v>
      </c>
      <c r="X39" s="56" t="s">
        <v>35</v>
      </c>
      <c r="Y39" s="56" t="s">
        <v>36</v>
      </c>
      <c r="AA39" s="150">
        <v>16050</v>
      </c>
      <c r="AB39" s="150">
        <v>0</v>
      </c>
      <c r="AC39" s="150">
        <v>16050</v>
      </c>
      <c r="AD39" s="150">
        <v>16050</v>
      </c>
      <c r="AE39" s="150">
        <v>0</v>
      </c>
      <c r="AF39" s="150">
        <v>16050</v>
      </c>
      <c r="AG39" s="150">
        <v>0</v>
      </c>
    </row>
    <row r="40" spans="1:33" s="44" customFormat="1" ht="15.75" x14ac:dyDescent="0.25">
      <c r="A40" s="45">
        <v>34</v>
      </c>
      <c r="B40" s="29" t="s">
        <v>31</v>
      </c>
      <c r="C40" s="46">
        <v>50150</v>
      </c>
      <c r="D40" s="45">
        <v>33536</v>
      </c>
      <c r="E40" s="45">
        <v>28001</v>
      </c>
      <c r="F40" s="47" t="s">
        <v>92</v>
      </c>
      <c r="G40" s="48" t="s">
        <v>33</v>
      </c>
      <c r="H40" s="49">
        <f>VLOOKUP(D40,[2]PG_Payroll_Run_Report__Shared__!$A$6:$F$151,6,FALSE)</f>
        <v>41640</v>
      </c>
      <c r="I40" s="50">
        <v>1200</v>
      </c>
      <c r="J40" s="50">
        <v>1160</v>
      </c>
      <c r="K40" s="51">
        <f t="shared" si="0"/>
        <v>2360</v>
      </c>
      <c r="L40" s="50"/>
      <c r="M40" s="52">
        <v>30</v>
      </c>
      <c r="N40" s="38">
        <f t="shared" si="1"/>
        <v>2360</v>
      </c>
      <c r="O40" s="50"/>
      <c r="P40" s="50"/>
      <c r="Q40" s="50"/>
      <c r="R40" s="50"/>
      <c r="S40" s="57"/>
      <c r="T40" s="38">
        <f t="shared" si="2"/>
        <v>2360</v>
      </c>
      <c r="U40" s="40"/>
      <c r="V40" s="54" t="s">
        <v>34</v>
      </c>
      <c r="W40" s="55" t="s">
        <v>289</v>
      </c>
      <c r="X40" s="56" t="s">
        <v>35</v>
      </c>
      <c r="Y40" s="56" t="s">
        <v>36</v>
      </c>
      <c r="AA40" s="150">
        <v>2360</v>
      </c>
      <c r="AB40" s="150">
        <v>0</v>
      </c>
      <c r="AC40" s="150">
        <v>2360</v>
      </c>
      <c r="AD40" s="150">
        <v>2360</v>
      </c>
      <c r="AE40" s="150">
        <v>0</v>
      </c>
      <c r="AF40" s="150">
        <v>2360</v>
      </c>
      <c r="AG40" s="150">
        <v>0</v>
      </c>
    </row>
    <row r="41" spans="1:33" s="44" customFormat="1" ht="15.75" x14ac:dyDescent="0.25">
      <c r="A41" s="45">
        <v>35</v>
      </c>
      <c r="B41" s="29" t="s">
        <v>31</v>
      </c>
      <c r="C41" s="46">
        <v>50136</v>
      </c>
      <c r="D41" s="45">
        <v>33555</v>
      </c>
      <c r="E41" s="45">
        <v>28009</v>
      </c>
      <c r="F41" s="47" t="s">
        <v>93</v>
      </c>
      <c r="G41" s="48" t="s">
        <v>45</v>
      </c>
      <c r="H41" s="49">
        <f>VLOOKUP(D41,[2]PG_Payroll_Run_Report__Shared__!$A$6:$F$151,6,FALSE)</f>
        <v>41730</v>
      </c>
      <c r="I41" s="50">
        <v>6420</v>
      </c>
      <c r="J41" s="50">
        <v>9630</v>
      </c>
      <c r="K41" s="51">
        <f t="shared" si="0"/>
        <v>16050</v>
      </c>
      <c r="L41" s="50"/>
      <c r="M41" s="52">
        <v>30</v>
      </c>
      <c r="N41" s="38">
        <f t="shared" si="1"/>
        <v>16050</v>
      </c>
      <c r="O41" s="50"/>
      <c r="P41" s="50"/>
      <c r="Q41" s="50"/>
      <c r="R41" s="50">
        <f>-K41*7.5%</f>
        <v>-1203.75</v>
      </c>
      <c r="S41" s="57"/>
      <c r="T41" s="38">
        <f t="shared" si="2"/>
        <v>14846</v>
      </c>
      <c r="U41" s="60" t="s">
        <v>48</v>
      </c>
      <c r="V41" s="54" t="s">
        <v>34</v>
      </c>
      <c r="W41" s="55" t="s">
        <v>290</v>
      </c>
      <c r="X41" s="56" t="s">
        <v>35</v>
      </c>
      <c r="Y41" s="56" t="s">
        <v>41</v>
      </c>
      <c r="AA41" s="150">
        <v>17815.5</v>
      </c>
      <c r="AB41" s="150">
        <v>1765.5</v>
      </c>
      <c r="AC41" s="150">
        <v>16050</v>
      </c>
      <c r="AD41" s="150">
        <v>14846</v>
      </c>
      <c r="AE41" s="150">
        <v>-1203.75</v>
      </c>
      <c r="AF41" s="150">
        <v>16049.75</v>
      </c>
      <c r="AG41" s="150">
        <v>0.25</v>
      </c>
    </row>
    <row r="42" spans="1:33" s="44" customFormat="1" ht="31.5" x14ac:dyDescent="0.25">
      <c r="A42" s="45">
        <v>36</v>
      </c>
      <c r="B42" s="29" t="s">
        <v>31</v>
      </c>
      <c r="C42" s="46">
        <v>50100</v>
      </c>
      <c r="D42" s="45">
        <v>33573</v>
      </c>
      <c r="E42" s="45">
        <v>28010</v>
      </c>
      <c r="F42" s="47" t="s">
        <v>94</v>
      </c>
      <c r="G42" s="48" t="s">
        <v>95</v>
      </c>
      <c r="H42" s="49">
        <f>VLOOKUP(D42,[2]PG_Payroll_Run_Report__Shared__!$A$6:$F$151,6,FALSE)</f>
        <v>41730</v>
      </c>
      <c r="I42" s="50">
        <v>1200</v>
      </c>
      <c r="J42" s="50">
        <v>3800</v>
      </c>
      <c r="K42" s="51">
        <f t="shared" si="0"/>
        <v>5000</v>
      </c>
      <c r="L42" s="50"/>
      <c r="M42" s="52">
        <v>30</v>
      </c>
      <c r="N42" s="38">
        <f t="shared" si="1"/>
        <v>5000</v>
      </c>
      <c r="O42" s="50"/>
      <c r="P42" s="50"/>
      <c r="Q42" s="50"/>
      <c r="R42" s="50"/>
      <c r="S42" s="57"/>
      <c r="T42" s="38">
        <f t="shared" si="2"/>
        <v>5000</v>
      </c>
      <c r="U42" s="40"/>
      <c r="V42" s="54" t="s">
        <v>34</v>
      </c>
      <c r="W42" s="55" t="s">
        <v>291</v>
      </c>
      <c r="X42" s="56" t="s">
        <v>35</v>
      </c>
      <c r="Y42" s="56" t="s">
        <v>36</v>
      </c>
      <c r="AA42" s="150">
        <v>5000</v>
      </c>
      <c r="AB42" s="150">
        <v>0</v>
      </c>
      <c r="AC42" s="150">
        <v>5000</v>
      </c>
      <c r="AD42" s="150">
        <v>5000</v>
      </c>
      <c r="AE42" s="150">
        <v>0</v>
      </c>
      <c r="AF42" s="150">
        <v>5000</v>
      </c>
      <c r="AG42" s="150">
        <v>0</v>
      </c>
    </row>
    <row r="43" spans="1:33" s="44" customFormat="1" ht="15.75" x14ac:dyDescent="0.25">
      <c r="A43" s="45">
        <v>37</v>
      </c>
      <c r="B43" s="29" t="s">
        <v>31</v>
      </c>
      <c r="C43" s="46">
        <v>50152</v>
      </c>
      <c r="D43" s="45">
        <v>33476</v>
      </c>
      <c r="E43" s="45">
        <v>28068</v>
      </c>
      <c r="F43" s="47" t="s">
        <v>96</v>
      </c>
      <c r="G43" s="48" t="s">
        <v>33</v>
      </c>
      <c r="H43" s="49">
        <f>VLOOKUP(D43,[2]PG_Payroll_Run_Report__Shared__!$A$6:$F$151,6,FALSE)</f>
        <v>41609</v>
      </c>
      <c r="I43" s="50">
        <v>1200</v>
      </c>
      <c r="J43" s="50">
        <v>1160</v>
      </c>
      <c r="K43" s="51">
        <f t="shared" si="0"/>
        <v>2360</v>
      </c>
      <c r="L43" s="50"/>
      <c r="M43" s="52">
        <v>30</v>
      </c>
      <c r="N43" s="38">
        <f t="shared" si="1"/>
        <v>2360</v>
      </c>
      <c r="O43" s="50"/>
      <c r="P43" s="50"/>
      <c r="Q43" s="50"/>
      <c r="R43" s="50"/>
      <c r="S43" s="57"/>
      <c r="T43" s="38">
        <f t="shared" si="2"/>
        <v>2360</v>
      </c>
      <c r="U43" s="40"/>
      <c r="V43" s="54" t="s">
        <v>86</v>
      </c>
      <c r="W43" s="55" t="s">
        <v>97</v>
      </c>
      <c r="X43" s="56" t="s">
        <v>35</v>
      </c>
      <c r="Y43" s="56" t="s">
        <v>36</v>
      </c>
      <c r="AA43" s="150">
        <v>2360</v>
      </c>
      <c r="AB43" s="150">
        <v>0</v>
      </c>
      <c r="AC43" s="150">
        <v>2360</v>
      </c>
      <c r="AD43" s="150">
        <v>2360</v>
      </c>
      <c r="AE43" s="150">
        <v>0</v>
      </c>
      <c r="AF43" s="150">
        <v>2360</v>
      </c>
      <c r="AG43" s="150">
        <v>0</v>
      </c>
    </row>
    <row r="44" spans="1:33" s="44" customFormat="1" ht="15.75" x14ac:dyDescent="0.25">
      <c r="A44" s="45">
        <v>38</v>
      </c>
      <c r="B44" s="29" t="s">
        <v>31</v>
      </c>
      <c r="C44" s="157">
        <v>50091</v>
      </c>
      <c r="D44" s="45">
        <v>33505</v>
      </c>
      <c r="E44" s="45">
        <v>28134</v>
      </c>
      <c r="F44" s="47" t="s">
        <v>98</v>
      </c>
      <c r="G44" s="48" t="s">
        <v>33</v>
      </c>
      <c r="H44" s="49">
        <f>VLOOKUP(D44,[2]PG_Payroll_Run_Report__Shared__!$A$6:$F$151,6,FALSE)</f>
        <v>41609</v>
      </c>
      <c r="I44" s="50">
        <v>1200</v>
      </c>
      <c r="J44" s="50">
        <v>1480</v>
      </c>
      <c r="K44" s="51">
        <f t="shared" si="0"/>
        <v>2680</v>
      </c>
      <c r="L44" s="50"/>
      <c r="M44" s="52">
        <v>30</v>
      </c>
      <c r="N44" s="38">
        <f t="shared" si="1"/>
        <v>2680</v>
      </c>
      <c r="O44" s="50"/>
      <c r="P44" s="50"/>
      <c r="Q44" s="50"/>
      <c r="R44" s="50"/>
      <c r="S44" s="57">
        <f>-76</f>
        <v>-76</v>
      </c>
      <c r="T44" s="38">
        <f t="shared" si="2"/>
        <v>2604</v>
      </c>
      <c r="U44" s="64" t="s">
        <v>99</v>
      </c>
      <c r="V44" s="54" t="s">
        <v>100</v>
      </c>
      <c r="W44" s="55" t="s">
        <v>101</v>
      </c>
      <c r="X44" s="56" t="s">
        <v>35</v>
      </c>
      <c r="Y44" s="56" t="s">
        <v>36</v>
      </c>
      <c r="AA44" s="150">
        <v>2604</v>
      </c>
      <c r="AB44" s="150">
        <v>0</v>
      </c>
      <c r="AC44" s="150">
        <v>2604</v>
      </c>
      <c r="AD44" s="150">
        <v>2604</v>
      </c>
      <c r="AE44" s="150">
        <v>0</v>
      </c>
      <c r="AF44" s="150">
        <v>2604</v>
      </c>
      <c r="AG44" s="150">
        <v>0</v>
      </c>
    </row>
    <row r="45" spans="1:33" s="44" customFormat="1" ht="15.75" x14ac:dyDescent="0.25">
      <c r="A45" s="45">
        <v>39</v>
      </c>
      <c r="B45" s="29" t="s">
        <v>31</v>
      </c>
      <c r="C45" s="46">
        <v>50254</v>
      </c>
      <c r="D45" s="45">
        <v>43722</v>
      </c>
      <c r="E45" s="45">
        <v>28163</v>
      </c>
      <c r="F45" s="47" t="s">
        <v>102</v>
      </c>
      <c r="G45" s="48" t="s">
        <v>45</v>
      </c>
      <c r="H45" s="49">
        <f>VLOOKUP(D45,[2]PG_Payroll_Run_Report__Shared__!$A$6:$F$151,6,FALSE)</f>
        <v>44691</v>
      </c>
      <c r="I45" s="50">
        <v>1200</v>
      </c>
      <c r="J45" s="50">
        <v>800</v>
      </c>
      <c r="K45" s="51">
        <f t="shared" si="0"/>
        <v>2000</v>
      </c>
      <c r="L45" s="50"/>
      <c r="M45" s="52">
        <v>30</v>
      </c>
      <c r="N45" s="38">
        <f t="shared" si="1"/>
        <v>2000.0000000000002</v>
      </c>
      <c r="O45" s="50"/>
      <c r="P45" s="50"/>
      <c r="Q45" s="50"/>
      <c r="R45" s="50"/>
      <c r="S45" s="57"/>
      <c r="T45" s="38">
        <f t="shared" si="2"/>
        <v>2000</v>
      </c>
      <c r="U45" s="40"/>
      <c r="V45" s="54" t="s">
        <v>103</v>
      </c>
      <c r="W45" s="55" t="s">
        <v>104</v>
      </c>
      <c r="X45" s="56" t="s">
        <v>35</v>
      </c>
      <c r="Y45" s="56" t="s">
        <v>36</v>
      </c>
      <c r="AA45" s="150">
        <v>2000</v>
      </c>
      <c r="AB45" s="150">
        <v>0</v>
      </c>
      <c r="AC45" s="150">
        <v>2000</v>
      </c>
      <c r="AD45" s="150">
        <v>2000</v>
      </c>
      <c r="AE45" s="150">
        <v>0</v>
      </c>
      <c r="AF45" s="150">
        <v>2000</v>
      </c>
      <c r="AG45" s="150">
        <v>0</v>
      </c>
    </row>
    <row r="46" spans="1:33" s="44" customFormat="1" ht="15.75" x14ac:dyDescent="0.25">
      <c r="A46" s="45">
        <v>40</v>
      </c>
      <c r="B46" s="29" t="s">
        <v>31</v>
      </c>
      <c r="C46" s="46">
        <v>50086</v>
      </c>
      <c r="D46" s="45">
        <v>33541</v>
      </c>
      <c r="E46" s="45">
        <v>28356</v>
      </c>
      <c r="F46" s="47" t="s">
        <v>105</v>
      </c>
      <c r="G46" s="48" t="s">
        <v>33</v>
      </c>
      <c r="H46" s="49">
        <f>VLOOKUP(D46,[2]PG_Payroll_Run_Report__Shared__!$A$6:$F$151,6,FALSE)</f>
        <v>41609</v>
      </c>
      <c r="I46" s="50">
        <v>1200</v>
      </c>
      <c r="J46" s="50">
        <v>1480</v>
      </c>
      <c r="K46" s="51">
        <f t="shared" si="0"/>
        <v>2680</v>
      </c>
      <c r="L46" s="50"/>
      <c r="M46" s="52">
        <v>30</v>
      </c>
      <c r="N46" s="38">
        <f t="shared" si="1"/>
        <v>2680</v>
      </c>
      <c r="O46" s="50"/>
      <c r="P46" s="50"/>
      <c r="Q46" s="50"/>
      <c r="R46" s="50"/>
      <c r="S46" s="57"/>
      <c r="T46" s="38">
        <f t="shared" si="2"/>
        <v>2680</v>
      </c>
      <c r="U46" s="40"/>
      <c r="V46" s="54" t="s">
        <v>63</v>
      </c>
      <c r="W46" s="55" t="s">
        <v>292</v>
      </c>
      <c r="X46" s="56" t="s">
        <v>35</v>
      </c>
      <c r="Y46" s="56" t="s">
        <v>41</v>
      </c>
      <c r="AA46" s="150">
        <v>2680</v>
      </c>
      <c r="AB46" s="150">
        <v>0</v>
      </c>
      <c r="AC46" s="150">
        <v>2680</v>
      </c>
      <c r="AD46" s="150">
        <v>2680</v>
      </c>
      <c r="AE46" s="150">
        <v>0</v>
      </c>
      <c r="AF46" s="150">
        <v>2680</v>
      </c>
      <c r="AG46" s="150">
        <v>0</v>
      </c>
    </row>
    <row r="47" spans="1:33" s="44" customFormat="1" ht="15.75" x14ac:dyDescent="0.25">
      <c r="A47" s="45">
        <v>41</v>
      </c>
      <c r="B47" s="29" t="s">
        <v>31</v>
      </c>
      <c r="C47" s="46">
        <v>50101</v>
      </c>
      <c r="D47" s="45">
        <v>33578</v>
      </c>
      <c r="E47" s="45">
        <v>27769</v>
      </c>
      <c r="F47" s="47" t="s">
        <v>106</v>
      </c>
      <c r="G47" s="48" t="s">
        <v>107</v>
      </c>
      <c r="H47" s="49">
        <f>VLOOKUP(D47,[2]PG_Payroll_Run_Report__Shared__!$A$6:$F$151,6,FALSE)</f>
        <v>41730</v>
      </c>
      <c r="I47" s="50">
        <v>1500</v>
      </c>
      <c r="J47" s="50">
        <v>5200</v>
      </c>
      <c r="K47" s="51">
        <f t="shared" si="0"/>
        <v>6700</v>
      </c>
      <c r="L47" s="50"/>
      <c r="M47" s="52">
        <v>30</v>
      </c>
      <c r="N47" s="38">
        <f t="shared" si="1"/>
        <v>6700</v>
      </c>
      <c r="O47" s="50"/>
      <c r="P47" s="50"/>
      <c r="Q47" s="50"/>
      <c r="R47" s="50"/>
      <c r="S47" s="57"/>
      <c r="T47" s="38">
        <f t="shared" si="2"/>
        <v>6700</v>
      </c>
      <c r="U47" s="60"/>
      <c r="V47" s="54" t="s">
        <v>86</v>
      </c>
      <c r="W47" s="55" t="s">
        <v>108</v>
      </c>
      <c r="X47" s="56" t="s">
        <v>109</v>
      </c>
      <c r="Y47" s="56" t="s">
        <v>109</v>
      </c>
      <c r="AA47" s="150">
        <v>6700</v>
      </c>
      <c r="AB47" s="150">
        <v>0</v>
      </c>
      <c r="AC47" s="150">
        <v>6700</v>
      </c>
      <c r="AD47" s="150">
        <v>6700</v>
      </c>
      <c r="AE47" s="150">
        <v>0</v>
      </c>
      <c r="AF47" s="150">
        <v>6700</v>
      </c>
      <c r="AG47" s="150">
        <v>0</v>
      </c>
    </row>
    <row r="48" spans="1:33" s="44" customFormat="1" ht="15.75" x14ac:dyDescent="0.25">
      <c r="A48" s="45">
        <v>42</v>
      </c>
      <c r="B48" s="29" t="s">
        <v>31</v>
      </c>
      <c r="C48" s="46">
        <v>50201</v>
      </c>
      <c r="D48" s="45">
        <v>33687</v>
      </c>
      <c r="E48" s="45">
        <v>27770</v>
      </c>
      <c r="F48" s="47" t="s">
        <v>110</v>
      </c>
      <c r="G48" s="48" t="s">
        <v>68</v>
      </c>
      <c r="H48" s="49">
        <f>VLOOKUP(D48,[2]PG_Payroll_Run_Report__Shared__!$A$6:$F$151,6,FALSE)</f>
        <v>43403</v>
      </c>
      <c r="I48" s="50">
        <v>1200</v>
      </c>
      <c r="J48" s="50">
        <v>1040</v>
      </c>
      <c r="K48" s="51">
        <f t="shared" si="0"/>
        <v>2240</v>
      </c>
      <c r="L48" s="50"/>
      <c r="M48" s="52">
        <v>30</v>
      </c>
      <c r="N48" s="38">
        <f t="shared" si="1"/>
        <v>2240</v>
      </c>
      <c r="O48" s="50"/>
      <c r="P48" s="50"/>
      <c r="Q48" s="50"/>
      <c r="R48" s="50"/>
      <c r="S48" s="39"/>
      <c r="T48" s="38">
        <f t="shared" si="2"/>
        <v>2240</v>
      </c>
      <c r="U48" s="40"/>
      <c r="V48" s="54" t="s">
        <v>86</v>
      </c>
      <c r="W48" s="55" t="s">
        <v>111</v>
      </c>
      <c r="X48" s="56" t="s">
        <v>35</v>
      </c>
      <c r="Y48" s="56" t="s">
        <v>41</v>
      </c>
      <c r="AA48" s="150">
        <v>2240</v>
      </c>
      <c r="AB48" s="150">
        <v>0</v>
      </c>
      <c r="AC48" s="150">
        <v>2240</v>
      </c>
      <c r="AD48" s="150">
        <v>2240</v>
      </c>
      <c r="AE48" s="150">
        <v>0</v>
      </c>
      <c r="AF48" s="150">
        <v>2240</v>
      </c>
      <c r="AG48" s="150">
        <v>0</v>
      </c>
    </row>
    <row r="49" spans="1:33" s="44" customFormat="1" ht="31.5" x14ac:dyDescent="0.25">
      <c r="A49" s="45">
        <v>43</v>
      </c>
      <c r="B49" s="29" t="s">
        <v>31</v>
      </c>
      <c r="C49" s="46">
        <v>50207</v>
      </c>
      <c r="D49" s="45">
        <v>33693</v>
      </c>
      <c r="E49" s="45">
        <v>27772</v>
      </c>
      <c r="F49" s="47" t="s">
        <v>112</v>
      </c>
      <c r="G49" s="48" t="s">
        <v>68</v>
      </c>
      <c r="H49" s="49">
        <f>VLOOKUP(D49,[2]PG_Payroll_Run_Report__Shared__!$A$6:$F$151,6,FALSE)</f>
        <v>43414</v>
      </c>
      <c r="I49" s="50">
        <v>1200</v>
      </c>
      <c r="J49" s="50">
        <v>1040</v>
      </c>
      <c r="K49" s="51">
        <f t="shared" si="0"/>
        <v>2240</v>
      </c>
      <c r="L49" s="50"/>
      <c r="M49" s="52">
        <v>30</v>
      </c>
      <c r="N49" s="38">
        <f t="shared" si="1"/>
        <v>2240</v>
      </c>
      <c r="O49" s="50"/>
      <c r="P49" s="50"/>
      <c r="Q49" s="50"/>
      <c r="R49" s="50"/>
      <c r="S49" s="57"/>
      <c r="T49" s="38">
        <f t="shared" si="2"/>
        <v>2240</v>
      </c>
      <c r="U49" s="40"/>
      <c r="V49" s="54" t="s">
        <v>86</v>
      </c>
      <c r="W49" s="55" t="s">
        <v>113</v>
      </c>
      <c r="X49" s="56" t="s">
        <v>35</v>
      </c>
      <c r="Y49" s="56" t="s">
        <v>36</v>
      </c>
      <c r="AA49" s="150">
        <v>2240</v>
      </c>
      <c r="AB49" s="150">
        <v>0</v>
      </c>
      <c r="AC49" s="150">
        <v>2240</v>
      </c>
      <c r="AD49" s="150">
        <v>2240</v>
      </c>
      <c r="AE49" s="150">
        <v>0</v>
      </c>
      <c r="AF49" s="150">
        <v>2240</v>
      </c>
      <c r="AG49" s="150">
        <v>0</v>
      </c>
    </row>
    <row r="50" spans="1:33" s="44" customFormat="1" ht="15.75" x14ac:dyDescent="0.25">
      <c r="A50" s="45">
        <v>44</v>
      </c>
      <c r="B50" s="29" t="s">
        <v>31</v>
      </c>
      <c r="C50" s="46">
        <v>50145</v>
      </c>
      <c r="D50" s="45">
        <v>33445</v>
      </c>
      <c r="E50" s="45">
        <v>27948</v>
      </c>
      <c r="F50" s="47" t="s">
        <v>114</v>
      </c>
      <c r="G50" s="48" t="s">
        <v>33</v>
      </c>
      <c r="H50" s="49">
        <f>VLOOKUP(D50,[2]PG_Payroll_Run_Report__Shared__!$A$6:$F$151,6,FALSE)</f>
        <v>41640</v>
      </c>
      <c r="I50" s="50">
        <v>1200</v>
      </c>
      <c r="J50" s="50">
        <v>1160</v>
      </c>
      <c r="K50" s="51">
        <f t="shared" si="0"/>
        <v>2360</v>
      </c>
      <c r="L50" s="50"/>
      <c r="M50" s="52">
        <v>30</v>
      </c>
      <c r="N50" s="38">
        <f t="shared" si="1"/>
        <v>2360</v>
      </c>
      <c r="O50" s="50"/>
      <c r="P50" s="50"/>
      <c r="Q50" s="50"/>
      <c r="R50" s="50"/>
      <c r="S50" s="57"/>
      <c r="T50" s="38">
        <f t="shared" si="2"/>
        <v>2360</v>
      </c>
      <c r="U50" s="40"/>
      <c r="V50" s="54" t="s">
        <v>34</v>
      </c>
      <c r="W50" s="55" t="s">
        <v>293</v>
      </c>
      <c r="X50" s="56" t="s">
        <v>35</v>
      </c>
      <c r="Y50" s="56" t="s">
        <v>36</v>
      </c>
      <c r="AA50" s="150">
        <v>2360</v>
      </c>
      <c r="AB50" s="150">
        <v>0</v>
      </c>
      <c r="AC50" s="150">
        <v>2360</v>
      </c>
      <c r="AD50" s="150">
        <v>2360</v>
      </c>
      <c r="AE50" s="150">
        <v>0</v>
      </c>
      <c r="AF50" s="150">
        <v>2360</v>
      </c>
      <c r="AG50" s="150">
        <v>0</v>
      </c>
    </row>
    <row r="51" spans="1:33" s="44" customFormat="1" ht="15.75" x14ac:dyDescent="0.25">
      <c r="A51" s="45">
        <v>45</v>
      </c>
      <c r="B51" s="29" t="s">
        <v>31</v>
      </c>
      <c r="C51" s="46">
        <v>50237</v>
      </c>
      <c r="D51" s="45">
        <v>34430</v>
      </c>
      <c r="E51" s="45">
        <v>27949</v>
      </c>
      <c r="F51" s="47" t="s">
        <v>115</v>
      </c>
      <c r="G51" s="48" t="s">
        <v>33</v>
      </c>
      <c r="H51" s="49">
        <f>VLOOKUP(D51,[2]PG_Payroll_Run_Report__Shared__!$A$6:$F$151,6,FALSE)</f>
        <v>43632</v>
      </c>
      <c r="I51" s="50">
        <v>1200</v>
      </c>
      <c r="J51" s="50">
        <v>800</v>
      </c>
      <c r="K51" s="51">
        <f t="shared" si="0"/>
        <v>2000</v>
      </c>
      <c r="L51" s="50"/>
      <c r="M51" s="52">
        <v>30</v>
      </c>
      <c r="N51" s="38">
        <f t="shared" si="1"/>
        <v>2000.0000000000002</v>
      </c>
      <c r="O51" s="50"/>
      <c r="P51" s="50"/>
      <c r="Q51" s="50"/>
      <c r="R51" s="50"/>
      <c r="S51" s="57"/>
      <c r="T51" s="38">
        <f t="shared" si="2"/>
        <v>2000</v>
      </c>
      <c r="U51" s="40"/>
      <c r="V51" s="54" t="s">
        <v>34</v>
      </c>
      <c r="W51" s="55" t="s">
        <v>294</v>
      </c>
      <c r="X51" s="56" t="s">
        <v>35</v>
      </c>
      <c r="Y51" s="56" t="s">
        <v>36</v>
      </c>
      <c r="AA51" s="150">
        <v>2000</v>
      </c>
      <c r="AB51" s="150">
        <v>0</v>
      </c>
      <c r="AC51" s="150">
        <v>2000</v>
      </c>
      <c r="AD51" s="150">
        <v>2000</v>
      </c>
      <c r="AE51" s="150">
        <v>0</v>
      </c>
      <c r="AF51" s="150">
        <v>2000</v>
      </c>
      <c r="AG51" s="150">
        <v>0</v>
      </c>
    </row>
    <row r="52" spans="1:33" s="44" customFormat="1" ht="15.75" x14ac:dyDescent="0.25">
      <c r="A52" s="45">
        <v>46</v>
      </c>
      <c r="B52" s="29" t="s">
        <v>31</v>
      </c>
      <c r="C52" s="46">
        <v>50250</v>
      </c>
      <c r="D52" s="45">
        <v>36231</v>
      </c>
      <c r="E52" s="61">
        <v>27958</v>
      </c>
      <c r="F52" s="47" t="s">
        <v>116</v>
      </c>
      <c r="G52" s="48" t="s">
        <v>40</v>
      </c>
      <c r="H52" s="49">
        <f>VLOOKUP(D52,[2]PG_Payroll_Run_Report__Shared__!$A$6:$F$151,6,FALSE)</f>
        <v>43955</v>
      </c>
      <c r="I52" s="50">
        <v>1470</v>
      </c>
      <c r="J52" s="50">
        <v>980</v>
      </c>
      <c r="K52" s="51">
        <f t="shared" si="0"/>
        <v>2450</v>
      </c>
      <c r="L52" s="50"/>
      <c r="M52" s="52">
        <v>30</v>
      </c>
      <c r="N52" s="38">
        <f t="shared" si="1"/>
        <v>2450</v>
      </c>
      <c r="O52" s="50"/>
      <c r="P52" s="50"/>
      <c r="Q52" s="50"/>
      <c r="R52" s="50"/>
      <c r="S52" s="57"/>
      <c r="T52" s="38">
        <f t="shared" si="2"/>
        <v>2450</v>
      </c>
      <c r="U52" s="40"/>
      <c r="V52" s="54" t="s">
        <v>34</v>
      </c>
      <c r="W52" s="55" t="s">
        <v>295</v>
      </c>
      <c r="X52" s="56" t="s">
        <v>35</v>
      </c>
      <c r="Y52" s="65" t="s">
        <v>36</v>
      </c>
      <c r="AA52" s="150">
        <v>2450</v>
      </c>
      <c r="AB52" s="150">
        <v>0</v>
      </c>
      <c r="AC52" s="150">
        <v>2450</v>
      </c>
      <c r="AD52" s="150">
        <v>2450</v>
      </c>
      <c r="AE52" s="150">
        <v>0</v>
      </c>
      <c r="AF52" s="150">
        <v>2450</v>
      </c>
      <c r="AG52" s="150">
        <v>0</v>
      </c>
    </row>
    <row r="53" spans="1:33" s="44" customFormat="1" ht="15.75" x14ac:dyDescent="0.25">
      <c r="A53" s="45">
        <v>47</v>
      </c>
      <c r="B53" s="29" t="s">
        <v>31</v>
      </c>
      <c r="C53" s="46">
        <v>50258</v>
      </c>
      <c r="D53" s="45">
        <v>44260</v>
      </c>
      <c r="E53" s="45">
        <v>27961</v>
      </c>
      <c r="F53" s="47" t="s">
        <v>117</v>
      </c>
      <c r="G53" s="48" t="s">
        <v>40</v>
      </c>
      <c r="H53" s="49">
        <f>VLOOKUP(D53,[2]PG_Payroll_Run_Report__Shared__!$A$6:$F$151,6,FALSE)</f>
        <v>44749</v>
      </c>
      <c r="I53" s="50">
        <v>1200</v>
      </c>
      <c r="J53" s="50">
        <v>800</v>
      </c>
      <c r="K53" s="51">
        <f t="shared" si="0"/>
        <v>2000</v>
      </c>
      <c r="L53" s="50"/>
      <c r="M53" s="52">
        <v>30</v>
      </c>
      <c r="N53" s="38">
        <f t="shared" si="1"/>
        <v>2000.0000000000002</v>
      </c>
      <c r="O53" s="50"/>
      <c r="P53" s="50"/>
      <c r="Q53" s="50"/>
      <c r="R53" s="50"/>
      <c r="S53" s="57"/>
      <c r="T53" s="38">
        <f t="shared" si="2"/>
        <v>2000</v>
      </c>
      <c r="U53" s="40"/>
      <c r="V53" s="54" t="s">
        <v>34</v>
      </c>
      <c r="W53" s="55" t="s">
        <v>296</v>
      </c>
      <c r="X53" s="56" t="s">
        <v>35</v>
      </c>
      <c r="Y53" s="56" t="s">
        <v>41</v>
      </c>
      <c r="AA53" s="150">
        <v>2000</v>
      </c>
      <c r="AB53" s="150">
        <v>0</v>
      </c>
      <c r="AC53" s="150">
        <v>2000</v>
      </c>
      <c r="AD53" s="150">
        <v>2000</v>
      </c>
      <c r="AE53" s="150">
        <v>0</v>
      </c>
      <c r="AF53" s="150">
        <v>2000</v>
      </c>
      <c r="AG53" s="150">
        <v>0</v>
      </c>
    </row>
    <row r="54" spans="1:33" s="44" customFormat="1" ht="15.75" x14ac:dyDescent="0.25">
      <c r="A54" s="45">
        <v>48</v>
      </c>
      <c r="B54" s="29" t="s">
        <v>31</v>
      </c>
      <c r="C54" s="46">
        <v>50175</v>
      </c>
      <c r="D54" s="45">
        <v>33523</v>
      </c>
      <c r="E54" s="45">
        <v>27994</v>
      </c>
      <c r="F54" s="47" t="s">
        <v>118</v>
      </c>
      <c r="G54" s="48" t="s">
        <v>45</v>
      </c>
      <c r="H54" s="49">
        <f>VLOOKUP(D54,[2]PG_Payroll_Run_Report__Shared__!$A$6:$F$151,6,FALSE)</f>
        <v>41760</v>
      </c>
      <c r="I54" s="50">
        <v>8731.2000000000007</v>
      </c>
      <c r="J54" s="50">
        <v>13096.8</v>
      </c>
      <c r="K54" s="51">
        <f t="shared" si="0"/>
        <v>21828</v>
      </c>
      <c r="L54" s="50">
        <v>2400</v>
      </c>
      <c r="M54" s="52">
        <v>30</v>
      </c>
      <c r="N54" s="38">
        <f t="shared" si="1"/>
        <v>24228</v>
      </c>
      <c r="O54" s="50"/>
      <c r="P54" s="50">
        <f>-K54*5%</f>
        <v>-1091.4000000000001</v>
      </c>
      <c r="Q54" s="50"/>
      <c r="R54" s="50"/>
      <c r="S54" s="57"/>
      <c r="T54" s="38">
        <f t="shared" si="2"/>
        <v>23137</v>
      </c>
      <c r="U54" s="60" t="s">
        <v>46</v>
      </c>
      <c r="V54" s="54" t="s">
        <v>34</v>
      </c>
      <c r="W54" s="55" t="s">
        <v>297</v>
      </c>
      <c r="X54" s="56" t="s">
        <v>35</v>
      </c>
      <c r="Y54" s="56" t="s">
        <v>36</v>
      </c>
      <c r="AA54" s="150">
        <v>27862.2</v>
      </c>
      <c r="AB54" s="150">
        <v>3634.2</v>
      </c>
      <c r="AC54" s="150">
        <v>24228</v>
      </c>
      <c r="AD54" s="150">
        <v>23137</v>
      </c>
      <c r="AE54" s="150">
        <v>-1091.4000000000001</v>
      </c>
      <c r="AF54" s="150">
        <v>24228.400000000001</v>
      </c>
      <c r="AG54" s="150">
        <v>-0.40000000000145519</v>
      </c>
    </row>
    <row r="55" spans="1:33" s="44" customFormat="1" ht="15.75" x14ac:dyDescent="0.25">
      <c r="A55" s="45">
        <v>49</v>
      </c>
      <c r="B55" s="29" t="s">
        <v>31</v>
      </c>
      <c r="C55" s="46">
        <v>50154</v>
      </c>
      <c r="D55" s="45">
        <v>33537</v>
      </c>
      <c r="E55" s="45">
        <v>28002</v>
      </c>
      <c r="F55" s="47" t="s">
        <v>119</v>
      </c>
      <c r="G55" s="48" t="s">
        <v>33</v>
      </c>
      <c r="H55" s="49">
        <f>VLOOKUP(D55,[2]PG_Payroll_Run_Report__Shared__!$A$6:$F$151,6,FALSE)</f>
        <v>41640</v>
      </c>
      <c r="I55" s="50">
        <v>1200</v>
      </c>
      <c r="J55" s="50">
        <v>1160</v>
      </c>
      <c r="K55" s="51">
        <f t="shared" si="0"/>
        <v>2360</v>
      </c>
      <c r="L55" s="50"/>
      <c r="M55" s="52">
        <v>30</v>
      </c>
      <c r="N55" s="38">
        <f t="shared" si="1"/>
        <v>2360</v>
      </c>
      <c r="O55" s="50"/>
      <c r="P55" s="50"/>
      <c r="Q55" s="50"/>
      <c r="R55" s="50"/>
      <c r="S55" s="57"/>
      <c r="T55" s="38">
        <f t="shared" si="2"/>
        <v>2360</v>
      </c>
      <c r="U55" s="40"/>
      <c r="V55" s="54" t="s">
        <v>34</v>
      </c>
      <c r="W55" s="55" t="s">
        <v>298</v>
      </c>
      <c r="X55" s="56" t="s">
        <v>35</v>
      </c>
      <c r="Y55" s="56" t="s">
        <v>36</v>
      </c>
      <c r="AA55" s="150">
        <v>2360</v>
      </c>
      <c r="AB55" s="150">
        <v>0</v>
      </c>
      <c r="AC55" s="150">
        <v>2360</v>
      </c>
      <c r="AD55" s="150">
        <v>2360</v>
      </c>
      <c r="AE55" s="150">
        <v>0</v>
      </c>
      <c r="AF55" s="150">
        <v>2360</v>
      </c>
      <c r="AG55" s="150">
        <v>0</v>
      </c>
    </row>
    <row r="56" spans="1:33" s="44" customFormat="1" ht="15.75" x14ac:dyDescent="0.25">
      <c r="A56" s="45">
        <v>50</v>
      </c>
      <c r="B56" s="29" t="s">
        <v>31</v>
      </c>
      <c r="C56" s="46">
        <v>50119</v>
      </c>
      <c r="D56" s="45">
        <v>33567</v>
      </c>
      <c r="E56" s="45">
        <v>28015</v>
      </c>
      <c r="F56" s="47" t="s">
        <v>120</v>
      </c>
      <c r="G56" s="48" t="s">
        <v>33</v>
      </c>
      <c r="H56" s="49">
        <f>VLOOKUP(D56,[2]PG_Payroll_Run_Report__Shared__!$A$6:$F$151,6,FALSE)</f>
        <v>41730</v>
      </c>
      <c r="I56" s="50">
        <v>1200</v>
      </c>
      <c r="J56" s="50">
        <v>1160</v>
      </c>
      <c r="K56" s="51">
        <f t="shared" si="0"/>
        <v>2360</v>
      </c>
      <c r="L56" s="50"/>
      <c r="M56" s="52">
        <v>30</v>
      </c>
      <c r="N56" s="38">
        <f t="shared" si="1"/>
        <v>2360</v>
      </c>
      <c r="O56" s="50"/>
      <c r="P56" s="50"/>
      <c r="Q56" s="50"/>
      <c r="R56" s="50"/>
      <c r="S56" s="57"/>
      <c r="T56" s="38">
        <f t="shared" si="2"/>
        <v>2360</v>
      </c>
      <c r="U56" s="40"/>
      <c r="V56" s="54" t="s">
        <v>34</v>
      </c>
      <c r="W56" s="55" t="s">
        <v>299</v>
      </c>
      <c r="X56" s="56" t="s">
        <v>35</v>
      </c>
      <c r="Y56" s="56" t="s">
        <v>36</v>
      </c>
      <c r="AA56" s="150">
        <v>2360</v>
      </c>
      <c r="AB56" s="150">
        <v>0</v>
      </c>
      <c r="AC56" s="150">
        <v>2360</v>
      </c>
      <c r="AD56" s="150">
        <v>2360</v>
      </c>
      <c r="AE56" s="150">
        <v>0</v>
      </c>
      <c r="AF56" s="150">
        <v>2360</v>
      </c>
      <c r="AG56" s="150">
        <v>0</v>
      </c>
    </row>
    <row r="57" spans="1:33" s="44" customFormat="1" ht="15.75" x14ac:dyDescent="0.25">
      <c r="A57" s="45">
        <v>51</v>
      </c>
      <c r="B57" s="29" t="s">
        <v>31</v>
      </c>
      <c r="C57" s="46">
        <v>50087</v>
      </c>
      <c r="D57" s="45">
        <v>33568</v>
      </c>
      <c r="E57" s="45">
        <v>28016</v>
      </c>
      <c r="F57" s="47" t="s">
        <v>121</v>
      </c>
      <c r="G57" s="48" t="s">
        <v>122</v>
      </c>
      <c r="H57" s="49">
        <f>VLOOKUP(D57,[2]PG_Payroll_Run_Report__Shared__!$A$6:$F$151,6,FALSE)</f>
        <v>41730</v>
      </c>
      <c r="I57" s="50">
        <v>1200</v>
      </c>
      <c r="J57" s="50">
        <v>1480</v>
      </c>
      <c r="K57" s="51">
        <f t="shared" si="0"/>
        <v>2680</v>
      </c>
      <c r="L57" s="50"/>
      <c r="M57" s="52">
        <v>30</v>
      </c>
      <c r="N57" s="38">
        <f t="shared" si="1"/>
        <v>2680</v>
      </c>
      <c r="O57" s="50"/>
      <c r="P57" s="50"/>
      <c r="Q57" s="50"/>
      <c r="R57" s="50"/>
      <c r="S57" s="57"/>
      <c r="T57" s="38">
        <f t="shared" si="2"/>
        <v>2680</v>
      </c>
      <c r="U57" s="40"/>
      <c r="V57" s="54" t="s">
        <v>34</v>
      </c>
      <c r="W57" s="55" t="s">
        <v>300</v>
      </c>
      <c r="X57" s="56" t="s">
        <v>35</v>
      </c>
      <c r="Y57" s="56" t="s">
        <v>36</v>
      </c>
      <c r="AA57" s="150">
        <v>2680</v>
      </c>
      <c r="AB57" s="150">
        <v>0</v>
      </c>
      <c r="AC57" s="150">
        <v>2680</v>
      </c>
      <c r="AD57" s="150">
        <v>2680</v>
      </c>
      <c r="AE57" s="150">
        <v>0</v>
      </c>
      <c r="AF57" s="150">
        <v>2680</v>
      </c>
      <c r="AG57" s="150">
        <v>0</v>
      </c>
    </row>
    <row r="58" spans="1:33" s="44" customFormat="1" ht="15.75" x14ac:dyDescent="0.25">
      <c r="A58" s="45">
        <v>52</v>
      </c>
      <c r="B58" s="29" t="s">
        <v>31</v>
      </c>
      <c r="C58" s="46">
        <v>50200</v>
      </c>
      <c r="D58" s="45">
        <v>33690</v>
      </c>
      <c r="E58" s="45">
        <v>28020</v>
      </c>
      <c r="F58" s="47" t="s">
        <v>123</v>
      </c>
      <c r="G58" s="48" t="s">
        <v>68</v>
      </c>
      <c r="H58" s="49">
        <f>VLOOKUP(D58,[2]PG_Payroll_Run_Report__Shared__!$A$6:$F$151,6,FALSE)</f>
        <v>43397</v>
      </c>
      <c r="I58" s="50">
        <v>1200</v>
      </c>
      <c r="J58" s="50">
        <v>1040</v>
      </c>
      <c r="K58" s="51">
        <f t="shared" si="0"/>
        <v>2240</v>
      </c>
      <c r="L58" s="50"/>
      <c r="M58" s="52">
        <v>30</v>
      </c>
      <c r="N58" s="38">
        <f t="shared" si="1"/>
        <v>2240</v>
      </c>
      <c r="O58" s="50"/>
      <c r="P58" s="50"/>
      <c r="Q58" s="50"/>
      <c r="R58" s="50"/>
      <c r="S58" s="57"/>
      <c r="T58" s="38">
        <f t="shared" si="2"/>
        <v>2240</v>
      </c>
      <c r="U58" s="40"/>
      <c r="V58" s="54" t="s">
        <v>34</v>
      </c>
      <c r="W58" s="55" t="s">
        <v>301</v>
      </c>
      <c r="X58" s="56" t="s">
        <v>35</v>
      </c>
      <c r="Y58" s="56" t="s">
        <v>36</v>
      </c>
      <c r="AA58" s="150">
        <v>2240</v>
      </c>
      <c r="AB58" s="150">
        <v>0</v>
      </c>
      <c r="AC58" s="150">
        <v>2240</v>
      </c>
      <c r="AD58" s="150">
        <v>2240</v>
      </c>
      <c r="AE58" s="150">
        <v>0</v>
      </c>
      <c r="AF58" s="150">
        <v>2240</v>
      </c>
      <c r="AG58" s="150">
        <v>0</v>
      </c>
    </row>
    <row r="59" spans="1:33" s="44" customFormat="1" ht="15.75" x14ac:dyDescent="0.25">
      <c r="A59" s="45">
        <v>53</v>
      </c>
      <c r="B59" s="29" t="s">
        <v>31</v>
      </c>
      <c r="C59" s="46">
        <v>50234</v>
      </c>
      <c r="D59" s="45">
        <v>34274</v>
      </c>
      <c r="E59" s="45">
        <v>28033</v>
      </c>
      <c r="F59" s="47" t="s">
        <v>124</v>
      </c>
      <c r="G59" s="48" t="s">
        <v>33</v>
      </c>
      <c r="H59" s="49">
        <f>VLOOKUP(D59,[2]PG_Payroll_Run_Report__Shared__!$A$6:$F$151,6,FALSE)</f>
        <v>43598</v>
      </c>
      <c r="I59" s="50">
        <v>1200</v>
      </c>
      <c r="J59" s="50">
        <v>800</v>
      </c>
      <c r="K59" s="51">
        <f t="shared" si="0"/>
        <v>2000</v>
      </c>
      <c r="L59" s="50"/>
      <c r="M59" s="52">
        <v>30</v>
      </c>
      <c r="N59" s="38">
        <f t="shared" si="1"/>
        <v>2000.0000000000002</v>
      </c>
      <c r="O59" s="50"/>
      <c r="P59" s="50"/>
      <c r="Q59" s="50"/>
      <c r="R59" s="50"/>
      <c r="S59" s="57"/>
      <c r="T59" s="38">
        <f t="shared" si="2"/>
        <v>2000</v>
      </c>
      <c r="U59" s="40"/>
      <c r="V59" s="54" t="s">
        <v>34</v>
      </c>
      <c r="W59" s="55" t="s">
        <v>302</v>
      </c>
      <c r="X59" s="56" t="s">
        <v>35</v>
      </c>
      <c r="Y59" s="56" t="s">
        <v>41</v>
      </c>
      <c r="AA59" s="150">
        <v>2000</v>
      </c>
      <c r="AB59" s="150">
        <v>0</v>
      </c>
      <c r="AC59" s="150">
        <v>2000</v>
      </c>
      <c r="AD59" s="150">
        <v>2000</v>
      </c>
      <c r="AE59" s="150">
        <v>0</v>
      </c>
      <c r="AF59" s="150">
        <v>2000</v>
      </c>
      <c r="AG59" s="150">
        <v>0</v>
      </c>
    </row>
    <row r="60" spans="1:33" s="44" customFormat="1" ht="15.75" x14ac:dyDescent="0.25">
      <c r="A60" s="45">
        <v>54</v>
      </c>
      <c r="B60" s="29" t="s">
        <v>31</v>
      </c>
      <c r="C60" s="46">
        <v>50235</v>
      </c>
      <c r="D60" s="45">
        <v>34404</v>
      </c>
      <c r="E60" s="45">
        <v>28034</v>
      </c>
      <c r="F60" s="47" t="s">
        <v>125</v>
      </c>
      <c r="G60" s="48" t="s">
        <v>33</v>
      </c>
      <c r="H60" s="49">
        <f>VLOOKUP(D60,[2]PG_Payroll_Run_Report__Shared__!$A$6:$F$151,6,FALSE)</f>
        <v>43608</v>
      </c>
      <c r="I60" s="50">
        <v>1200</v>
      </c>
      <c r="J60" s="50">
        <v>800</v>
      </c>
      <c r="K60" s="51">
        <f t="shared" si="0"/>
        <v>2000</v>
      </c>
      <c r="L60" s="50"/>
      <c r="M60" s="52">
        <v>30</v>
      </c>
      <c r="N60" s="38">
        <f t="shared" si="1"/>
        <v>2000.0000000000002</v>
      </c>
      <c r="O60" s="50"/>
      <c r="P60" s="50"/>
      <c r="Q60" s="50"/>
      <c r="R60" s="50"/>
      <c r="S60" s="57"/>
      <c r="T60" s="38">
        <f t="shared" si="2"/>
        <v>2000</v>
      </c>
      <c r="U60" s="40"/>
      <c r="V60" s="54" t="s">
        <v>34</v>
      </c>
      <c r="W60" s="55" t="s">
        <v>303</v>
      </c>
      <c r="X60" s="56" t="s">
        <v>35</v>
      </c>
      <c r="Y60" s="56" t="s">
        <v>36</v>
      </c>
      <c r="AA60" s="150">
        <v>2000</v>
      </c>
      <c r="AB60" s="150">
        <v>0</v>
      </c>
      <c r="AC60" s="150">
        <v>2000</v>
      </c>
      <c r="AD60" s="150">
        <v>2000</v>
      </c>
      <c r="AE60" s="150">
        <v>0</v>
      </c>
      <c r="AF60" s="150">
        <v>2000</v>
      </c>
      <c r="AG60" s="150">
        <v>0</v>
      </c>
    </row>
    <row r="61" spans="1:33" s="44" customFormat="1" ht="15.75" x14ac:dyDescent="0.25">
      <c r="A61" s="45">
        <v>55</v>
      </c>
      <c r="B61" s="29" t="s">
        <v>31</v>
      </c>
      <c r="C61" s="46">
        <v>50164</v>
      </c>
      <c r="D61" s="45">
        <v>33482</v>
      </c>
      <c r="E61" s="45">
        <v>28074</v>
      </c>
      <c r="F61" s="47" t="s">
        <v>126</v>
      </c>
      <c r="G61" s="48" t="s">
        <v>68</v>
      </c>
      <c r="H61" s="49">
        <f>VLOOKUP(D61,[2]PG_Payroll_Run_Report__Shared__!$A$6:$F$151,6,FALSE)</f>
        <v>41609</v>
      </c>
      <c r="I61" s="50">
        <v>1500</v>
      </c>
      <c r="J61" s="50">
        <v>1250</v>
      </c>
      <c r="K61" s="51">
        <f t="shared" si="0"/>
        <v>2750</v>
      </c>
      <c r="L61" s="50"/>
      <c r="M61" s="52">
        <v>30</v>
      </c>
      <c r="N61" s="38">
        <f t="shared" si="1"/>
        <v>2750</v>
      </c>
      <c r="O61" s="50"/>
      <c r="P61" s="50"/>
      <c r="Q61" s="50"/>
      <c r="R61" s="50"/>
      <c r="S61" s="57"/>
      <c r="T61" s="38">
        <f t="shared" si="2"/>
        <v>2750</v>
      </c>
      <c r="U61" s="40"/>
      <c r="V61" s="54" t="s">
        <v>80</v>
      </c>
      <c r="W61" s="55" t="s">
        <v>127</v>
      </c>
      <c r="X61" s="56" t="s">
        <v>35</v>
      </c>
      <c r="Y61" s="56" t="s">
        <v>36</v>
      </c>
      <c r="AA61" s="150">
        <v>2750</v>
      </c>
      <c r="AB61" s="150">
        <v>0</v>
      </c>
      <c r="AC61" s="150">
        <v>2750</v>
      </c>
      <c r="AD61" s="150">
        <v>2750</v>
      </c>
      <c r="AE61" s="150">
        <v>0</v>
      </c>
      <c r="AF61" s="150">
        <v>2750</v>
      </c>
      <c r="AG61" s="150">
        <v>0</v>
      </c>
    </row>
    <row r="62" spans="1:33" s="44" customFormat="1" ht="15.75" x14ac:dyDescent="0.25">
      <c r="A62" s="45">
        <v>56</v>
      </c>
      <c r="B62" s="29" t="s">
        <v>31</v>
      </c>
      <c r="C62" s="46">
        <v>50103</v>
      </c>
      <c r="D62" s="45">
        <v>33509</v>
      </c>
      <c r="E62" s="45">
        <v>28175</v>
      </c>
      <c r="F62" s="47" t="s">
        <v>128</v>
      </c>
      <c r="G62" s="48" t="s">
        <v>33</v>
      </c>
      <c r="H62" s="49">
        <f>VLOOKUP(D62,[2]PG_Payroll_Run_Report__Shared__!$A$6:$F$151,6,FALSE)</f>
        <v>41609</v>
      </c>
      <c r="I62" s="50">
        <v>1200</v>
      </c>
      <c r="J62" s="50">
        <v>1280</v>
      </c>
      <c r="K62" s="51">
        <f t="shared" si="0"/>
        <v>2480</v>
      </c>
      <c r="L62" s="50"/>
      <c r="M62" s="52">
        <v>30</v>
      </c>
      <c r="N62" s="38">
        <f t="shared" si="1"/>
        <v>2480</v>
      </c>
      <c r="O62" s="50"/>
      <c r="P62" s="50"/>
      <c r="Q62" s="50"/>
      <c r="R62" s="50"/>
      <c r="S62" s="57"/>
      <c r="T62" s="38">
        <f t="shared" si="2"/>
        <v>2480</v>
      </c>
      <c r="U62" s="40"/>
      <c r="V62" s="54" t="s">
        <v>103</v>
      </c>
      <c r="W62" s="55" t="s">
        <v>129</v>
      </c>
      <c r="X62" s="56" t="s">
        <v>35</v>
      </c>
      <c r="Y62" s="56" t="s">
        <v>36</v>
      </c>
      <c r="AA62" s="150">
        <v>2480</v>
      </c>
      <c r="AB62" s="150">
        <v>0</v>
      </c>
      <c r="AC62" s="150">
        <v>2480</v>
      </c>
      <c r="AD62" s="150">
        <v>2480</v>
      </c>
      <c r="AE62" s="150">
        <v>0</v>
      </c>
      <c r="AF62" s="150">
        <v>2480</v>
      </c>
      <c r="AG62" s="150">
        <v>0</v>
      </c>
    </row>
    <row r="63" spans="1:33" s="44" customFormat="1" ht="15.75" x14ac:dyDescent="0.25">
      <c r="A63" s="45">
        <v>57</v>
      </c>
      <c r="B63" s="29" t="s">
        <v>31</v>
      </c>
      <c r="C63" s="46">
        <v>50141</v>
      </c>
      <c r="D63" s="45">
        <v>33522</v>
      </c>
      <c r="E63" s="45">
        <v>28176</v>
      </c>
      <c r="F63" s="47" t="s">
        <v>130</v>
      </c>
      <c r="G63" s="48" t="s">
        <v>45</v>
      </c>
      <c r="H63" s="49">
        <f>VLOOKUP(D63,[2]PG_Payroll_Run_Report__Shared__!$A$6:$F$151,6,FALSE)</f>
        <v>41730</v>
      </c>
      <c r="I63" s="50">
        <v>6420</v>
      </c>
      <c r="J63" s="50">
        <v>9630</v>
      </c>
      <c r="K63" s="51">
        <f t="shared" si="0"/>
        <v>16050</v>
      </c>
      <c r="L63" s="50"/>
      <c r="M63" s="52">
        <v>30</v>
      </c>
      <c r="N63" s="63">
        <f t="shared" si="1"/>
        <v>16050</v>
      </c>
      <c r="O63" s="50"/>
      <c r="P63" s="50">
        <f>-K63*11%</f>
        <v>-1765.5</v>
      </c>
      <c r="Q63" s="50"/>
      <c r="R63" s="50"/>
      <c r="S63" s="57"/>
      <c r="T63" s="38">
        <f t="shared" si="2"/>
        <v>14285</v>
      </c>
      <c r="U63" s="60" t="s">
        <v>131</v>
      </c>
      <c r="V63" s="54" t="s">
        <v>34</v>
      </c>
      <c r="W63" s="55" t="s">
        <v>304</v>
      </c>
      <c r="X63" s="56" t="s">
        <v>35</v>
      </c>
      <c r="Y63" s="56" t="s">
        <v>41</v>
      </c>
      <c r="AA63" s="150">
        <v>18457.5</v>
      </c>
      <c r="AB63" s="150">
        <v>2407.5</v>
      </c>
      <c r="AC63" s="150">
        <v>16050</v>
      </c>
      <c r="AD63" s="150">
        <v>14285</v>
      </c>
      <c r="AE63" s="150">
        <v>-1765.5</v>
      </c>
      <c r="AF63" s="150">
        <v>16050.5</v>
      </c>
      <c r="AG63" s="150">
        <v>-0.5</v>
      </c>
    </row>
    <row r="64" spans="1:33" s="44" customFormat="1" ht="15.75" x14ac:dyDescent="0.25">
      <c r="A64" s="45">
        <v>58</v>
      </c>
      <c r="B64" s="29" t="s">
        <v>31</v>
      </c>
      <c r="C64" s="46">
        <v>50253</v>
      </c>
      <c r="D64" s="45">
        <v>43632</v>
      </c>
      <c r="E64" s="45">
        <v>28339</v>
      </c>
      <c r="F64" s="47" t="s">
        <v>132</v>
      </c>
      <c r="G64" s="48" t="s">
        <v>133</v>
      </c>
      <c r="H64" s="49">
        <f>VLOOKUP(D64,[2]PG_Payroll_Run_Report__Shared__!$A$6:$F$151,6,FALSE)</f>
        <v>44670</v>
      </c>
      <c r="I64" s="50">
        <v>2100</v>
      </c>
      <c r="J64" s="50">
        <v>1400</v>
      </c>
      <c r="K64" s="51">
        <f t="shared" si="0"/>
        <v>3500</v>
      </c>
      <c r="L64" s="50"/>
      <c r="M64" s="52">
        <v>30</v>
      </c>
      <c r="N64" s="38">
        <f t="shared" si="1"/>
        <v>3500</v>
      </c>
      <c r="O64" s="50"/>
      <c r="P64" s="50"/>
      <c r="Q64" s="50"/>
      <c r="R64" s="50"/>
      <c r="S64" s="57"/>
      <c r="T64" s="38">
        <f t="shared" si="2"/>
        <v>3500</v>
      </c>
      <c r="U64" s="40"/>
      <c r="V64" s="54" t="s">
        <v>134</v>
      </c>
      <c r="W64" s="55" t="s">
        <v>135</v>
      </c>
      <c r="X64" s="56" t="s">
        <v>35</v>
      </c>
      <c r="Y64" s="56" t="s">
        <v>36</v>
      </c>
      <c r="AA64" s="150">
        <v>3500</v>
      </c>
      <c r="AB64" s="150">
        <v>0</v>
      </c>
      <c r="AC64" s="150">
        <v>3500</v>
      </c>
      <c r="AD64" s="150">
        <v>3500</v>
      </c>
      <c r="AE64" s="150">
        <v>0</v>
      </c>
      <c r="AF64" s="150">
        <v>3500</v>
      </c>
      <c r="AG64" s="150">
        <v>0</v>
      </c>
    </row>
    <row r="65" spans="1:33" s="44" customFormat="1" ht="15.75" x14ac:dyDescent="0.25">
      <c r="A65" s="45">
        <v>59</v>
      </c>
      <c r="B65" s="29" t="s">
        <v>31</v>
      </c>
      <c r="C65" s="46">
        <v>50060</v>
      </c>
      <c r="D65" s="45">
        <v>33457</v>
      </c>
      <c r="E65" s="45">
        <v>28343</v>
      </c>
      <c r="F65" s="47" t="s">
        <v>136</v>
      </c>
      <c r="G65" s="48" t="s">
        <v>33</v>
      </c>
      <c r="H65" s="49">
        <f>VLOOKUP(D65,[2]PG_Payroll_Run_Report__Shared__!$A$6:$F$151,6,FALSE)</f>
        <v>41640</v>
      </c>
      <c r="I65" s="50">
        <v>1200</v>
      </c>
      <c r="J65" s="50">
        <v>1480</v>
      </c>
      <c r="K65" s="51">
        <f t="shared" si="0"/>
        <v>2680</v>
      </c>
      <c r="L65" s="50"/>
      <c r="M65" s="52">
        <v>30</v>
      </c>
      <c r="N65" s="38">
        <f t="shared" si="1"/>
        <v>2680</v>
      </c>
      <c r="O65" s="50"/>
      <c r="P65" s="50"/>
      <c r="Q65" s="50"/>
      <c r="R65" s="50"/>
      <c r="S65" s="57"/>
      <c r="T65" s="38">
        <f t="shared" si="2"/>
        <v>2680</v>
      </c>
      <c r="U65" s="40"/>
      <c r="V65" s="54" t="s">
        <v>63</v>
      </c>
      <c r="W65" s="55" t="s">
        <v>305</v>
      </c>
      <c r="X65" s="56" t="s">
        <v>35</v>
      </c>
      <c r="Y65" s="56" t="s">
        <v>36</v>
      </c>
      <c r="AA65" s="150">
        <v>2680</v>
      </c>
      <c r="AB65" s="150">
        <v>0</v>
      </c>
      <c r="AC65" s="150">
        <v>2680</v>
      </c>
      <c r="AD65" s="150">
        <v>2680</v>
      </c>
      <c r="AE65" s="150">
        <v>0</v>
      </c>
      <c r="AF65" s="150">
        <v>2680</v>
      </c>
      <c r="AG65" s="150">
        <v>0</v>
      </c>
    </row>
    <row r="66" spans="1:33" s="44" customFormat="1" ht="15.75" x14ac:dyDescent="0.25">
      <c r="A66" s="45">
        <v>60</v>
      </c>
      <c r="B66" s="29" t="s">
        <v>31</v>
      </c>
      <c r="C66" s="46">
        <v>50092</v>
      </c>
      <c r="D66" s="45">
        <v>33506</v>
      </c>
      <c r="E66" s="45">
        <v>28352</v>
      </c>
      <c r="F66" s="47" t="s">
        <v>137</v>
      </c>
      <c r="G66" s="48" t="s">
        <v>33</v>
      </c>
      <c r="H66" s="49">
        <f>VLOOKUP(D66,[2]PG_Payroll_Run_Report__Shared__!$A$6:$F$151,6,FALSE)</f>
        <v>41609</v>
      </c>
      <c r="I66" s="50">
        <v>1200</v>
      </c>
      <c r="J66" s="50">
        <v>1480</v>
      </c>
      <c r="K66" s="51">
        <f t="shared" si="0"/>
        <v>2680</v>
      </c>
      <c r="L66" s="50"/>
      <c r="M66" s="52">
        <v>30</v>
      </c>
      <c r="N66" s="38">
        <f t="shared" si="1"/>
        <v>2680</v>
      </c>
      <c r="O66" s="50"/>
      <c r="P66" s="50"/>
      <c r="Q66" s="50"/>
      <c r="R66" s="50"/>
      <c r="S66" s="57"/>
      <c r="T66" s="38">
        <f t="shared" si="2"/>
        <v>2680</v>
      </c>
      <c r="U66" s="40"/>
      <c r="V66" s="54" t="s">
        <v>63</v>
      </c>
      <c r="W66" s="55" t="s">
        <v>306</v>
      </c>
      <c r="X66" s="56" t="s">
        <v>35</v>
      </c>
      <c r="Y66" s="56" t="s">
        <v>36</v>
      </c>
      <c r="AA66" s="150">
        <v>2680</v>
      </c>
      <c r="AB66" s="150">
        <v>0</v>
      </c>
      <c r="AC66" s="150">
        <v>2680</v>
      </c>
      <c r="AD66" s="150">
        <v>2680</v>
      </c>
      <c r="AE66" s="150">
        <v>0</v>
      </c>
      <c r="AF66" s="150">
        <v>2680</v>
      </c>
      <c r="AG66" s="150">
        <v>0</v>
      </c>
    </row>
    <row r="67" spans="1:33" s="44" customFormat="1" ht="31.5" x14ac:dyDescent="0.25">
      <c r="A67" s="45">
        <v>61</v>
      </c>
      <c r="B67" s="29" t="s">
        <v>31</v>
      </c>
      <c r="C67" s="46">
        <v>50081</v>
      </c>
      <c r="D67" s="45">
        <v>33542</v>
      </c>
      <c r="E67" s="45">
        <v>28357</v>
      </c>
      <c r="F67" s="47" t="s">
        <v>138</v>
      </c>
      <c r="G67" s="48" t="s">
        <v>59</v>
      </c>
      <c r="H67" s="49">
        <f>VLOOKUP(D67,[2]PG_Payroll_Run_Report__Shared__!$A$6:$F$151,6,FALSE)</f>
        <v>41609</v>
      </c>
      <c r="I67" s="50">
        <v>1200</v>
      </c>
      <c r="J67" s="50">
        <v>1550</v>
      </c>
      <c r="K67" s="51">
        <f t="shared" si="0"/>
        <v>2750</v>
      </c>
      <c r="L67" s="50"/>
      <c r="M67" s="52">
        <v>30</v>
      </c>
      <c r="N67" s="38">
        <f t="shared" si="1"/>
        <v>2750</v>
      </c>
      <c r="O67" s="50"/>
      <c r="P67" s="50"/>
      <c r="Q67" s="50"/>
      <c r="R67" s="50"/>
      <c r="S67" s="57"/>
      <c r="T67" s="38">
        <f t="shared" si="2"/>
        <v>2750</v>
      </c>
      <c r="U67" s="40"/>
      <c r="V67" s="54" t="s">
        <v>63</v>
      </c>
      <c r="W67" s="55" t="s">
        <v>307</v>
      </c>
      <c r="X67" s="56" t="s">
        <v>35</v>
      </c>
      <c r="Y67" s="56" t="s">
        <v>41</v>
      </c>
      <c r="AA67" s="150">
        <v>2750</v>
      </c>
      <c r="AB67" s="150">
        <v>0</v>
      </c>
      <c r="AC67" s="150">
        <v>2750</v>
      </c>
      <c r="AD67" s="150">
        <v>2750</v>
      </c>
      <c r="AE67" s="150">
        <v>0</v>
      </c>
      <c r="AF67" s="150">
        <v>2750</v>
      </c>
      <c r="AG67" s="150">
        <v>0</v>
      </c>
    </row>
    <row r="68" spans="1:33" s="44" customFormat="1" ht="15.75" x14ac:dyDescent="0.25">
      <c r="A68" s="45">
        <v>62</v>
      </c>
      <c r="B68" s="29" t="s">
        <v>31</v>
      </c>
      <c r="C68" s="46">
        <v>50205</v>
      </c>
      <c r="D68" s="45">
        <v>33691</v>
      </c>
      <c r="E68" s="45">
        <v>27771</v>
      </c>
      <c r="F68" s="47" t="s">
        <v>139</v>
      </c>
      <c r="G68" s="48" t="s">
        <v>68</v>
      </c>
      <c r="H68" s="49">
        <f>VLOOKUP(D68,[2]PG_Payroll_Run_Report__Shared__!$A$6:$F$151,6,FALSE)</f>
        <v>43409</v>
      </c>
      <c r="I68" s="50">
        <v>1200</v>
      </c>
      <c r="J68" s="50">
        <v>1040</v>
      </c>
      <c r="K68" s="51">
        <f t="shared" si="0"/>
        <v>2240</v>
      </c>
      <c r="L68" s="50"/>
      <c r="M68" s="52">
        <v>30</v>
      </c>
      <c r="N68" s="38">
        <f t="shared" si="1"/>
        <v>2240</v>
      </c>
      <c r="O68" s="50"/>
      <c r="P68" s="50"/>
      <c r="Q68" s="50"/>
      <c r="R68" s="50"/>
      <c r="S68" s="57"/>
      <c r="T68" s="38">
        <f t="shared" si="2"/>
        <v>2240</v>
      </c>
      <c r="U68" s="40"/>
      <c r="V68" s="54" t="s">
        <v>86</v>
      </c>
      <c r="W68" s="55" t="s">
        <v>140</v>
      </c>
      <c r="X68" s="56" t="s">
        <v>35</v>
      </c>
      <c r="Y68" s="56" t="s">
        <v>36</v>
      </c>
      <c r="AA68" s="150">
        <v>2240</v>
      </c>
      <c r="AB68" s="150">
        <v>0</v>
      </c>
      <c r="AC68" s="150">
        <v>2240</v>
      </c>
      <c r="AD68" s="150">
        <v>2240</v>
      </c>
      <c r="AE68" s="150">
        <v>0</v>
      </c>
      <c r="AF68" s="150">
        <v>2240</v>
      </c>
      <c r="AG68" s="150">
        <v>0</v>
      </c>
    </row>
    <row r="69" spans="1:33" s="44" customFormat="1" ht="15.75" x14ac:dyDescent="0.25">
      <c r="A69" s="45">
        <v>63</v>
      </c>
      <c r="B69" s="29" t="s">
        <v>31</v>
      </c>
      <c r="C69" s="46">
        <v>50168</v>
      </c>
      <c r="D69" s="45">
        <v>33449</v>
      </c>
      <c r="E69" s="45">
        <v>27862</v>
      </c>
      <c r="F69" s="47" t="s">
        <v>141</v>
      </c>
      <c r="G69" s="48" t="s">
        <v>51</v>
      </c>
      <c r="H69" s="49">
        <f>VLOOKUP(D69,[2]PG_Payroll_Run_Report__Shared__!$A$6:$F$151,6,FALSE)</f>
        <v>41640</v>
      </c>
      <c r="I69" s="50">
        <v>1200</v>
      </c>
      <c r="J69" s="50">
        <v>1160</v>
      </c>
      <c r="K69" s="51">
        <f t="shared" si="0"/>
        <v>2360</v>
      </c>
      <c r="L69" s="50"/>
      <c r="M69" s="52">
        <v>30</v>
      </c>
      <c r="N69" s="38">
        <f t="shared" si="1"/>
        <v>2360</v>
      </c>
      <c r="O69" s="50"/>
      <c r="P69" s="50"/>
      <c r="Q69" s="50"/>
      <c r="R69" s="50"/>
      <c r="S69" s="57"/>
      <c r="T69" s="38">
        <f t="shared" si="2"/>
        <v>2360</v>
      </c>
      <c r="U69" s="40"/>
      <c r="V69" s="54" t="s">
        <v>34</v>
      </c>
      <c r="W69" s="55" t="s">
        <v>308</v>
      </c>
      <c r="X69" s="56" t="s">
        <v>35</v>
      </c>
      <c r="Y69" s="56" t="s">
        <v>36</v>
      </c>
      <c r="AA69" s="150">
        <v>2360</v>
      </c>
      <c r="AB69" s="150">
        <v>0</v>
      </c>
      <c r="AC69" s="150">
        <v>2360</v>
      </c>
      <c r="AD69" s="150">
        <v>2360</v>
      </c>
      <c r="AE69" s="150">
        <v>0</v>
      </c>
      <c r="AF69" s="150">
        <v>2360</v>
      </c>
      <c r="AG69" s="150">
        <v>0</v>
      </c>
    </row>
    <row r="70" spans="1:33" s="44" customFormat="1" ht="15.75" x14ac:dyDescent="0.25">
      <c r="A70" s="45">
        <v>64</v>
      </c>
      <c r="B70" s="29" t="s">
        <v>31</v>
      </c>
      <c r="C70" s="46">
        <v>50239</v>
      </c>
      <c r="D70" s="45">
        <v>34483</v>
      </c>
      <c r="E70" s="45">
        <v>27951</v>
      </c>
      <c r="F70" s="47" t="s">
        <v>142</v>
      </c>
      <c r="G70" s="48" t="s">
        <v>33</v>
      </c>
      <c r="H70" s="49">
        <f>VLOOKUP(D70,[2]PG_Payroll_Run_Report__Shared__!$A$6:$F$151,6,FALSE)</f>
        <v>43648</v>
      </c>
      <c r="I70" s="50">
        <v>1200</v>
      </c>
      <c r="J70" s="50">
        <v>800</v>
      </c>
      <c r="K70" s="51">
        <f t="shared" si="0"/>
        <v>2000</v>
      </c>
      <c r="L70" s="50"/>
      <c r="M70" s="52">
        <v>30</v>
      </c>
      <c r="N70" s="38">
        <f t="shared" si="1"/>
        <v>2000.0000000000002</v>
      </c>
      <c r="O70" s="50"/>
      <c r="P70" s="50"/>
      <c r="Q70" s="50"/>
      <c r="R70" s="50"/>
      <c r="S70" s="57"/>
      <c r="T70" s="38">
        <f t="shared" si="2"/>
        <v>2000</v>
      </c>
      <c r="U70" s="40"/>
      <c r="V70" s="54" t="s">
        <v>34</v>
      </c>
      <c r="W70" s="55" t="s">
        <v>309</v>
      </c>
      <c r="X70" s="56" t="s">
        <v>35</v>
      </c>
      <c r="Y70" s="56" t="s">
        <v>36</v>
      </c>
      <c r="AA70" s="150">
        <v>2000</v>
      </c>
      <c r="AB70" s="150">
        <v>0</v>
      </c>
      <c r="AC70" s="150">
        <v>2000</v>
      </c>
      <c r="AD70" s="150">
        <v>2000</v>
      </c>
      <c r="AE70" s="150">
        <v>0</v>
      </c>
      <c r="AF70" s="150">
        <v>2000</v>
      </c>
      <c r="AG70" s="150">
        <v>0</v>
      </c>
    </row>
    <row r="71" spans="1:33" s="44" customFormat="1" ht="15.75" x14ac:dyDescent="0.25">
      <c r="A71" s="45">
        <v>65</v>
      </c>
      <c r="B71" s="29" t="s">
        <v>31</v>
      </c>
      <c r="C71" s="46">
        <v>50242</v>
      </c>
      <c r="D71" s="45">
        <v>34562</v>
      </c>
      <c r="E71" s="45">
        <v>27954</v>
      </c>
      <c r="F71" s="47" t="s">
        <v>143</v>
      </c>
      <c r="G71" s="48" t="s">
        <v>33</v>
      </c>
      <c r="H71" s="49">
        <f>VLOOKUP(D71,[2]PG_Payroll_Run_Report__Shared__!$A$6:$F$151,6,FALSE)</f>
        <v>43662</v>
      </c>
      <c r="I71" s="50">
        <v>1200</v>
      </c>
      <c r="J71" s="50">
        <v>800</v>
      </c>
      <c r="K71" s="51">
        <f t="shared" ref="K71:K134" si="3">SUM(I71:J71)</f>
        <v>2000</v>
      </c>
      <c r="L71" s="50"/>
      <c r="M71" s="52">
        <v>30</v>
      </c>
      <c r="N71" s="38">
        <f t="shared" ref="N71:N134" si="4">K71/$D$2*M71+L71</f>
        <v>2000.0000000000002</v>
      </c>
      <c r="O71" s="50"/>
      <c r="P71" s="50"/>
      <c r="Q71" s="50"/>
      <c r="R71" s="50"/>
      <c r="S71" s="57"/>
      <c r="T71" s="38">
        <f t="shared" si="2"/>
        <v>2000</v>
      </c>
      <c r="U71" s="40"/>
      <c r="V71" s="54" t="s">
        <v>34</v>
      </c>
      <c r="W71" s="55" t="s">
        <v>310</v>
      </c>
      <c r="X71" s="56" t="s">
        <v>35</v>
      </c>
      <c r="Y71" s="56" t="s">
        <v>36</v>
      </c>
      <c r="AA71" s="150">
        <v>2000</v>
      </c>
      <c r="AB71" s="150">
        <v>0</v>
      </c>
      <c r="AC71" s="150">
        <v>2000</v>
      </c>
      <c r="AD71" s="150">
        <v>2000</v>
      </c>
      <c r="AE71" s="150">
        <v>0</v>
      </c>
      <c r="AF71" s="150">
        <v>2000</v>
      </c>
      <c r="AG71" s="150">
        <v>0</v>
      </c>
    </row>
    <row r="72" spans="1:33" s="44" customFormat="1" ht="15.75" x14ac:dyDescent="0.25">
      <c r="A72" s="45">
        <v>66</v>
      </c>
      <c r="B72" s="29" t="s">
        <v>31</v>
      </c>
      <c r="C72" s="46">
        <v>50041</v>
      </c>
      <c r="D72" s="45">
        <v>33493</v>
      </c>
      <c r="E72" s="45">
        <v>27984</v>
      </c>
      <c r="F72" s="47" t="s">
        <v>144</v>
      </c>
      <c r="G72" s="48" t="s">
        <v>33</v>
      </c>
      <c r="H72" s="49">
        <f>VLOOKUP(D72,[2]PG_Payroll_Run_Report__Shared__!$A$6:$F$151,6,FALSE)</f>
        <v>41609</v>
      </c>
      <c r="I72" s="50">
        <v>2700</v>
      </c>
      <c r="J72" s="50">
        <v>6138</v>
      </c>
      <c r="K72" s="51">
        <f t="shared" si="3"/>
        <v>8838</v>
      </c>
      <c r="L72" s="50"/>
      <c r="M72" s="52">
        <v>30</v>
      </c>
      <c r="N72" s="38">
        <f t="shared" si="4"/>
        <v>8838</v>
      </c>
      <c r="O72" s="50"/>
      <c r="P72" s="50"/>
      <c r="Q72" s="50"/>
      <c r="R72" s="50"/>
      <c r="S72" s="57"/>
      <c r="T72" s="38">
        <f t="shared" ref="T72:T135" si="5">ROUND(SUM(N72:S72),0)</f>
        <v>8838</v>
      </c>
      <c r="U72" s="40"/>
      <c r="V72" s="54" t="s">
        <v>34</v>
      </c>
      <c r="W72" s="55" t="s">
        <v>311</v>
      </c>
      <c r="X72" s="56" t="s">
        <v>35</v>
      </c>
      <c r="Y72" s="56" t="s">
        <v>36</v>
      </c>
      <c r="AA72" s="150">
        <v>8838</v>
      </c>
      <c r="AB72" s="150">
        <v>0</v>
      </c>
      <c r="AC72" s="150">
        <v>8838</v>
      </c>
      <c r="AD72" s="150">
        <v>8838</v>
      </c>
      <c r="AE72" s="150">
        <v>0</v>
      </c>
      <c r="AF72" s="150">
        <v>8838</v>
      </c>
      <c r="AG72" s="150">
        <v>0</v>
      </c>
    </row>
    <row r="73" spans="1:33" s="44" customFormat="1" ht="15.75" x14ac:dyDescent="0.25">
      <c r="A73" s="45">
        <v>67</v>
      </c>
      <c r="B73" s="29" t="s">
        <v>31</v>
      </c>
      <c r="C73" s="46">
        <v>50126</v>
      </c>
      <c r="D73" s="45">
        <v>33518</v>
      </c>
      <c r="E73" s="45">
        <v>27991</v>
      </c>
      <c r="F73" s="47" t="s">
        <v>145</v>
      </c>
      <c r="G73" s="48" t="s">
        <v>45</v>
      </c>
      <c r="H73" s="49">
        <f>VLOOKUP(D73,[2]PG_Payroll_Run_Report__Shared__!$A$6:$F$151,6,FALSE)</f>
        <v>41730</v>
      </c>
      <c r="I73" s="50">
        <v>8731.2000000000007</v>
      </c>
      <c r="J73" s="50">
        <v>13096.8</v>
      </c>
      <c r="K73" s="51">
        <f t="shared" si="3"/>
        <v>21828</v>
      </c>
      <c r="L73" s="50">
        <v>2400</v>
      </c>
      <c r="M73" s="52">
        <v>30</v>
      </c>
      <c r="N73" s="38">
        <f t="shared" si="4"/>
        <v>24228</v>
      </c>
      <c r="O73" s="50"/>
      <c r="P73" s="50">
        <f>-K73*5%</f>
        <v>-1091.4000000000001</v>
      </c>
      <c r="Q73" s="50"/>
      <c r="R73" s="50"/>
      <c r="S73" s="57"/>
      <c r="T73" s="38">
        <f t="shared" si="5"/>
        <v>23137</v>
      </c>
      <c r="U73" s="60" t="s">
        <v>46</v>
      </c>
      <c r="V73" s="54" t="s">
        <v>34</v>
      </c>
      <c r="W73" s="55" t="s">
        <v>312</v>
      </c>
      <c r="X73" s="56" t="s">
        <v>35</v>
      </c>
      <c r="Y73" s="56" t="s">
        <v>36</v>
      </c>
      <c r="AA73" s="150">
        <v>27862.2</v>
      </c>
      <c r="AB73" s="150">
        <v>3634.2</v>
      </c>
      <c r="AC73" s="150">
        <v>24228</v>
      </c>
      <c r="AD73" s="150">
        <v>23137</v>
      </c>
      <c r="AE73" s="150">
        <v>-1091.4000000000001</v>
      </c>
      <c r="AF73" s="150">
        <v>24228.400000000001</v>
      </c>
      <c r="AG73" s="150">
        <v>-0.40000000000145519</v>
      </c>
    </row>
    <row r="74" spans="1:33" s="44" customFormat="1" ht="15.75" x14ac:dyDescent="0.25">
      <c r="A74" s="45">
        <v>68</v>
      </c>
      <c r="B74" s="29" t="s">
        <v>31</v>
      </c>
      <c r="C74" s="46">
        <v>50185</v>
      </c>
      <c r="D74" s="45">
        <v>33526</v>
      </c>
      <c r="E74" s="45">
        <v>27996</v>
      </c>
      <c r="F74" s="47" t="s">
        <v>146</v>
      </c>
      <c r="G74" s="48" t="s">
        <v>68</v>
      </c>
      <c r="H74" s="49">
        <f>VLOOKUP(D74,[2]PG_Payroll_Run_Report__Shared__!$A$6:$F$151,6,FALSE)</f>
        <v>42989</v>
      </c>
      <c r="I74" s="50">
        <v>1200</v>
      </c>
      <c r="J74" s="50">
        <v>1040</v>
      </c>
      <c r="K74" s="51">
        <f t="shared" si="3"/>
        <v>2240</v>
      </c>
      <c r="L74" s="50"/>
      <c r="M74" s="52">
        <v>30</v>
      </c>
      <c r="N74" s="38">
        <f t="shared" si="4"/>
        <v>2240</v>
      </c>
      <c r="O74" s="50"/>
      <c r="P74" s="50"/>
      <c r="Q74" s="50"/>
      <c r="R74" s="50"/>
      <c r="S74" s="57"/>
      <c r="T74" s="38">
        <f t="shared" si="5"/>
        <v>2240</v>
      </c>
      <c r="U74" s="40"/>
      <c r="V74" s="54" t="s">
        <v>34</v>
      </c>
      <c r="W74" s="55" t="s">
        <v>313</v>
      </c>
      <c r="X74" s="56" t="s">
        <v>35</v>
      </c>
      <c r="Y74" s="56" t="s">
        <v>36</v>
      </c>
      <c r="AA74" s="150">
        <v>2240</v>
      </c>
      <c r="AB74" s="150">
        <v>0</v>
      </c>
      <c r="AC74" s="150">
        <v>2240</v>
      </c>
      <c r="AD74" s="150">
        <v>2240</v>
      </c>
      <c r="AE74" s="150">
        <v>0</v>
      </c>
      <c r="AF74" s="150">
        <v>2240</v>
      </c>
      <c r="AG74" s="150">
        <v>0</v>
      </c>
    </row>
    <row r="75" spans="1:33" s="44" customFormat="1" ht="15.75" x14ac:dyDescent="0.25">
      <c r="A75" s="45">
        <v>69</v>
      </c>
      <c r="B75" s="29" t="s">
        <v>31</v>
      </c>
      <c r="C75" s="46">
        <v>50129</v>
      </c>
      <c r="D75" s="45">
        <v>33552</v>
      </c>
      <c r="E75" s="45">
        <v>28007</v>
      </c>
      <c r="F75" s="47" t="s">
        <v>147</v>
      </c>
      <c r="G75" s="48" t="s">
        <v>45</v>
      </c>
      <c r="H75" s="49">
        <f>VLOOKUP(D75,[2]PG_Payroll_Run_Report__Shared__!$A$6:$F$151,6,FALSE)</f>
        <v>41730</v>
      </c>
      <c r="I75" s="50">
        <v>6420</v>
      </c>
      <c r="J75" s="50">
        <v>9630</v>
      </c>
      <c r="K75" s="51">
        <f t="shared" si="3"/>
        <v>16050</v>
      </c>
      <c r="L75" s="50"/>
      <c r="M75" s="52">
        <v>30</v>
      </c>
      <c r="N75" s="38">
        <f t="shared" si="4"/>
        <v>16050</v>
      </c>
      <c r="O75" s="50"/>
      <c r="P75" s="50"/>
      <c r="Q75" s="50"/>
      <c r="R75" s="50">
        <f>-K75*7.5%</f>
        <v>-1203.75</v>
      </c>
      <c r="S75" s="57"/>
      <c r="T75" s="38">
        <f t="shared" si="5"/>
        <v>14846</v>
      </c>
      <c r="U75" s="60" t="s">
        <v>148</v>
      </c>
      <c r="V75" s="54" t="s">
        <v>34</v>
      </c>
      <c r="W75" s="55" t="s">
        <v>314</v>
      </c>
      <c r="X75" s="56" t="s">
        <v>35</v>
      </c>
      <c r="Y75" s="56" t="s">
        <v>41</v>
      </c>
      <c r="AA75" s="150">
        <v>17815.5</v>
      </c>
      <c r="AB75" s="150">
        <v>1765.5</v>
      </c>
      <c r="AC75" s="150">
        <v>16050</v>
      </c>
      <c r="AD75" s="150">
        <v>14846</v>
      </c>
      <c r="AE75" s="150">
        <v>-1203.75</v>
      </c>
      <c r="AF75" s="150">
        <v>16049.75</v>
      </c>
      <c r="AG75" s="150">
        <v>0.25</v>
      </c>
    </row>
    <row r="76" spans="1:33" s="44" customFormat="1" ht="15.75" x14ac:dyDescent="0.25">
      <c r="A76" s="45">
        <v>70</v>
      </c>
      <c r="B76" s="29" t="s">
        <v>31</v>
      </c>
      <c r="C76" s="62">
        <v>50090</v>
      </c>
      <c r="D76" s="45">
        <v>33565</v>
      </c>
      <c r="E76" s="45">
        <v>28014</v>
      </c>
      <c r="F76" s="47" t="s">
        <v>149</v>
      </c>
      <c r="G76" s="48" t="s">
        <v>33</v>
      </c>
      <c r="H76" s="49">
        <f>VLOOKUP(D76,[2]PG_Payroll_Run_Report__Shared__!$A$6:$F$151,6,FALSE)</f>
        <v>41730</v>
      </c>
      <c r="I76" s="50">
        <v>1200</v>
      </c>
      <c r="J76" s="50">
        <v>1480</v>
      </c>
      <c r="K76" s="51">
        <f t="shared" si="3"/>
        <v>2680</v>
      </c>
      <c r="L76" s="50"/>
      <c r="M76" s="52">
        <v>30</v>
      </c>
      <c r="N76" s="38">
        <f t="shared" si="4"/>
        <v>2680</v>
      </c>
      <c r="O76" s="50"/>
      <c r="P76" s="50"/>
      <c r="Q76" s="50"/>
      <c r="R76" s="50"/>
      <c r="S76" s="39"/>
      <c r="T76" s="38">
        <f t="shared" si="5"/>
        <v>2680</v>
      </c>
      <c r="U76" s="40"/>
      <c r="V76" s="54" t="s">
        <v>34</v>
      </c>
      <c r="W76" s="55" t="s">
        <v>315</v>
      </c>
      <c r="X76" s="56" t="s">
        <v>35</v>
      </c>
      <c r="Y76" s="56" t="s">
        <v>36</v>
      </c>
      <c r="AA76" s="150">
        <v>2680</v>
      </c>
      <c r="AB76" s="150">
        <v>0</v>
      </c>
      <c r="AC76" s="150">
        <v>2680</v>
      </c>
      <c r="AD76" s="150">
        <v>2680</v>
      </c>
      <c r="AE76" s="150">
        <v>0</v>
      </c>
      <c r="AF76" s="150">
        <v>2680</v>
      </c>
      <c r="AG76" s="150">
        <v>0</v>
      </c>
    </row>
    <row r="77" spans="1:33" s="44" customFormat="1" ht="31.5" x14ac:dyDescent="0.25">
      <c r="A77" s="45">
        <v>71</v>
      </c>
      <c r="B77" s="29" t="s">
        <v>31</v>
      </c>
      <c r="C77" s="46">
        <v>50202</v>
      </c>
      <c r="D77" s="45">
        <v>33688</v>
      </c>
      <c r="E77" s="45">
        <v>28018</v>
      </c>
      <c r="F77" s="47" t="s">
        <v>150</v>
      </c>
      <c r="G77" s="48" t="s">
        <v>68</v>
      </c>
      <c r="H77" s="49">
        <f>VLOOKUP(D77,[2]PG_Payroll_Run_Report__Shared__!$A$6:$F$151,6,FALSE)</f>
        <v>43403</v>
      </c>
      <c r="I77" s="50">
        <v>1200</v>
      </c>
      <c r="J77" s="50">
        <v>1040</v>
      </c>
      <c r="K77" s="51">
        <f t="shared" si="3"/>
        <v>2240</v>
      </c>
      <c r="L77" s="50"/>
      <c r="M77" s="52">
        <v>30</v>
      </c>
      <c r="N77" s="38">
        <f t="shared" si="4"/>
        <v>2240</v>
      </c>
      <c r="O77" s="50"/>
      <c r="P77" s="50"/>
      <c r="Q77" s="50"/>
      <c r="R77" s="50"/>
      <c r="S77" s="57"/>
      <c r="T77" s="38">
        <f t="shared" si="5"/>
        <v>2240</v>
      </c>
      <c r="U77" s="40"/>
      <c r="V77" s="54" t="s">
        <v>34</v>
      </c>
      <c r="W77" s="55" t="s">
        <v>316</v>
      </c>
      <c r="X77" s="56" t="s">
        <v>35</v>
      </c>
      <c r="Y77" s="56" t="s">
        <v>36</v>
      </c>
      <c r="AA77" s="150">
        <v>2240</v>
      </c>
      <c r="AB77" s="150">
        <v>0</v>
      </c>
      <c r="AC77" s="150">
        <v>2240</v>
      </c>
      <c r="AD77" s="150">
        <v>2240</v>
      </c>
      <c r="AE77" s="150">
        <v>0</v>
      </c>
      <c r="AF77" s="150">
        <v>2240</v>
      </c>
      <c r="AG77" s="150">
        <v>0</v>
      </c>
    </row>
    <row r="78" spans="1:33" s="44" customFormat="1" ht="15.75" x14ac:dyDescent="0.25">
      <c r="A78" s="45">
        <v>72</v>
      </c>
      <c r="B78" s="29" t="s">
        <v>31</v>
      </c>
      <c r="C78" s="46">
        <v>50204</v>
      </c>
      <c r="D78" s="45">
        <v>33699</v>
      </c>
      <c r="E78" s="45">
        <v>28021</v>
      </c>
      <c r="F78" s="47" t="s">
        <v>151</v>
      </c>
      <c r="G78" s="48" t="s">
        <v>68</v>
      </c>
      <c r="H78" s="49">
        <f>VLOOKUP(D78,[2]PG_Payroll_Run_Report__Shared__!$A$6:$F$151,6,FALSE)</f>
        <v>43408</v>
      </c>
      <c r="I78" s="50">
        <v>1200</v>
      </c>
      <c r="J78" s="50">
        <v>1040</v>
      </c>
      <c r="K78" s="51">
        <f t="shared" si="3"/>
        <v>2240</v>
      </c>
      <c r="L78" s="50"/>
      <c r="M78" s="52">
        <v>30</v>
      </c>
      <c r="N78" s="38">
        <f t="shared" si="4"/>
        <v>2240</v>
      </c>
      <c r="O78" s="50"/>
      <c r="P78" s="50"/>
      <c r="Q78" s="50"/>
      <c r="R78" s="50"/>
      <c r="S78" s="57"/>
      <c r="T78" s="38">
        <f t="shared" si="5"/>
        <v>2240</v>
      </c>
      <c r="U78" s="40"/>
      <c r="V78" s="54" t="s">
        <v>34</v>
      </c>
      <c r="W78" s="55" t="s">
        <v>317</v>
      </c>
      <c r="X78" s="56" t="s">
        <v>35</v>
      </c>
      <c r="Y78" s="56" t="s">
        <v>36</v>
      </c>
      <c r="AA78" s="150">
        <v>2240</v>
      </c>
      <c r="AB78" s="150">
        <v>0</v>
      </c>
      <c r="AC78" s="150">
        <v>2240</v>
      </c>
      <c r="AD78" s="150">
        <v>2240</v>
      </c>
      <c r="AE78" s="150">
        <v>0</v>
      </c>
      <c r="AF78" s="150">
        <v>2240</v>
      </c>
      <c r="AG78" s="150">
        <v>0</v>
      </c>
    </row>
    <row r="79" spans="1:33" s="44" customFormat="1" ht="15.75" x14ac:dyDescent="0.25">
      <c r="A79" s="45">
        <v>73</v>
      </c>
      <c r="B79" s="29" t="s">
        <v>31</v>
      </c>
      <c r="C79" s="46">
        <v>50232</v>
      </c>
      <c r="D79" s="45">
        <v>34145</v>
      </c>
      <c r="E79" s="45">
        <v>28032</v>
      </c>
      <c r="F79" s="47" t="s">
        <v>152</v>
      </c>
      <c r="G79" s="48" t="s">
        <v>33</v>
      </c>
      <c r="H79" s="49">
        <f>VLOOKUP(D79,[2]PG_Payroll_Run_Report__Shared__!$A$6:$F$151,6,FALSE)</f>
        <v>43563</v>
      </c>
      <c r="I79" s="50">
        <v>1200</v>
      </c>
      <c r="J79" s="50">
        <v>800</v>
      </c>
      <c r="K79" s="51">
        <f t="shared" si="3"/>
        <v>2000</v>
      </c>
      <c r="L79" s="50"/>
      <c r="M79" s="52">
        <v>30</v>
      </c>
      <c r="N79" s="38">
        <f t="shared" si="4"/>
        <v>2000.0000000000002</v>
      </c>
      <c r="O79" s="50"/>
      <c r="P79" s="50"/>
      <c r="Q79" s="50"/>
      <c r="R79" s="50"/>
      <c r="S79" s="57"/>
      <c r="T79" s="38">
        <f t="shared" si="5"/>
        <v>2000</v>
      </c>
      <c r="U79" s="40"/>
      <c r="V79" s="54" t="s">
        <v>34</v>
      </c>
      <c r="W79" s="55" t="s">
        <v>318</v>
      </c>
      <c r="X79" s="56" t="s">
        <v>35</v>
      </c>
      <c r="Y79" s="56" t="s">
        <v>41</v>
      </c>
      <c r="AA79" s="150">
        <v>2000</v>
      </c>
      <c r="AB79" s="150">
        <v>0</v>
      </c>
      <c r="AC79" s="150">
        <v>2000</v>
      </c>
      <c r="AD79" s="150">
        <v>2000</v>
      </c>
      <c r="AE79" s="150">
        <v>0</v>
      </c>
      <c r="AF79" s="150">
        <v>2000</v>
      </c>
      <c r="AG79" s="150">
        <v>0</v>
      </c>
    </row>
    <row r="80" spans="1:33" s="44" customFormat="1" ht="15.75" x14ac:dyDescent="0.25">
      <c r="A80" s="45">
        <v>74</v>
      </c>
      <c r="B80" s="29" t="s">
        <v>31</v>
      </c>
      <c r="C80" s="46">
        <v>50162</v>
      </c>
      <c r="D80" s="45">
        <v>33560</v>
      </c>
      <c r="E80" s="45">
        <v>28079</v>
      </c>
      <c r="F80" s="47" t="s">
        <v>153</v>
      </c>
      <c r="G80" s="48" t="s">
        <v>68</v>
      </c>
      <c r="H80" s="49">
        <f>VLOOKUP(D80,[2]PG_Payroll_Run_Report__Shared__!$A$6:$F$151,6,FALSE)</f>
        <v>41609</v>
      </c>
      <c r="I80" s="50">
        <v>1200</v>
      </c>
      <c r="J80" s="50">
        <v>1160</v>
      </c>
      <c r="K80" s="51">
        <f t="shared" si="3"/>
        <v>2360</v>
      </c>
      <c r="L80" s="50"/>
      <c r="M80" s="52">
        <v>30</v>
      </c>
      <c r="N80" s="38">
        <f t="shared" si="4"/>
        <v>2360</v>
      </c>
      <c r="O80" s="50"/>
      <c r="P80" s="50"/>
      <c r="Q80" s="50"/>
      <c r="R80" s="50"/>
      <c r="S80" s="57"/>
      <c r="T80" s="38">
        <f t="shared" si="5"/>
        <v>2360</v>
      </c>
      <c r="U80" s="40"/>
      <c r="V80" s="54" t="s">
        <v>80</v>
      </c>
      <c r="W80" s="55" t="s">
        <v>154</v>
      </c>
      <c r="X80" s="56" t="s">
        <v>35</v>
      </c>
      <c r="Y80" s="56" t="s">
        <v>41</v>
      </c>
      <c r="AA80" s="150">
        <v>2360</v>
      </c>
      <c r="AB80" s="150">
        <v>0</v>
      </c>
      <c r="AC80" s="150">
        <v>2360</v>
      </c>
      <c r="AD80" s="150">
        <v>2360</v>
      </c>
      <c r="AE80" s="150">
        <v>0</v>
      </c>
      <c r="AF80" s="150">
        <v>2360</v>
      </c>
      <c r="AG80" s="150">
        <v>0</v>
      </c>
    </row>
    <row r="81" spans="1:33" s="44" customFormat="1" ht="15.75" x14ac:dyDescent="0.25">
      <c r="A81" s="45">
        <v>75</v>
      </c>
      <c r="B81" s="29" t="s">
        <v>31</v>
      </c>
      <c r="C81" s="46">
        <v>50097</v>
      </c>
      <c r="D81" s="45">
        <v>33562</v>
      </c>
      <c r="E81" s="45">
        <v>28080</v>
      </c>
      <c r="F81" s="47" t="s">
        <v>155</v>
      </c>
      <c r="G81" s="48" t="s">
        <v>33</v>
      </c>
      <c r="H81" s="49">
        <f>VLOOKUP(D81,[2]PG_Payroll_Run_Report__Shared__!$A$6:$F$151,6,FALSE)</f>
        <v>41609</v>
      </c>
      <c r="I81" s="50">
        <v>1200</v>
      </c>
      <c r="J81" s="50">
        <v>1480</v>
      </c>
      <c r="K81" s="51">
        <f t="shared" si="3"/>
        <v>2680</v>
      </c>
      <c r="L81" s="50"/>
      <c r="M81" s="52">
        <v>30</v>
      </c>
      <c r="N81" s="38">
        <f t="shared" si="4"/>
        <v>2680</v>
      </c>
      <c r="O81" s="50"/>
      <c r="P81" s="50"/>
      <c r="Q81" s="50"/>
      <c r="R81" s="50"/>
      <c r="S81" s="57"/>
      <c r="T81" s="38">
        <f t="shared" si="5"/>
        <v>2680</v>
      </c>
      <c r="U81" s="40"/>
      <c r="V81" s="54" t="s">
        <v>80</v>
      </c>
      <c r="W81" s="55" t="s">
        <v>156</v>
      </c>
      <c r="X81" s="56" t="s">
        <v>35</v>
      </c>
      <c r="Y81" s="56" t="s">
        <v>41</v>
      </c>
      <c r="AA81" s="150">
        <v>2680</v>
      </c>
      <c r="AB81" s="150">
        <v>0</v>
      </c>
      <c r="AC81" s="150">
        <v>2680</v>
      </c>
      <c r="AD81" s="150">
        <v>2680</v>
      </c>
      <c r="AE81" s="150">
        <v>0</v>
      </c>
      <c r="AF81" s="150">
        <v>2680</v>
      </c>
      <c r="AG81" s="150">
        <v>0</v>
      </c>
    </row>
    <row r="82" spans="1:33" s="44" customFormat="1" ht="15.75" x14ac:dyDescent="0.25">
      <c r="A82" s="45">
        <v>76</v>
      </c>
      <c r="B82" s="29" t="s">
        <v>31</v>
      </c>
      <c r="C82" s="46">
        <v>50083</v>
      </c>
      <c r="D82" s="45">
        <v>33569</v>
      </c>
      <c r="E82" s="45">
        <v>28081</v>
      </c>
      <c r="F82" s="47" t="s">
        <v>157</v>
      </c>
      <c r="G82" s="48" t="s">
        <v>33</v>
      </c>
      <c r="H82" s="49">
        <f>VLOOKUP(D82,[2]PG_Payroll_Run_Report__Shared__!$A$6:$F$151,6,FALSE)</f>
        <v>41730</v>
      </c>
      <c r="I82" s="50">
        <v>1200</v>
      </c>
      <c r="J82" s="50">
        <v>1480</v>
      </c>
      <c r="K82" s="51">
        <f t="shared" si="3"/>
        <v>2680</v>
      </c>
      <c r="L82" s="50"/>
      <c r="M82" s="52">
        <v>30</v>
      </c>
      <c r="N82" s="38">
        <f t="shared" si="4"/>
        <v>2680</v>
      </c>
      <c r="O82" s="50"/>
      <c r="P82" s="50"/>
      <c r="Q82" s="50"/>
      <c r="R82" s="50"/>
      <c r="S82" s="57"/>
      <c r="T82" s="38">
        <f t="shared" si="5"/>
        <v>2680</v>
      </c>
      <c r="U82" s="40"/>
      <c r="V82" s="54" t="s">
        <v>80</v>
      </c>
      <c r="W82" s="55" t="s">
        <v>158</v>
      </c>
      <c r="X82" s="56" t="s">
        <v>35</v>
      </c>
      <c r="Y82" s="56" t="s">
        <v>36</v>
      </c>
      <c r="AA82" s="150">
        <v>2680</v>
      </c>
      <c r="AB82" s="150">
        <v>0</v>
      </c>
      <c r="AC82" s="150">
        <v>2680</v>
      </c>
      <c r="AD82" s="150">
        <v>2680</v>
      </c>
      <c r="AE82" s="150">
        <v>0</v>
      </c>
      <c r="AF82" s="150">
        <v>2680</v>
      </c>
      <c r="AG82" s="150">
        <v>0</v>
      </c>
    </row>
    <row r="83" spans="1:33" s="44" customFormat="1" ht="15.75" x14ac:dyDescent="0.25">
      <c r="A83" s="45">
        <v>77</v>
      </c>
      <c r="B83" s="29" t="s">
        <v>31</v>
      </c>
      <c r="C83" s="46">
        <v>50160</v>
      </c>
      <c r="D83" s="45">
        <v>33488</v>
      </c>
      <c r="E83" s="45">
        <v>28347</v>
      </c>
      <c r="F83" s="47" t="s">
        <v>159</v>
      </c>
      <c r="G83" s="48" t="s">
        <v>70</v>
      </c>
      <c r="H83" s="49">
        <f>VLOOKUP(D83,[2]PG_Payroll_Run_Report__Shared__!$A$6:$F$151,6,FALSE)</f>
        <v>41609</v>
      </c>
      <c r="I83" s="50">
        <v>1200</v>
      </c>
      <c r="J83" s="50">
        <v>1160</v>
      </c>
      <c r="K83" s="51">
        <f t="shared" si="3"/>
        <v>2360</v>
      </c>
      <c r="L83" s="50"/>
      <c r="M83" s="52">
        <v>30</v>
      </c>
      <c r="N83" s="38">
        <f t="shared" si="4"/>
        <v>2360</v>
      </c>
      <c r="O83" s="50"/>
      <c r="P83" s="50"/>
      <c r="Q83" s="50"/>
      <c r="R83" s="50"/>
      <c r="S83" s="57"/>
      <c r="T83" s="38">
        <f t="shared" si="5"/>
        <v>2360</v>
      </c>
      <c r="U83" s="40"/>
      <c r="V83" s="54" t="s">
        <v>63</v>
      </c>
      <c r="W83" s="55" t="s">
        <v>319</v>
      </c>
      <c r="X83" s="56" t="s">
        <v>35</v>
      </c>
      <c r="Y83" s="56" t="s">
        <v>36</v>
      </c>
      <c r="AA83" s="150">
        <v>2360</v>
      </c>
      <c r="AB83" s="150">
        <v>0</v>
      </c>
      <c r="AC83" s="150">
        <v>2360</v>
      </c>
      <c r="AD83" s="150">
        <v>2360</v>
      </c>
      <c r="AE83" s="150">
        <v>0</v>
      </c>
      <c r="AF83" s="150">
        <v>2360</v>
      </c>
      <c r="AG83" s="150">
        <v>0</v>
      </c>
    </row>
    <row r="84" spans="1:33" s="44" customFormat="1" ht="15.75" x14ac:dyDescent="0.25">
      <c r="A84" s="45">
        <v>78</v>
      </c>
      <c r="B84" s="29" t="s">
        <v>31</v>
      </c>
      <c r="C84" s="46">
        <v>50047</v>
      </c>
      <c r="D84" s="45">
        <v>33495</v>
      </c>
      <c r="E84" s="45">
        <v>28349</v>
      </c>
      <c r="F84" s="47" t="s">
        <v>160</v>
      </c>
      <c r="G84" s="48" t="s">
        <v>33</v>
      </c>
      <c r="H84" s="49">
        <f>VLOOKUP(D84,[2]PG_Payroll_Run_Report__Shared__!$A$6:$F$151,6,FALSE)</f>
        <v>41609</v>
      </c>
      <c r="I84" s="50">
        <v>1200</v>
      </c>
      <c r="J84" s="50">
        <v>1480</v>
      </c>
      <c r="K84" s="51">
        <f t="shared" si="3"/>
        <v>2680</v>
      </c>
      <c r="L84" s="50"/>
      <c r="M84" s="52">
        <v>30</v>
      </c>
      <c r="N84" s="38">
        <f t="shared" si="4"/>
        <v>2680</v>
      </c>
      <c r="O84" s="50"/>
      <c r="P84" s="50"/>
      <c r="Q84" s="50"/>
      <c r="R84" s="50"/>
      <c r="S84" s="57"/>
      <c r="T84" s="38">
        <f t="shared" si="5"/>
        <v>2680</v>
      </c>
      <c r="U84" s="40"/>
      <c r="V84" s="54" t="s">
        <v>63</v>
      </c>
      <c r="W84" s="55" t="s">
        <v>320</v>
      </c>
      <c r="X84" s="56" t="s">
        <v>35</v>
      </c>
      <c r="Y84" s="56" t="s">
        <v>36</v>
      </c>
      <c r="AA84" s="150">
        <v>2680</v>
      </c>
      <c r="AB84" s="150">
        <v>0</v>
      </c>
      <c r="AC84" s="150">
        <v>2680</v>
      </c>
      <c r="AD84" s="150">
        <v>2680</v>
      </c>
      <c r="AE84" s="150">
        <v>0</v>
      </c>
      <c r="AF84" s="150">
        <v>2680</v>
      </c>
      <c r="AG84" s="150">
        <v>0</v>
      </c>
    </row>
    <row r="85" spans="1:33" s="44" customFormat="1" ht="15.75" x14ac:dyDescent="0.25">
      <c r="A85" s="45">
        <v>79</v>
      </c>
      <c r="B85" s="29" t="s">
        <v>31</v>
      </c>
      <c r="C85" s="46">
        <v>50171</v>
      </c>
      <c r="D85" s="45">
        <v>33557</v>
      </c>
      <c r="E85" s="45">
        <v>28358</v>
      </c>
      <c r="F85" s="47" t="s">
        <v>161</v>
      </c>
      <c r="G85" s="48" t="s">
        <v>83</v>
      </c>
      <c r="H85" s="49">
        <f>VLOOKUP(D85,[2]PG_Payroll_Run_Report__Shared__!$A$6:$F$151,6,FALSE)</f>
        <v>41640</v>
      </c>
      <c r="I85" s="50">
        <v>1200</v>
      </c>
      <c r="J85" s="50">
        <v>1160</v>
      </c>
      <c r="K85" s="51">
        <f t="shared" si="3"/>
        <v>2360</v>
      </c>
      <c r="L85" s="50"/>
      <c r="M85" s="52">
        <v>30</v>
      </c>
      <c r="N85" s="38">
        <f t="shared" si="4"/>
        <v>2360</v>
      </c>
      <c r="O85" s="50"/>
      <c r="P85" s="50"/>
      <c r="Q85" s="50"/>
      <c r="R85" s="50"/>
      <c r="S85" s="57"/>
      <c r="T85" s="38">
        <f t="shared" si="5"/>
        <v>2360</v>
      </c>
      <c r="U85" s="40"/>
      <c r="V85" s="54" t="s">
        <v>63</v>
      </c>
      <c r="W85" s="55" t="s">
        <v>321</v>
      </c>
      <c r="X85" s="56" t="s">
        <v>35</v>
      </c>
      <c r="Y85" s="56" t="s">
        <v>41</v>
      </c>
      <c r="AA85" s="150">
        <v>2360</v>
      </c>
      <c r="AB85" s="150">
        <v>0</v>
      </c>
      <c r="AC85" s="150">
        <v>2360</v>
      </c>
      <c r="AD85" s="150">
        <v>2360</v>
      </c>
      <c r="AE85" s="150">
        <v>0</v>
      </c>
      <c r="AF85" s="150">
        <v>2360</v>
      </c>
      <c r="AG85" s="150">
        <v>0</v>
      </c>
    </row>
    <row r="86" spans="1:33" s="44" customFormat="1" ht="15.75" x14ac:dyDescent="0.25">
      <c r="A86" s="45">
        <v>80</v>
      </c>
      <c r="B86" s="29" t="s">
        <v>31</v>
      </c>
      <c r="C86" s="62">
        <v>50263</v>
      </c>
      <c r="D86" s="45">
        <v>47257</v>
      </c>
      <c r="E86" s="45">
        <v>28377</v>
      </c>
      <c r="F86" s="47" t="s">
        <v>162</v>
      </c>
      <c r="G86" s="48" t="s">
        <v>107</v>
      </c>
      <c r="H86" s="49">
        <f>VLOOKUP(D86,[2]PG_Payroll_Run_Report__Shared__!$A$6:$F$151,6,FALSE)</f>
        <v>45170</v>
      </c>
      <c r="I86" s="50">
        <v>1200</v>
      </c>
      <c r="J86" s="50">
        <v>800</v>
      </c>
      <c r="K86" s="51">
        <f t="shared" si="3"/>
        <v>2000</v>
      </c>
      <c r="L86" s="50"/>
      <c r="M86" s="52">
        <v>30</v>
      </c>
      <c r="N86" s="38">
        <f t="shared" si="4"/>
        <v>2000.0000000000002</v>
      </c>
      <c r="O86" s="50"/>
      <c r="P86" s="50"/>
      <c r="Q86" s="50"/>
      <c r="R86" s="50"/>
      <c r="S86" s="57"/>
      <c r="T86" s="38">
        <f t="shared" si="5"/>
        <v>2000</v>
      </c>
      <c r="U86" s="40"/>
      <c r="V86" s="54" t="s">
        <v>52</v>
      </c>
      <c r="W86" s="55" t="s">
        <v>163</v>
      </c>
      <c r="X86" s="56" t="s">
        <v>35</v>
      </c>
      <c r="Y86" s="56" t="s">
        <v>36</v>
      </c>
      <c r="AA86" s="150">
        <v>2000</v>
      </c>
      <c r="AB86" s="150">
        <v>0</v>
      </c>
      <c r="AC86" s="150">
        <v>2000</v>
      </c>
      <c r="AD86" s="150">
        <v>2000</v>
      </c>
      <c r="AE86" s="150">
        <v>0</v>
      </c>
      <c r="AF86" s="150">
        <v>2000</v>
      </c>
      <c r="AG86" s="150">
        <v>0</v>
      </c>
    </row>
    <row r="87" spans="1:33" s="44" customFormat="1" ht="15.75" x14ac:dyDescent="0.25">
      <c r="A87" s="45">
        <v>81</v>
      </c>
      <c r="B87" s="29" t="s">
        <v>31</v>
      </c>
      <c r="C87" s="46">
        <v>50123</v>
      </c>
      <c r="D87" s="45">
        <v>33471</v>
      </c>
      <c r="E87" s="45">
        <v>27768</v>
      </c>
      <c r="F87" s="47" t="s">
        <v>164</v>
      </c>
      <c r="G87" s="48" t="s">
        <v>33</v>
      </c>
      <c r="H87" s="49">
        <f>VLOOKUP(D87,[2]PG_Payroll_Run_Report__Shared__!$A$6:$F$151,6,FALSE)</f>
        <v>41609</v>
      </c>
      <c r="I87" s="50">
        <v>1200</v>
      </c>
      <c r="J87" s="50">
        <v>1160</v>
      </c>
      <c r="K87" s="51">
        <f t="shared" si="3"/>
        <v>2360</v>
      </c>
      <c r="L87" s="50"/>
      <c r="M87" s="52">
        <v>30</v>
      </c>
      <c r="N87" s="38">
        <f t="shared" si="4"/>
        <v>2360</v>
      </c>
      <c r="O87" s="50"/>
      <c r="P87" s="50"/>
      <c r="Q87" s="50"/>
      <c r="R87" s="50"/>
      <c r="S87" s="57"/>
      <c r="T87" s="38">
        <f t="shared" si="5"/>
        <v>2360</v>
      </c>
      <c r="U87" s="40"/>
      <c r="V87" s="54" t="s">
        <v>86</v>
      </c>
      <c r="W87" s="55" t="s">
        <v>165</v>
      </c>
      <c r="X87" s="56" t="s">
        <v>35</v>
      </c>
      <c r="Y87" s="56" t="s">
        <v>36</v>
      </c>
      <c r="AA87" s="150">
        <v>2360</v>
      </c>
      <c r="AB87" s="150">
        <v>0</v>
      </c>
      <c r="AC87" s="150">
        <v>2360</v>
      </c>
      <c r="AD87" s="150">
        <v>2360</v>
      </c>
      <c r="AE87" s="150">
        <v>0</v>
      </c>
      <c r="AF87" s="150">
        <v>2360</v>
      </c>
      <c r="AG87" s="150">
        <v>0</v>
      </c>
    </row>
    <row r="88" spans="1:33" s="44" customFormat="1" ht="15.75" x14ac:dyDescent="0.25">
      <c r="A88" s="45">
        <v>82</v>
      </c>
      <c r="B88" s="29" t="s">
        <v>31</v>
      </c>
      <c r="C88" s="46">
        <v>50144</v>
      </c>
      <c r="D88" s="45">
        <v>33472</v>
      </c>
      <c r="E88" s="45">
        <v>27866</v>
      </c>
      <c r="F88" s="47" t="s">
        <v>166</v>
      </c>
      <c r="G88" s="48" t="s">
        <v>33</v>
      </c>
      <c r="H88" s="49">
        <f>VLOOKUP(D88,[2]PG_Payroll_Run_Report__Shared__!$A$6:$F$151,6,FALSE)</f>
        <v>41609</v>
      </c>
      <c r="I88" s="50">
        <v>1200</v>
      </c>
      <c r="J88" s="50">
        <v>1160</v>
      </c>
      <c r="K88" s="51">
        <f t="shared" si="3"/>
        <v>2360</v>
      </c>
      <c r="L88" s="50"/>
      <c r="M88" s="52">
        <v>30</v>
      </c>
      <c r="N88" s="38">
        <f t="shared" si="4"/>
        <v>2360</v>
      </c>
      <c r="O88" s="50"/>
      <c r="P88" s="50"/>
      <c r="Q88" s="50"/>
      <c r="R88" s="50"/>
      <c r="S88" s="57"/>
      <c r="T88" s="38">
        <f t="shared" si="5"/>
        <v>2360</v>
      </c>
      <c r="U88" s="40"/>
      <c r="V88" s="54" t="s">
        <v>34</v>
      </c>
      <c r="W88" s="55" t="s">
        <v>322</v>
      </c>
      <c r="X88" s="56" t="s">
        <v>35</v>
      </c>
      <c r="Y88" s="56" t="s">
        <v>36</v>
      </c>
      <c r="AA88" s="150">
        <v>2360</v>
      </c>
      <c r="AB88" s="150">
        <v>0</v>
      </c>
      <c r="AC88" s="150">
        <v>2360</v>
      </c>
      <c r="AD88" s="150">
        <v>2360</v>
      </c>
      <c r="AE88" s="150">
        <v>0</v>
      </c>
      <c r="AF88" s="150">
        <v>2360</v>
      </c>
      <c r="AG88" s="150">
        <v>0</v>
      </c>
    </row>
    <row r="89" spans="1:33" s="44" customFormat="1" ht="15.75" x14ac:dyDescent="0.25">
      <c r="A89" s="45">
        <v>83</v>
      </c>
      <c r="B89" s="29" t="s">
        <v>31</v>
      </c>
      <c r="C89" s="46">
        <v>50142</v>
      </c>
      <c r="D89" s="45">
        <v>33483</v>
      </c>
      <c r="E89" s="45">
        <v>27871</v>
      </c>
      <c r="F89" s="47" t="s">
        <v>167</v>
      </c>
      <c r="G89" s="48" t="s">
        <v>33</v>
      </c>
      <c r="H89" s="49">
        <f>VLOOKUP(D89,[2]PG_Payroll_Run_Report__Shared__!$A$6:$F$151,6,FALSE)</f>
        <v>41609</v>
      </c>
      <c r="I89" s="50">
        <v>1200</v>
      </c>
      <c r="J89" s="50">
        <v>1160</v>
      </c>
      <c r="K89" s="51">
        <f t="shared" si="3"/>
        <v>2360</v>
      </c>
      <c r="L89" s="50"/>
      <c r="M89" s="52">
        <v>30</v>
      </c>
      <c r="N89" s="38">
        <f t="shared" si="4"/>
        <v>2360</v>
      </c>
      <c r="O89" s="50"/>
      <c r="P89" s="50"/>
      <c r="Q89" s="50"/>
      <c r="R89" s="50"/>
      <c r="S89" s="57"/>
      <c r="T89" s="38">
        <f t="shared" si="5"/>
        <v>2360</v>
      </c>
      <c r="U89" s="40"/>
      <c r="V89" s="54" t="s">
        <v>34</v>
      </c>
      <c r="W89" s="55" t="s">
        <v>323</v>
      </c>
      <c r="X89" s="56" t="s">
        <v>35</v>
      </c>
      <c r="Y89" s="56" t="s">
        <v>36</v>
      </c>
      <c r="AA89" s="150">
        <v>2360</v>
      </c>
      <c r="AB89" s="150">
        <v>0</v>
      </c>
      <c r="AC89" s="150">
        <v>2360</v>
      </c>
      <c r="AD89" s="150">
        <v>2360</v>
      </c>
      <c r="AE89" s="150">
        <v>0</v>
      </c>
      <c r="AF89" s="150">
        <v>2360</v>
      </c>
      <c r="AG89" s="150">
        <v>0</v>
      </c>
    </row>
    <row r="90" spans="1:33" s="44" customFormat="1" ht="15.75" x14ac:dyDescent="0.25">
      <c r="A90" s="45">
        <v>84</v>
      </c>
      <c r="B90" s="29" t="s">
        <v>31</v>
      </c>
      <c r="C90" s="46">
        <v>50241</v>
      </c>
      <c r="D90" s="45">
        <v>34502</v>
      </c>
      <c r="E90" s="45">
        <v>27953</v>
      </c>
      <c r="F90" s="47" t="s">
        <v>168</v>
      </c>
      <c r="G90" s="48" t="s">
        <v>33</v>
      </c>
      <c r="H90" s="49">
        <f>VLOOKUP(D90,[2]PG_Payroll_Run_Report__Shared__!$A$6:$F$151,6,FALSE)</f>
        <v>43653</v>
      </c>
      <c r="I90" s="50">
        <v>1200</v>
      </c>
      <c r="J90" s="50">
        <v>800</v>
      </c>
      <c r="K90" s="51">
        <f t="shared" si="3"/>
        <v>2000</v>
      </c>
      <c r="L90" s="50"/>
      <c r="M90" s="52">
        <v>30</v>
      </c>
      <c r="N90" s="38">
        <f t="shared" si="4"/>
        <v>2000.0000000000002</v>
      </c>
      <c r="O90" s="50"/>
      <c r="P90" s="50"/>
      <c r="Q90" s="50"/>
      <c r="R90" s="50"/>
      <c r="S90" s="57"/>
      <c r="T90" s="38">
        <f t="shared" si="5"/>
        <v>2000</v>
      </c>
      <c r="U90" s="40"/>
      <c r="V90" s="54" t="s">
        <v>34</v>
      </c>
      <c r="W90" s="55" t="s">
        <v>324</v>
      </c>
      <c r="X90" s="56" t="s">
        <v>35</v>
      </c>
      <c r="Y90" s="56" t="s">
        <v>36</v>
      </c>
      <c r="AA90" s="150">
        <v>2000</v>
      </c>
      <c r="AB90" s="150">
        <v>0</v>
      </c>
      <c r="AC90" s="150">
        <v>2000</v>
      </c>
      <c r="AD90" s="150">
        <v>2000</v>
      </c>
      <c r="AE90" s="150">
        <v>0</v>
      </c>
      <c r="AF90" s="150">
        <v>2000</v>
      </c>
      <c r="AG90" s="150">
        <v>0</v>
      </c>
    </row>
    <row r="91" spans="1:33" s="44" customFormat="1" ht="15.75" x14ac:dyDescent="0.25">
      <c r="A91" s="45">
        <v>85</v>
      </c>
      <c r="B91" s="29" t="s">
        <v>31</v>
      </c>
      <c r="C91" s="46">
        <v>50255</v>
      </c>
      <c r="D91" s="45">
        <v>43835</v>
      </c>
      <c r="E91" s="45">
        <v>27982</v>
      </c>
      <c r="F91" s="47" t="s">
        <v>169</v>
      </c>
      <c r="G91" s="48" t="s">
        <v>170</v>
      </c>
      <c r="H91" s="49">
        <f>VLOOKUP(D91,[2]PG_Payroll_Run_Report__Shared__!$A$6:$F$151,6,FALSE)</f>
        <v>44705</v>
      </c>
      <c r="I91" s="50">
        <v>1560</v>
      </c>
      <c r="J91" s="50">
        <v>1040</v>
      </c>
      <c r="K91" s="51">
        <f t="shared" si="3"/>
        <v>2600</v>
      </c>
      <c r="L91" s="50"/>
      <c r="M91" s="52">
        <v>30</v>
      </c>
      <c r="N91" s="38">
        <f t="shared" si="4"/>
        <v>2600</v>
      </c>
      <c r="O91" s="50"/>
      <c r="P91" s="50"/>
      <c r="Q91" s="50"/>
      <c r="R91" s="50"/>
      <c r="S91" s="57"/>
      <c r="T91" s="38">
        <f t="shared" si="5"/>
        <v>2600</v>
      </c>
      <c r="U91" s="40"/>
      <c r="V91" s="54" t="s">
        <v>34</v>
      </c>
      <c r="W91" s="55" t="s">
        <v>325</v>
      </c>
      <c r="X91" s="56" t="s">
        <v>35</v>
      </c>
      <c r="Y91" s="56" t="s">
        <v>36</v>
      </c>
      <c r="AA91" s="150">
        <v>2600</v>
      </c>
      <c r="AB91" s="150">
        <v>0</v>
      </c>
      <c r="AC91" s="150">
        <v>2600</v>
      </c>
      <c r="AD91" s="150">
        <v>2600</v>
      </c>
      <c r="AE91" s="150">
        <v>0</v>
      </c>
      <c r="AF91" s="150">
        <v>2600</v>
      </c>
      <c r="AG91" s="150">
        <v>0</v>
      </c>
    </row>
    <row r="92" spans="1:33" s="44" customFormat="1" ht="15.75" x14ac:dyDescent="0.25">
      <c r="A92" s="45">
        <v>86</v>
      </c>
      <c r="B92" s="29" t="s">
        <v>31</v>
      </c>
      <c r="C92" s="46">
        <v>50180</v>
      </c>
      <c r="D92" s="45">
        <v>33532</v>
      </c>
      <c r="E92" s="45">
        <v>28000</v>
      </c>
      <c r="F92" s="47" t="s">
        <v>171</v>
      </c>
      <c r="G92" s="48" t="s">
        <v>68</v>
      </c>
      <c r="H92" s="49">
        <f>VLOOKUP(D92,[2]PG_Payroll_Run_Report__Shared__!$A$6:$F$151,6,FALSE)</f>
        <v>42982</v>
      </c>
      <c r="I92" s="50">
        <v>1200</v>
      </c>
      <c r="J92" s="50">
        <v>1040</v>
      </c>
      <c r="K92" s="51">
        <f t="shared" si="3"/>
        <v>2240</v>
      </c>
      <c r="L92" s="50"/>
      <c r="M92" s="52">
        <v>30</v>
      </c>
      <c r="N92" s="38">
        <f t="shared" si="4"/>
        <v>2240</v>
      </c>
      <c r="O92" s="50"/>
      <c r="P92" s="50"/>
      <c r="Q92" s="50"/>
      <c r="R92" s="50"/>
      <c r="S92" s="57"/>
      <c r="T92" s="38">
        <f t="shared" si="5"/>
        <v>2240</v>
      </c>
      <c r="U92" s="40"/>
      <c r="V92" s="54" t="s">
        <v>34</v>
      </c>
      <c r="W92" s="55" t="s">
        <v>326</v>
      </c>
      <c r="X92" s="56" t="s">
        <v>35</v>
      </c>
      <c r="Y92" s="56" t="s">
        <v>36</v>
      </c>
      <c r="AA92" s="150">
        <v>2240</v>
      </c>
      <c r="AB92" s="150">
        <v>0</v>
      </c>
      <c r="AC92" s="150">
        <v>2240</v>
      </c>
      <c r="AD92" s="150">
        <v>2240</v>
      </c>
      <c r="AE92" s="150">
        <v>0</v>
      </c>
      <c r="AF92" s="150">
        <v>2240</v>
      </c>
      <c r="AG92" s="150">
        <v>0</v>
      </c>
    </row>
    <row r="93" spans="1:33" s="44" customFormat="1" ht="15.75" x14ac:dyDescent="0.25">
      <c r="A93" s="45">
        <v>87</v>
      </c>
      <c r="B93" s="29" t="s">
        <v>31</v>
      </c>
      <c r="C93" s="46">
        <v>50052</v>
      </c>
      <c r="D93" s="45">
        <v>33546</v>
      </c>
      <c r="E93" s="45">
        <v>28003</v>
      </c>
      <c r="F93" s="47" t="s">
        <v>172</v>
      </c>
      <c r="G93" s="48" t="s">
        <v>33</v>
      </c>
      <c r="H93" s="49">
        <f>VLOOKUP(D93,[2]PG_Payroll_Run_Report__Shared__!$A$6:$F$151,6,FALSE)</f>
        <v>41609</v>
      </c>
      <c r="I93" s="50">
        <v>1200</v>
      </c>
      <c r="J93" s="50">
        <v>1480</v>
      </c>
      <c r="K93" s="51">
        <f t="shared" si="3"/>
        <v>2680</v>
      </c>
      <c r="L93" s="50"/>
      <c r="M93" s="52">
        <v>30</v>
      </c>
      <c r="N93" s="38">
        <f t="shared" si="4"/>
        <v>2680</v>
      </c>
      <c r="O93" s="50"/>
      <c r="P93" s="50"/>
      <c r="Q93" s="50"/>
      <c r="R93" s="50"/>
      <c r="S93" s="57"/>
      <c r="T93" s="38">
        <f t="shared" si="5"/>
        <v>2680</v>
      </c>
      <c r="U93" s="40"/>
      <c r="V93" s="54" t="s">
        <v>34</v>
      </c>
      <c r="W93" s="55" t="s">
        <v>327</v>
      </c>
      <c r="X93" s="56" t="s">
        <v>35</v>
      </c>
      <c r="Y93" s="56" t="s">
        <v>36</v>
      </c>
      <c r="AA93" s="150">
        <v>2680</v>
      </c>
      <c r="AB93" s="150">
        <v>0</v>
      </c>
      <c r="AC93" s="150">
        <v>2680</v>
      </c>
      <c r="AD93" s="150">
        <v>2680</v>
      </c>
      <c r="AE93" s="150">
        <v>0</v>
      </c>
      <c r="AF93" s="150">
        <v>2680</v>
      </c>
      <c r="AG93" s="150">
        <v>0</v>
      </c>
    </row>
    <row r="94" spans="1:33" s="44" customFormat="1" ht="15.75" x14ac:dyDescent="0.25">
      <c r="A94" s="45">
        <v>88</v>
      </c>
      <c r="B94" s="29" t="s">
        <v>31</v>
      </c>
      <c r="C94" s="46">
        <v>50174</v>
      </c>
      <c r="D94" s="45">
        <v>33549</v>
      </c>
      <c r="E94" s="45">
        <v>28005</v>
      </c>
      <c r="F94" s="47" t="s">
        <v>173</v>
      </c>
      <c r="G94" s="48" t="s">
        <v>45</v>
      </c>
      <c r="H94" s="49">
        <f>VLOOKUP(D94,[2]PG_Payroll_Run_Report__Shared__!$A$6:$F$151,6,FALSE)</f>
        <v>41730</v>
      </c>
      <c r="I94" s="50">
        <v>6420</v>
      </c>
      <c r="J94" s="50">
        <v>9630</v>
      </c>
      <c r="K94" s="51">
        <f t="shared" si="3"/>
        <v>16050</v>
      </c>
      <c r="L94" s="50"/>
      <c r="M94" s="52">
        <v>30</v>
      </c>
      <c r="N94" s="38">
        <f t="shared" si="4"/>
        <v>16050</v>
      </c>
      <c r="O94" s="50"/>
      <c r="P94" s="50"/>
      <c r="Q94" s="50"/>
      <c r="R94" s="50">
        <f>-K94*7.5%</f>
        <v>-1203.75</v>
      </c>
      <c r="S94" s="57"/>
      <c r="T94" s="38">
        <f t="shared" si="5"/>
        <v>14846</v>
      </c>
      <c r="U94" s="60" t="s">
        <v>48</v>
      </c>
      <c r="V94" s="54" t="s">
        <v>34</v>
      </c>
      <c r="W94" s="55" t="s">
        <v>328</v>
      </c>
      <c r="X94" s="56" t="s">
        <v>35</v>
      </c>
      <c r="Y94" s="56" t="s">
        <v>36</v>
      </c>
      <c r="AA94" s="150">
        <v>17815.5</v>
      </c>
      <c r="AB94" s="150">
        <v>1765.5</v>
      </c>
      <c r="AC94" s="150">
        <v>16050</v>
      </c>
      <c r="AD94" s="150">
        <v>14846</v>
      </c>
      <c r="AE94" s="150">
        <v>-1203.75</v>
      </c>
      <c r="AF94" s="150">
        <v>16049.75</v>
      </c>
      <c r="AG94" s="150">
        <v>0.25</v>
      </c>
    </row>
    <row r="95" spans="1:33" s="44" customFormat="1" ht="15.75" x14ac:dyDescent="0.25">
      <c r="A95" s="45">
        <v>89</v>
      </c>
      <c r="B95" s="29" t="s">
        <v>31</v>
      </c>
      <c r="C95" s="46">
        <v>50131</v>
      </c>
      <c r="D95" s="45">
        <v>33554</v>
      </c>
      <c r="E95" s="45">
        <v>28008</v>
      </c>
      <c r="F95" s="47" t="s">
        <v>174</v>
      </c>
      <c r="G95" s="48" t="s">
        <v>45</v>
      </c>
      <c r="H95" s="49">
        <f>VLOOKUP(D95,[2]PG_Payroll_Run_Report__Shared__!$A$6:$F$151,6,FALSE)</f>
        <v>41730</v>
      </c>
      <c r="I95" s="50">
        <v>7960.8</v>
      </c>
      <c r="J95" s="50">
        <v>11941.2</v>
      </c>
      <c r="K95" s="51">
        <f t="shared" si="3"/>
        <v>19902</v>
      </c>
      <c r="L95" s="50">
        <v>600</v>
      </c>
      <c r="M95" s="52">
        <v>30</v>
      </c>
      <c r="N95" s="38">
        <f t="shared" si="4"/>
        <v>20502</v>
      </c>
      <c r="O95" s="50"/>
      <c r="P95" s="50">
        <f>-K95*5%</f>
        <v>-995.1</v>
      </c>
      <c r="Q95" s="50"/>
      <c r="R95" s="50"/>
      <c r="S95" s="57"/>
      <c r="T95" s="38">
        <f t="shared" si="5"/>
        <v>19507</v>
      </c>
      <c r="U95" s="60" t="s">
        <v>46</v>
      </c>
      <c r="V95" s="54" t="s">
        <v>34</v>
      </c>
      <c r="W95" s="55" t="s">
        <v>329</v>
      </c>
      <c r="X95" s="56" t="s">
        <v>35</v>
      </c>
      <c r="Y95" s="56" t="s">
        <v>36</v>
      </c>
      <c r="AA95" s="150">
        <v>23577.3</v>
      </c>
      <c r="AB95" s="150">
        <v>3075.3</v>
      </c>
      <c r="AC95" s="150">
        <v>20502</v>
      </c>
      <c r="AD95" s="150">
        <v>19507</v>
      </c>
      <c r="AE95" s="150">
        <v>-995.1</v>
      </c>
      <c r="AF95" s="150">
        <v>20502.099999999999</v>
      </c>
      <c r="AG95" s="150">
        <v>-9.9999999998544808E-2</v>
      </c>
    </row>
    <row r="96" spans="1:33" s="44" customFormat="1" ht="15.75" x14ac:dyDescent="0.25">
      <c r="A96" s="45">
        <v>90</v>
      </c>
      <c r="B96" s="29" t="s">
        <v>31</v>
      </c>
      <c r="C96" s="46">
        <v>50186</v>
      </c>
      <c r="D96" s="45">
        <v>33576</v>
      </c>
      <c r="E96" s="45">
        <v>28011</v>
      </c>
      <c r="F96" s="47" t="s">
        <v>175</v>
      </c>
      <c r="G96" s="48" t="s">
        <v>68</v>
      </c>
      <c r="H96" s="49">
        <f>VLOOKUP(D96,[2]PG_Payroll_Run_Report__Shared__!$A$6:$F$151,6,FALSE)</f>
        <v>43093</v>
      </c>
      <c r="I96" s="50">
        <v>1200</v>
      </c>
      <c r="J96" s="50">
        <v>1040</v>
      </c>
      <c r="K96" s="51">
        <f t="shared" si="3"/>
        <v>2240</v>
      </c>
      <c r="L96" s="50"/>
      <c r="M96" s="52">
        <v>30</v>
      </c>
      <c r="N96" s="38">
        <f t="shared" si="4"/>
        <v>2240</v>
      </c>
      <c r="O96" s="50"/>
      <c r="P96" s="50"/>
      <c r="Q96" s="50"/>
      <c r="R96" s="50"/>
      <c r="S96" s="57"/>
      <c r="T96" s="38">
        <f t="shared" si="5"/>
        <v>2240</v>
      </c>
      <c r="U96" s="40"/>
      <c r="V96" s="54" t="s">
        <v>34</v>
      </c>
      <c r="W96" s="55" t="s">
        <v>330</v>
      </c>
      <c r="X96" s="56" t="s">
        <v>35</v>
      </c>
      <c r="Y96" s="56" t="s">
        <v>41</v>
      </c>
      <c r="AA96" s="150">
        <v>2240</v>
      </c>
      <c r="AB96" s="150">
        <v>0</v>
      </c>
      <c r="AC96" s="150">
        <v>2240</v>
      </c>
      <c r="AD96" s="150">
        <v>2240</v>
      </c>
      <c r="AE96" s="150">
        <v>0</v>
      </c>
      <c r="AF96" s="150">
        <v>2240</v>
      </c>
      <c r="AG96" s="150">
        <v>0</v>
      </c>
    </row>
    <row r="97" spans="1:33" s="44" customFormat="1" ht="15.75" x14ac:dyDescent="0.25">
      <c r="A97" s="45">
        <v>91</v>
      </c>
      <c r="B97" s="29" t="s">
        <v>31</v>
      </c>
      <c r="C97" s="46">
        <v>50216</v>
      </c>
      <c r="D97" s="45">
        <v>33761</v>
      </c>
      <c r="E97" s="45">
        <v>28022</v>
      </c>
      <c r="F97" s="47" t="s">
        <v>176</v>
      </c>
      <c r="G97" s="48" t="s">
        <v>33</v>
      </c>
      <c r="H97" s="49">
        <f>VLOOKUP(D97,[2]PG_Payroll_Run_Report__Shared__!$A$6:$F$151,6,FALSE)</f>
        <v>43451</v>
      </c>
      <c r="I97" s="50">
        <v>1200</v>
      </c>
      <c r="J97" s="50">
        <v>1040</v>
      </c>
      <c r="K97" s="51">
        <f t="shared" si="3"/>
        <v>2240</v>
      </c>
      <c r="L97" s="50"/>
      <c r="M97" s="52">
        <v>30</v>
      </c>
      <c r="N97" s="38">
        <f t="shared" si="4"/>
        <v>2240</v>
      </c>
      <c r="O97" s="50"/>
      <c r="P97" s="50"/>
      <c r="Q97" s="50"/>
      <c r="R97" s="50"/>
      <c r="S97" s="57"/>
      <c r="T97" s="38">
        <f t="shared" si="5"/>
        <v>2240</v>
      </c>
      <c r="U97" s="40"/>
      <c r="V97" s="54" t="s">
        <v>34</v>
      </c>
      <c r="W97" s="55" t="s">
        <v>331</v>
      </c>
      <c r="X97" s="56" t="s">
        <v>35</v>
      </c>
      <c r="Y97" s="56" t="s">
        <v>36</v>
      </c>
      <c r="AA97" s="150">
        <v>2240</v>
      </c>
      <c r="AB97" s="150">
        <v>0</v>
      </c>
      <c r="AC97" s="150">
        <v>2240</v>
      </c>
      <c r="AD97" s="150">
        <v>2240</v>
      </c>
      <c r="AE97" s="150">
        <v>0</v>
      </c>
      <c r="AF97" s="150">
        <v>2240</v>
      </c>
      <c r="AG97" s="150">
        <v>0</v>
      </c>
    </row>
    <row r="98" spans="1:33" s="44" customFormat="1" ht="15.75" x14ac:dyDescent="0.25">
      <c r="A98" s="45">
        <v>92</v>
      </c>
      <c r="B98" s="29" t="s">
        <v>31</v>
      </c>
      <c r="C98" s="46">
        <v>50229</v>
      </c>
      <c r="D98" s="45">
        <v>33951</v>
      </c>
      <c r="E98" s="45">
        <v>28030</v>
      </c>
      <c r="F98" s="47" t="s">
        <v>177</v>
      </c>
      <c r="G98" s="48" t="s">
        <v>33</v>
      </c>
      <c r="H98" s="49">
        <f>VLOOKUP(D98,[2]PG_Payroll_Run_Report__Shared__!$A$6:$F$151,6,FALSE)</f>
        <v>43506</v>
      </c>
      <c r="I98" s="50">
        <v>1200</v>
      </c>
      <c r="J98" s="50">
        <v>1040</v>
      </c>
      <c r="K98" s="51">
        <f t="shared" si="3"/>
        <v>2240</v>
      </c>
      <c r="L98" s="50"/>
      <c r="M98" s="52">
        <v>30</v>
      </c>
      <c r="N98" s="38">
        <f t="shared" si="4"/>
        <v>2240</v>
      </c>
      <c r="O98" s="50"/>
      <c r="P98" s="50"/>
      <c r="Q98" s="50"/>
      <c r="R98" s="50"/>
      <c r="S98" s="57"/>
      <c r="T98" s="38">
        <f t="shared" si="5"/>
        <v>2240</v>
      </c>
      <c r="U98" s="40"/>
      <c r="V98" s="54" t="s">
        <v>34</v>
      </c>
      <c r="W98" s="55" t="s">
        <v>332</v>
      </c>
      <c r="X98" s="56" t="s">
        <v>35</v>
      </c>
      <c r="Y98" s="56" t="s">
        <v>41</v>
      </c>
      <c r="AA98" s="150">
        <v>2240</v>
      </c>
      <c r="AB98" s="150">
        <v>0</v>
      </c>
      <c r="AC98" s="150">
        <v>2240</v>
      </c>
      <c r="AD98" s="150">
        <v>2240</v>
      </c>
      <c r="AE98" s="150">
        <v>0</v>
      </c>
      <c r="AF98" s="150">
        <v>2240</v>
      </c>
      <c r="AG98" s="150">
        <v>0</v>
      </c>
    </row>
    <row r="99" spans="1:33" s="44" customFormat="1" ht="15.75" x14ac:dyDescent="0.25">
      <c r="A99" s="45">
        <v>93</v>
      </c>
      <c r="B99" s="29" t="s">
        <v>31</v>
      </c>
      <c r="C99" s="46">
        <v>50231</v>
      </c>
      <c r="D99" s="45">
        <v>34139</v>
      </c>
      <c r="E99" s="45">
        <v>28031</v>
      </c>
      <c r="F99" s="47" t="s">
        <v>178</v>
      </c>
      <c r="G99" s="48" t="s">
        <v>33</v>
      </c>
      <c r="H99" s="49">
        <f>VLOOKUP(D99,[2]PG_Payroll_Run_Report__Shared__!$A$6:$F$151,6,FALSE)</f>
        <v>43520</v>
      </c>
      <c r="I99" s="50">
        <v>1200</v>
      </c>
      <c r="J99" s="50">
        <v>800</v>
      </c>
      <c r="K99" s="51">
        <f t="shared" si="3"/>
        <v>2000</v>
      </c>
      <c r="L99" s="50"/>
      <c r="M99" s="52">
        <v>30</v>
      </c>
      <c r="N99" s="38">
        <f t="shared" si="4"/>
        <v>2000.0000000000002</v>
      </c>
      <c r="O99" s="50"/>
      <c r="P99" s="50"/>
      <c r="Q99" s="50"/>
      <c r="R99" s="50"/>
      <c r="S99" s="57"/>
      <c r="T99" s="38">
        <f t="shared" si="5"/>
        <v>2000</v>
      </c>
      <c r="U99" s="40"/>
      <c r="V99" s="54" t="s">
        <v>34</v>
      </c>
      <c r="W99" s="55" t="s">
        <v>333</v>
      </c>
      <c r="X99" s="56" t="s">
        <v>35</v>
      </c>
      <c r="Y99" s="56" t="s">
        <v>41</v>
      </c>
      <c r="AA99" s="150">
        <v>2000</v>
      </c>
      <c r="AB99" s="150">
        <v>0</v>
      </c>
      <c r="AC99" s="150">
        <v>2000</v>
      </c>
      <c r="AD99" s="150">
        <v>2000</v>
      </c>
      <c r="AE99" s="150">
        <v>0</v>
      </c>
      <c r="AF99" s="150">
        <v>2000</v>
      </c>
      <c r="AG99" s="150">
        <v>0</v>
      </c>
    </row>
    <row r="100" spans="1:33" s="44" customFormat="1" ht="31.5" x14ac:dyDescent="0.25">
      <c r="A100" s="45">
        <v>94</v>
      </c>
      <c r="B100" s="29" t="s">
        <v>31</v>
      </c>
      <c r="C100" s="46">
        <v>50128</v>
      </c>
      <c r="D100" s="45">
        <v>33553</v>
      </c>
      <c r="E100" s="45">
        <v>28077</v>
      </c>
      <c r="F100" s="47" t="s">
        <v>179</v>
      </c>
      <c r="G100" s="48" t="s">
        <v>45</v>
      </c>
      <c r="H100" s="49">
        <f>VLOOKUP(D100,[2]PG_Payroll_Run_Report__Shared__!$A$6:$F$151,6,FALSE)</f>
        <v>41730</v>
      </c>
      <c r="I100" s="50">
        <v>7704</v>
      </c>
      <c r="J100" s="50">
        <v>11556</v>
      </c>
      <c r="K100" s="51">
        <f t="shared" si="3"/>
        <v>19260</v>
      </c>
      <c r="L100" s="50"/>
      <c r="M100" s="52">
        <v>30</v>
      </c>
      <c r="N100" s="38">
        <f t="shared" si="4"/>
        <v>19260</v>
      </c>
      <c r="O100" s="50"/>
      <c r="P100" s="50">
        <f>-K100*5%</f>
        <v>-963</v>
      </c>
      <c r="Q100" s="50"/>
      <c r="R100" s="50"/>
      <c r="S100" s="57"/>
      <c r="T100" s="38">
        <f t="shared" si="5"/>
        <v>18297</v>
      </c>
      <c r="U100" s="60" t="s">
        <v>46</v>
      </c>
      <c r="V100" s="54" t="s">
        <v>80</v>
      </c>
      <c r="W100" s="55" t="s">
        <v>180</v>
      </c>
      <c r="X100" s="56" t="s">
        <v>35</v>
      </c>
      <c r="Y100" s="56" t="s">
        <v>36</v>
      </c>
      <c r="AA100" s="150">
        <v>22149</v>
      </c>
      <c r="AB100" s="150">
        <v>2889</v>
      </c>
      <c r="AC100" s="150">
        <v>19260</v>
      </c>
      <c r="AD100" s="150">
        <v>18297</v>
      </c>
      <c r="AE100" s="150">
        <v>-963</v>
      </c>
      <c r="AF100" s="150">
        <v>19260</v>
      </c>
      <c r="AG100" s="150">
        <v>0</v>
      </c>
    </row>
    <row r="101" spans="1:33" s="44" customFormat="1" ht="31.5" x14ac:dyDescent="0.25">
      <c r="A101" s="45">
        <v>95</v>
      </c>
      <c r="B101" s="29" t="s">
        <v>31</v>
      </c>
      <c r="C101" s="46">
        <v>50233</v>
      </c>
      <c r="D101" s="45">
        <v>34253</v>
      </c>
      <c r="E101" s="45">
        <v>28083</v>
      </c>
      <c r="F101" s="47" t="s">
        <v>181</v>
      </c>
      <c r="G101" s="48" t="s">
        <v>33</v>
      </c>
      <c r="H101" s="49">
        <f>VLOOKUP(D101,[2]PG_Payroll_Run_Report__Shared__!$A$6:$F$151,6,FALSE)</f>
        <v>43573</v>
      </c>
      <c r="I101" s="50">
        <v>1200</v>
      </c>
      <c r="J101" s="50">
        <v>800</v>
      </c>
      <c r="K101" s="51">
        <f t="shared" si="3"/>
        <v>2000</v>
      </c>
      <c r="L101" s="50"/>
      <c r="M101" s="52">
        <v>30</v>
      </c>
      <c r="N101" s="38">
        <f t="shared" si="4"/>
        <v>2000.0000000000002</v>
      </c>
      <c r="O101" s="50"/>
      <c r="P101" s="50"/>
      <c r="Q101" s="50"/>
      <c r="R101" s="50"/>
      <c r="S101" s="57"/>
      <c r="T101" s="38">
        <f t="shared" si="5"/>
        <v>2000</v>
      </c>
      <c r="U101" s="40"/>
      <c r="V101" s="54" t="s">
        <v>80</v>
      </c>
      <c r="W101" s="55" t="s">
        <v>182</v>
      </c>
      <c r="X101" s="56" t="s">
        <v>35</v>
      </c>
      <c r="Y101" s="56" t="s">
        <v>36</v>
      </c>
      <c r="AA101" s="150">
        <v>2000</v>
      </c>
      <c r="AB101" s="150">
        <v>0</v>
      </c>
      <c r="AC101" s="150">
        <v>2000</v>
      </c>
      <c r="AD101" s="150">
        <v>2000</v>
      </c>
      <c r="AE101" s="150">
        <v>0</v>
      </c>
      <c r="AF101" s="150">
        <v>2000</v>
      </c>
      <c r="AG101" s="150">
        <v>0</v>
      </c>
    </row>
    <row r="102" spans="1:33" s="44" customFormat="1" ht="15.75" x14ac:dyDescent="0.25">
      <c r="A102" s="45">
        <v>96</v>
      </c>
      <c r="B102" s="29" t="s">
        <v>31</v>
      </c>
      <c r="C102" s="46">
        <v>50036</v>
      </c>
      <c r="D102" s="45">
        <v>33516</v>
      </c>
      <c r="E102" s="45">
        <v>28135</v>
      </c>
      <c r="F102" s="47" t="s">
        <v>183</v>
      </c>
      <c r="G102" s="48" t="s">
        <v>184</v>
      </c>
      <c r="H102" s="49">
        <f>VLOOKUP(D102,[2]PG_Payroll_Run_Report__Shared__!$A$6:$F$151,6,FALSE)</f>
        <v>41730</v>
      </c>
      <c r="I102" s="50">
        <v>9363.2000000000007</v>
      </c>
      <c r="J102" s="50">
        <v>14044.8</v>
      </c>
      <c r="K102" s="51">
        <f t="shared" si="3"/>
        <v>23408</v>
      </c>
      <c r="L102" s="50"/>
      <c r="M102" s="52">
        <v>30</v>
      </c>
      <c r="N102" s="38">
        <f t="shared" si="4"/>
        <v>23408</v>
      </c>
      <c r="O102" s="50"/>
      <c r="P102" s="50"/>
      <c r="Q102" s="50"/>
      <c r="R102" s="50"/>
      <c r="S102" s="57"/>
      <c r="T102" s="38">
        <f t="shared" si="5"/>
        <v>23408</v>
      </c>
      <c r="U102" s="60" t="s">
        <v>185</v>
      </c>
      <c r="V102" s="54" t="s">
        <v>100</v>
      </c>
      <c r="W102" s="55" t="s">
        <v>186</v>
      </c>
      <c r="X102" s="56" t="s">
        <v>109</v>
      </c>
      <c r="Y102" s="56" t="s">
        <v>109</v>
      </c>
      <c r="AA102" s="150">
        <v>23408</v>
      </c>
      <c r="AB102" s="150">
        <v>0</v>
      </c>
      <c r="AC102" s="150">
        <v>23408</v>
      </c>
      <c r="AD102" s="150">
        <v>23408</v>
      </c>
      <c r="AE102" s="150">
        <v>0</v>
      </c>
      <c r="AF102" s="150">
        <v>23408</v>
      </c>
      <c r="AG102" s="150">
        <v>0</v>
      </c>
    </row>
    <row r="103" spans="1:33" s="44" customFormat="1" ht="15.75" x14ac:dyDescent="0.25">
      <c r="A103" s="45">
        <v>97</v>
      </c>
      <c r="B103" s="29" t="s">
        <v>31</v>
      </c>
      <c r="C103" s="46">
        <v>50033</v>
      </c>
      <c r="D103" s="45">
        <v>33492</v>
      </c>
      <c r="E103" s="45">
        <v>28174</v>
      </c>
      <c r="F103" s="47" t="s">
        <v>187</v>
      </c>
      <c r="G103" s="48" t="s">
        <v>33</v>
      </c>
      <c r="H103" s="49">
        <f>VLOOKUP(D103,[2]PG_Payroll_Run_Report__Shared__!$A$6:$F$151,6,FALSE)</f>
        <v>41609</v>
      </c>
      <c r="I103" s="50">
        <v>2100</v>
      </c>
      <c r="J103" s="50">
        <v>4950</v>
      </c>
      <c r="K103" s="51">
        <f t="shared" si="3"/>
        <v>7050</v>
      </c>
      <c r="L103" s="50"/>
      <c r="M103" s="52">
        <v>30</v>
      </c>
      <c r="N103" s="38">
        <f t="shared" si="4"/>
        <v>7050</v>
      </c>
      <c r="O103" s="50"/>
      <c r="P103" s="50"/>
      <c r="Q103" s="50"/>
      <c r="R103" s="50"/>
      <c r="S103" s="39"/>
      <c r="T103" s="38">
        <f t="shared" si="5"/>
        <v>7050</v>
      </c>
      <c r="U103" s="40"/>
      <c r="V103" s="54" t="s">
        <v>103</v>
      </c>
      <c r="W103" s="55" t="s">
        <v>188</v>
      </c>
      <c r="X103" s="56" t="s">
        <v>35</v>
      </c>
      <c r="Y103" s="56" t="s">
        <v>36</v>
      </c>
      <c r="AA103" s="150">
        <v>7050</v>
      </c>
      <c r="AB103" s="150">
        <v>0</v>
      </c>
      <c r="AC103" s="150">
        <v>7050</v>
      </c>
      <c r="AD103" s="150">
        <v>7050</v>
      </c>
      <c r="AE103" s="150">
        <v>0</v>
      </c>
      <c r="AF103" s="150">
        <v>7050</v>
      </c>
      <c r="AG103" s="150">
        <v>0</v>
      </c>
    </row>
    <row r="104" spans="1:33" s="44" customFormat="1" ht="31.5" x14ac:dyDescent="0.25">
      <c r="A104" s="45">
        <v>98</v>
      </c>
      <c r="B104" s="29" t="s">
        <v>31</v>
      </c>
      <c r="C104" s="46">
        <v>50096</v>
      </c>
      <c r="D104" s="45">
        <v>33535</v>
      </c>
      <c r="E104" s="45">
        <v>28354</v>
      </c>
      <c r="F104" s="47" t="s">
        <v>189</v>
      </c>
      <c r="G104" s="48" t="s">
        <v>59</v>
      </c>
      <c r="H104" s="49">
        <f>VLOOKUP(D104,[2]PG_Payroll_Run_Report__Shared__!$A$6:$F$151,6,FALSE)</f>
        <v>41640</v>
      </c>
      <c r="I104" s="50">
        <v>1200</v>
      </c>
      <c r="J104" s="50">
        <v>1550</v>
      </c>
      <c r="K104" s="51">
        <f t="shared" si="3"/>
        <v>2750</v>
      </c>
      <c r="L104" s="50"/>
      <c r="M104" s="52">
        <v>30</v>
      </c>
      <c r="N104" s="38">
        <f t="shared" si="4"/>
        <v>2750</v>
      </c>
      <c r="O104" s="50"/>
      <c r="P104" s="50"/>
      <c r="Q104" s="50"/>
      <c r="R104" s="57"/>
      <c r="S104" s="57"/>
      <c r="T104" s="38">
        <f t="shared" si="5"/>
        <v>2750</v>
      </c>
      <c r="U104" s="40"/>
      <c r="V104" s="54" t="s">
        <v>63</v>
      </c>
      <c r="W104" s="55" t="s">
        <v>334</v>
      </c>
      <c r="X104" s="56" t="s">
        <v>35</v>
      </c>
      <c r="Y104" s="56" t="s">
        <v>41</v>
      </c>
      <c r="AA104" s="150">
        <v>2750</v>
      </c>
      <c r="AB104" s="150">
        <v>0</v>
      </c>
      <c r="AC104" s="150">
        <v>2750</v>
      </c>
      <c r="AD104" s="150">
        <v>2750</v>
      </c>
      <c r="AE104" s="150">
        <v>0</v>
      </c>
      <c r="AF104" s="150">
        <v>2750</v>
      </c>
      <c r="AG104" s="150">
        <v>0</v>
      </c>
    </row>
    <row r="105" spans="1:33" s="44" customFormat="1" ht="15.75" x14ac:dyDescent="0.25">
      <c r="A105" s="45">
        <v>99</v>
      </c>
      <c r="B105" s="29" t="s">
        <v>31</v>
      </c>
      <c r="C105" s="46">
        <v>50099</v>
      </c>
      <c r="D105" s="45">
        <v>33563</v>
      </c>
      <c r="E105" s="45">
        <v>28361</v>
      </c>
      <c r="F105" s="47" t="s">
        <v>190</v>
      </c>
      <c r="G105" s="48" t="s">
        <v>59</v>
      </c>
      <c r="H105" s="49">
        <f>VLOOKUP(D105,[2]PG_Payroll_Run_Report__Shared__!$A$6:$F$151,6,FALSE)</f>
        <v>41609</v>
      </c>
      <c r="I105" s="50">
        <v>1200</v>
      </c>
      <c r="J105" s="50">
        <v>1000</v>
      </c>
      <c r="K105" s="51">
        <f t="shared" si="3"/>
        <v>2200</v>
      </c>
      <c r="L105" s="50"/>
      <c r="M105" s="52">
        <v>30</v>
      </c>
      <c r="N105" s="38">
        <f t="shared" si="4"/>
        <v>2200</v>
      </c>
      <c r="O105" s="50"/>
      <c r="P105" s="50"/>
      <c r="Q105" s="50"/>
      <c r="R105" s="57"/>
      <c r="S105" s="57"/>
      <c r="T105" s="38">
        <f t="shared" si="5"/>
        <v>2200</v>
      </c>
      <c r="U105" s="40"/>
      <c r="V105" s="54" t="s">
        <v>63</v>
      </c>
      <c r="W105" s="55" t="s">
        <v>335</v>
      </c>
      <c r="X105" s="56" t="s">
        <v>35</v>
      </c>
      <c r="Y105" s="56" t="s">
        <v>41</v>
      </c>
      <c r="AA105" s="150">
        <v>2200</v>
      </c>
      <c r="AB105" s="150">
        <v>0</v>
      </c>
      <c r="AC105" s="150">
        <v>2200</v>
      </c>
      <c r="AD105" s="150">
        <v>2200</v>
      </c>
      <c r="AE105" s="150">
        <v>0</v>
      </c>
      <c r="AF105" s="150">
        <v>2200</v>
      </c>
      <c r="AG105" s="150">
        <v>0</v>
      </c>
    </row>
    <row r="106" spans="1:33" s="44" customFormat="1" ht="15.75" x14ac:dyDescent="0.25">
      <c r="A106" s="45">
        <v>100</v>
      </c>
      <c r="B106" s="29" t="s">
        <v>31</v>
      </c>
      <c r="C106" s="46">
        <v>50198</v>
      </c>
      <c r="D106" s="45">
        <v>33685</v>
      </c>
      <c r="E106" s="45">
        <v>28363</v>
      </c>
      <c r="F106" s="47" t="s">
        <v>191</v>
      </c>
      <c r="G106" s="48" t="s">
        <v>68</v>
      </c>
      <c r="H106" s="49">
        <f>VLOOKUP(D106,[2]PG_Payroll_Run_Report__Shared__!$A$6:$F$151,6,FALSE)</f>
        <v>43389</v>
      </c>
      <c r="I106" s="50">
        <v>1200</v>
      </c>
      <c r="J106" s="50">
        <v>1040</v>
      </c>
      <c r="K106" s="51">
        <f t="shared" si="3"/>
        <v>2240</v>
      </c>
      <c r="L106" s="50"/>
      <c r="M106" s="52">
        <v>30</v>
      </c>
      <c r="N106" s="38">
        <f t="shared" si="4"/>
        <v>2240</v>
      </c>
      <c r="O106" s="50"/>
      <c r="P106" s="50"/>
      <c r="Q106" s="50"/>
      <c r="R106" s="57"/>
      <c r="S106" s="57"/>
      <c r="T106" s="38">
        <f t="shared" si="5"/>
        <v>2240</v>
      </c>
      <c r="U106" s="40"/>
      <c r="V106" s="54" t="s">
        <v>63</v>
      </c>
      <c r="W106" s="55" t="s">
        <v>336</v>
      </c>
      <c r="X106" s="56" t="s">
        <v>35</v>
      </c>
      <c r="Y106" s="56" t="s">
        <v>41</v>
      </c>
      <c r="AA106" s="150">
        <v>2240</v>
      </c>
      <c r="AB106" s="150">
        <v>0</v>
      </c>
      <c r="AC106" s="150">
        <v>2240</v>
      </c>
      <c r="AD106" s="150">
        <v>2240</v>
      </c>
      <c r="AE106" s="150">
        <v>0</v>
      </c>
      <c r="AF106" s="150">
        <v>2240</v>
      </c>
      <c r="AG106" s="150">
        <v>0</v>
      </c>
    </row>
    <row r="107" spans="1:33" s="44" customFormat="1" ht="15.75" x14ac:dyDescent="0.25">
      <c r="A107" s="45">
        <v>101</v>
      </c>
      <c r="B107" s="29" t="s">
        <v>31</v>
      </c>
      <c r="C107" s="46">
        <v>50143</v>
      </c>
      <c r="D107" s="45">
        <v>33452</v>
      </c>
      <c r="E107" s="45">
        <v>27863</v>
      </c>
      <c r="F107" s="47" t="s">
        <v>192</v>
      </c>
      <c r="G107" s="48" t="s">
        <v>33</v>
      </c>
      <c r="H107" s="49">
        <f>VLOOKUP(D107,[2]PG_Payroll_Run_Report__Shared__!$A$6:$F$151,6,FALSE)</f>
        <v>41640</v>
      </c>
      <c r="I107" s="50">
        <v>1200</v>
      </c>
      <c r="J107" s="50">
        <v>1160</v>
      </c>
      <c r="K107" s="51">
        <f t="shared" si="3"/>
        <v>2360</v>
      </c>
      <c r="L107" s="50"/>
      <c r="M107" s="52">
        <v>30</v>
      </c>
      <c r="N107" s="38">
        <f t="shared" si="4"/>
        <v>2360</v>
      </c>
      <c r="O107" s="50"/>
      <c r="P107" s="50"/>
      <c r="Q107" s="50"/>
      <c r="R107" s="57"/>
      <c r="S107" s="57"/>
      <c r="T107" s="38">
        <f t="shared" si="5"/>
        <v>2360</v>
      </c>
      <c r="U107" s="40"/>
      <c r="V107" s="54" t="s">
        <v>34</v>
      </c>
      <c r="W107" s="55" t="s">
        <v>337</v>
      </c>
      <c r="X107" s="56" t="s">
        <v>35</v>
      </c>
      <c r="Y107" s="56" t="s">
        <v>36</v>
      </c>
      <c r="AA107" s="150">
        <v>2360</v>
      </c>
      <c r="AB107" s="150">
        <v>0</v>
      </c>
      <c r="AC107" s="150">
        <v>2360</v>
      </c>
      <c r="AD107" s="150">
        <v>2360</v>
      </c>
      <c r="AE107" s="150">
        <v>0</v>
      </c>
      <c r="AF107" s="150">
        <v>2360</v>
      </c>
      <c r="AG107" s="150">
        <v>0</v>
      </c>
    </row>
    <row r="108" spans="1:33" s="44" customFormat="1" ht="15.75" x14ac:dyDescent="0.25">
      <c r="A108" s="45">
        <v>102</v>
      </c>
      <c r="B108" s="29" t="s">
        <v>31</v>
      </c>
      <c r="C108" s="46">
        <v>50106</v>
      </c>
      <c r="D108" s="45">
        <v>33489</v>
      </c>
      <c r="E108" s="45">
        <v>27873</v>
      </c>
      <c r="F108" s="47" t="s">
        <v>193</v>
      </c>
      <c r="G108" s="48" t="s">
        <v>33</v>
      </c>
      <c r="H108" s="49">
        <f>VLOOKUP(D108,[2]PG_Payroll_Run_Report__Shared__!$A$6:$F$151,6,FALSE)</f>
        <v>41609</v>
      </c>
      <c r="I108" s="50">
        <v>1200</v>
      </c>
      <c r="J108" s="50">
        <v>1280</v>
      </c>
      <c r="K108" s="51">
        <f t="shared" si="3"/>
        <v>2480</v>
      </c>
      <c r="L108" s="50"/>
      <c r="M108" s="52">
        <v>30</v>
      </c>
      <c r="N108" s="38">
        <f t="shared" si="4"/>
        <v>2480</v>
      </c>
      <c r="O108" s="50"/>
      <c r="P108" s="50"/>
      <c r="Q108" s="50"/>
      <c r="R108" s="57"/>
      <c r="S108" s="57"/>
      <c r="T108" s="38">
        <f t="shared" si="5"/>
        <v>2480</v>
      </c>
      <c r="U108" s="40"/>
      <c r="V108" s="54" t="s">
        <v>34</v>
      </c>
      <c r="W108" s="55" t="s">
        <v>338</v>
      </c>
      <c r="X108" s="56" t="s">
        <v>35</v>
      </c>
      <c r="Y108" s="56" t="s">
        <v>36</v>
      </c>
      <c r="AA108" s="150">
        <v>2480</v>
      </c>
      <c r="AB108" s="150">
        <v>0</v>
      </c>
      <c r="AC108" s="150">
        <v>2480</v>
      </c>
      <c r="AD108" s="150">
        <v>2480</v>
      </c>
      <c r="AE108" s="150">
        <v>0</v>
      </c>
      <c r="AF108" s="150">
        <v>2480</v>
      </c>
      <c r="AG108" s="150">
        <v>0</v>
      </c>
    </row>
    <row r="109" spans="1:33" s="44" customFormat="1" ht="15.75" x14ac:dyDescent="0.25">
      <c r="A109" s="45">
        <v>103</v>
      </c>
      <c r="B109" s="29" t="s">
        <v>31</v>
      </c>
      <c r="C109" s="46">
        <v>50243</v>
      </c>
      <c r="D109" s="45">
        <v>34669</v>
      </c>
      <c r="E109" s="45">
        <v>27955</v>
      </c>
      <c r="F109" s="47" t="s">
        <v>194</v>
      </c>
      <c r="G109" s="48" t="s">
        <v>33</v>
      </c>
      <c r="H109" s="49">
        <f>VLOOKUP(D109,[2]PG_Payroll_Run_Report__Shared__!$A$6:$F$151,6,FALSE)</f>
        <v>43681</v>
      </c>
      <c r="I109" s="50">
        <v>1200</v>
      </c>
      <c r="J109" s="50">
        <v>800</v>
      </c>
      <c r="K109" s="51">
        <f t="shared" si="3"/>
        <v>2000</v>
      </c>
      <c r="L109" s="50"/>
      <c r="M109" s="52">
        <v>30</v>
      </c>
      <c r="N109" s="38">
        <f t="shared" si="4"/>
        <v>2000.0000000000002</v>
      </c>
      <c r="O109" s="50"/>
      <c r="P109" s="50"/>
      <c r="Q109" s="50"/>
      <c r="R109" s="57"/>
      <c r="S109" s="57"/>
      <c r="T109" s="38">
        <f t="shared" si="5"/>
        <v>2000</v>
      </c>
      <c r="U109" s="40"/>
      <c r="V109" s="54" t="s">
        <v>34</v>
      </c>
      <c r="W109" s="55" t="s">
        <v>339</v>
      </c>
      <c r="X109" s="56" t="s">
        <v>35</v>
      </c>
      <c r="Y109" s="56" t="s">
        <v>36</v>
      </c>
      <c r="AA109" s="150">
        <v>2000</v>
      </c>
      <c r="AB109" s="150">
        <v>0</v>
      </c>
      <c r="AC109" s="150">
        <v>2000</v>
      </c>
      <c r="AD109" s="150">
        <v>2000</v>
      </c>
      <c r="AE109" s="150">
        <v>0</v>
      </c>
      <c r="AF109" s="150">
        <v>2000</v>
      </c>
      <c r="AG109" s="150">
        <v>0</v>
      </c>
    </row>
    <row r="110" spans="1:33" s="44" customFormat="1" ht="15.75" x14ac:dyDescent="0.25">
      <c r="A110" s="45">
        <v>104</v>
      </c>
      <c r="B110" s="29" t="s">
        <v>31</v>
      </c>
      <c r="C110" s="46">
        <v>50248</v>
      </c>
      <c r="D110" s="45">
        <v>35840</v>
      </c>
      <c r="E110" s="45">
        <v>27957</v>
      </c>
      <c r="F110" s="47" t="s">
        <v>195</v>
      </c>
      <c r="G110" s="48" t="s">
        <v>33</v>
      </c>
      <c r="H110" s="49">
        <f>VLOOKUP(D110,[2]PG_Payroll_Run_Report__Shared__!$A$6:$F$151,6,FALSE)</f>
        <v>43877</v>
      </c>
      <c r="I110" s="50">
        <v>1200</v>
      </c>
      <c r="J110" s="50">
        <v>800</v>
      </c>
      <c r="K110" s="51">
        <f t="shared" si="3"/>
        <v>2000</v>
      </c>
      <c r="L110" s="50"/>
      <c r="M110" s="52">
        <v>30</v>
      </c>
      <c r="N110" s="38">
        <f t="shared" si="4"/>
        <v>2000.0000000000002</v>
      </c>
      <c r="O110" s="50"/>
      <c r="P110" s="50"/>
      <c r="Q110" s="50"/>
      <c r="R110" s="57"/>
      <c r="S110" s="57"/>
      <c r="T110" s="38">
        <f t="shared" si="5"/>
        <v>2000</v>
      </c>
      <c r="U110" s="40"/>
      <c r="V110" s="54" t="s">
        <v>34</v>
      </c>
      <c r="W110" s="55" t="s">
        <v>340</v>
      </c>
      <c r="X110" s="56" t="s">
        <v>35</v>
      </c>
      <c r="Y110" s="56" t="s">
        <v>41</v>
      </c>
      <c r="AA110" s="150">
        <v>2000</v>
      </c>
      <c r="AB110" s="150">
        <v>0</v>
      </c>
      <c r="AC110" s="150">
        <v>2000</v>
      </c>
      <c r="AD110" s="150">
        <v>2000</v>
      </c>
      <c r="AE110" s="150">
        <v>0</v>
      </c>
      <c r="AF110" s="150">
        <v>2000</v>
      </c>
      <c r="AG110" s="150">
        <v>0</v>
      </c>
    </row>
    <row r="111" spans="1:33" s="44" customFormat="1" ht="15.75" x14ac:dyDescent="0.25">
      <c r="A111" s="45">
        <v>105</v>
      </c>
      <c r="B111" s="29" t="s">
        <v>31</v>
      </c>
      <c r="C111" s="46">
        <v>50259</v>
      </c>
      <c r="D111" s="45">
        <v>44265</v>
      </c>
      <c r="E111" s="45">
        <v>27962</v>
      </c>
      <c r="F111" s="47" t="s">
        <v>196</v>
      </c>
      <c r="G111" s="48" t="s">
        <v>40</v>
      </c>
      <c r="H111" s="49">
        <f>VLOOKUP(D111,[2]PG_Payroll_Run_Report__Shared__!$A$6:$F$151,6,FALSE)</f>
        <v>44749</v>
      </c>
      <c r="I111" s="50">
        <v>1200</v>
      </c>
      <c r="J111" s="50">
        <v>800</v>
      </c>
      <c r="K111" s="51">
        <f t="shared" si="3"/>
        <v>2000</v>
      </c>
      <c r="L111" s="50"/>
      <c r="M111" s="52">
        <v>30</v>
      </c>
      <c r="N111" s="38">
        <f t="shared" si="4"/>
        <v>2000.0000000000002</v>
      </c>
      <c r="O111" s="50"/>
      <c r="P111" s="50"/>
      <c r="Q111" s="50"/>
      <c r="R111" s="57"/>
      <c r="S111" s="57"/>
      <c r="T111" s="38">
        <f t="shared" si="5"/>
        <v>2000</v>
      </c>
      <c r="U111" s="40"/>
      <c r="V111" s="54" t="s">
        <v>34</v>
      </c>
      <c r="W111" s="55" t="s">
        <v>341</v>
      </c>
      <c r="X111" s="56" t="s">
        <v>35</v>
      </c>
      <c r="Y111" s="56" t="s">
        <v>41</v>
      </c>
      <c r="AA111" s="150">
        <v>2000</v>
      </c>
      <c r="AB111" s="150">
        <v>0</v>
      </c>
      <c r="AC111" s="150">
        <v>2000</v>
      </c>
      <c r="AD111" s="150">
        <v>2000</v>
      </c>
      <c r="AE111" s="150">
        <v>0</v>
      </c>
      <c r="AF111" s="150">
        <v>2000</v>
      </c>
      <c r="AG111" s="150">
        <v>0</v>
      </c>
    </row>
    <row r="112" spans="1:33" s="44" customFormat="1" ht="15.75" x14ac:dyDescent="0.25">
      <c r="A112" s="45">
        <v>106</v>
      </c>
      <c r="B112" s="29" t="s">
        <v>31</v>
      </c>
      <c r="C112" s="46">
        <v>50256</v>
      </c>
      <c r="D112" s="45">
        <v>44077</v>
      </c>
      <c r="E112" s="45">
        <v>27983</v>
      </c>
      <c r="F112" s="47" t="s">
        <v>197</v>
      </c>
      <c r="G112" s="48" t="s">
        <v>40</v>
      </c>
      <c r="H112" s="49">
        <f>VLOOKUP(D112,[2]PG_Payroll_Run_Report__Shared__!$A$6:$F$151,6,FALSE)</f>
        <v>44726</v>
      </c>
      <c r="I112" s="50">
        <v>1200</v>
      </c>
      <c r="J112" s="50">
        <v>800</v>
      </c>
      <c r="K112" s="51">
        <f t="shared" si="3"/>
        <v>2000</v>
      </c>
      <c r="L112" s="50"/>
      <c r="M112" s="52">
        <v>30</v>
      </c>
      <c r="N112" s="38">
        <f t="shared" si="4"/>
        <v>2000.0000000000002</v>
      </c>
      <c r="O112" s="50"/>
      <c r="P112" s="50"/>
      <c r="Q112" s="50"/>
      <c r="R112" s="50"/>
      <c r="S112" s="53"/>
      <c r="T112" s="38">
        <f t="shared" si="5"/>
        <v>2000</v>
      </c>
      <c r="U112" s="40"/>
      <c r="V112" s="54" t="s">
        <v>34</v>
      </c>
      <c r="W112" s="55" t="s">
        <v>342</v>
      </c>
      <c r="X112" s="56" t="s">
        <v>35</v>
      </c>
      <c r="Y112" s="56" t="s">
        <v>41</v>
      </c>
      <c r="AA112" s="150">
        <v>2000</v>
      </c>
      <c r="AB112" s="150">
        <v>0</v>
      </c>
      <c r="AC112" s="150">
        <v>2000</v>
      </c>
      <c r="AD112" s="150">
        <v>2000</v>
      </c>
      <c r="AE112" s="150">
        <v>0</v>
      </c>
      <c r="AF112" s="150">
        <v>2000</v>
      </c>
      <c r="AG112" s="150">
        <v>0</v>
      </c>
    </row>
    <row r="113" spans="1:33" s="44" customFormat="1" ht="15.75" x14ac:dyDescent="0.25">
      <c r="A113" s="45">
        <v>107</v>
      </c>
      <c r="B113" s="29" t="s">
        <v>31</v>
      </c>
      <c r="C113" s="46">
        <v>50066</v>
      </c>
      <c r="D113" s="45">
        <v>33499</v>
      </c>
      <c r="E113" s="45">
        <v>27985</v>
      </c>
      <c r="F113" s="47" t="s">
        <v>198</v>
      </c>
      <c r="G113" s="48" t="s">
        <v>33</v>
      </c>
      <c r="H113" s="49">
        <f>VLOOKUP(D113,[2]PG_Payroll_Run_Report__Shared__!$A$6:$F$151,6,FALSE)</f>
        <v>41609</v>
      </c>
      <c r="I113" s="50">
        <v>1200</v>
      </c>
      <c r="J113" s="50">
        <v>1480</v>
      </c>
      <c r="K113" s="51">
        <f t="shared" si="3"/>
        <v>2680</v>
      </c>
      <c r="L113" s="50"/>
      <c r="M113" s="52">
        <v>30</v>
      </c>
      <c r="N113" s="38">
        <f t="shared" si="4"/>
        <v>2680</v>
      </c>
      <c r="O113" s="50"/>
      <c r="P113" s="50"/>
      <c r="Q113" s="50"/>
      <c r="R113" s="50"/>
      <c r="S113" s="53"/>
      <c r="T113" s="38">
        <f t="shared" si="5"/>
        <v>2680</v>
      </c>
      <c r="U113" s="60"/>
      <c r="V113" s="54" t="s">
        <v>34</v>
      </c>
      <c r="W113" s="55" t="s">
        <v>343</v>
      </c>
      <c r="X113" s="56" t="s">
        <v>35</v>
      </c>
      <c r="Y113" s="56" t="s">
        <v>41</v>
      </c>
      <c r="AA113" s="150">
        <v>2680</v>
      </c>
      <c r="AB113" s="150">
        <v>0</v>
      </c>
      <c r="AC113" s="150">
        <v>2680</v>
      </c>
      <c r="AD113" s="150">
        <v>2680</v>
      </c>
      <c r="AE113" s="150">
        <v>0</v>
      </c>
      <c r="AF113" s="150">
        <v>2680</v>
      </c>
      <c r="AG113" s="150">
        <v>0</v>
      </c>
    </row>
    <row r="114" spans="1:33" s="44" customFormat="1" ht="15.75" x14ac:dyDescent="0.25">
      <c r="A114" s="45">
        <v>108</v>
      </c>
      <c r="B114" s="29" t="s">
        <v>31</v>
      </c>
      <c r="C114" s="46">
        <v>50114</v>
      </c>
      <c r="D114" s="45">
        <v>33512</v>
      </c>
      <c r="E114" s="45">
        <v>27989</v>
      </c>
      <c r="F114" s="47" t="s">
        <v>199</v>
      </c>
      <c r="G114" s="48" t="s">
        <v>33</v>
      </c>
      <c r="H114" s="49">
        <f>VLOOKUP(D114,[2]PG_Payroll_Run_Report__Shared__!$A$6:$F$151,6,FALSE)</f>
        <v>41609</v>
      </c>
      <c r="I114" s="50">
        <v>1200</v>
      </c>
      <c r="J114" s="50">
        <v>1280</v>
      </c>
      <c r="K114" s="51">
        <f t="shared" si="3"/>
        <v>2480</v>
      </c>
      <c r="L114" s="50"/>
      <c r="M114" s="52">
        <v>30</v>
      </c>
      <c r="N114" s="38">
        <f t="shared" si="4"/>
        <v>2480</v>
      </c>
      <c r="O114" s="50"/>
      <c r="P114" s="50"/>
      <c r="Q114" s="50"/>
      <c r="R114" s="50"/>
      <c r="S114" s="53"/>
      <c r="T114" s="38">
        <f t="shared" si="5"/>
        <v>2480</v>
      </c>
      <c r="U114" s="40"/>
      <c r="V114" s="54" t="s">
        <v>34</v>
      </c>
      <c r="W114" s="55" t="s">
        <v>344</v>
      </c>
      <c r="X114" s="56" t="s">
        <v>35</v>
      </c>
      <c r="Y114" s="56" t="s">
        <v>36</v>
      </c>
      <c r="AA114" s="150">
        <v>2480</v>
      </c>
      <c r="AB114" s="150">
        <v>0</v>
      </c>
      <c r="AC114" s="150">
        <v>2480</v>
      </c>
      <c r="AD114" s="150">
        <v>2480</v>
      </c>
      <c r="AE114" s="150">
        <v>0</v>
      </c>
      <c r="AF114" s="150">
        <v>2480</v>
      </c>
      <c r="AG114" s="150">
        <v>0</v>
      </c>
    </row>
    <row r="115" spans="1:33" s="44" customFormat="1" ht="15.75" x14ac:dyDescent="0.25">
      <c r="A115" s="45">
        <v>109</v>
      </c>
      <c r="B115" s="29" t="s">
        <v>31</v>
      </c>
      <c r="C115" s="46">
        <v>50183</v>
      </c>
      <c r="D115" s="45">
        <v>33529</v>
      </c>
      <c r="E115" s="45">
        <v>27999</v>
      </c>
      <c r="F115" s="47" t="s">
        <v>200</v>
      </c>
      <c r="G115" s="48" t="s">
        <v>68</v>
      </c>
      <c r="H115" s="49">
        <f>VLOOKUP(D115,[2]PG_Payroll_Run_Report__Shared__!$A$6:$F$151,6,FALSE)</f>
        <v>42982</v>
      </c>
      <c r="I115" s="50">
        <v>1200</v>
      </c>
      <c r="J115" s="50">
        <v>1040</v>
      </c>
      <c r="K115" s="51">
        <f t="shared" si="3"/>
        <v>2240</v>
      </c>
      <c r="L115" s="50"/>
      <c r="M115" s="52">
        <v>30</v>
      </c>
      <c r="N115" s="38">
        <f t="shared" si="4"/>
        <v>2240</v>
      </c>
      <c r="O115" s="50"/>
      <c r="P115" s="50"/>
      <c r="Q115" s="50"/>
      <c r="R115" s="50"/>
      <c r="S115" s="57"/>
      <c r="T115" s="38">
        <f t="shared" si="5"/>
        <v>2240</v>
      </c>
      <c r="U115" s="40"/>
      <c r="V115" s="54" t="s">
        <v>34</v>
      </c>
      <c r="W115" s="55" t="s">
        <v>345</v>
      </c>
      <c r="X115" s="56" t="s">
        <v>35</v>
      </c>
      <c r="Y115" s="56" t="s">
        <v>36</v>
      </c>
      <c r="AA115" s="150">
        <v>2240</v>
      </c>
      <c r="AB115" s="150">
        <v>0</v>
      </c>
      <c r="AC115" s="150">
        <v>2240</v>
      </c>
      <c r="AD115" s="150">
        <v>2240</v>
      </c>
      <c r="AE115" s="150">
        <v>0</v>
      </c>
      <c r="AF115" s="150">
        <v>2240</v>
      </c>
      <c r="AG115" s="150">
        <v>0</v>
      </c>
    </row>
    <row r="116" spans="1:33" s="44" customFormat="1" ht="15.75" x14ac:dyDescent="0.25">
      <c r="A116" s="45">
        <v>110</v>
      </c>
      <c r="B116" s="29" t="s">
        <v>31</v>
      </c>
      <c r="C116" s="46">
        <v>50122</v>
      </c>
      <c r="D116" s="45">
        <v>33564</v>
      </c>
      <c r="E116" s="45">
        <v>28013</v>
      </c>
      <c r="F116" s="47" t="s">
        <v>201</v>
      </c>
      <c r="G116" s="48" t="s">
        <v>33</v>
      </c>
      <c r="H116" s="49">
        <f>VLOOKUP(D116,[2]PG_Payroll_Run_Report__Shared__!$A$6:$F$151,6,FALSE)</f>
        <v>41730</v>
      </c>
      <c r="I116" s="50">
        <v>1200</v>
      </c>
      <c r="J116" s="50">
        <v>1160</v>
      </c>
      <c r="K116" s="51">
        <f t="shared" si="3"/>
        <v>2360</v>
      </c>
      <c r="L116" s="50"/>
      <c r="M116" s="52">
        <v>30</v>
      </c>
      <c r="N116" s="38">
        <f t="shared" si="4"/>
        <v>2360</v>
      </c>
      <c r="O116" s="50"/>
      <c r="P116" s="50"/>
      <c r="Q116" s="50"/>
      <c r="R116" s="50"/>
      <c r="S116" s="58"/>
      <c r="T116" s="38">
        <f t="shared" si="5"/>
        <v>2360</v>
      </c>
      <c r="U116" s="40"/>
      <c r="V116" s="54" t="s">
        <v>34</v>
      </c>
      <c r="W116" s="55" t="s">
        <v>346</v>
      </c>
      <c r="X116" s="56" t="s">
        <v>35</v>
      </c>
      <c r="Y116" s="56" t="s">
        <v>36</v>
      </c>
      <c r="AA116" s="150">
        <v>2360</v>
      </c>
      <c r="AB116" s="150">
        <v>0</v>
      </c>
      <c r="AC116" s="150">
        <v>2360</v>
      </c>
      <c r="AD116" s="150">
        <v>2360</v>
      </c>
      <c r="AE116" s="150">
        <v>0</v>
      </c>
      <c r="AF116" s="150">
        <v>2360</v>
      </c>
      <c r="AG116" s="150">
        <v>0</v>
      </c>
    </row>
    <row r="117" spans="1:33" s="44" customFormat="1" ht="15.75" x14ac:dyDescent="0.25">
      <c r="A117" s="45">
        <v>111</v>
      </c>
      <c r="B117" s="29" t="s">
        <v>31</v>
      </c>
      <c r="C117" s="46">
        <v>50217</v>
      </c>
      <c r="D117" s="45">
        <v>33762</v>
      </c>
      <c r="E117" s="45">
        <v>28023</v>
      </c>
      <c r="F117" s="47" t="s">
        <v>202</v>
      </c>
      <c r="G117" s="48" t="s">
        <v>33</v>
      </c>
      <c r="H117" s="49">
        <f>VLOOKUP(D117,[2]PG_Payroll_Run_Report__Shared__!$A$6:$F$151,6,FALSE)</f>
        <v>43451</v>
      </c>
      <c r="I117" s="50">
        <v>1200</v>
      </c>
      <c r="J117" s="50">
        <v>1040</v>
      </c>
      <c r="K117" s="51">
        <f t="shared" si="3"/>
        <v>2240</v>
      </c>
      <c r="L117" s="50"/>
      <c r="M117" s="52">
        <v>30</v>
      </c>
      <c r="N117" s="38">
        <f t="shared" si="4"/>
        <v>2240</v>
      </c>
      <c r="O117" s="50"/>
      <c r="P117" s="50"/>
      <c r="Q117" s="50"/>
      <c r="R117" s="50"/>
      <c r="S117" s="58"/>
      <c r="T117" s="38">
        <f t="shared" si="5"/>
        <v>2240</v>
      </c>
      <c r="U117" s="40"/>
      <c r="V117" s="54" t="s">
        <v>34</v>
      </c>
      <c r="W117" s="55" t="s">
        <v>347</v>
      </c>
      <c r="X117" s="56" t="s">
        <v>35</v>
      </c>
      <c r="Y117" s="56" t="s">
        <v>36</v>
      </c>
      <c r="AA117" s="150">
        <v>2240</v>
      </c>
      <c r="AB117" s="150">
        <v>0</v>
      </c>
      <c r="AC117" s="150">
        <v>2240</v>
      </c>
      <c r="AD117" s="150">
        <v>2240</v>
      </c>
      <c r="AE117" s="150">
        <v>0</v>
      </c>
      <c r="AF117" s="150">
        <v>2240</v>
      </c>
      <c r="AG117" s="150">
        <v>0</v>
      </c>
    </row>
    <row r="118" spans="1:33" s="44" customFormat="1" ht="15.75" x14ac:dyDescent="0.25">
      <c r="A118" s="45">
        <v>112</v>
      </c>
      <c r="B118" s="29" t="s">
        <v>31</v>
      </c>
      <c r="C118" s="46">
        <v>50220</v>
      </c>
      <c r="D118" s="45">
        <v>33790</v>
      </c>
      <c r="E118" s="45">
        <v>28027</v>
      </c>
      <c r="F118" s="47" t="s">
        <v>203</v>
      </c>
      <c r="G118" s="48" t="s">
        <v>33</v>
      </c>
      <c r="H118" s="49">
        <f>VLOOKUP(D118,[2]PG_Payroll_Run_Report__Shared__!$A$6:$F$151,6,FALSE)</f>
        <v>43457</v>
      </c>
      <c r="I118" s="50">
        <v>1200</v>
      </c>
      <c r="J118" s="50">
        <v>1040</v>
      </c>
      <c r="K118" s="51">
        <f t="shared" si="3"/>
        <v>2240</v>
      </c>
      <c r="L118" s="50"/>
      <c r="M118" s="52">
        <v>30</v>
      </c>
      <c r="N118" s="38">
        <f t="shared" si="4"/>
        <v>2240</v>
      </c>
      <c r="O118" s="50"/>
      <c r="P118" s="50"/>
      <c r="Q118" s="50"/>
      <c r="R118" s="50"/>
      <c r="S118" s="58"/>
      <c r="T118" s="38">
        <f t="shared" si="5"/>
        <v>2240</v>
      </c>
      <c r="U118" s="40"/>
      <c r="V118" s="54" t="s">
        <v>34</v>
      </c>
      <c r="W118" s="55" t="s">
        <v>348</v>
      </c>
      <c r="X118" s="56" t="s">
        <v>35</v>
      </c>
      <c r="Y118" s="56" t="s">
        <v>36</v>
      </c>
      <c r="AA118" s="150">
        <v>2240</v>
      </c>
      <c r="AB118" s="150">
        <v>0</v>
      </c>
      <c r="AC118" s="150">
        <v>2240</v>
      </c>
      <c r="AD118" s="150">
        <v>2240</v>
      </c>
      <c r="AE118" s="150">
        <v>0</v>
      </c>
      <c r="AF118" s="150">
        <v>2240</v>
      </c>
      <c r="AG118" s="150">
        <v>0</v>
      </c>
    </row>
    <row r="119" spans="1:33" s="44" customFormat="1" ht="15.75" x14ac:dyDescent="0.25">
      <c r="A119" s="45">
        <v>113</v>
      </c>
      <c r="B119" s="29" t="s">
        <v>31</v>
      </c>
      <c r="C119" s="46">
        <v>50247</v>
      </c>
      <c r="D119" s="45">
        <v>35839</v>
      </c>
      <c r="E119" s="45">
        <v>28054</v>
      </c>
      <c r="F119" s="47" t="s">
        <v>204</v>
      </c>
      <c r="G119" s="48" t="s">
        <v>33</v>
      </c>
      <c r="H119" s="49">
        <f>VLOOKUP(D119,[2]PG_Payroll_Run_Report__Shared__!$A$6:$F$151,6,FALSE)</f>
        <v>43873</v>
      </c>
      <c r="I119" s="50">
        <v>1200</v>
      </c>
      <c r="J119" s="50">
        <v>800</v>
      </c>
      <c r="K119" s="51">
        <f t="shared" si="3"/>
        <v>2000</v>
      </c>
      <c r="L119" s="50"/>
      <c r="M119" s="52">
        <v>30</v>
      </c>
      <c r="N119" s="38">
        <f t="shared" si="4"/>
        <v>2000.0000000000002</v>
      </c>
      <c r="O119" s="50"/>
      <c r="P119" s="50"/>
      <c r="Q119" s="50"/>
      <c r="R119" s="50"/>
      <c r="S119" s="58"/>
      <c r="T119" s="38">
        <f t="shared" si="5"/>
        <v>2000</v>
      </c>
      <c r="U119" s="40"/>
      <c r="V119" s="54" t="s">
        <v>205</v>
      </c>
      <c r="W119" s="55" t="s">
        <v>206</v>
      </c>
      <c r="X119" s="56" t="s">
        <v>35</v>
      </c>
      <c r="Y119" s="56" t="s">
        <v>36</v>
      </c>
      <c r="AA119" s="150">
        <v>2000</v>
      </c>
      <c r="AB119" s="150">
        <v>0</v>
      </c>
      <c r="AC119" s="150">
        <v>2000</v>
      </c>
      <c r="AD119" s="150">
        <v>2000</v>
      </c>
      <c r="AE119" s="150">
        <v>0</v>
      </c>
      <c r="AF119" s="150">
        <v>2000</v>
      </c>
      <c r="AG119" s="150">
        <v>0</v>
      </c>
    </row>
    <row r="120" spans="1:33" s="44" customFormat="1" ht="31.5" x14ac:dyDescent="0.25">
      <c r="A120" s="45">
        <v>114</v>
      </c>
      <c r="B120" s="29" t="s">
        <v>31</v>
      </c>
      <c r="C120" s="46">
        <v>50195</v>
      </c>
      <c r="D120" s="45">
        <v>33606</v>
      </c>
      <c r="E120" s="45">
        <v>28082</v>
      </c>
      <c r="F120" s="47" t="s">
        <v>207</v>
      </c>
      <c r="G120" s="48" t="s">
        <v>68</v>
      </c>
      <c r="H120" s="49">
        <f>VLOOKUP(D120,[2]PG_Payroll_Run_Report__Shared__!$A$6:$F$151,6,FALSE)</f>
        <v>43389</v>
      </c>
      <c r="I120" s="50">
        <v>1200</v>
      </c>
      <c r="J120" s="50">
        <v>1040</v>
      </c>
      <c r="K120" s="51">
        <f t="shared" si="3"/>
        <v>2240</v>
      </c>
      <c r="L120" s="50"/>
      <c r="M120" s="52">
        <v>30</v>
      </c>
      <c r="N120" s="38">
        <f t="shared" si="4"/>
        <v>2240</v>
      </c>
      <c r="O120" s="50"/>
      <c r="P120" s="50"/>
      <c r="Q120" s="50"/>
      <c r="R120" s="50"/>
      <c r="S120" s="39"/>
      <c r="T120" s="38">
        <f t="shared" si="5"/>
        <v>2240</v>
      </c>
      <c r="U120" s="40"/>
      <c r="V120" s="54" t="s">
        <v>80</v>
      </c>
      <c r="W120" s="55" t="s">
        <v>208</v>
      </c>
      <c r="X120" s="56" t="s">
        <v>35</v>
      </c>
      <c r="Y120" s="56" t="s">
        <v>41</v>
      </c>
      <c r="AA120" s="150">
        <v>2240</v>
      </c>
      <c r="AB120" s="150">
        <v>0</v>
      </c>
      <c r="AC120" s="150">
        <v>2240</v>
      </c>
      <c r="AD120" s="150">
        <v>2240</v>
      </c>
      <c r="AE120" s="150">
        <v>0</v>
      </c>
      <c r="AF120" s="150">
        <v>2240</v>
      </c>
      <c r="AG120" s="150">
        <v>0</v>
      </c>
    </row>
    <row r="121" spans="1:33" s="44" customFormat="1" ht="15.75" x14ac:dyDescent="0.25">
      <c r="A121" s="45">
        <v>115</v>
      </c>
      <c r="B121" s="29" t="s">
        <v>31</v>
      </c>
      <c r="C121" s="46">
        <v>50053</v>
      </c>
      <c r="D121" s="45">
        <v>33455</v>
      </c>
      <c r="E121" s="45">
        <v>28341</v>
      </c>
      <c r="F121" s="47" t="s">
        <v>209</v>
      </c>
      <c r="G121" s="48" t="s">
        <v>33</v>
      </c>
      <c r="H121" s="49">
        <f>VLOOKUP(D121,[2]PG_Payroll_Run_Report__Shared__!$A$6:$F$151,6,FALSE)</f>
        <v>41640</v>
      </c>
      <c r="I121" s="50">
        <v>1200</v>
      </c>
      <c r="J121" s="50">
        <v>1480</v>
      </c>
      <c r="K121" s="51">
        <f t="shared" si="3"/>
        <v>2680</v>
      </c>
      <c r="L121" s="50"/>
      <c r="M121" s="52">
        <v>30</v>
      </c>
      <c r="N121" s="38">
        <f t="shared" si="4"/>
        <v>2680</v>
      </c>
      <c r="O121" s="50"/>
      <c r="P121" s="50"/>
      <c r="Q121" s="50"/>
      <c r="R121" s="50"/>
      <c r="S121" s="53"/>
      <c r="T121" s="38">
        <f t="shared" si="5"/>
        <v>2680</v>
      </c>
      <c r="U121" s="40"/>
      <c r="V121" s="54" t="s">
        <v>63</v>
      </c>
      <c r="W121" s="55" t="s">
        <v>349</v>
      </c>
      <c r="X121" s="56" t="s">
        <v>35</v>
      </c>
      <c r="Y121" s="56" t="s">
        <v>36</v>
      </c>
      <c r="AA121" s="150">
        <v>2680</v>
      </c>
      <c r="AB121" s="150">
        <v>0</v>
      </c>
      <c r="AC121" s="150">
        <v>2680</v>
      </c>
      <c r="AD121" s="150">
        <v>2680</v>
      </c>
      <c r="AE121" s="150">
        <v>0</v>
      </c>
      <c r="AF121" s="150">
        <v>2680</v>
      </c>
      <c r="AG121" s="150">
        <v>0</v>
      </c>
    </row>
    <row r="122" spans="1:33" s="44" customFormat="1" ht="15.75" x14ac:dyDescent="0.25">
      <c r="A122" s="45">
        <v>116</v>
      </c>
      <c r="B122" s="29" t="s">
        <v>31</v>
      </c>
      <c r="C122" s="46">
        <v>50055</v>
      </c>
      <c r="D122" s="45">
        <v>33456</v>
      </c>
      <c r="E122" s="45">
        <v>28342</v>
      </c>
      <c r="F122" s="47" t="s">
        <v>210</v>
      </c>
      <c r="G122" s="48" t="s">
        <v>33</v>
      </c>
      <c r="H122" s="49">
        <f>VLOOKUP(D122,[2]PG_Payroll_Run_Report__Shared__!$A$6:$F$151,6,FALSE)</f>
        <v>41640</v>
      </c>
      <c r="I122" s="50">
        <v>1200</v>
      </c>
      <c r="J122" s="50">
        <v>1480</v>
      </c>
      <c r="K122" s="51">
        <f t="shared" si="3"/>
        <v>2680</v>
      </c>
      <c r="L122" s="50"/>
      <c r="M122" s="52">
        <v>30</v>
      </c>
      <c r="N122" s="38">
        <f t="shared" si="4"/>
        <v>2680</v>
      </c>
      <c r="O122" s="50"/>
      <c r="P122" s="50"/>
      <c r="Q122" s="50"/>
      <c r="R122" s="50"/>
      <c r="S122" s="57"/>
      <c r="T122" s="38">
        <f t="shared" si="5"/>
        <v>2680</v>
      </c>
      <c r="U122" s="40"/>
      <c r="V122" s="54" t="s">
        <v>63</v>
      </c>
      <c r="W122" s="55" t="s">
        <v>350</v>
      </c>
      <c r="X122" s="56" t="s">
        <v>35</v>
      </c>
      <c r="Y122" s="56" t="s">
        <v>36</v>
      </c>
      <c r="AA122" s="150">
        <v>2680</v>
      </c>
      <c r="AB122" s="150">
        <v>0</v>
      </c>
      <c r="AC122" s="150">
        <v>2680</v>
      </c>
      <c r="AD122" s="150">
        <v>2680</v>
      </c>
      <c r="AE122" s="150">
        <v>0</v>
      </c>
      <c r="AF122" s="150">
        <v>2680</v>
      </c>
      <c r="AG122" s="150">
        <v>0</v>
      </c>
    </row>
    <row r="123" spans="1:33" s="44" customFormat="1" ht="15.75" x14ac:dyDescent="0.25">
      <c r="A123" s="45">
        <v>117</v>
      </c>
      <c r="B123" s="29" t="s">
        <v>31</v>
      </c>
      <c r="C123" s="46">
        <v>50104</v>
      </c>
      <c r="D123" s="45">
        <v>33458</v>
      </c>
      <c r="E123" s="45">
        <v>28344</v>
      </c>
      <c r="F123" s="47" t="s">
        <v>211</v>
      </c>
      <c r="G123" s="48" t="s">
        <v>33</v>
      </c>
      <c r="H123" s="49">
        <f>VLOOKUP(D123,[2]PG_Payroll_Run_Report__Shared__!$A$6:$F$151,6,FALSE)</f>
        <v>41640</v>
      </c>
      <c r="I123" s="50">
        <v>1200</v>
      </c>
      <c r="J123" s="50">
        <v>1280</v>
      </c>
      <c r="K123" s="51">
        <f t="shared" si="3"/>
        <v>2480</v>
      </c>
      <c r="L123" s="50"/>
      <c r="M123" s="52">
        <v>30</v>
      </c>
      <c r="N123" s="38">
        <f t="shared" si="4"/>
        <v>2480</v>
      </c>
      <c r="O123" s="50"/>
      <c r="P123" s="50"/>
      <c r="Q123" s="50"/>
      <c r="R123" s="50"/>
      <c r="S123" s="58"/>
      <c r="T123" s="38">
        <f t="shared" si="5"/>
        <v>2480</v>
      </c>
      <c r="U123" s="40"/>
      <c r="V123" s="54" t="s">
        <v>63</v>
      </c>
      <c r="W123" s="55" t="s">
        <v>351</v>
      </c>
      <c r="X123" s="56" t="s">
        <v>35</v>
      </c>
      <c r="Y123" s="56" t="s">
        <v>36</v>
      </c>
      <c r="AA123" s="150">
        <v>2480</v>
      </c>
      <c r="AB123" s="150">
        <v>0</v>
      </c>
      <c r="AC123" s="150">
        <v>2480</v>
      </c>
      <c r="AD123" s="150">
        <v>2480</v>
      </c>
      <c r="AE123" s="150">
        <v>0</v>
      </c>
      <c r="AF123" s="150">
        <v>2480</v>
      </c>
      <c r="AG123" s="150">
        <v>0</v>
      </c>
    </row>
    <row r="124" spans="1:33" s="44" customFormat="1" ht="15.75" x14ac:dyDescent="0.25">
      <c r="A124" s="45">
        <v>118</v>
      </c>
      <c r="B124" s="29" t="s">
        <v>31</v>
      </c>
      <c r="C124" s="46">
        <v>50163</v>
      </c>
      <c r="D124" s="45">
        <v>33481</v>
      </c>
      <c r="E124" s="45">
        <v>28345</v>
      </c>
      <c r="F124" s="47" t="s">
        <v>212</v>
      </c>
      <c r="G124" s="48" t="s">
        <v>70</v>
      </c>
      <c r="H124" s="49">
        <f>VLOOKUP(D124,[2]PG_Payroll_Run_Report__Shared__!$A$6:$F$151,6,FALSE)</f>
        <v>41609</v>
      </c>
      <c r="I124" s="50">
        <v>1200</v>
      </c>
      <c r="J124" s="50">
        <v>1160</v>
      </c>
      <c r="K124" s="51">
        <f t="shared" si="3"/>
        <v>2360</v>
      </c>
      <c r="L124" s="50"/>
      <c r="M124" s="52">
        <v>30</v>
      </c>
      <c r="N124" s="38">
        <f t="shared" si="4"/>
        <v>2360</v>
      </c>
      <c r="O124" s="50"/>
      <c r="P124" s="50"/>
      <c r="Q124" s="50"/>
      <c r="R124" s="50"/>
      <c r="S124" s="58"/>
      <c r="T124" s="38">
        <f t="shared" si="5"/>
        <v>2360</v>
      </c>
      <c r="U124" s="40"/>
      <c r="V124" s="54" t="s">
        <v>63</v>
      </c>
      <c r="W124" s="55" t="s">
        <v>352</v>
      </c>
      <c r="X124" s="56" t="s">
        <v>35</v>
      </c>
      <c r="Y124" s="56" t="s">
        <v>36</v>
      </c>
      <c r="AA124" s="150">
        <v>2360</v>
      </c>
      <c r="AB124" s="150">
        <v>0</v>
      </c>
      <c r="AC124" s="150">
        <v>2360</v>
      </c>
      <c r="AD124" s="150">
        <v>2360</v>
      </c>
      <c r="AE124" s="150">
        <v>0</v>
      </c>
      <c r="AF124" s="150">
        <v>2360</v>
      </c>
      <c r="AG124" s="150">
        <v>0</v>
      </c>
    </row>
    <row r="125" spans="1:33" s="44" customFormat="1" ht="31.5" x14ac:dyDescent="0.25">
      <c r="A125" s="45">
        <v>119</v>
      </c>
      <c r="B125" s="29" t="s">
        <v>31</v>
      </c>
      <c r="C125" s="46">
        <v>50059</v>
      </c>
      <c r="D125" s="45">
        <v>33497</v>
      </c>
      <c r="E125" s="45">
        <v>28350</v>
      </c>
      <c r="F125" s="47" t="s">
        <v>213</v>
      </c>
      <c r="G125" s="48" t="s">
        <v>33</v>
      </c>
      <c r="H125" s="49">
        <f>VLOOKUP(D125,[2]PG_Payroll_Run_Report__Shared__!$A$6:$F$151,6,FALSE)</f>
        <v>41609</v>
      </c>
      <c r="I125" s="50">
        <v>1200</v>
      </c>
      <c r="J125" s="50">
        <v>2030</v>
      </c>
      <c r="K125" s="51">
        <f t="shared" si="3"/>
        <v>3230</v>
      </c>
      <c r="L125" s="50"/>
      <c r="M125" s="52">
        <v>30</v>
      </c>
      <c r="N125" s="38">
        <f t="shared" si="4"/>
        <v>3230</v>
      </c>
      <c r="O125" s="50"/>
      <c r="P125" s="50"/>
      <c r="Q125" s="50"/>
      <c r="R125" s="50"/>
      <c r="S125" s="39"/>
      <c r="T125" s="38">
        <f t="shared" si="5"/>
        <v>3230</v>
      </c>
      <c r="U125" s="40"/>
      <c r="V125" s="54" t="s">
        <v>63</v>
      </c>
      <c r="W125" s="55" t="s">
        <v>353</v>
      </c>
      <c r="X125" s="56" t="s">
        <v>35</v>
      </c>
      <c r="Y125" s="56" t="s">
        <v>41</v>
      </c>
      <c r="AA125" s="150">
        <v>3230</v>
      </c>
      <c r="AB125" s="150">
        <v>0</v>
      </c>
      <c r="AC125" s="150">
        <v>3230</v>
      </c>
      <c r="AD125" s="150">
        <v>3230</v>
      </c>
      <c r="AE125" s="150">
        <v>0</v>
      </c>
      <c r="AF125" s="150">
        <v>3230</v>
      </c>
      <c r="AG125" s="150">
        <v>0</v>
      </c>
    </row>
    <row r="126" spans="1:33" s="44" customFormat="1" ht="15.75" x14ac:dyDescent="0.25">
      <c r="A126" s="45">
        <v>120</v>
      </c>
      <c r="B126" s="29" t="s">
        <v>31</v>
      </c>
      <c r="C126" s="46">
        <v>50102</v>
      </c>
      <c r="D126" s="45">
        <v>33508</v>
      </c>
      <c r="E126" s="45">
        <v>28353</v>
      </c>
      <c r="F126" s="47" t="s">
        <v>214</v>
      </c>
      <c r="G126" s="48" t="s">
        <v>122</v>
      </c>
      <c r="H126" s="49">
        <f>VLOOKUP(D126,[2]PG_Payroll_Run_Report__Shared__!$A$6:$F$151,6,FALSE)</f>
        <v>41609</v>
      </c>
      <c r="I126" s="50">
        <v>1200</v>
      </c>
      <c r="J126" s="50">
        <v>1280</v>
      </c>
      <c r="K126" s="51">
        <f t="shared" si="3"/>
        <v>2480</v>
      </c>
      <c r="L126" s="50"/>
      <c r="M126" s="52">
        <v>30</v>
      </c>
      <c r="N126" s="38">
        <f t="shared" si="4"/>
        <v>2480</v>
      </c>
      <c r="O126" s="50"/>
      <c r="P126" s="50"/>
      <c r="Q126" s="50"/>
      <c r="R126" s="50"/>
      <c r="S126" s="57"/>
      <c r="T126" s="38">
        <f t="shared" si="5"/>
        <v>2480</v>
      </c>
      <c r="U126" s="40"/>
      <c r="V126" s="54" t="s">
        <v>63</v>
      </c>
      <c r="W126" s="55" t="s">
        <v>354</v>
      </c>
      <c r="X126" s="56" t="s">
        <v>35</v>
      </c>
      <c r="Y126" s="56" t="s">
        <v>36</v>
      </c>
      <c r="AA126" s="150">
        <v>2480</v>
      </c>
      <c r="AB126" s="150">
        <v>0</v>
      </c>
      <c r="AC126" s="150">
        <v>2480</v>
      </c>
      <c r="AD126" s="150">
        <v>2480</v>
      </c>
      <c r="AE126" s="150">
        <v>0</v>
      </c>
      <c r="AF126" s="150">
        <v>2480</v>
      </c>
      <c r="AG126" s="150">
        <v>0</v>
      </c>
    </row>
    <row r="127" spans="1:33" s="44" customFormat="1" ht="15.75" x14ac:dyDescent="0.25">
      <c r="A127" s="45">
        <v>121</v>
      </c>
      <c r="B127" s="29" t="s">
        <v>31</v>
      </c>
      <c r="C127" s="46">
        <v>50084</v>
      </c>
      <c r="D127" s="45">
        <v>33540</v>
      </c>
      <c r="E127" s="45">
        <v>28355</v>
      </c>
      <c r="F127" s="47" t="s">
        <v>215</v>
      </c>
      <c r="G127" s="48" t="s">
        <v>59</v>
      </c>
      <c r="H127" s="49">
        <f>VLOOKUP(D127,[2]PG_Payroll_Run_Report__Shared__!$A$6:$F$151,6,FALSE)</f>
        <v>41609</v>
      </c>
      <c r="I127" s="50">
        <v>1200</v>
      </c>
      <c r="J127" s="50">
        <v>1550</v>
      </c>
      <c r="K127" s="51">
        <f t="shared" si="3"/>
        <v>2750</v>
      </c>
      <c r="L127" s="50"/>
      <c r="M127" s="52">
        <v>30</v>
      </c>
      <c r="N127" s="38">
        <f t="shared" si="4"/>
        <v>2750</v>
      </c>
      <c r="O127" s="50"/>
      <c r="P127" s="50"/>
      <c r="Q127" s="50"/>
      <c r="R127" s="50"/>
      <c r="S127" s="58"/>
      <c r="T127" s="38">
        <f t="shared" si="5"/>
        <v>2750</v>
      </c>
      <c r="U127" s="40"/>
      <c r="V127" s="54" t="s">
        <v>63</v>
      </c>
      <c r="W127" s="55" t="s">
        <v>355</v>
      </c>
      <c r="X127" s="56" t="s">
        <v>35</v>
      </c>
      <c r="Y127" s="56" t="s">
        <v>41</v>
      </c>
      <c r="AA127" s="150">
        <v>2750</v>
      </c>
      <c r="AB127" s="150">
        <v>0</v>
      </c>
      <c r="AC127" s="150">
        <v>2750</v>
      </c>
      <c r="AD127" s="150">
        <v>2750</v>
      </c>
      <c r="AE127" s="150">
        <v>0</v>
      </c>
      <c r="AF127" s="150">
        <v>2750</v>
      </c>
      <c r="AG127" s="150">
        <v>0</v>
      </c>
    </row>
    <row r="128" spans="1:33" s="44" customFormat="1" ht="15.75" x14ac:dyDescent="0.25">
      <c r="A128" s="45">
        <v>122</v>
      </c>
      <c r="B128" s="29" t="s">
        <v>31</v>
      </c>
      <c r="C128" s="46">
        <v>50111</v>
      </c>
      <c r="D128" s="45">
        <v>33558</v>
      </c>
      <c r="E128" s="45">
        <v>28359</v>
      </c>
      <c r="F128" s="47" t="s">
        <v>216</v>
      </c>
      <c r="G128" s="48" t="s">
        <v>33</v>
      </c>
      <c r="H128" s="49">
        <f>VLOOKUP(D128,[2]PG_Payroll_Run_Report__Shared__!$A$6:$F$151,6,FALSE)</f>
        <v>41640</v>
      </c>
      <c r="I128" s="50">
        <v>1200</v>
      </c>
      <c r="J128" s="50">
        <v>1280</v>
      </c>
      <c r="K128" s="51">
        <f t="shared" si="3"/>
        <v>2480</v>
      </c>
      <c r="L128" s="50"/>
      <c r="M128" s="52">
        <v>30</v>
      </c>
      <c r="N128" s="38">
        <f t="shared" si="4"/>
        <v>2480</v>
      </c>
      <c r="O128" s="50"/>
      <c r="P128" s="50"/>
      <c r="Q128" s="50"/>
      <c r="R128" s="50"/>
      <c r="S128" s="39"/>
      <c r="T128" s="38">
        <f t="shared" si="5"/>
        <v>2480</v>
      </c>
      <c r="U128" s="40"/>
      <c r="V128" s="54" t="s">
        <v>63</v>
      </c>
      <c r="W128" s="55" t="s">
        <v>356</v>
      </c>
      <c r="X128" s="56" t="s">
        <v>35</v>
      </c>
      <c r="Y128" s="56" t="s">
        <v>41</v>
      </c>
      <c r="AA128" s="150">
        <v>2480</v>
      </c>
      <c r="AB128" s="150">
        <v>0</v>
      </c>
      <c r="AC128" s="150">
        <v>2480</v>
      </c>
      <c r="AD128" s="150">
        <v>2480</v>
      </c>
      <c r="AE128" s="150">
        <v>0</v>
      </c>
      <c r="AF128" s="150">
        <v>2480</v>
      </c>
      <c r="AG128" s="150">
        <v>0</v>
      </c>
    </row>
    <row r="129" spans="1:33" s="44" customFormat="1" ht="15.75" x14ac:dyDescent="0.25">
      <c r="A129" s="45">
        <v>123</v>
      </c>
      <c r="B129" s="29" t="s">
        <v>31</v>
      </c>
      <c r="C129" s="46">
        <v>50156</v>
      </c>
      <c r="D129" s="45">
        <v>33446</v>
      </c>
      <c r="E129" s="45">
        <v>27861</v>
      </c>
      <c r="F129" s="47" t="s">
        <v>217</v>
      </c>
      <c r="G129" s="48" t="s">
        <v>33</v>
      </c>
      <c r="H129" s="49">
        <f>VLOOKUP(D129,[2]PG_Payroll_Run_Report__Shared__!$A$6:$F$151,6,FALSE)</f>
        <v>41640</v>
      </c>
      <c r="I129" s="50">
        <v>1200</v>
      </c>
      <c r="J129" s="50">
        <v>1160</v>
      </c>
      <c r="K129" s="51">
        <f t="shared" si="3"/>
        <v>2360</v>
      </c>
      <c r="L129" s="50"/>
      <c r="M129" s="52">
        <v>30</v>
      </c>
      <c r="N129" s="38">
        <f t="shared" si="4"/>
        <v>2360</v>
      </c>
      <c r="O129" s="50"/>
      <c r="P129" s="50"/>
      <c r="Q129" s="50"/>
      <c r="R129" s="50"/>
      <c r="S129" s="53"/>
      <c r="T129" s="38">
        <f t="shared" si="5"/>
        <v>2360</v>
      </c>
      <c r="U129" s="40"/>
      <c r="V129" s="54" t="s">
        <v>34</v>
      </c>
      <c r="W129" s="55" t="s">
        <v>357</v>
      </c>
      <c r="X129" s="56" t="s">
        <v>35</v>
      </c>
      <c r="Y129" s="56" t="s">
        <v>36</v>
      </c>
      <c r="AA129" s="150">
        <v>2360</v>
      </c>
      <c r="AB129" s="150">
        <v>0</v>
      </c>
      <c r="AC129" s="150">
        <v>2360</v>
      </c>
      <c r="AD129" s="150">
        <v>2360</v>
      </c>
      <c r="AE129" s="150">
        <v>0</v>
      </c>
      <c r="AF129" s="150">
        <v>2360</v>
      </c>
      <c r="AG129" s="150">
        <v>0</v>
      </c>
    </row>
    <row r="130" spans="1:33" s="44" customFormat="1" ht="15.75" x14ac:dyDescent="0.25">
      <c r="A130" s="45">
        <v>124</v>
      </c>
      <c r="B130" s="29" t="s">
        <v>31</v>
      </c>
      <c r="C130" s="46">
        <v>50147</v>
      </c>
      <c r="D130" s="45">
        <v>33474</v>
      </c>
      <c r="E130" s="45">
        <v>27867</v>
      </c>
      <c r="F130" s="47" t="s">
        <v>218</v>
      </c>
      <c r="G130" s="48" t="s">
        <v>33</v>
      </c>
      <c r="H130" s="49">
        <f>VLOOKUP(D130,[2]PG_Payroll_Run_Report__Shared__!$A$6:$F$151,6,FALSE)</f>
        <v>41609</v>
      </c>
      <c r="I130" s="50">
        <v>1200</v>
      </c>
      <c r="J130" s="50">
        <v>1160</v>
      </c>
      <c r="K130" s="51">
        <f t="shared" si="3"/>
        <v>2360</v>
      </c>
      <c r="L130" s="50"/>
      <c r="M130" s="52">
        <v>30</v>
      </c>
      <c r="N130" s="38">
        <f t="shared" si="4"/>
        <v>2360</v>
      </c>
      <c r="O130" s="50"/>
      <c r="P130" s="50"/>
      <c r="Q130" s="50"/>
      <c r="R130" s="50"/>
      <c r="S130" s="53"/>
      <c r="T130" s="38">
        <f t="shared" si="5"/>
        <v>2360</v>
      </c>
      <c r="U130" s="40"/>
      <c r="V130" s="54" t="s">
        <v>34</v>
      </c>
      <c r="W130" s="55" t="s">
        <v>358</v>
      </c>
      <c r="X130" s="56" t="s">
        <v>35</v>
      </c>
      <c r="Y130" s="56" t="s">
        <v>36</v>
      </c>
      <c r="AA130" s="150">
        <v>2360</v>
      </c>
      <c r="AB130" s="150">
        <v>0</v>
      </c>
      <c r="AC130" s="150">
        <v>2360</v>
      </c>
      <c r="AD130" s="150">
        <v>2360</v>
      </c>
      <c r="AE130" s="150">
        <v>0</v>
      </c>
      <c r="AF130" s="150">
        <v>2360</v>
      </c>
      <c r="AG130" s="150">
        <v>0</v>
      </c>
    </row>
    <row r="131" spans="1:33" s="44" customFormat="1" ht="15.75" x14ac:dyDescent="0.25">
      <c r="A131" s="45">
        <v>125</v>
      </c>
      <c r="B131" s="29" t="s">
        <v>31</v>
      </c>
      <c r="C131" s="46">
        <v>50157</v>
      </c>
      <c r="D131" s="45">
        <v>33477</v>
      </c>
      <c r="E131" s="45">
        <v>27868</v>
      </c>
      <c r="F131" s="47" t="s">
        <v>219</v>
      </c>
      <c r="G131" s="48" t="s">
        <v>33</v>
      </c>
      <c r="H131" s="49">
        <f>VLOOKUP(D131,[2]PG_Payroll_Run_Report__Shared__!$A$6:$F$151,6,FALSE)</f>
        <v>41609</v>
      </c>
      <c r="I131" s="50">
        <v>1200</v>
      </c>
      <c r="J131" s="50">
        <v>1160</v>
      </c>
      <c r="K131" s="51">
        <f t="shared" si="3"/>
        <v>2360</v>
      </c>
      <c r="L131" s="50"/>
      <c r="M131" s="52">
        <v>30</v>
      </c>
      <c r="N131" s="38">
        <f t="shared" si="4"/>
        <v>2360</v>
      </c>
      <c r="O131" s="50"/>
      <c r="P131" s="50"/>
      <c r="Q131" s="50"/>
      <c r="R131" s="50"/>
      <c r="S131" s="57"/>
      <c r="T131" s="38">
        <f t="shared" si="5"/>
        <v>2360</v>
      </c>
      <c r="U131" s="40"/>
      <c r="V131" s="54" t="s">
        <v>34</v>
      </c>
      <c r="W131" s="55" t="s">
        <v>359</v>
      </c>
      <c r="X131" s="56" t="s">
        <v>35</v>
      </c>
      <c r="Y131" s="56" t="s">
        <v>36</v>
      </c>
      <c r="AA131" s="150">
        <v>2360</v>
      </c>
      <c r="AB131" s="150">
        <v>0</v>
      </c>
      <c r="AC131" s="150">
        <v>2360</v>
      </c>
      <c r="AD131" s="150">
        <v>2360</v>
      </c>
      <c r="AE131" s="150">
        <v>0</v>
      </c>
      <c r="AF131" s="150">
        <v>2360</v>
      </c>
      <c r="AG131" s="150">
        <v>0</v>
      </c>
    </row>
    <row r="132" spans="1:33" s="44" customFormat="1" ht="15.75" x14ac:dyDescent="0.25">
      <c r="A132" s="45">
        <v>126</v>
      </c>
      <c r="B132" s="29" t="s">
        <v>31</v>
      </c>
      <c r="C132" s="46">
        <v>50238</v>
      </c>
      <c r="D132" s="45">
        <v>34442</v>
      </c>
      <c r="E132" s="45">
        <v>27950</v>
      </c>
      <c r="F132" s="47" t="s">
        <v>220</v>
      </c>
      <c r="G132" s="48" t="s">
        <v>33</v>
      </c>
      <c r="H132" s="49">
        <f>VLOOKUP(D132,[2]PG_Payroll_Run_Report__Shared__!$A$6:$F$151,6,FALSE)</f>
        <v>43635</v>
      </c>
      <c r="I132" s="50">
        <v>1200</v>
      </c>
      <c r="J132" s="50">
        <v>800</v>
      </c>
      <c r="K132" s="51">
        <f t="shared" si="3"/>
        <v>2000</v>
      </c>
      <c r="L132" s="50"/>
      <c r="M132" s="52">
        <v>30</v>
      </c>
      <c r="N132" s="38">
        <f t="shared" si="4"/>
        <v>2000.0000000000002</v>
      </c>
      <c r="O132" s="50"/>
      <c r="P132" s="50"/>
      <c r="Q132" s="50"/>
      <c r="R132" s="50"/>
      <c r="S132" s="58"/>
      <c r="T132" s="38">
        <f t="shared" si="5"/>
        <v>2000</v>
      </c>
      <c r="U132" s="40"/>
      <c r="V132" s="54" t="s">
        <v>34</v>
      </c>
      <c r="W132" s="55" t="s">
        <v>360</v>
      </c>
      <c r="X132" s="56" t="s">
        <v>35</v>
      </c>
      <c r="Y132" s="56" t="s">
        <v>36</v>
      </c>
      <c r="AA132" s="150">
        <v>2000</v>
      </c>
      <c r="AB132" s="150">
        <v>0</v>
      </c>
      <c r="AC132" s="150">
        <v>2000</v>
      </c>
      <c r="AD132" s="150">
        <v>2000</v>
      </c>
      <c r="AE132" s="150">
        <v>0</v>
      </c>
      <c r="AF132" s="150">
        <v>2000</v>
      </c>
      <c r="AG132" s="150">
        <v>0</v>
      </c>
    </row>
    <row r="133" spans="1:33" s="44" customFormat="1" ht="15.75" x14ac:dyDescent="0.25">
      <c r="A133" s="45">
        <v>127</v>
      </c>
      <c r="B133" s="29" t="s">
        <v>31</v>
      </c>
      <c r="C133" s="46">
        <v>50251</v>
      </c>
      <c r="D133" s="45">
        <v>37667</v>
      </c>
      <c r="E133" s="45">
        <v>27959</v>
      </c>
      <c r="F133" s="47" t="s">
        <v>221</v>
      </c>
      <c r="G133" s="48" t="s">
        <v>68</v>
      </c>
      <c r="H133" s="49">
        <f>VLOOKUP(D133,[2]PG_Payroll_Run_Report__Shared__!$A$6:$F$151,6,FALSE)</f>
        <v>44170</v>
      </c>
      <c r="I133" s="50">
        <v>1200</v>
      </c>
      <c r="J133" s="50">
        <v>800</v>
      </c>
      <c r="K133" s="51">
        <f t="shared" si="3"/>
        <v>2000</v>
      </c>
      <c r="L133" s="50"/>
      <c r="M133" s="52">
        <v>30</v>
      </c>
      <c r="N133" s="38">
        <f t="shared" si="4"/>
        <v>2000.0000000000002</v>
      </c>
      <c r="O133" s="50"/>
      <c r="P133" s="50"/>
      <c r="Q133" s="50"/>
      <c r="R133" s="50"/>
      <c r="S133" s="58"/>
      <c r="T133" s="38">
        <f t="shared" si="5"/>
        <v>2000</v>
      </c>
      <c r="U133" s="40"/>
      <c r="V133" s="54" t="s">
        <v>34</v>
      </c>
      <c r="W133" s="55" t="s">
        <v>361</v>
      </c>
      <c r="X133" s="56" t="s">
        <v>35</v>
      </c>
      <c r="Y133" s="56" t="s">
        <v>36</v>
      </c>
      <c r="AA133" s="150">
        <v>2000</v>
      </c>
      <c r="AB133" s="150">
        <v>0</v>
      </c>
      <c r="AC133" s="150">
        <v>2000</v>
      </c>
      <c r="AD133" s="150">
        <v>2000</v>
      </c>
      <c r="AE133" s="150">
        <v>0</v>
      </c>
      <c r="AF133" s="150">
        <v>2000</v>
      </c>
      <c r="AG133" s="150">
        <v>0</v>
      </c>
    </row>
    <row r="134" spans="1:33" s="44" customFormat="1" ht="15.75" x14ac:dyDescent="0.25">
      <c r="A134" s="45">
        <v>128</v>
      </c>
      <c r="B134" s="29" t="s">
        <v>31</v>
      </c>
      <c r="C134" s="46">
        <v>50257</v>
      </c>
      <c r="D134" s="45">
        <v>44129</v>
      </c>
      <c r="E134" s="45">
        <v>27960</v>
      </c>
      <c r="F134" s="47" t="s">
        <v>222</v>
      </c>
      <c r="G134" s="48" t="s">
        <v>40</v>
      </c>
      <c r="H134" s="49">
        <f>VLOOKUP(D134,[2]PG_Payroll_Run_Report__Shared__!$A$6:$F$151,6,FALSE)</f>
        <v>44727</v>
      </c>
      <c r="I134" s="50">
        <v>1200</v>
      </c>
      <c r="J134" s="50">
        <v>800</v>
      </c>
      <c r="K134" s="51">
        <f t="shared" si="3"/>
        <v>2000</v>
      </c>
      <c r="L134" s="50"/>
      <c r="M134" s="52">
        <v>30</v>
      </c>
      <c r="N134" s="38">
        <f t="shared" si="4"/>
        <v>2000.0000000000002</v>
      </c>
      <c r="O134" s="50"/>
      <c r="P134" s="50"/>
      <c r="Q134" s="50"/>
      <c r="R134" s="50"/>
      <c r="S134" s="58"/>
      <c r="T134" s="38">
        <f t="shared" si="5"/>
        <v>2000</v>
      </c>
      <c r="U134" s="40"/>
      <c r="V134" s="54" t="s">
        <v>34</v>
      </c>
      <c r="W134" s="55" t="s">
        <v>362</v>
      </c>
      <c r="X134" s="56" t="s">
        <v>35</v>
      </c>
      <c r="Y134" s="56" t="s">
        <v>41</v>
      </c>
      <c r="AA134" s="150">
        <v>2000</v>
      </c>
      <c r="AB134" s="150">
        <v>0</v>
      </c>
      <c r="AC134" s="150">
        <v>2000</v>
      </c>
      <c r="AD134" s="150">
        <v>2000</v>
      </c>
      <c r="AE134" s="150">
        <v>0</v>
      </c>
      <c r="AF134" s="150">
        <v>2000</v>
      </c>
      <c r="AG134" s="150">
        <v>0</v>
      </c>
    </row>
    <row r="135" spans="1:33" s="44" customFormat="1" ht="15.75" x14ac:dyDescent="0.25">
      <c r="A135" s="45">
        <v>129</v>
      </c>
      <c r="B135" s="29" t="s">
        <v>31</v>
      </c>
      <c r="C135" s="46">
        <v>50262</v>
      </c>
      <c r="D135" s="45">
        <v>44372</v>
      </c>
      <c r="E135" s="45">
        <v>27965</v>
      </c>
      <c r="F135" s="47" t="s">
        <v>223</v>
      </c>
      <c r="G135" s="48" t="s">
        <v>40</v>
      </c>
      <c r="H135" s="49">
        <f>VLOOKUP(D135,[2]PG_Payroll_Run_Report__Shared__!$A$6:$F$151,6,FALSE)</f>
        <v>44760</v>
      </c>
      <c r="I135" s="50">
        <v>1200</v>
      </c>
      <c r="J135" s="50">
        <v>800</v>
      </c>
      <c r="K135" s="51">
        <f t="shared" ref="K135:K150" si="6">SUM(I135:J135)</f>
        <v>2000</v>
      </c>
      <c r="L135" s="50"/>
      <c r="M135" s="52">
        <v>30</v>
      </c>
      <c r="N135" s="38">
        <f t="shared" ref="N135:N150" si="7">K135/$D$2*M135+L135</f>
        <v>2000.0000000000002</v>
      </c>
      <c r="O135" s="50"/>
      <c r="P135" s="50"/>
      <c r="Q135" s="50"/>
      <c r="R135" s="50"/>
      <c r="S135" s="39"/>
      <c r="T135" s="38">
        <f t="shared" si="5"/>
        <v>2000</v>
      </c>
      <c r="U135" s="40"/>
      <c r="V135" s="54" t="s">
        <v>34</v>
      </c>
      <c r="W135" s="55" t="s">
        <v>363</v>
      </c>
      <c r="X135" s="56" t="s">
        <v>35</v>
      </c>
      <c r="Y135" s="56" t="s">
        <v>41</v>
      </c>
      <c r="AA135" s="150">
        <v>2000</v>
      </c>
      <c r="AB135" s="150">
        <v>0</v>
      </c>
      <c r="AC135" s="150">
        <v>2000</v>
      </c>
      <c r="AD135" s="150">
        <v>2000</v>
      </c>
      <c r="AE135" s="150">
        <v>0</v>
      </c>
      <c r="AF135" s="150">
        <v>2000</v>
      </c>
      <c r="AG135" s="150">
        <v>0</v>
      </c>
    </row>
    <row r="136" spans="1:33" s="44" customFormat="1" ht="15.75" x14ac:dyDescent="0.25">
      <c r="A136" s="45">
        <v>130</v>
      </c>
      <c r="B136" s="29" t="s">
        <v>31</v>
      </c>
      <c r="C136" s="46">
        <v>50121</v>
      </c>
      <c r="D136" s="45">
        <v>33514</v>
      </c>
      <c r="E136" s="45">
        <v>27990</v>
      </c>
      <c r="F136" s="47" t="s">
        <v>224</v>
      </c>
      <c r="G136" s="48" t="s">
        <v>33</v>
      </c>
      <c r="H136" s="49">
        <f>VLOOKUP(D136,[2]PG_Payroll_Run_Report__Shared__!$A$6:$F$151,6,FALSE)</f>
        <v>41609</v>
      </c>
      <c r="I136" s="50">
        <v>1200</v>
      </c>
      <c r="J136" s="50">
        <v>1160</v>
      </c>
      <c r="K136" s="51">
        <f t="shared" si="6"/>
        <v>2360</v>
      </c>
      <c r="L136" s="50"/>
      <c r="M136" s="52">
        <v>30</v>
      </c>
      <c r="N136" s="38">
        <f t="shared" si="7"/>
        <v>2360</v>
      </c>
      <c r="O136" s="50"/>
      <c r="P136" s="50"/>
      <c r="Q136" s="50"/>
      <c r="R136" s="50"/>
      <c r="S136" s="57"/>
      <c r="T136" s="38">
        <f t="shared" ref="T136:T150" si="8">ROUND(SUM(N136:S136),0)</f>
        <v>2360</v>
      </c>
      <c r="U136" s="60"/>
      <c r="V136" s="54" t="s">
        <v>34</v>
      </c>
      <c r="W136" s="55" t="s">
        <v>364</v>
      </c>
      <c r="X136" s="56" t="s">
        <v>35</v>
      </c>
      <c r="Y136" s="56" t="s">
        <v>36</v>
      </c>
      <c r="AA136" s="150">
        <v>2360</v>
      </c>
      <c r="AB136" s="150">
        <v>0</v>
      </c>
      <c r="AC136" s="150">
        <v>2360</v>
      </c>
      <c r="AD136" s="150">
        <v>2360</v>
      </c>
      <c r="AE136" s="150">
        <v>0</v>
      </c>
      <c r="AF136" s="150">
        <v>2360</v>
      </c>
      <c r="AG136" s="150">
        <v>0</v>
      </c>
    </row>
    <row r="137" spans="1:33" s="44" customFormat="1" ht="15.75" x14ac:dyDescent="0.25">
      <c r="A137" s="45">
        <v>131</v>
      </c>
      <c r="B137" s="29" t="s">
        <v>31</v>
      </c>
      <c r="C137" s="46">
        <v>50140</v>
      </c>
      <c r="D137" s="45">
        <v>33551</v>
      </c>
      <c r="E137" s="45">
        <v>28006</v>
      </c>
      <c r="F137" s="47" t="s">
        <v>225</v>
      </c>
      <c r="G137" s="48" t="s">
        <v>45</v>
      </c>
      <c r="H137" s="49">
        <f>VLOOKUP(D137,[2]PG_Payroll_Run_Report__Shared__!$A$6:$F$151,6,FALSE)</f>
        <v>41730</v>
      </c>
      <c r="I137" s="50">
        <v>6420</v>
      </c>
      <c r="J137" s="50">
        <v>9630</v>
      </c>
      <c r="K137" s="51">
        <f t="shared" si="6"/>
        <v>16050</v>
      </c>
      <c r="L137" s="50"/>
      <c r="M137" s="52">
        <v>30</v>
      </c>
      <c r="N137" s="38">
        <f t="shared" si="7"/>
        <v>16050</v>
      </c>
      <c r="O137" s="50"/>
      <c r="P137" s="50"/>
      <c r="Q137" s="50"/>
      <c r="R137" s="50"/>
      <c r="S137" s="57"/>
      <c r="T137" s="38">
        <f t="shared" si="8"/>
        <v>16050</v>
      </c>
      <c r="U137" s="60"/>
      <c r="V137" s="54" t="s">
        <v>34</v>
      </c>
      <c r="W137" s="55" t="s">
        <v>365</v>
      </c>
      <c r="X137" s="56" t="s">
        <v>35</v>
      </c>
      <c r="Y137" s="56" t="s">
        <v>41</v>
      </c>
      <c r="AA137" s="150">
        <v>16050</v>
      </c>
      <c r="AB137" s="150">
        <v>0</v>
      </c>
      <c r="AC137" s="150">
        <v>16050</v>
      </c>
      <c r="AD137" s="150">
        <v>16050</v>
      </c>
      <c r="AE137" s="150">
        <v>0</v>
      </c>
      <c r="AF137" s="150">
        <v>16050</v>
      </c>
      <c r="AG137" s="150">
        <v>0</v>
      </c>
    </row>
    <row r="138" spans="1:33" s="44" customFormat="1" ht="15.75" x14ac:dyDescent="0.25">
      <c r="A138" s="45">
        <v>132</v>
      </c>
      <c r="B138" s="29" t="s">
        <v>31</v>
      </c>
      <c r="C138" s="46">
        <v>50203</v>
      </c>
      <c r="D138" s="45">
        <v>33689</v>
      </c>
      <c r="E138" s="45">
        <v>28019</v>
      </c>
      <c r="F138" s="47" t="s">
        <v>226</v>
      </c>
      <c r="G138" s="48" t="s">
        <v>68</v>
      </c>
      <c r="H138" s="49">
        <f>VLOOKUP(D138,[2]PG_Payroll_Run_Report__Shared__!$A$6:$F$151,6,FALSE)</f>
        <v>43403</v>
      </c>
      <c r="I138" s="50">
        <v>1200</v>
      </c>
      <c r="J138" s="50">
        <v>1040</v>
      </c>
      <c r="K138" s="51">
        <f t="shared" si="6"/>
        <v>2240</v>
      </c>
      <c r="L138" s="50"/>
      <c r="M138" s="52">
        <v>30</v>
      </c>
      <c r="N138" s="38">
        <f t="shared" si="7"/>
        <v>2240</v>
      </c>
      <c r="O138" s="50"/>
      <c r="P138" s="50"/>
      <c r="Q138" s="50"/>
      <c r="R138" s="50"/>
      <c r="S138" s="57"/>
      <c r="T138" s="38">
        <f t="shared" si="8"/>
        <v>2240</v>
      </c>
      <c r="U138" s="40"/>
      <c r="V138" s="54" t="s">
        <v>34</v>
      </c>
      <c r="W138" s="55" t="s">
        <v>366</v>
      </c>
      <c r="X138" s="56" t="s">
        <v>35</v>
      </c>
      <c r="Y138" s="56" t="s">
        <v>36</v>
      </c>
      <c r="AA138" s="150">
        <v>2240</v>
      </c>
      <c r="AB138" s="150">
        <v>0</v>
      </c>
      <c r="AC138" s="150">
        <v>2240</v>
      </c>
      <c r="AD138" s="150">
        <v>2240</v>
      </c>
      <c r="AE138" s="150">
        <v>0</v>
      </c>
      <c r="AF138" s="150">
        <v>2240</v>
      </c>
      <c r="AG138" s="150">
        <v>0</v>
      </c>
    </row>
    <row r="139" spans="1:33" s="44" customFormat="1" ht="15.75" x14ac:dyDescent="0.25">
      <c r="A139" s="45">
        <v>133</v>
      </c>
      <c r="B139" s="29" t="s">
        <v>31</v>
      </c>
      <c r="C139" s="46">
        <v>50221</v>
      </c>
      <c r="D139" s="45">
        <v>33792</v>
      </c>
      <c r="E139" s="45">
        <v>28029</v>
      </c>
      <c r="F139" s="47" t="s">
        <v>227</v>
      </c>
      <c r="G139" s="48" t="s">
        <v>33</v>
      </c>
      <c r="H139" s="49">
        <f>VLOOKUP(D139,[2]PG_Payroll_Run_Report__Shared__!$A$6:$F$151,6,FALSE)</f>
        <v>43457</v>
      </c>
      <c r="I139" s="50">
        <v>1200</v>
      </c>
      <c r="J139" s="50">
        <v>1040</v>
      </c>
      <c r="K139" s="51">
        <f t="shared" si="6"/>
        <v>2240</v>
      </c>
      <c r="L139" s="50"/>
      <c r="M139" s="52">
        <v>30</v>
      </c>
      <c r="N139" s="38">
        <f t="shared" si="7"/>
        <v>2240</v>
      </c>
      <c r="O139" s="50"/>
      <c r="P139" s="50"/>
      <c r="Q139" s="50"/>
      <c r="R139" s="50"/>
      <c r="S139" s="57"/>
      <c r="T139" s="38">
        <f t="shared" si="8"/>
        <v>2240</v>
      </c>
      <c r="U139" s="40"/>
      <c r="V139" s="54" t="s">
        <v>34</v>
      </c>
      <c r="W139" s="55" t="s">
        <v>367</v>
      </c>
      <c r="X139" s="56" t="s">
        <v>35</v>
      </c>
      <c r="Y139" s="56" t="s">
        <v>36</v>
      </c>
      <c r="AA139" s="150">
        <v>2240</v>
      </c>
      <c r="AB139" s="150">
        <v>0</v>
      </c>
      <c r="AC139" s="150">
        <v>2240</v>
      </c>
      <c r="AD139" s="150">
        <v>2240</v>
      </c>
      <c r="AE139" s="150">
        <v>0</v>
      </c>
      <c r="AF139" s="150">
        <v>2240</v>
      </c>
      <c r="AG139" s="150">
        <v>0</v>
      </c>
    </row>
    <row r="140" spans="1:33" s="44" customFormat="1" ht="15.75" x14ac:dyDescent="0.25">
      <c r="A140" s="45">
        <v>134</v>
      </c>
      <c r="B140" s="29" t="s">
        <v>31</v>
      </c>
      <c r="C140" s="46">
        <v>50252</v>
      </c>
      <c r="D140" s="45">
        <v>43631</v>
      </c>
      <c r="E140" s="45">
        <v>28038</v>
      </c>
      <c r="F140" s="47" t="s">
        <v>228</v>
      </c>
      <c r="G140" s="48" t="s">
        <v>133</v>
      </c>
      <c r="H140" s="49">
        <f>VLOOKUP(D140,[2]PG_Payroll_Run_Report__Shared__!$A$6:$F$151,6,FALSE)</f>
        <v>44670</v>
      </c>
      <c r="I140" s="50">
        <v>2100</v>
      </c>
      <c r="J140" s="50">
        <v>1400</v>
      </c>
      <c r="K140" s="51">
        <f t="shared" si="6"/>
        <v>3500</v>
      </c>
      <c r="L140" s="50"/>
      <c r="M140" s="52">
        <v>30</v>
      </c>
      <c r="N140" s="38">
        <f t="shared" si="7"/>
        <v>3500</v>
      </c>
      <c r="O140" s="50"/>
      <c r="P140" s="50"/>
      <c r="Q140" s="50"/>
      <c r="R140" s="50"/>
      <c r="S140" s="57"/>
      <c r="T140" s="38">
        <f t="shared" si="8"/>
        <v>3500</v>
      </c>
      <c r="U140" s="40"/>
      <c r="V140" s="54" t="s">
        <v>80</v>
      </c>
      <c r="W140" s="55" t="s">
        <v>229</v>
      </c>
      <c r="X140" s="56" t="s">
        <v>35</v>
      </c>
      <c r="Y140" s="56" t="s">
        <v>36</v>
      </c>
      <c r="AA140" s="150">
        <v>3500</v>
      </c>
      <c r="AB140" s="150">
        <v>0</v>
      </c>
      <c r="AC140" s="150">
        <v>3500</v>
      </c>
      <c r="AD140" s="150">
        <v>3500</v>
      </c>
      <c r="AE140" s="150">
        <v>0</v>
      </c>
      <c r="AF140" s="150">
        <v>3500</v>
      </c>
      <c r="AG140" s="150">
        <v>0</v>
      </c>
    </row>
    <row r="141" spans="1:33" s="44" customFormat="1" ht="15.75" x14ac:dyDescent="0.25">
      <c r="A141" s="45">
        <v>135</v>
      </c>
      <c r="B141" s="29" t="s">
        <v>31</v>
      </c>
      <c r="C141" s="46">
        <v>50098</v>
      </c>
      <c r="D141" s="45">
        <v>33517</v>
      </c>
      <c r="E141" s="45">
        <v>28075</v>
      </c>
      <c r="F141" s="47" t="s">
        <v>230</v>
      </c>
      <c r="G141" s="48" t="s">
        <v>107</v>
      </c>
      <c r="H141" s="49">
        <f>VLOOKUP(D141,[2]PG_Payroll_Run_Report__Shared__!$A$6:$F$151,6,FALSE)</f>
        <v>41730</v>
      </c>
      <c r="I141" s="50">
        <v>1500</v>
      </c>
      <c r="J141" s="50">
        <v>5200</v>
      </c>
      <c r="K141" s="51">
        <f t="shared" si="6"/>
        <v>6700</v>
      </c>
      <c r="L141" s="50"/>
      <c r="M141" s="52">
        <v>30</v>
      </c>
      <c r="N141" s="38">
        <f t="shared" si="7"/>
        <v>6700</v>
      </c>
      <c r="O141" s="50"/>
      <c r="P141" s="50"/>
      <c r="Q141" s="50"/>
      <c r="R141" s="50"/>
      <c r="S141" s="39"/>
      <c r="T141" s="38">
        <f t="shared" si="8"/>
        <v>6700</v>
      </c>
      <c r="U141" s="40"/>
      <c r="V141" s="54" t="s">
        <v>80</v>
      </c>
      <c r="W141" s="55" t="s">
        <v>231</v>
      </c>
      <c r="X141" s="56" t="s">
        <v>35</v>
      </c>
      <c r="Y141" s="56" t="s">
        <v>36</v>
      </c>
      <c r="AA141" s="150">
        <v>6700</v>
      </c>
      <c r="AB141" s="150">
        <v>0</v>
      </c>
      <c r="AC141" s="150">
        <v>6700</v>
      </c>
      <c r="AD141" s="150">
        <v>6700</v>
      </c>
      <c r="AE141" s="150">
        <v>0</v>
      </c>
      <c r="AF141" s="150">
        <v>6700</v>
      </c>
      <c r="AG141" s="150">
        <v>0</v>
      </c>
    </row>
    <row r="142" spans="1:33" s="44" customFormat="1" ht="15.75" x14ac:dyDescent="0.25">
      <c r="A142" s="45">
        <v>136</v>
      </c>
      <c r="B142" s="29" t="s">
        <v>31</v>
      </c>
      <c r="C142" s="46">
        <v>50048</v>
      </c>
      <c r="D142" s="45">
        <v>33453</v>
      </c>
      <c r="E142" s="45">
        <v>28340</v>
      </c>
      <c r="F142" s="47" t="s">
        <v>232</v>
      </c>
      <c r="G142" s="48" t="s">
        <v>59</v>
      </c>
      <c r="H142" s="49">
        <f>VLOOKUP(D142,[2]PG_Payroll_Run_Report__Shared__!$A$6:$F$151,6,FALSE)</f>
        <v>41640</v>
      </c>
      <c r="I142" s="50">
        <v>1200</v>
      </c>
      <c r="J142" s="50">
        <v>1550</v>
      </c>
      <c r="K142" s="51">
        <f t="shared" si="6"/>
        <v>2750</v>
      </c>
      <c r="L142" s="50"/>
      <c r="M142" s="52">
        <v>30</v>
      </c>
      <c r="N142" s="38">
        <f t="shared" si="7"/>
        <v>2750</v>
      </c>
      <c r="O142" s="50"/>
      <c r="P142" s="50"/>
      <c r="Q142" s="50"/>
      <c r="R142" s="50"/>
      <c r="S142" s="57"/>
      <c r="T142" s="38">
        <f t="shared" si="8"/>
        <v>2750</v>
      </c>
      <c r="U142" s="40"/>
      <c r="V142" s="54" t="s">
        <v>63</v>
      </c>
      <c r="W142" s="55" t="s">
        <v>368</v>
      </c>
      <c r="X142" s="56" t="s">
        <v>35</v>
      </c>
      <c r="Y142" s="56" t="s">
        <v>41</v>
      </c>
      <c r="AA142" s="150">
        <v>2750</v>
      </c>
      <c r="AB142" s="150">
        <v>0</v>
      </c>
      <c r="AC142" s="150">
        <v>2750</v>
      </c>
      <c r="AD142" s="150">
        <v>2750</v>
      </c>
      <c r="AE142" s="150">
        <v>0</v>
      </c>
      <c r="AF142" s="150">
        <v>2750</v>
      </c>
      <c r="AG142" s="150">
        <v>0</v>
      </c>
    </row>
    <row r="143" spans="1:33" s="44" customFormat="1" ht="15.75" x14ac:dyDescent="0.25">
      <c r="A143" s="45">
        <v>137</v>
      </c>
      <c r="B143" s="29" t="s">
        <v>31</v>
      </c>
      <c r="C143" s="46">
        <v>50089</v>
      </c>
      <c r="D143" s="45">
        <v>33485</v>
      </c>
      <c r="E143" s="45">
        <v>28346</v>
      </c>
      <c r="F143" s="47" t="s">
        <v>233</v>
      </c>
      <c r="G143" s="48" t="s">
        <v>33</v>
      </c>
      <c r="H143" s="49">
        <f>VLOOKUP(D143,[2]PG_Payroll_Run_Report__Shared__!$A$6:$F$151,6,FALSE)</f>
        <v>41609</v>
      </c>
      <c r="I143" s="50">
        <v>1200</v>
      </c>
      <c r="J143" s="50">
        <v>1480</v>
      </c>
      <c r="K143" s="51">
        <f t="shared" si="6"/>
        <v>2680</v>
      </c>
      <c r="L143" s="50"/>
      <c r="M143" s="52">
        <v>30</v>
      </c>
      <c r="N143" s="38">
        <f t="shared" si="7"/>
        <v>2680</v>
      </c>
      <c r="O143" s="50"/>
      <c r="P143" s="50"/>
      <c r="Q143" s="50"/>
      <c r="R143" s="50"/>
      <c r="S143" s="39"/>
      <c r="T143" s="38">
        <f t="shared" si="8"/>
        <v>2680</v>
      </c>
      <c r="U143" s="40"/>
      <c r="V143" s="54" t="s">
        <v>63</v>
      </c>
      <c r="W143" s="55" t="s">
        <v>369</v>
      </c>
      <c r="X143" s="56" t="s">
        <v>35</v>
      </c>
      <c r="Y143" s="56" t="s">
        <v>41</v>
      </c>
      <c r="AA143" s="150">
        <v>2680</v>
      </c>
      <c r="AB143" s="150">
        <v>0</v>
      </c>
      <c r="AC143" s="150">
        <v>2680</v>
      </c>
      <c r="AD143" s="150">
        <v>2680</v>
      </c>
      <c r="AE143" s="150">
        <v>0</v>
      </c>
      <c r="AF143" s="150">
        <v>2680</v>
      </c>
      <c r="AG143" s="150">
        <v>0</v>
      </c>
    </row>
    <row r="144" spans="1:33" s="44" customFormat="1" ht="31.5" x14ac:dyDescent="0.25">
      <c r="A144" s="45">
        <v>138</v>
      </c>
      <c r="B144" s="29" t="s">
        <v>31</v>
      </c>
      <c r="C144" s="46">
        <v>50078</v>
      </c>
      <c r="D144" s="45">
        <v>33502</v>
      </c>
      <c r="E144" s="45">
        <v>28351</v>
      </c>
      <c r="F144" s="47" t="s">
        <v>234</v>
      </c>
      <c r="G144" s="48" t="s">
        <v>59</v>
      </c>
      <c r="H144" s="49">
        <f>VLOOKUP(D144,[2]PG_Payroll_Run_Report__Shared__!$A$6:$F$151,6,FALSE)</f>
        <v>41609</v>
      </c>
      <c r="I144" s="50">
        <v>1200</v>
      </c>
      <c r="J144" s="50">
        <v>2030</v>
      </c>
      <c r="K144" s="51">
        <f t="shared" si="6"/>
        <v>3230</v>
      </c>
      <c r="L144" s="50"/>
      <c r="M144" s="52">
        <v>30</v>
      </c>
      <c r="N144" s="38">
        <f t="shared" si="7"/>
        <v>3230</v>
      </c>
      <c r="O144" s="50"/>
      <c r="P144" s="50"/>
      <c r="Q144" s="50"/>
      <c r="R144" s="50"/>
      <c r="S144" s="57"/>
      <c r="T144" s="38">
        <f t="shared" si="8"/>
        <v>3230</v>
      </c>
      <c r="U144" s="60"/>
      <c r="V144" s="54" t="s">
        <v>63</v>
      </c>
      <c r="W144" s="55" t="s">
        <v>370</v>
      </c>
      <c r="X144" s="56" t="s">
        <v>35</v>
      </c>
      <c r="Y144" s="56" t="s">
        <v>36</v>
      </c>
      <c r="AA144" s="150">
        <v>3230</v>
      </c>
      <c r="AB144" s="150">
        <v>0</v>
      </c>
      <c r="AC144" s="150">
        <v>3230</v>
      </c>
      <c r="AD144" s="150">
        <v>3230</v>
      </c>
      <c r="AE144" s="150">
        <v>0</v>
      </c>
      <c r="AF144" s="150">
        <v>3230</v>
      </c>
      <c r="AG144" s="150">
        <v>0</v>
      </c>
    </row>
    <row r="145" spans="1:34" s="44" customFormat="1" ht="15.75" x14ac:dyDescent="0.25">
      <c r="A145" s="45">
        <v>139</v>
      </c>
      <c r="B145" s="29" t="s">
        <v>31</v>
      </c>
      <c r="C145" s="46">
        <v>50040</v>
      </c>
      <c r="D145" s="45">
        <v>33566</v>
      </c>
      <c r="E145" s="45">
        <v>28362</v>
      </c>
      <c r="F145" s="47" t="s">
        <v>235</v>
      </c>
      <c r="G145" s="48" t="s">
        <v>236</v>
      </c>
      <c r="H145" s="49">
        <f>VLOOKUP(D145,[2]PG_Payroll_Run_Report__Shared__!$A$6:$F$151,6,FALSE)</f>
        <v>41730</v>
      </c>
      <c r="I145" s="50">
        <v>3300</v>
      </c>
      <c r="J145" s="50">
        <v>5879</v>
      </c>
      <c r="K145" s="51">
        <f t="shared" si="6"/>
        <v>9179</v>
      </c>
      <c r="L145" s="50"/>
      <c r="M145" s="52">
        <v>30</v>
      </c>
      <c r="N145" s="38">
        <f t="shared" si="7"/>
        <v>9179</v>
      </c>
      <c r="O145" s="50"/>
      <c r="P145" s="50"/>
      <c r="Q145" s="50"/>
      <c r="R145" s="50"/>
      <c r="S145" s="58"/>
      <c r="T145" s="38">
        <f t="shared" si="8"/>
        <v>9179</v>
      </c>
      <c r="U145" s="40"/>
      <c r="V145" s="66" t="s">
        <v>63</v>
      </c>
      <c r="W145" s="67" t="s">
        <v>371</v>
      </c>
      <c r="X145" s="56" t="s">
        <v>35</v>
      </c>
      <c r="Y145" s="56" t="s">
        <v>36</v>
      </c>
      <c r="AA145" s="150">
        <v>9179</v>
      </c>
      <c r="AB145" s="150">
        <v>0</v>
      </c>
      <c r="AC145" s="150">
        <v>9179</v>
      </c>
      <c r="AD145" s="150">
        <v>9179</v>
      </c>
      <c r="AE145" s="150">
        <v>0</v>
      </c>
      <c r="AF145" s="150">
        <v>9179</v>
      </c>
      <c r="AG145" s="150">
        <v>0</v>
      </c>
    </row>
    <row r="146" spans="1:34" s="44" customFormat="1" ht="15.75" x14ac:dyDescent="0.25">
      <c r="A146" s="45">
        <v>140</v>
      </c>
      <c r="B146" s="29" t="s">
        <v>31</v>
      </c>
      <c r="C146" s="68">
        <v>50206</v>
      </c>
      <c r="D146" s="69">
        <v>33692</v>
      </c>
      <c r="E146" s="69">
        <v>28364</v>
      </c>
      <c r="F146" s="70" t="s">
        <v>237</v>
      </c>
      <c r="G146" s="71" t="s">
        <v>68</v>
      </c>
      <c r="H146" s="72">
        <f>VLOOKUP(D146,[2]PG_Payroll_Run_Report__Shared__!$A$6:$F$151,6,FALSE)</f>
        <v>43409</v>
      </c>
      <c r="I146" s="73">
        <v>1200</v>
      </c>
      <c r="J146" s="73">
        <v>1040</v>
      </c>
      <c r="K146" s="74">
        <f t="shared" si="6"/>
        <v>2240</v>
      </c>
      <c r="L146" s="73"/>
      <c r="M146" s="75">
        <v>30</v>
      </c>
      <c r="N146" s="76">
        <f t="shared" si="7"/>
        <v>2240</v>
      </c>
      <c r="O146" s="50"/>
      <c r="P146" s="73"/>
      <c r="Q146" s="73"/>
      <c r="R146" s="73"/>
      <c r="S146" s="39"/>
      <c r="T146" s="38">
        <f t="shared" si="8"/>
        <v>2240</v>
      </c>
      <c r="U146" s="40"/>
      <c r="V146" s="77" t="s">
        <v>63</v>
      </c>
      <c r="W146" s="78" t="s">
        <v>372</v>
      </c>
      <c r="X146" s="79" t="s">
        <v>35</v>
      </c>
      <c r="Y146" s="80" t="s">
        <v>36</v>
      </c>
      <c r="AA146" s="150">
        <v>2240</v>
      </c>
      <c r="AB146" s="150">
        <v>0</v>
      </c>
      <c r="AC146" s="150">
        <v>2240</v>
      </c>
      <c r="AD146" s="150">
        <v>2240</v>
      </c>
      <c r="AE146" s="150">
        <v>0</v>
      </c>
      <c r="AF146" s="150">
        <v>2240</v>
      </c>
      <c r="AG146" s="150">
        <v>0</v>
      </c>
    </row>
    <row r="147" spans="1:34" s="44" customFormat="1" ht="15.75" x14ac:dyDescent="0.2">
      <c r="A147" s="45">
        <v>141</v>
      </c>
      <c r="B147" s="29" t="s">
        <v>31</v>
      </c>
      <c r="C147" s="45">
        <v>50276</v>
      </c>
      <c r="D147" s="45"/>
      <c r="E147" s="45">
        <v>32975</v>
      </c>
      <c r="F147" s="47" t="s">
        <v>238</v>
      </c>
      <c r="G147" s="48" t="s">
        <v>239</v>
      </c>
      <c r="H147" s="49">
        <v>45805</v>
      </c>
      <c r="I147" s="50">
        <v>1000</v>
      </c>
      <c r="J147" s="50">
        <v>1000</v>
      </c>
      <c r="K147" s="51">
        <f t="shared" si="6"/>
        <v>2000</v>
      </c>
      <c r="L147" s="50"/>
      <c r="M147" s="52">
        <v>30</v>
      </c>
      <c r="N147" s="50">
        <f t="shared" si="7"/>
        <v>2000.0000000000002</v>
      </c>
      <c r="O147" s="50"/>
      <c r="P147" s="50"/>
      <c r="Q147" s="50"/>
      <c r="R147" s="50"/>
      <c r="S147" s="57"/>
      <c r="T147" s="38">
        <f t="shared" si="8"/>
        <v>2000</v>
      </c>
      <c r="U147" s="40"/>
      <c r="V147" s="81" t="s">
        <v>240</v>
      </c>
      <c r="W147" s="82" t="s">
        <v>241</v>
      </c>
      <c r="X147" s="83" t="s">
        <v>35</v>
      </c>
      <c r="Y147" s="84" t="s">
        <v>41</v>
      </c>
      <c r="AA147" s="150">
        <v>2000</v>
      </c>
      <c r="AB147" s="150">
        <v>0</v>
      </c>
      <c r="AC147" s="150">
        <v>2000</v>
      </c>
      <c r="AD147" s="150">
        <v>2000</v>
      </c>
      <c r="AE147" s="150">
        <v>0</v>
      </c>
      <c r="AF147" s="150">
        <v>2000</v>
      </c>
      <c r="AG147" s="150">
        <v>0</v>
      </c>
    </row>
    <row r="148" spans="1:34" s="44" customFormat="1" ht="15.75" x14ac:dyDescent="0.2">
      <c r="A148" s="85">
        <v>142</v>
      </c>
      <c r="B148" s="29" t="s">
        <v>31</v>
      </c>
      <c r="C148" s="144">
        <v>32976</v>
      </c>
      <c r="D148" s="69"/>
      <c r="E148" s="69">
        <v>32976</v>
      </c>
      <c r="F148" s="70" t="s">
        <v>242</v>
      </c>
      <c r="G148" s="71" t="s">
        <v>239</v>
      </c>
      <c r="H148" s="72">
        <v>45810</v>
      </c>
      <c r="I148" s="73">
        <v>1000</v>
      </c>
      <c r="J148" s="73">
        <v>1000</v>
      </c>
      <c r="K148" s="74">
        <f t="shared" si="6"/>
        <v>2000</v>
      </c>
      <c r="L148" s="73"/>
      <c r="M148" s="75">
        <v>30</v>
      </c>
      <c r="N148" s="73">
        <f t="shared" si="7"/>
        <v>2000.0000000000002</v>
      </c>
      <c r="O148" s="50"/>
      <c r="P148" s="73"/>
      <c r="Q148" s="73"/>
      <c r="R148" s="73"/>
      <c r="S148" s="39">
        <v>0</v>
      </c>
      <c r="T148" s="38">
        <f t="shared" si="8"/>
        <v>2000</v>
      </c>
      <c r="U148" s="86"/>
      <c r="V148" s="87" t="s">
        <v>34</v>
      </c>
      <c r="W148" s="88" t="s">
        <v>373</v>
      </c>
      <c r="X148" s="79" t="s">
        <v>35</v>
      </c>
      <c r="Y148" s="89" t="s">
        <v>41</v>
      </c>
      <c r="AA148" s="150">
        <v>2000</v>
      </c>
      <c r="AB148" s="150">
        <v>0</v>
      </c>
      <c r="AC148" s="150">
        <v>2000</v>
      </c>
      <c r="AD148" s="150">
        <v>2000</v>
      </c>
      <c r="AE148" s="150">
        <v>0</v>
      </c>
      <c r="AF148" s="150">
        <v>2000</v>
      </c>
      <c r="AG148" s="150">
        <v>0</v>
      </c>
    </row>
    <row r="149" spans="1:34" s="102" customFormat="1" ht="15.75" x14ac:dyDescent="0.2">
      <c r="A149" s="90">
        <v>143</v>
      </c>
      <c r="B149" s="85" t="s">
        <v>31</v>
      </c>
      <c r="C149" s="145">
        <v>5000278</v>
      </c>
      <c r="D149" s="91"/>
      <c r="E149" s="92">
        <v>33217</v>
      </c>
      <c r="F149" s="93" t="s">
        <v>243</v>
      </c>
      <c r="G149" s="94" t="s">
        <v>239</v>
      </c>
      <c r="H149" s="95">
        <v>45845</v>
      </c>
      <c r="I149" s="96">
        <v>1000</v>
      </c>
      <c r="J149" s="96">
        <v>1000</v>
      </c>
      <c r="K149" s="96">
        <f t="shared" si="6"/>
        <v>2000</v>
      </c>
      <c r="L149" s="96"/>
      <c r="M149" s="97">
        <v>30</v>
      </c>
      <c r="N149" s="96">
        <f t="shared" si="7"/>
        <v>2000.0000000000002</v>
      </c>
      <c r="O149" s="76"/>
      <c r="P149" s="96"/>
      <c r="Q149" s="96"/>
      <c r="R149" s="96"/>
      <c r="S149" s="98">
        <v>0</v>
      </c>
      <c r="T149" s="38">
        <f t="shared" si="8"/>
        <v>2000</v>
      </c>
      <c r="U149" s="94"/>
      <c r="V149" s="54" t="s">
        <v>34</v>
      </c>
      <c r="W149" s="99" t="s">
        <v>374</v>
      </c>
      <c r="X149" s="100" t="s">
        <v>35</v>
      </c>
      <c r="Y149" s="101" t="s">
        <v>244</v>
      </c>
      <c r="AA149" s="150">
        <v>2000</v>
      </c>
      <c r="AB149" s="150">
        <v>0</v>
      </c>
      <c r="AC149" s="150">
        <v>2000</v>
      </c>
      <c r="AD149" s="150">
        <v>2000</v>
      </c>
      <c r="AE149" s="150">
        <v>0</v>
      </c>
      <c r="AF149" s="150">
        <v>2000</v>
      </c>
      <c r="AG149" s="150">
        <v>0</v>
      </c>
    </row>
    <row r="150" spans="1:34" s="102" customFormat="1" ht="16.5" thickBot="1" x14ac:dyDescent="0.3">
      <c r="A150" s="103">
        <v>144</v>
      </c>
      <c r="B150" s="104" t="s">
        <v>31</v>
      </c>
      <c r="C150" s="156"/>
      <c r="D150" s="105"/>
      <c r="E150" s="106"/>
      <c r="F150" s="107" t="s">
        <v>245</v>
      </c>
      <c r="G150" s="108" t="s">
        <v>239</v>
      </c>
      <c r="H150" s="109">
        <v>45929</v>
      </c>
      <c r="I150" s="110">
        <v>1000</v>
      </c>
      <c r="J150" s="110">
        <v>1000</v>
      </c>
      <c r="K150" s="110">
        <f t="shared" si="6"/>
        <v>2000</v>
      </c>
      <c r="L150" s="110"/>
      <c r="M150" s="111">
        <v>30</v>
      </c>
      <c r="N150" s="110">
        <f t="shared" si="7"/>
        <v>2000.0000000000002</v>
      </c>
      <c r="O150" s="112">
        <f>K150/30*2</f>
        <v>133.33333333333334</v>
      </c>
      <c r="P150" s="110"/>
      <c r="Q150" s="110"/>
      <c r="R150" s="110"/>
      <c r="S150" s="110"/>
      <c r="T150" s="112">
        <f t="shared" si="8"/>
        <v>2133</v>
      </c>
      <c r="U150" s="108" t="s">
        <v>246</v>
      </c>
      <c r="V150" s="113" t="s">
        <v>247</v>
      </c>
      <c r="W150" s="114"/>
      <c r="X150" s="115"/>
      <c r="Y150" s="116" t="s">
        <v>248</v>
      </c>
      <c r="AA150" s="150">
        <v>2133.33</v>
      </c>
      <c r="AB150" s="150">
        <v>0</v>
      </c>
      <c r="AC150" s="150">
        <v>2133.33</v>
      </c>
      <c r="AD150" s="150">
        <v>2133</v>
      </c>
      <c r="AE150" s="150">
        <v>0</v>
      </c>
      <c r="AF150" s="150">
        <v>2133</v>
      </c>
      <c r="AG150" s="150">
        <v>0.32999999999992724</v>
      </c>
    </row>
    <row r="151" spans="1:34" s="127" customFormat="1" ht="33.75" customHeight="1" thickBot="1" x14ac:dyDescent="0.3">
      <c r="A151" s="117">
        <v>144</v>
      </c>
      <c r="B151" s="118"/>
      <c r="C151" s="119"/>
      <c r="D151" s="119"/>
      <c r="E151" s="119"/>
      <c r="F151" s="119"/>
      <c r="G151" s="119"/>
      <c r="H151" s="119"/>
      <c r="I151" s="120">
        <f>SUM(I7:I150)</f>
        <v>266938.8</v>
      </c>
      <c r="J151" s="120">
        <f>SUM(J7:J150)</f>
        <v>327920.2</v>
      </c>
      <c r="K151" s="120">
        <f>SUM(K7:K150)</f>
        <v>594859</v>
      </c>
      <c r="L151" s="120">
        <f>SUM(L7:L149)</f>
        <v>7200</v>
      </c>
      <c r="M151" s="120"/>
      <c r="N151" s="120">
        <f>SUM(N7:N150)</f>
        <v>602059</v>
      </c>
      <c r="O151" s="120">
        <f>SUM(O7:O150)</f>
        <v>133.33333333333334</v>
      </c>
      <c r="P151" s="120">
        <f t="shared" ref="P151:S151" si="9">SUM(P7:P149)</f>
        <v>-7928.7000000000007</v>
      </c>
      <c r="Q151" s="120">
        <f t="shared" si="9"/>
        <v>0</v>
      </c>
      <c r="R151" s="120">
        <f t="shared" si="9"/>
        <v>-4815</v>
      </c>
      <c r="S151" s="120">
        <f t="shared" si="9"/>
        <v>-76</v>
      </c>
      <c r="T151" s="121">
        <f>SUM(T7:T150)</f>
        <v>589373</v>
      </c>
      <c r="U151" s="122"/>
      <c r="V151" s="123"/>
      <c r="W151" s="124"/>
      <c r="X151" s="125"/>
      <c r="Y151" s="126"/>
      <c r="AA151" s="151">
        <v>631155.42999999993</v>
      </c>
      <c r="AB151" s="151">
        <v>29039.1</v>
      </c>
      <c r="AC151" s="151">
        <v>602116.32999999996</v>
      </c>
      <c r="AD151" s="151">
        <v>589373</v>
      </c>
      <c r="AE151" s="151">
        <v>-12743.7</v>
      </c>
      <c r="AF151" s="151">
        <v>602116.69999999995</v>
      </c>
      <c r="AG151" s="151">
        <v>-0.37000000000080036</v>
      </c>
      <c r="AH151" s="152" t="s">
        <v>375</v>
      </c>
    </row>
    <row r="152" spans="1:34" x14ac:dyDescent="0.25">
      <c r="K152" s="153"/>
      <c r="N152" s="154">
        <f>N151+O151+S151</f>
        <v>602116.33333333337</v>
      </c>
      <c r="O152" s="155"/>
      <c r="R152" s="128"/>
      <c r="S152" s="128"/>
      <c r="U152" s="128"/>
    </row>
    <row r="153" spans="1:34" x14ac:dyDescent="0.25">
      <c r="E153" s="129"/>
      <c r="F153" s="130"/>
      <c r="G153" s="129"/>
      <c r="K153" s="153"/>
      <c r="N153" s="154">
        <f>AC151</f>
        <v>602116.32999999996</v>
      </c>
      <c r="O153" s="155"/>
    </row>
    <row r="154" spans="1:34" ht="15.75" thickBot="1" x14ac:dyDescent="0.3">
      <c r="N154" s="154">
        <f>N152-N153</f>
        <v>3.3333334140479565E-3</v>
      </c>
      <c r="O154" s="155" t="s">
        <v>375</v>
      </c>
      <c r="S154" s="131" t="s">
        <v>249</v>
      </c>
      <c r="T154" s="132"/>
    </row>
    <row r="155" spans="1:34" ht="15.75" x14ac:dyDescent="0.25">
      <c r="L155" s="133" t="s">
        <v>250</v>
      </c>
      <c r="M155" s="134" t="s">
        <v>251</v>
      </c>
      <c r="N155" s="135" t="s">
        <v>252</v>
      </c>
      <c r="S155" s="131" t="s">
        <v>253</v>
      </c>
      <c r="T155" s="132"/>
    </row>
    <row r="156" spans="1:34" ht="15.75" x14ac:dyDescent="0.25">
      <c r="L156" s="136" t="s">
        <v>36</v>
      </c>
      <c r="M156" s="137">
        <f>COUNTIF($Y$7:$Y$150,L156)</f>
        <v>102</v>
      </c>
      <c r="N156" s="138">
        <f>SUMIF($Y$7:$Y$150,L156,$T$7:$T$150)</f>
        <v>416635</v>
      </c>
      <c r="T156" s="128"/>
    </row>
    <row r="157" spans="1:34" ht="15.75" x14ac:dyDescent="0.25">
      <c r="F157" s="139"/>
      <c r="L157" s="136" t="s">
        <v>41</v>
      </c>
      <c r="M157" s="137">
        <f t="shared" ref="M157:M160" si="10">COUNTIF($Y$7:$Y$150,L157)</f>
        <v>38</v>
      </c>
      <c r="N157" s="138">
        <f t="shared" ref="N157:N160" si="11">SUMIF($Y$7:$Y$150,L157,$T$7:$T$150)</f>
        <v>138497</v>
      </c>
      <c r="T157" s="128"/>
    </row>
    <row r="158" spans="1:34" ht="15.75" x14ac:dyDescent="0.25">
      <c r="F158" s="139"/>
      <c r="L158" s="136" t="s">
        <v>109</v>
      </c>
      <c r="M158" s="137">
        <f t="shared" si="10"/>
        <v>2</v>
      </c>
      <c r="N158" s="138">
        <f t="shared" si="11"/>
        <v>30108</v>
      </c>
      <c r="V158" s="139"/>
    </row>
    <row r="159" spans="1:34" ht="15.75" x14ac:dyDescent="0.25">
      <c r="I159" s="139"/>
      <c r="L159" s="136" t="s">
        <v>244</v>
      </c>
      <c r="M159" s="140">
        <f t="shared" si="10"/>
        <v>1</v>
      </c>
      <c r="N159" s="138">
        <f t="shared" si="11"/>
        <v>2000</v>
      </c>
      <c r="T159" s="128"/>
      <c r="V159" s="139"/>
    </row>
    <row r="160" spans="1:34" ht="15.75" x14ac:dyDescent="0.25">
      <c r="I160" s="139"/>
      <c r="L160" s="136" t="s">
        <v>248</v>
      </c>
      <c r="M160" s="137">
        <f t="shared" si="10"/>
        <v>1</v>
      </c>
      <c r="N160" s="138">
        <f t="shared" si="11"/>
        <v>2133</v>
      </c>
      <c r="T160" s="128"/>
      <c r="V160" s="139"/>
    </row>
    <row r="161" spans="12:20" ht="16.5" thickBot="1" x14ac:dyDescent="0.3">
      <c r="L161" s="141" t="s">
        <v>252</v>
      </c>
      <c r="M161" s="142">
        <f>SUM(M156:M160)</f>
        <v>144</v>
      </c>
      <c r="N161" s="143">
        <f>SUM(N156:N160)</f>
        <v>589373</v>
      </c>
    </row>
    <row r="162" spans="12:20" x14ac:dyDescent="0.25">
      <c r="O162" s="128"/>
    </row>
    <row r="163" spans="12:20" x14ac:dyDescent="0.25">
      <c r="T163">
        <v>587240</v>
      </c>
    </row>
  </sheetData>
  <mergeCells count="17">
    <mergeCell ref="J5:J6"/>
    <mergeCell ref="K5:K6"/>
    <mergeCell ref="E5:E6"/>
    <mergeCell ref="AA5:AF5"/>
    <mergeCell ref="B3:C3"/>
    <mergeCell ref="A5:A6"/>
    <mergeCell ref="B5:B6"/>
    <mergeCell ref="C5:C6"/>
    <mergeCell ref="D5:D6"/>
    <mergeCell ref="L5:L6"/>
    <mergeCell ref="M5:M6"/>
    <mergeCell ref="P5:R5"/>
    <mergeCell ref="T5:T6"/>
    <mergeCell ref="F5:F6"/>
    <mergeCell ref="G5:G6"/>
    <mergeCell ref="H5:H6"/>
    <mergeCell ref="I5:I6"/>
  </mergeCells>
  <conditionalFormatting sqref="A7:B7 A8:A148 B8:B150">
    <cfRule type="duplicateValues" dxfId="4" priority="1"/>
  </conditionalFormatting>
  <conditionalFormatting sqref="C7:C148">
    <cfRule type="duplicateValues" dxfId="3" priority="2"/>
  </conditionalFormatting>
  <conditionalFormatting sqref="D7:E148">
    <cfRule type="duplicateValues" dxfId="2" priority="3"/>
  </conditionalFormatting>
  <conditionalFormatting sqref="D151:E151 C149:C1048576">
    <cfRule type="duplicateValues" dxfId="1" priority="5"/>
  </conditionalFormatting>
  <conditionalFormatting sqref="F7:F148">
    <cfRule type="duplicateValues" dxfId="0" priority="4"/>
  </conditionalFormatting>
  <pageMargins left="0.4" right="0.35" top="0.2" bottom="1.3" header="0.3" footer="0.3"/>
  <pageSetup paperSize="7" scale="41" fitToHeight="0" orientation="landscape" r:id="rId1"/>
  <headerFooter>
    <oddFooter>&amp;LPrepared By:
Mirza Osman Baig&amp;CReviewed By
Jaafer Sadique Fouzul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7ebc51-0089-4b44-8f08-4e8150f3d194" xsi:nil="true"/>
    <lcf76f155ced4ddcb4097134ff3c332f xmlns="f3e94a1e-664d-4b0b-857e-ae2997203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A5348B03CB641AD30B2A98F08FA30" ma:contentTypeVersion="15" ma:contentTypeDescription="Create a new document." ma:contentTypeScope="" ma:versionID="c584f6ffd02af94e804d28772e9b1f35">
  <xsd:schema xmlns:xsd="http://www.w3.org/2001/XMLSchema" xmlns:xs="http://www.w3.org/2001/XMLSchema" xmlns:p="http://schemas.microsoft.com/office/2006/metadata/properties" xmlns:ns2="f3e94a1e-664d-4b0b-857e-ae2997203f77" xmlns:ns3="a77ebc51-0089-4b44-8f08-4e8150f3d194" targetNamespace="http://schemas.microsoft.com/office/2006/metadata/properties" ma:root="true" ma:fieldsID="7fe381db87cec1b8f1cd53d54d6cf38a" ns2:_="" ns3:_="">
    <xsd:import namespace="f3e94a1e-664d-4b0b-857e-ae2997203f77"/>
    <xsd:import namespace="a77ebc51-0089-4b44-8f08-4e8150f3d1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94a1e-664d-4b0b-857e-ae2997203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2e818d3-3e39-45a6-ab1f-f23719c945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7ebc51-0089-4b44-8f08-4e8150f3d19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6434b02-ccbf-474f-aba1-673f3c8e9a8f}" ma:internalName="TaxCatchAll" ma:showField="CatchAllData" ma:web="a77ebc51-0089-4b44-8f08-4e8150f3d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A7DB10-29B1-44EE-AC63-7BB38DA39A93}">
  <ds:schemaRefs>
    <ds:schemaRef ds:uri="http://schemas.microsoft.com/office/2006/metadata/properties"/>
    <ds:schemaRef ds:uri="http://schemas.microsoft.com/office/infopath/2007/PartnerControls"/>
    <ds:schemaRef ds:uri="a77ebc51-0089-4b44-8f08-4e8150f3d194"/>
    <ds:schemaRef ds:uri="f3e94a1e-664d-4b0b-857e-ae2997203f77"/>
  </ds:schemaRefs>
</ds:datastoreItem>
</file>

<file path=customXml/itemProps2.xml><?xml version="1.0" encoding="utf-8"?>
<ds:datastoreItem xmlns:ds="http://schemas.openxmlformats.org/officeDocument/2006/customXml" ds:itemID="{4B107E4E-12CB-45E5-8DD1-5D1596F61B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D04766-6C2A-4C14-805B-6C315294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94a1e-664d-4b0b-857e-ae2997203f77"/>
    <ds:schemaRef ds:uri="a77ebc51-0089-4b44-8f08-4e8150f3d1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Oct-25</vt:lpstr>
      <vt:lpstr>'Oct-25'!Print_Area</vt:lpstr>
      <vt:lpstr>'Oct-25'!Print_Titles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Osman Baig</dc:creator>
  <cp:lastModifiedBy>Dashna Saleh Alhammami</cp:lastModifiedBy>
  <dcterms:created xsi:type="dcterms:W3CDTF">2025-10-06T09:38:32Z</dcterms:created>
  <dcterms:modified xsi:type="dcterms:W3CDTF">2025-10-09T12:44:45Z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0x010100199A5348B03CB641AD30B2A98F08FA30</vt:lpwstr>
  </property>
</Properties>
</file>