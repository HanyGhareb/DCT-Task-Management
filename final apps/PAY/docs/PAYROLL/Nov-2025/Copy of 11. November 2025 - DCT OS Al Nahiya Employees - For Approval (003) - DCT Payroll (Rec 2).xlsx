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y.abdelaal\Downloads\"/>
    </mc:Choice>
  </mc:AlternateContent>
  <xr:revisionPtr revIDLastSave="0" documentId="13_ncr:1_{6D6AA995-F5A8-4117-A7A1-2AE751B4E10B}" xr6:coauthVersionLast="47" xr6:coauthVersionMax="47" xr10:uidLastSave="{00000000-0000-0000-0000-000000000000}"/>
  <bookViews>
    <workbookView xWindow="28680" yWindow="-120" windowWidth="29040" windowHeight="15720" tabRatio="523" xr2:uid="{00000000-000D-0000-FFFF-FFFF00000000}"/>
  </bookViews>
  <sheets>
    <sheet name="Payroll" sheetId="28" r:id="rId1"/>
    <sheet name="Variation" sheetId="11" r:id="rId2"/>
    <sheet name="Prior to current month report" sheetId="30" state="hidden" r:id="rId3"/>
  </sheets>
  <externalReferences>
    <externalReference r:id="rId4"/>
    <externalReference r:id="rId5"/>
  </externalReferences>
  <definedNames>
    <definedName name="_xlnm._FilterDatabase" localSheetId="0" hidden="1">Payroll!$A$1:$AG$317</definedName>
    <definedName name="_xlnm.Print_Titles" localSheetId="0">Payroll!$1:$1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28" l="1"/>
  <c r="R316" i="28" s="1"/>
  <c r="O101" i="28"/>
  <c r="L101" i="28"/>
  <c r="P134" i="28"/>
  <c r="O134" i="28"/>
  <c r="O316" i="28"/>
  <c r="R315" i="28"/>
  <c r="N315" i="28"/>
  <c r="L315" i="28"/>
  <c r="M315" i="28" s="1"/>
  <c r="A315" i="28"/>
  <c r="R314" i="28"/>
  <c r="N314" i="28"/>
  <c r="L314" i="28"/>
  <c r="M314" i="28" s="1"/>
  <c r="A314" i="28"/>
  <c r="T313" i="28"/>
  <c r="N313" i="28"/>
  <c r="L313" i="28"/>
  <c r="M313" i="28" s="1"/>
  <c r="A313" i="28"/>
  <c r="P10" i="28"/>
  <c r="P17" i="28"/>
  <c r="P22" i="28"/>
  <c r="P104" i="28"/>
  <c r="P131" i="28"/>
  <c r="P138" i="28"/>
  <c r="P156" i="28"/>
  <c r="P171" i="28"/>
  <c r="P177" i="28"/>
  <c r="P192" i="28"/>
  <c r="P202" i="28"/>
  <c r="P204" i="28"/>
  <c r="P211" i="28"/>
  <c r="P254" i="28"/>
  <c r="P257" i="28"/>
  <c r="P259" i="28"/>
  <c r="C167" i="30"/>
  <c r="R193" i="28"/>
  <c r="T135" i="28"/>
  <c r="Q314" i="28" l="1"/>
  <c r="T314" i="28" s="1"/>
  <c r="U314" i="28" s="1"/>
  <c r="V313" i="28"/>
  <c r="U313" i="28"/>
  <c r="V315" i="28"/>
  <c r="S314" i="28"/>
  <c r="V314" i="28" s="1"/>
  <c r="T315" i="28"/>
  <c r="U315" i="28" s="1"/>
  <c r="N135" i="28"/>
  <c r="L135" i="28"/>
  <c r="M135" i="28" s="1"/>
  <c r="A135" i="28"/>
  <c r="V135" i="28" l="1"/>
  <c r="U135" i="28"/>
  <c r="AB135" i="28"/>
  <c r="C160" i="30" l="1"/>
  <c r="N312" i="28"/>
  <c r="C302" i="30"/>
  <c r="T222" i="28"/>
  <c r="T221" i="28"/>
  <c r="T200" i="28"/>
  <c r="T189" i="28"/>
  <c r="T187" i="28"/>
  <c r="T179" i="28"/>
  <c r="T175" i="28"/>
  <c r="T172" i="28"/>
  <c r="T168" i="28"/>
  <c r="T167" i="28"/>
  <c r="T166" i="28"/>
  <c r="T165" i="28"/>
  <c r="T164" i="28"/>
  <c r="T163" i="28"/>
  <c r="T160" i="28"/>
  <c r="T159" i="28"/>
  <c r="T158" i="28"/>
  <c r="T157" i="28"/>
  <c r="T155" i="28"/>
  <c r="T154" i="28"/>
  <c r="T153" i="28"/>
  <c r="T152" i="28"/>
  <c r="T151" i="28"/>
  <c r="T150" i="28"/>
  <c r="T149" i="28"/>
  <c r="T148" i="28"/>
  <c r="T147" i="28"/>
  <c r="T146" i="28"/>
  <c r="T144" i="28"/>
  <c r="T142" i="28"/>
  <c r="T141" i="28"/>
  <c r="T140" i="28"/>
  <c r="T139" i="28"/>
  <c r="T137" i="28"/>
  <c r="T136" i="28"/>
  <c r="T131" i="28"/>
  <c r="T128" i="28"/>
  <c r="T127" i="28"/>
  <c r="T126" i="28"/>
  <c r="T125" i="28"/>
  <c r="T124" i="28"/>
  <c r="T123" i="28"/>
  <c r="T122" i="28"/>
  <c r="T120" i="28"/>
  <c r="T119" i="28"/>
  <c r="T118" i="28"/>
  <c r="T117" i="28"/>
  <c r="T115" i="28"/>
  <c r="T114" i="28"/>
  <c r="T113" i="28"/>
  <c r="T111" i="28"/>
  <c r="T109" i="28"/>
  <c r="T108" i="28"/>
  <c r="T106" i="28"/>
  <c r="T105" i="28"/>
  <c r="T98" i="28"/>
  <c r="T97" i="28"/>
  <c r="T96" i="28"/>
  <c r="T95" i="28"/>
  <c r="T94" i="28"/>
  <c r="T92" i="28"/>
  <c r="T91" i="28"/>
  <c r="T82" i="28"/>
  <c r="T72" i="28"/>
  <c r="T67" i="28"/>
  <c r="T66" i="28"/>
  <c r="T64" i="28"/>
  <c r="T62" i="28"/>
  <c r="T61" i="28"/>
  <c r="T58" i="28"/>
  <c r="T54" i="28"/>
  <c r="T53" i="28"/>
  <c r="T52" i="28"/>
  <c r="T51" i="28"/>
  <c r="T50" i="28"/>
  <c r="T49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T32" i="28"/>
  <c r="T31" i="28"/>
  <c r="T30" i="28"/>
  <c r="T29" i="28"/>
  <c r="T28" i="28"/>
  <c r="T27" i="28"/>
  <c r="T26" i="28"/>
  <c r="T25" i="28"/>
  <c r="T24" i="28"/>
  <c r="T21" i="28"/>
  <c r="T20" i="28"/>
  <c r="T15" i="28"/>
  <c r="T13" i="28"/>
  <c r="T12" i="28"/>
  <c r="T9" i="28"/>
  <c r="T8" i="28"/>
  <c r="T7" i="28"/>
  <c r="T5" i="28"/>
  <c r="T4" i="28"/>
  <c r="T3" i="28"/>
  <c r="T2" i="28"/>
  <c r="T305" i="28"/>
  <c r="T304" i="28"/>
  <c r="T303" i="28"/>
  <c r="T302" i="28"/>
  <c r="T301" i="28"/>
  <c r="T300" i="28"/>
  <c r="T299" i="28"/>
  <c r="T294" i="28"/>
  <c r="T293" i="28"/>
  <c r="T292" i="28"/>
  <c r="T291" i="28"/>
  <c r="T290" i="28"/>
  <c r="T289" i="28"/>
  <c r="T288" i="28"/>
  <c r="T287" i="28"/>
  <c r="T286" i="28"/>
  <c r="T285" i="28"/>
  <c r="T277" i="28"/>
  <c r="T276" i="28"/>
  <c r="T275" i="28"/>
  <c r="T274" i="28"/>
  <c r="T272" i="28"/>
  <c r="T271" i="28"/>
  <c r="T267" i="28"/>
  <c r="T266" i="28"/>
  <c r="T265" i="28"/>
  <c r="T264" i="28"/>
  <c r="T262" i="28"/>
  <c r="T260" i="28"/>
  <c r="T259" i="28"/>
  <c r="T258" i="28"/>
  <c r="T253" i="28"/>
  <c r="T248" i="28"/>
  <c r="T247" i="28"/>
  <c r="T245" i="28"/>
  <c r="T244" i="28"/>
  <c r="T243" i="28"/>
  <c r="T239" i="28"/>
  <c r="T238" i="28"/>
  <c r="T237" i="28"/>
  <c r="T236" i="28"/>
  <c r="T235" i="28"/>
  <c r="T232" i="28"/>
  <c r="T231" i="28"/>
  <c r="T230" i="28"/>
  <c r="T229" i="28"/>
  <c r="T225" i="28"/>
  <c r="T224" i="28"/>
  <c r="T223" i="28"/>
  <c r="T219" i="28"/>
  <c r="T218" i="28"/>
  <c r="T217" i="28"/>
  <c r="T216" i="28"/>
  <c r="T215" i="28"/>
  <c r="T210" i="28"/>
  <c r="T209" i="28"/>
  <c r="T208" i="28"/>
  <c r="T207" i="28"/>
  <c r="T206" i="28"/>
  <c r="T203" i="28"/>
  <c r="T201" i="28"/>
  <c r="T196" i="28"/>
  <c r="T194" i="28"/>
  <c r="T191" i="28"/>
  <c r="T190" i="28"/>
  <c r="T188" i="28"/>
  <c r="T183" i="28"/>
  <c r="T181" i="28"/>
  <c r="T180" i="28"/>
  <c r="T178" i="28"/>
  <c r="T176" i="28"/>
  <c r="T174" i="28"/>
  <c r="T173" i="28"/>
  <c r="T162" i="28"/>
  <c r="T161" i="28"/>
  <c r="T134" i="28"/>
  <c r="T133" i="28"/>
  <c r="T130" i="28"/>
  <c r="T116" i="28"/>
  <c r="T112" i="28"/>
  <c r="T110" i="28"/>
  <c r="T107" i="28"/>
  <c r="T104" i="28"/>
  <c r="T102" i="28"/>
  <c r="T93" i="28"/>
  <c r="T90" i="28"/>
  <c r="T89" i="28"/>
  <c r="T88" i="28"/>
  <c r="T80" i="28"/>
  <c r="T79" i="28"/>
  <c r="T78" i="28"/>
  <c r="T77" i="28"/>
  <c r="T76" i="28"/>
  <c r="T75" i="28"/>
  <c r="T74" i="28"/>
  <c r="T70" i="28"/>
  <c r="T69" i="28"/>
  <c r="T68" i="28"/>
  <c r="T65" i="28"/>
  <c r="T60" i="28"/>
  <c r="T48" i="28"/>
  <c r="T23" i="28"/>
  <c r="T19" i="28"/>
  <c r="T18" i="28"/>
  <c r="T11" i="28"/>
  <c r="T6" i="28"/>
  <c r="J151" i="28"/>
  <c r="K95" i="28"/>
  <c r="J95" i="28"/>
  <c r="K127" i="28"/>
  <c r="J127" i="28"/>
  <c r="J100" i="28"/>
  <c r="J144" i="28"/>
  <c r="J137" i="28"/>
  <c r="J113" i="28"/>
  <c r="J103" i="28"/>
  <c r="K163" i="28"/>
  <c r="J163" i="28"/>
  <c r="J145" i="28"/>
  <c r="K165" i="28"/>
  <c r="J165" i="28"/>
  <c r="J92" i="28"/>
  <c r="K149" i="28"/>
  <c r="J149" i="28"/>
  <c r="K141" i="28"/>
  <c r="J141" i="28"/>
  <c r="J22" i="28"/>
  <c r="K53" i="28"/>
  <c r="J53" i="28"/>
  <c r="K44" i="28"/>
  <c r="J44" i="28"/>
  <c r="J38" i="28"/>
  <c r="J34" i="28"/>
  <c r="K31" i="28"/>
  <c r="J31" i="28"/>
  <c r="K222" i="28"/>
  <c r="J222" i="28"/>
  <c r="K109" i="28"/>
  <c r="J109" i="28"/>
  <c r="J54" i="28"/>
  <c r="J200" i="28"/>
  <c r="J168" i="28"/>
  <c r="K167" i="28"/>
  <c r="J167" i="28"/>
  <c r="J157" i="28"/>
  <c r="K154" i="28"/>
  <c r="J154" i="28"/>
  <c r="K147" i="28"/>
  <c r="J147" i="28"/>
  <c r="J124" i="28"/>
  <c r="K125" i="28"/>
  <c r="J125" i="28"/>
  <c r="K117" i="28"/>
  <c r="J117" i="28"/>
  <c r="J43" i="28"/>
  <c r="J29" i="28"/>
  <c r="K2" i="28"/>
  <c r="J2" i="28"/>
  <c r="J158" i="28"/>
  <c r="K153" i="28"/>
  <c r="J153" i="28"/>
  <c r="K128" i="28"/>
  <c r="J128" i="28"/>
  <c r="J132" i="28"/>
  <c r="K122" i="28"/>
  <c r="J122" i="28"/>
  <c r="K66" i="28"/>
  <c r="J66" i="28"/>
  <c r="K10" i="28"/>
  <c r="J10" i="28"/>
  <c r="K156" i="28"/>
  <c r="J156" i="28"/>
  <c r="K62" i="28"/>
  <c r="J62" i="28"/>
  <c r="K108" i="28"/>
  <c r="J108" i="28"/>
  <c r="J91" i="28"/>
  <c r="J82" i="28"/>
  <c r="J152" i="28"/>
  <c r="J164" i="28"/>
  <c r="K118" i="28"/>
  <c r="J118" i="28"/>
  <c r="K96" i="28"/>
  <c r="J96" i="28"/>
  <c r="J111" i="28"/>
  <c r="J189" i="28"/>
  <c r="K49" i="28"/>
  <c r="J49" i="28"/>
  <c r="J120" i="28"/>
  <c r="J159" i="28"/>
  <c r="J142" i="28"/>
  <c r="J114" i="28"/>
  <c r="K98" i="28"/>
  <c r="J98" i="28"/>
  <c r="J221" i="28"/>
  <c r="J148" i="28"/>
  <c r="J187" i="28"/>
  <c r="K32" i="28"/>
  <c r="J32" i="28"/>
  <c r="K179" i="28"/>
  <c r="J179" i="28"/>
  <c r="J140" i="28"/>
  <c r="K172" i="28"/>
  <c r="J172" i="28"/>
  <c r="J27" i="28"/>
  <c r="K3" i="28"/>
  <c r="J3" i="28"/>
  <c r="K97" i="28"/>
  <c r="J97" i="28"/>
  <c r="K119" i="28"/>
  <c r="J119" i="28"/>
  <c r="J150" i="28"/>
  <c r="J123" i="28"/>
  <c r="K67" i="28"/>
  <c r="J67" i="28"/>
  <c r="J160" i="28"/>
  <c r="J94" i="28"/>
  <c r="K45" i="28"/>
  <c r="J45" i="28"/>
  <c r="K33" i="28"/>
  <c r="J33" i="28"/>
  <c r="J50" i="28"/>
  <c r="K51" i="28"/>
  <c r="J51" i="28"/>
  <c r="J52" i="28"/>
  <c r="J35" i="28"/>
  <c r="K46" i="28"/>
  <c r="J46" i="28"/>
  <c r="K41" i="28"/>
  <c r="J41" i="28"/>
  <c r="J36" i="28"/>
  <c r="K13" i="28"/>
  <c r="J13" i="28"/>
  <c r="K139" i="28"/>
  <c r="J139" i="28"/>
  <c r="K9" i="28"/>
  <c r="J9" i="28"/>
  <c r="J136" i="28"/>
  <c r="J155" i="28"/>
  <c r="J115" i="28"/>
  <c r="J105" i="28"/>
  <c r="K175" i="28"/>
  <c r="J175" i="28"/>
  <c r="K146" i="28"/>
  <c r="J146" i="28"/>
  <c r="J40" i="28"/>
  <c r="J28" i="28"/>
  <c r="K7" i="28"/>
  <c r="J7" i="28"/>
  <c r="K126" i="28"/>
  <c r="J126" i="28"/>
  <c r="J26" i="28"/>
  <c r="J15" i="28"/>
  <c r="K12" i="28"/>
  <c r="J12" i="28"/>
  <c r="K106" i="28"/>
  <c r="J106" i="28"/>
  <c r="J64" i="28"/>
  <c r="K30" i="28"/>
  <c r="J30" i="28"/>
  <c r="K72" i="28"/>
  <c r="J72" i="28"/>
  <c r="K25" i="28"/>
  <c r="J25" i="28"/>
  <c r="J131" i="28"/>
  <c r="K21" i="28"/>
  <c r="J21" i="28"/>
  <c r="K20" i="28"/>
  <c r="J20" i="28"/>
  <c r="K61" i="28"/>
  <c r="J61" i="28"/>
  <c r="J8" i="28"/>
  <c r="K37" i="28"/>
  <c r="J37" i="28"/>
  <c r="J39" i="28"/>
  <c r="K58" i="28"/>
  <c r="J58" i="28"/>
  <c r="J42" i="28"/>
  <c r="K5" i="28"/>
  <c r="J5" i="28"/>
  <c r="J24" i="28"/>
  <c r="K47" i="28"/>
  <c r="J47" i="28"/>
  <c r="J166" i="28"/>
  <c r="K4" i="28"/>
  <c r="J4" i="28"/>
  <c r="AA103" i="28"/>
  <c r="AA132" i="28"/>
  <c r="V317" i="28"/>
  <c r="T14" i="28"/>
  <c r="T16" i="28"/>
  <c r="T55" i="28"/>
  <c r="T56" i="28"/>
  <c r="T57" i="28"/>
  <c r="T59" i="28"/>
  <c r="T63" i="28"/>
  <c r="T71" i="28"/>
  <c r="T73" i="28"/>
  <c r="T81" i="28"/>
  <c r="T83" i="28"/>
  <c r="T84" i="28"/>
  <c r="T86" i="28"/>
  <c r="T87" i="28"/>
  <c r="T99" i="28"/>
  <c r="T101" i="28"/>
  <c r="T129" i="28"/>
  <c r="T138" i="28"/>
  <c r="T143" i="28"/>
  <c r="T169" i="28"/>
  <c r="T170" i="28"/>
  <c r="T171" i="28"/>
  <c r="T184" i="28"/>
  <c r="T185" i="28"/>
  <c r="T186" i="28"/>
  <c r="T197" i="28"/>
  <c r="T198" i="28"/>
  <c r="T199" i="28"/>
  <c r="T205" i="28"/>
  <c r="T212" i="28"/>
  <c r="T213" i="28"/>
  <c r="T214" i="28"/>
  <c r="T220" i="28"/>
  <c r="T226" i="28"/>
  <c r="T227" i="28"/>
  <c r="T228" i="28"/>
  <c r="T234" i="28"/>
  <c r="T240" i="28"/>
  <c r="T241" i="28"/>
  <c r="T242" i="28"/>
  <c r="T249" i="28"/>
  <c r="T250" i="28"/>
  <c r="T251" i="28"/>
  <c r="T252" i="28"/>
  <c r="T255" i="28"/>
  <c r="T256" i="28"/>
  <c r="T263" i="28"/>
  <c r="T268" i="28"/>
  <c r="T269" i="28"/>
  <c r="T270" i="28"/>
  <c r="T278" i="28"/>
  <c r="T279" i="28"/>
  <c r="T280" i="28"/>
  <c r="T281" i="28"/>
  <c r="T282" i="28"/>
  <c r="T283" i="28"/>
  <c r="T284" i="28"/>
  <c r="T295" i="28"/>
  <c r="T296" i="28"/>
  <c r="T297" i="28"/>
  <c r="T298" i="28"/>
  <c r="T306" i="28"/>
  <c r="T307" i="28"/>
  <c r="T308" i="28"/>
  <c r="T309" i="28"/>
  <c r="T310" i="28"/>
  <c r="T311" i="28"/>
  <c r="J316" i="28" l="1"/>
  <c r="T145" i="28"/>
  <c r="T100" i="28"/>
  <c r="T10" i="28"/>
  <c r="K187" i="28"/>
  <c r="K140" i="28"/>
  <c r="K22" i="28"/>
  <c r="K155" i="28"/>
  <c r="K120" i="28"/>
  <c r="K148" i="28"/>
  <c r="K164" i="28"/>
  <c r="K24" i="28"/>
  <c r="K40" i="28"/>
  <c r="K54" i="28"/>
  <c r="K42" i="28"/>
  <c r="K43" i="28"/>
  <c r="K144" i="28"/>
  <c r="K132" i="28"/>
  <c r="K123" i="28"/>
  <c r="K114" i="28"/>
  <c r="K166" i="28"/>
  <c r="K26" i="28"/>
  <c r="K82" i="28"/>
  <c r="K29" i="28"/>
  <c r="K157" i="28"/>
  <c r="K137" i="28"/>
  <c r="K27" i="28"/>
  <c r="K34" i="28"/>
  <c r="K92" i="28"/>
  <c r="K221" i="28"/>
  <c r="K15" i="28"/>
  <c r="K38" i="28"/>
  <c r="K50" i="28"/>
  <c r="K150" i="28"/>
  <c r="K52" i="28"/>
  <c r="K39" i="28"/>
  <c r="K160" i="28"/>
  <c r="K189" i="28"/>
  <c r="K91" i="28"/>
  <c r="K168" i="28"/>
  <c r="K100" i="28"/>
  <c r="K131" i="28"/>
  <c r="K200" i="28"/>
  <c r="K113" i="28"/>
  <c r="K111" i="28"/>
  <c r="K28" i="28"/>
  <c r="K35" i="28"/>
  <c r="K103" i="28"/>
  <c r="K151" i="28"/>
  <c r="K158" i="28"/>
  <c r="K142" i="28"/>
  <c r="K8" i="28"/>
  <c r="K36" i="28"/>
  <c r="K64" i="28"/>
  <c r="K94" i="28"/>
  <c r="K105" i="28"/>
  <c r="K115" i="28"/>
  <c r="K124" i="28"/>
  <c r="K136" i="28"/>
  <c r="K145" i="28"/>
  <c r="K152" i="28"/>
  <c r="K159" i="28"/>
  <c r="K316" i="28" l="1"/>
  <c r="T22" i="28"/>
  <c r="X310" i="28"/>
  <c r="Y310" i="28"/>
  <c r="X311" i="28"/>
  <c r="Y311" i="28"/>
  <c r="X308" i="28"/>
  <c r="Y308" i="28"/>
  <c r="Y309" i="28"/>
  <c r="X309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9" i="28"/>
  <c r="A310" i="28"/>
  <c r="A311" i="28"/>
  <c r="A308" i="28"/>
  <c r="A312" i="28"/>
  <c r="T192" i="28"/>
  <c r="T177" i="28"/>
  <c r="L312" i="28"/>
  <c r="M312" i="28" s="1"/>
  <c r="P312" i="28" s="1"/>
  <c r="P316" i="28" s="1"/>
  <c r="L308" i="28"/>
  <c r="M308" i="28" s="1"/>
  <c r="V308" i="28" s="1"/>
  <c r="L311" i="28"/>
  <c r="M311" i="28" s="1"/>
  <c r="V311" i="28" s="1"/>
  <c r="L310" i="28"/>
  <c r="M310" i="28" s="1"/>
  <c r="V310" i="28" s="1"/>
  <c r="L309" i="28"/>
  <c r="T312" i="28" l="1"/>
  <c r="M309" i="28"/>
  <c r="V309" i="28" s="1"/>
  <c r="U310" i="28"/>
  <c r="U311" i="28"/>
  <c r="U308" i="28"/>
  <c r="V312" i="28" l="1"/>
  <c r="U309" i="28"/>
  <c r="U312" i="28"/>
  <c r="T211" i="28" l="1"/>
  <c r="T204" i="28"/>
  <c r="T202" i="28"/>
  <c r="N163" i="28"/>
  <c r="L307" i="28"/>
  <c r="M307" i="28" s="1"/>
  <c r="V307" i="28" s="1"/>
  <c r="C36" i="30"/>
  <c r="C20" i="30"/>
  <c r="C5" i="30"/>
  <c r="U307" i="28" l="1"/>
  <c r="C33" i="30"/>
  <c r="L306" i="28" l="1"/>
  <c r="L302" i="28"/>
  <c r="M302" i="28" s="1"/>
  <c r="V302" i="28" s="1"/>
  <c r="L305" i="28"/>
  <c r="L303" i="28"/>
  <c r="M303" i="28" s="1"/>
  <c r="V303" i="28" s="1"/>
  <c r="L205" i="28"/>
  <c r="L304" i="28"/>
  <c r="M304" i="28" s="1"/>
  <c r="V304" i="28" s="1"/>
  <c r="L301" i="28"/>
  <c r="M301" i="28" s="1"/>
  <c r="V301" i="28" s="1"/>
  <c r="C17" i="30"/>
  <c r="B305" i="30" s="1"/>
  <c r="T17" i="28"/>
  <c r="N298" i="28"/>
  <c r="N297" i="28"/>
  <c r="N296" i="28"/>
  <c r="N295" i="28"/>
  <c r="N294" i="28"/>
  <c r="N292" i="28"/>
  <c r="N293" i="28"/>
  <c r="AA85" i="28"/>
  <c r="AA121" i="28"/>
  <c r="AA182" i="28"/>
  <c r="AA193" i="28"/>
  <c r="AA195" i="28"/>
  <c r="AA233" i="28"/>
  <c r="AA246" i="28"/>
  <c r="AA257" i="28"/>
  <c r="AA261" i="28"/>
  <c r="L299" i="28"/>
  <c r="M299" i="28" s="1"/>
  <c r="V299" i="28" s="1"/>
  <c r="L300" i="28"/>
  <c r="M300" i="28" s="1"/>
  <c r="V300" i="28" s="1"/>
  <c r="M305" i="28" l="1"/>
  <c r="V305" i="28" s="1"/>
  <c r="M306" i="28"/>
  <c r="V306" i="28" s="1"/>
  <c r="U302" i="28"/>
  <c r="M205" i="28"/>
  <c r="V205" i="28" s="1"/>
  <c r="U304" i="28"/>
  <c r="U299" i="28"/>
  <c r="U300" i="28"/>
  <c r="AB171" i="28"/>
  <c r="AB261" i="28"/>
  <c r="AB193" i="28"/>
  <c r="AB182" i="28"/>
  <c r="AB121" i="28"/>
  <c r="U305" i="28" l="1"/>
  <c r="U306" i="28"/>
  <c r="U205" i="28"/>
  <c r="U301" i="28"/>
  <c r="U303" i="28"/>
  <c r="AB273" i="28"/>
  <c r="AB246" i="28"/>
  <c r="AB170" i="28"/>
  <c r="AB103" i="28"/>
  <c r="AB85" i="28"/>
  <c r="AB254" i="28" l="1"/>
  <c r="AB156" i="28"/>
  <c r="AB257" i="28"/>
  <c r="AB233" i="28"/>
  <c r="AB195" i="28"/>
  <c r="AB132" i="28"/>
  <c r="L296" i="28"/>
  <c r="M296" i="28" s="1"/>
  <c r="V296" i="28" s="1"/>
  <c r="L297" i="28"/>
  <c r="L292" i="28"/>
  <c r="M292" i="28" s="1"/>
  <c r="V292" i="28" s="1"/>
  <c r="L298" i="28"/>
  <c r="L294" i="28"/>
  <c r="M294" i="28" s="1"/>
  <c r="V294" i="28" s="1"/>
  <c r="L295" i="28"/>
  <c r="M295" i="28" s="1"/>
  <c r="V295" i="28" s="1"/>
  <c r="L293" i="28"/>
  <c r="M293" i="28" s="1"/>
  <c r="V293" i="28" s="1"/>
  <c r="L56" i="28"/>
  <c r="L291" i="28"/>
  <c r="M291" i="28" s="1"/>
  <c r="V291" i="28" s="1"/>
  <c r="L287" i="28"/>
  <c r="L284" i="28"/>
  <c r="L280" i="28"/>
  <c r="L290" i="28"/>
  <c r="L289" i="28"/>
  <c r="L288" i="28"/>
  <c r="L286" i="28"/>
  <c r="L285" i="28"/>
  <c r="L283" i="28"/>
  <c r="L282" i="28"/>
  <c r="L281" i="28"/>
  <c r="L279" i="28"/>
  <c r="L278" i="28"/>
  <c r="L277" i="28"/>
  <c r="L276" i="28"/>
  <c r="L275" i="28"/>
  <c r="L274" i="28"/>
  <c r="L273" i="28"/>
  <c r="L272" i="28"/>
  <c r="L271" i="28"/>
  <c r="L270" i="28"/>
  <c r="L269" i="28"/>
  <c r="L268" i="28"/>
  <c r="L267" i="28"/>
  <c r="L266" i="28"/>
  <c r="L265" i="28"/>
  <c r="L264" i="28"/>
  <c r="L263" i="28"/>
  <c r="L262" i="28"/>
  <c r="L261" i="28"/>
  <c r="L260" i="28"/>
  <c r="L259" i="28"/>
  <c r="L258" i="28"/>
  <c r="L257" i="28"/>
  <c r="L256" i="28"/>
  <c r="L255" i="28"/>
  <c r="L254" i="28"/>
  <c r="L253" i="28"/>
  <c r="L252" i="28"/>
  <c r="L251" i="28"/>
  <c r="L250" i="28"/>
  <c r="L249" i="28"/>
  <c r="L248" i="28"/>
  <c r="L247" i="28"/>
  <c r="L246" i="28"/>
  <c r="L245" i="28"/>
  <c r="L244" i="28"/>
  <c r="L243" i="28"/>
  <c r="L242" i="28"/>
  <c r="L241" i="28"/>
  <c r="L240" i="28"/>
  <c r="L239" i="28"/>
  <c r="L238" i="28"/>
  <c r="L237" i="28"/>
  <c r="L236" i="28"/>
  <c r="L235" i="28"/>
  <c r="L234" i="28"/>
  <c r="L233" i="28"/>
  <c r="L232" i="28"/>
  <c r="L231" i="28"/>
  <c r="L230" i="28"/>
  <c r="L229" i="28"/>
  <c r="L228" i="28"/>
  <c r="L227" i="28"/>
  <c r="L226" i="28"/>
  <c r="L225" i="28"/>
  <c r="L224" i="28"/>
  <c r="L223" i="28"/>
  <c r="L222" i="28"/>
  <c r="L221" i="28"/>
  <c r="L220" i="28"/>
  <c r="L219" i="28"/>
  <c r="L218" i="28"/>
  <c r="L217" i="28"/>
  <c r="L216" i="28"/>
  <c r="L215" i="28"/>
  <c r="L214" i="28"/>
  <c r="L213" i="28"/>
  <c r="L212" i="28"/>
  <c r="L211" i="28"/>
  <c r="L210" i="28"/>
  <c r="L209" i="28"/>
  <c r="L208" i="28"/>
  <c r="L207" i="28"/>
  <c r="L206" i="28"/>
  <c r="L204" i="28"/>
  <c r="L203" i="28"/>
  <c r="L202" i="28"/>
  <c r="L201" i="28"/>
  <c r="L200" i="28"/>
  <c r="L199" i="28"/>
  <c r="L198" i="28"/>
  <c r="L197" i="28"/>
  <c r="L196" i="28"/>
  <c r="L195" i="28"/>
  <c r="L194" i="28"/>
  <c r="L193" i="28"/>
  <c r="L192" i="28"/>
  <c r="L191" i="28"/>
  <c r="L190" i="28"/>
  <c r="L189" i="28"/>
  <c r="L188" i="28"/>
  <c r="L187" i="28"/>
  <c r="L186" i="28"/>
  <c r="L185" i="28"/>
  <c r="L184" i="28"/>
  <c r="L183" i="28"/>
  <c r="L182" i="28"/>
  <c r="L181" i="28"/>
  <c r="L180" i="28"/>
  <c r="L179" i="28"/>
  <c r="L178" i="28"/>
  <c r="L177" i="28"/>
  <c r="L176" i="28"/>
  <c r="L175" i="28"/>
  <c r="L174" i="28"/>
  <c r="L173" i="28"/>
  <c r="L172" i="28"/>
  <c r="L171" i="28"/>
  <c r="L170" i="28"/>
  <c r="L169" i="28"/>
  <c r="L168" i="28"/>
  <c r="L167" i="28"/>
  <c r="L166" i="28"/>
  <c r="L165" i="28"/>
  <c r="L164" i="28"/>
  <c r="L163" i="28"/>
  <c r="L162" i="28"/>
  <c r="L161" i="28"/>
  <c r="L160" i="28"/>
  <c r="L159" i="28"/>
  <c r="L158" i="28"/>
  <c r="L157" i="28"/>
  <c r="L156" i="28"/>
  <c r="L155" i="28"/>
  <c r="L154" i="28"/>
  <c r="L153" i="28"/>
  <c r="L152" i="28"/>
  <c r="L151" i="28"/>
  <c r="L150" i="28"/>
  <c r="L149" i="28"/>
  <c r="L148" i="28"/>
  <c r="L147" i="28"/>
  <c r="L146" i="28"/>
  <c r="L145" i="28"/>
  <c r="L144" i="28"/>
  <c r="L143" i="28"/>
  <c r="L142" i="28"/>
  <c r="L141" i="28"/>
  <c r="L140" i="28"/>
  <c r="L139" i="28"/>
  <c r="L138" i="28"/>
  <c r="L137" i="28"/>
  <c r="L136" i="28"/>
  <c r="L134" i="28"/>
  <c r="M134" i="28" s="1"/>
  <c r="L133" i="28"/>
  <c r="L132" i="28"/>
  <c r="L131" i="28"/>
  <c r="L130" i="28"/>
  <c r="L129" i="28"/>
  <c r="L128" i="28"/>
  <c r="L127" i="28"/>
  <c r="L126" i="28"/>
  <c r="L125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0" i="28"/>
  <c r="L99" i="28"/>
  <c r="L98" i="28"/>
  <c r="L97" i="28"/>
  <c r="L96" i="28"/>
  <c r="L95" i="28"/>
  <c r="L94" i="28"/>
  <c r="L93" i="28"/>
  <c r="L92" i="28"/>
  <c r="L91" i="28"/>
  <c r="L90" i="28"/>
  <c r="L89" i="28"/>
  <c r="L88" i="28"/>
  <c r="L87" i="28"/>
  <c r="L86" i="28"/>
  <c r="L85" i="28"/>
  <c r="L84" i="28"/>
  <c r="L83" i="28"/>
  <c r="L82" i="28"/>
  <c r="L81" i="28"/>
  <c r="L80" i="28"/>
  <c r="L79" i="28"/>
  <c r="L78" i="28"/>
  <c r="L77" i="28"/>
  <c r="L76" i="28"/>
  <c r="L75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2" i="28"/>
  <c r="L61" i="28"/>
  <c r="L60" i="28"/>
  <c r="L59" i="28"/>
  <c r="L58" i="28"/>
  <c r="L57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L4" i="28"/>
  <c r="L3" i="28"/>
  <c r="L2" i="28"/>
  <c r="L316" i="28" l="1"/>
  <c r="M163" i="28"/>
  <c r="V163" i="28" s="1"/>
  <c r="M297" i="28"/>
  <c r="V297" i="28" s="1"/>
  <c r="M298" i="28"/>
  <c r="V298" i="28" s="1"/>
  <c r="U295" i="28"/>
  <c r="U294" i="28"/>
  <c r="U296" i="28"/>
  <c r="U292" i="28"/>
  <c r="N193" i="28"/>
  <c r="U298" i="28" l="1"/>
  <c r="U297" i="28"/>
  <c r="U293" i="28"/>
  <c r="M287" i="28" l="1"/>
  <c r="V287" i="28" s="1"/>
  <c r="M284" i="28"/>
  <c r="V284" i="28" s="1"/>
  <c r="M280" i="28"/>
  <c r="V280" i="28" s="1"/>
  <c r="A4" i="28"/>
  <c r="A3" i="28"/>
  <c r="U291" i="28" l="1"/>
  <c r="U280" i="28"/>
  <c r="U284" i="28"/>
  <c r="U287" i="28"/>
  <c r="M193" i="28"/>
  <c r="M290" i="28"/>
  <c r="V290" i="28" s="1"/>
  <c r="M286" i="28"/>
  <c r="V286" i="28" s="1"/>
  <c r="M285" i="28"/>
  <c r="V285" i="28" s="1"/>
  <c r="Q193" i="28" l="1"/>
  <c r="M289" i="28"/>
  <c r="V289" i="28" s="1"/>
  <c r="M288" i="28"/>
  <c r="V288" i="28" s="1"/>
  <c r="U290" i="28"/>
  <c r="U286" i="28"/>
  <c r="S193" i="28"/>
  <c r="V193" i="28" s="1"/>
  <c r="U285" i="28"/>
  <c r="T193" i="28" l="1"/>
  <c r="U193" i="28" s="1"/>
  <c r="U289" i="28"/>
  <c r="U288" i="28"/>
  <c r="M283" i="28" l="1"/>
  <c r="V283" i="28" s="1"/>
  <c r="M281" i="28"/>
  <c r="V281" i="28" s="1"/>
  <c r="M278" i="28"/>
  <c r="V278" i="28" s="1"/>
  <c r="M276" i="28"/>
  <c r="V276" i="28" s="1"/>
  <c r="M274" i="28" l="1"/>
  <c r="V274" i="28" s="1"/>
  <c r="M277" i="28"/>
  <c r="V277" i="28" s="1"/>
  <c r="M279" i="28"/>
  <c r="V279" i="28" s="1"/>
  <c r="M272" i="28"/>
  <c r="V272" i="28" s="1"/>
  <c r="M282" i="28"/>
  <c r="V282" i="28" s="1"/>
  <c r="U283" i="28"/>
  <c r="U278" i="28"/>
  <c r="M273" i="28"/>
  <c r="M270" i="28"/>
  <c r="V270" i="28" s="1"/>
  <c r="M264" i="28"/>
  <c r="V264" i="28" s="1"/>
  <c r="M265" i="28"/>
  <c r="V265" i="28" s="1"/>
  <c r="M267" i="28"/>
  <c r="V267" i="28" s="1"/>
  <c r="M262" i="28"/>
  <c r="V262" i="28" s="1"/>
  <c r="M266" i="28"/>
  <c r="V266" i="28" s="1"/>
  <c r="U282" i="28" l="1"/>
  <c r="U279" i="28"/>
  <c r="U272" i="28"/>
  <c r="U277" i="28"/>
  <c r="U274" i="28"/>
  <c r="U276" i="28"/>
  <c r="M275" i="28"/>
  <c r="V275" i="28" s="1"/>
  <c r="M271" i="28"/>
  <c r="V271" i="28" s="1"/>
  <c r="M269" i="28"/>
  <c r="V269" i="28" s="1"/>
  <c r="M268" i="28"/>
  <c r="V268" i="28" s="1"/>
  <c r="U281" i="28"/>
  <c r="M248" i="28"/>
  <c r="V248" i="28" s="1"/>
  <c r="U267" i="28"/>
  <c r="U270" i="28"/>
  <c r="S273" i="28"/>
  <c r="V273" i="28" s="1"/>
  <c r="Q273" i="28"/>
  <c r="T273" i="28" s="1"/>
  <c r="U265" i="28"/>
  <c r="U262" i="28"/>
  <c r="U268" i="28" l="1"/>
  <c r="U275" i="28"/>
  <c r="U271" i="28"/>
  <c r="U266" i="28"/>
  <c r="U273" i="28"/>
  <c r="U248" i="28"/>
  <c r="U264" i="28"/>
  <c r="U269" i="28"/>
  <c r="M263" i="28" l="1"/>
  <c r="V263" i="28" s="1"/>
  <c r="M225" i="28"/>
  <c r="V225" i="28" s="1"/>
  <c r="M251" i="28" l="1"/>
  <c r="V251" i="28" s="1"/>
  <c r="M261" i="28"/>
  <c r="M258" i="28"/>
  <c r="V258" i="28" s="1"/>
  <c r="M257" i="28"/>
  <c r="M260" i="28"/>
  <c r="V260" i="28" s="1"/>
  <c r="M259" i="28"/>
  <c r="V259" i="28" s="1"/>
  <c r="U225" i="28"/>
  <c r="U260" i="28" l="1"/>
  <c r="S261" i="28"/>
  <c r="V261" i="28" s="1"/>
  <c r="Q261" i="28"/>
  <c r="S257" i="28"/>
  <c r="V257" i="28" s="1"/>
  <c r="Q257" i="28"/>
  <c r="U258" i="28"/>
  <c r="U263" i="28"/>
  <c r="U259" i="28"/>
  <c r="U251" i="28"/>
  <c r="T257" i="28" l="1"/>
  <c r="U257" i="28" s="1"/>
  <c r="T261" i="28"/>
  <c r="U261" i="28" s="1"/>
  <c r="M43" i="28"/>
  <c r="V43" i="28" s="1"/>
  <c r="U43" i="28" l="1"/>
  <c r="N242" i="28"/>
  <c r="N241" i="28"/>
  <c r="N240" i="28"/>
  <c r="N239" i="28"/>
  <c r="N237" i="28"/>
  <c r="N236" i="28"/>
  <c r="N235" i="28"/>
  <c r="N234" i="28"/>
  <c r="N233" i="28"/>
  <c r="N230" i="28"/>
  <c r="N227" i="28"/>
  <c r="N195" i="28"/>
  <c r="M244" i="28" l="1"/>
  <c r="V244" i="28" s="1"/>
  <c r="M256" i="28"/>
  <c r="V256" i="28" s="1"/>
  <c r="M254" i="28"/>
  <c r="M250" i="28"/>
  <c r="V250" i="28" s="1"/>
  <c r="M253" i="28"/>
  <c r="V253" i="28" s="1"/>
  <c r="M249" i="28"/>
  <c r="V249" i="28" s="1"/>
  <c r="M243" i="28"/>
  <c r="V243" i="28" s="1"/>
  <c r="M245" i="28"/>
  <c r="V245" i="28" s="1"/>
  <c r="M246" i="28"/>
  <c r="M255" i="28"/>
  <c r="V255" i="28" s="1"/>
  <c r="M238" i="28"/>
  <c r="V238" i="28" s="1"/>
  <c r="M252" i="28"/>
  <c r="V252" i="28" s="1"/>
  <c r="M247" i="28"/>
  <c r="V247" i="28" s="1"/>
  <c r="Q246" i="28" l="1"/>
  <c r="U256" i="28"/>
  <c r="Q254" i="28"/>
  <c r="S246" i="28"/>
  <c r="V246" i="28" s="1"/>
  <c r="U245" i="28"/>
  <c r="S254" i="28"/>
  <c r="V254" i="28" s="1"/>
  <c r="U252" i="28"/>
  <c r="U255" i="28"/>
  <c r="U249" i="28"/>
  <c r="U243" i="28"/>
  <c r="U247" i="28"/>
  <c r="U253" i="28"/>
  <c r="U244" i="28"/>
  <c r="U250" i="28"/>
  <c r="T254" i="28" l="1"/>
  <c r="U254" i="28" s="1"/>
  <c r="T246" i="28"/>
  <c r="U246" i="28" s="1"/>
  <c r="N221" i="28"/>
  <c r="N204" i="28"/>
  <c r="N214" i="28"/>
  <c r="N212" i="28"/>
  <c r="N209" i="28"/>
  <c r="N203" i="28"/>
  <c r="N202" i="28"/>
  <c r="N158" i="28"/>
  <c r="N213" i="28"/>
  <c r="N198" i="28"/>
  <c r="N197" i="28"/>
  <c r="N176" i="28"/>
  <c r="N194" i="28"/>
  <c r="N192" i="28"/>
  <c r="N191" i="28"/>
  <c r="N200" i="28"/>
  <c r="N187" i="28"/>
  <c r="N186" i="28"/>
  <c r="N185" i="28"/>
  <c r="N184" i="28"/>
  <c r="N183" i="28"/>
  <c r="N182" i="28"/>
  <c r="N181" i="28"/>
  <c r="N180" i="28"/>
  <c r="N179" i="28"/>
  <c r="N167" i="28"/>
  <c r="N175" i="28"/>
  <c r="N174" i="28"/>
  <c r="N173" i="28"/>
  <c r="N170" i="28"/>
  <c r="N169" i="28"/>
  <c r="N161" i="28"/>
  <c r="N157" i="28"/>
  <c r="N166" i="28"/>
  <c r="N165" i="28"/>
  <c r="N164" i="28"/>
  <c r="N147" i="28"/>
  <c r="N160" i="28"/>
  <c r="N159" i="28"/>
  <c r="N156" i="28"/>
  <c r="N153" i="28"/>
  <c r="N152" i="28"/>
  <c r="N151" i="28"/>
  <c r="N154" i="28"/>
  <c r="N148" i="28"/>
  <c r="N168" i="28"/>
  <c r="N146" i="28"/>
  <c r="N172" i="28"/>
  <c r="N144" i="28"/>
  <c r="N188" i="28"/>
  <c r="N190" i="28"/>
  <c r="N162" i="28"/>
  <c r="N189" i="28"/>
  <c r="N199" i="28"/>
  <c r="M87" i="28"/>
  <c r="V87" i="28" s="1"/>
  <c r="M70" i="28"/>
  <c r="V70" i="28" s="1"/>
  <c r="N177" i="28"/>
  <c r="N171" i="28"/>
  <c r="N155" i="28"/>
  <c r="N149" i="28"/>
  <c r="N196" i="28"/>
  <c r="N178" i="28"/>
  <c r="N150" i="28"/>
  <c r="A2" i="28"/>
  <c r="N316" i="28" l="1"/>
  <c r="M30" i="28"/>
  <c r="V30" i="28" s="1"/>
  <c r="M33" i="28"/>
  <c r="V33" i="28" s="1"/>
  <c r="M83" i="28"/>
  <c r="V83" i="28" s="1"/>
  <c r="M207" i="28"/>
  <c r="V207" i="28" s="1"/>
  <c r="M180" i="28"/>
  <c r="V180" i="28" s="1"/>
  <c r="M212" i="28"/>
  <c r="V212" i="28" s="1"/>
  <c r="M19" i="28"/>
  <c r="V19" i="28" s="1"/>
  <c r="M56" i="28"/>
  <c r="V56" i="28" s="1"/>
  <c r="M60" i="28"/>
  <c r="V60" i="28" s="1"/>
  <c r="M190" i="28"/>
  <c r="V190" i="28" s="1"/>
  <c r="M185" i="28"/>
  <c r="V185" i="28" s="1"/>
  <c r="M191" i="28"/>
  <c r="V191" i="28" s="1"/>
  <c r="M176" i="28"/>
  <c r="V176" i="28" s="1"/>
  <c r="M198" i="28"/>
  <c r="V198" i="28" s="1"/>
  <c r="M209" i="28"/>
  <c r="V209" i="28" s="1"/>
  <c r="M222" i="28"/>
  <c r="V222" i="28" s="1"/>
  <c r="M152" i="28"/>
  <c r="V152" i="28" s="1"/>
  <c r="M110" i="28"/>
  <c r="V110" i="28" s="1"/>
  <c r="M233" i="28"/>
  <c r="M34" i="28"/>
  <c r="V34" i="28" s="1"/>
  <c r="M224" i="28"/>
  <c r="V224" i="28" s="1"/>
  <c r="M178" i="28"/>
  <c r="V178" i="28" s="1"/>
  <c r="M89" i="28"/>
  <c r="V89" i="28" s="1"/>
  <c r="M218" i="28"/>
  <c r="V218" i="28" s="1"/>
  <c r="M215" i="28"/>
  <c r="V215" i="28" s="1"/>
  <c r="M181" i="28"/>
  <c r="V181" i="28" s="1"/>
  <c r="M183" i="28"/>
  <c r="V183" i="28" s="1"/>
  <c r="M194" i="28"/>
  <c r="V194" i="28" s="1"/>
  <c r="M206" i="28"/>
  <c r="V206" i="28" s="1"/>
  <c r="M227" i="28"/>
  <c r="V227" i="28" s="1"/>
  <c r="M115" i="28"/>
  <c r="V115" i="28" s="1"/>
  <c r="M211" i="28"/>
  <c r="V211" i="28" s="1"/>
  <c r="M231" i="28"/>
  <c r="V231" i="28" s="1"/>
  <c r="M138" i="28"/>
  <c r="V138" i="28" s="1"/>
  <c r="M186" i="28"/>
  <c r="V186" i="28" s="1"/>
  <c r="M197" i="28"/>
  <c r="V197" i="28" s="1"/>
  <c r="M213" i="28"/>
  <c r="V213" i="28" s="1"/>
  <c r="M202" i="28"/>
  <c r="V202" i="28" s="1"/>
  <c r="M210" i="28"/>
  <c r="V210" i="28" s="1"/>
  <c r="M216" i="28"/>
  <c r="V216" i="28" s="1"/>
  <c r="M226" i="28"/>
  <c r="V226" i="28" s="1"/>
  <c r="M232" i="28"/>
  <c r="V232" i="28" s="1"/>
  <c r="M3" i="28"/>
  <c r="V3" i="28" s="1"/>
  <c r="M219" i="28"/>
  <c r="V219" i="28" s="1"/>
  <c r="M90" i="28"/>
  <c r="V90" i="28" s="1"/>
  <c r="M217" i="28"/>
  <c r="V217" i="28" s="1"/>
  <c r="M173" i="28"/>
  <c r="V173" i="28" s="1"/>
  <c r="M220" i="28"/>
  <c r="V220" i="28" s="1"/>
  <c r="M196" i="28"/>
  <c r="V196" i="28" s="1"/>
  <c r="M22" i="28"/>
  <c r="V22" i="28" s="1"/>
  <c r="M188" i="28"/>
  <c r="V188" i="28" s="1"/>
  <c r="M184" i="28"/>
  <c r="V184" i="28" s="1"/>
  <c r="M192" i="28"/>
  <c r="V192" i="28" s="1"/>
  <c r="M214" i="28"/>
  <c r="V214" i="28" s="1"/>
  <c r="M204" i="28"/>
  <c r="V204" i="28" s="1"/>
  <c r="M228" i="28"/>
  <c r="V228" i="28" s="1"/>
  <c r="M242" i="28"/>
  <c r="V242" i="28" s="1"/>
  <c r="M32" i="28"/>
  <c r="V32" i="28" s="1"/>
  <c r="M223" i="28"/>
  <c r="V223" i="28" s="1"/>
  <c r="M72" i="28"/>
  <c r="V72" i="28" s="1"/>
  <c r="M82" i="28"/>
  <c r="V82" i="28" s="1"/>
  <c r="M177" i="28"/>
  <c r="V177" i="28" s="1"/>
  <c r="M199" i="28"/>
  <c r="V199" i="28" s="1"/>
  <c r="M143" i="28"/>
  <c r="V143" i="28" s="1"/>
  <c r="M229" i="28"/>
  <c r="V229" i="28" s="1"/>
  <c r="M201" i="28"/>
  <c r="V201" i="28" s="1"/>
  <c r="M203" i="28"/>
  <c r="V203" i="28" s="1"/>
  <c r="M208" i="28"/>
  <c r="V208" i="28" s="1"/>
  <c r="M221" i="28"/>
  <c r="V221" i="28" s="1"/>
  <c r="M241" i="28"/>
  <c r="V241" i="28" s="1"/>
  <c r="M149" i="28"/>
  <c r="V149" i="28" s="1"/>
  <c r="M97" i="28"/>
  <c r="V97" i="28" s="1"/>
  <c r="M237" i="28"/>
  <c r="V237" i="28" s="1"/>
  <c r="M239" i="28"/>
  <c r="V239" i="28" s="1"/>
  <c r="M235" i="28"/>
  <c r="V235" i="28" s="1"/>
  <c r="M230" i="28"/>
  <c r="V230" i="28" s="1"/>
  <c r="M236" i="28"/>
  <c r="V236" i="28" s="1"/>
  <c r="M240" i="28"/>
  <c r="V240" i="28" s="1"/>
  <c r="M234" i="28"/>
  <c r="V234" i="28" s="1"/>
  <c r="M88" i="28"/>
  <c r="V88" i="28" s="1"/>
  <c r="M129" i="28"/>
  <c r="V129" i="28" s="1"/>
  <c r="M150" i="28"/>
  <c r="V150" i="28" s="1"/>
  <c r="M13" i="28"/>
  <c r="V13" i="28" s="1"/>
  <c r="M21" i="28"/>
  <c r="V21" i="28" s="1"/>
  <c r="M35" i="28"/>
  <c r="V35" i="28" s="1"/>
  <c r="M41" i="28"/>
  <c r="V41" i="28" s="1"/>
  <c r="M47" i="28"/>
  <c r="V47" i="28" s="1"/>
  <c r="M55" i="28"/>
  <c r="V55" i="28" s="1"/>
  <c r="M63" i="28"/>
  <c r="V63" i="28" s="1"/>
  <c r="M74" i="28"/>
  <c r="V74" i="28" s="1"/>
  <c r="M80" i="28"/>
  <c r="V80" i="28" s="1"/>
  <c r="M93" i="28"/>
  <c r="V93" i="28" s="1"/>
  <c r="M119" i="28"/>
  <c r="V119" i="28" s="1"/>
  <c r="M113" i="28"/>
  <c r="V113" i="28" s="1"/>
  <c r="M101" i="28"/>
  <c r="V101" i="28" s="1"/>
  <c r="M154" i="28"/>
  <c r="V154" i="28" s="1"/>
  <c r="M106" i="28"/>
  <c r="V106" i="28" s="1"/>
  <c r="M179" i="28"/>
  <c r="V179" i="28" s="1"/>
  <c r="M94" i="28"/>
  <c r="V94" i="28" s="1"/>
  <c r="M158" i="28"/>
  <c r="V158" i="28" s="1"/>
  <c r="M122" i="28"/>
  <c r="V122" i="28" s="1"/>
  <c r="M130" i="28"/>
  <c r="V130" i="28" s="1"/>
  <c r="M71" i="28"/>
  <c r="V71" i="28" s="1"/>
  <c r="M105" i="28"/>
  <c r="V105" i="28" s="1"/>
  <c r="M141" i="28"/>
  <c r="V141" i="28" s="1"/>
  <c r="M125" i="28"/>
  <c r="V125" i="28" s="1"/>
  <c r="M31" i="28"/>
  <c r="V31" i="28" s="1"/>
  <c r="M137" i="28"/>
  <c r="V137" i="28" s="1"/>
  <c r="M116" i="28"/>
  <c r="V116" i="28" s="1"/>
  <c r="M8" i="28"/>
  <c r="V8" i="28" s="1"/>
  <c r="M40" i="28"/>
  <c r="V40" i="28" s="1"/>
  <c r="M45" i="28"/>
  <c r="V45" i="28" s="1"/>
  <c r="M53" i="28"/>
  <c r="V53" i="28" s="1"/>
  <c r="M61" i="28"/>
  <c r="V61" i="28" s="1"/>
  <c r="M68" i="28"/>
  <c r="V68" i="28" s="1"/>
  <c r="M111" i="28"/>
  <c r="V111" i="28" s="1"/>
  <c r="M128" i="28"/>
  <c r="V128" i="28" s="1"/>
  <c r="M133" i="28"/>
  <c r="V133" i="28" s="1"/>
  <c r="M146" i="28"/>
  <c r="V146" i="28" s="1"/>
  <c r="M148" i="28"/>
  <c r="V148" i="28" s="1"/>
  <c r="M147" i="28"/>
  <c r="V147" i="28" s="1"/>
  <c r="M164" i="28"/>
  <c r="V164" i="28" s="1"/>
  <c r="M166" i="28"/>
  <c r="V166" i="28" s="1"/>
  <c r="M161" i="28"/>
  <c r="V161" i="28" s="1"/>
  <c r="M175" i="28"/>
  <c r="V175" i="28" s="1"/>
  <c r="M200" i="28"/>
  <c r="V200" i="28" s="1"/>
  <c r="M10" i="28"/>
  <c r="V10" i="28" s="1"/>
  <c r="M126" i="28"/>
  <c r="V126" i="28" s="1"/>
  <c r="M12" i="28"/>
  <c r="V12" i="28" s="1"/>
  <c r="M18" i="28"/>
  <c r="V18" i="28" s="1"/>
  <c r="M26" i="28"/>
  <c r="V26" i="28" s="1"/>
  <c r="M118" i="28"/>
  <c r="V118" i="28" s="1"/>
  <c r="M140" i="28"/>
  <c r="V140" i="28" s="1"/>
  <c r="M104" i="28"/>
  <c r="V104" i="28" s="1"/>
  <c r="M159" i="28"/>
  <c r="V159" i="28" s="1"/>
  <c r="M5" i="28"/>
  <c r="V5" i="28" s="1"/>
  <c r="M24" i="28"/>
  <c r="V24" i="28" s="1"/>
  <c r="M103" i="28"/>
  <c r="V103" i="28" s="1"/>
  <c r="M108" i="28"/>
  <c r="V108" i="28" s="1"/>
  <c r="M14" i="28"/>
  <c r="V14" i="28" s="1"/>
  <c r="M29" i="28"/>
  <c r="V29" i="28" s="1"/>
  <c r="M42" i="28"/>
  <c r="V42" i="28" s="1"/>
  <c r="M48" i="28"/>
  <c r="V48" i="28" s="1"/>
  <c r="M64" i="28"/>
  <c r="V64" i="28" s="1"/>
  <c r="M75" i="28"/>
  <c r="V75" i="28" s="1"/>
  <c r="M81" i="28"/>
  <c r="V81" i="28" s="1"/>
  <c r="M92" i="28"/>
  <c r="V92" i="28" s="1"/>
  <c r="V134" i="28"/>
  <c r="M162" i="28"/>
  <c r="V162" i="28" s="1"/>
  <c r="M114" i="28"/>
  <c r="V114" i="28" s="1"/>
  <c r="M144" i="28"/>
  <c r="V144" i="28" s="1"/>
  <c r="M91" i="28"/>
  <c r="V91" i="28" s="1"/>
  <c r="M139" i="28"/>
  <c r="V139" i="28" s="1"/>
  <c r="M160" i="28"/>
  <c r="V160" i="28" s="1"/>
  <c r="M187" i="28"/>
  <c r="V187" i="28" s="1"/>
  <c r="M7" i="28"/>
  <c r="V7" i="28" s="1"/>
  <c r="M28" i="28"/>
  <c r="V28" i="28" s="1"/>
  <c r="M100" i="28"/>
  <c r="V100" i="28" s="1"/>
  <c r="M167" i="28"/>
  <c r="V167" i="28" s="1"/>
  <c r="M6" i="28"/>
  <c r="V6" i="28" s="1"/>
  <c r="M17" i="28"/>
  <c r="V17" i="28" s="1"/>
  <c r="M25" i="28"/>
  <c r="V25" i="28" s="1"/>
  <c r="M39" i="28"/>
  <c r="V39" i="28" s="1"/>
  <c r="M51" i="28"/>
  <c r="V51" i="28" s="1"/>
  <c r="M59" i="28"/>
  <c r="V59" i="28" s="1"/>
  <c r="M66" i="28"/>
  <c r="V66" i="28" s="1"/>
  <c r="M78" i="28"/>
  <c r="V78" i="28" s="1"/>
  <c r="M84" i="28"/>
  <c r="V84" i="28" s="1"/>
  <c r="M189" i="28"/>
  <c r="V189" i="28" s="1"/>
  <c r="M109" i="28"/>
  <c r="V109" i="28" s="1"/>
  <c r="M117" i="28"/>
  <c r="V117" i="28" s="1"/>
  <c r="M131" i="28"/>
  <c r="V131" i="28" s="1"/>
  <c r="M145" i="28"/>
  <c r="V145" i="28" s="1"/>
  <c r="M151" i="28"/>
  <c r="V151" i="28" s="1"/>
  <c r="M153" i="28"/>
  <c r="V153" i="28" s="1"/>
  <c r="M136" i="28"/>
  <c r="V136" i="28" s="1"/>
  <c r="M98" i="28"/>
  <c r="V98" i="28" s="1"/>
  <c r="M67" i="28"/>
  <c r="V67" i="28" s="1"/>
  <c r="M127" i="28"/>
  <c r="V127" i="28" s="1"/>
  <c r="M77" i="28"/>
  <c r="V77" i="28" s="1"/>
  <c r="M86" i="28"/>
  <c r="V86" i="28" s="1"/>
  <c r="M4" i="28"/>
  <c r="V4" i="28" s="1"/>
  <c r="M9" i="28"/>
  <c r="V9" i="28" s="1"/>
  <c r="M27" i="28"/>
  <c r="V27" i="28" s="1"/>
  <c r="M54" i="28"/>
  <c r="V54" i="28" s="1"/>
  <c r="M123" i="28"/>
  <c r="V123" i="28" s="1"/>
  <c r="M69" i="28"/>
  <c r="V69" i="28" s="1"/>
  <c r="M73" i="28"/>
  <c r="V73" i="28" s="1"/>
  <c r="M79" i="28"/>
  <c r="V79" i="28" s="1"/>
  <c r="M99" i="28"/>
  <c r="V99" i="28" s="1"/>
  <c r="M112" i="28"/>
  <c r="V112" i="28" s="1"/>
  <c r="M44" i="28"/>
  <c r="V44" i="28" s="1"/>
  <c r="M36" i="28"/>
  <c r="V36" i="28" s="1"/>
  <c r="M11" i="28"/>
  <c r="V11" i="28" s="1"/>
  <c r="M52" i="28"/>
  <c r="V52" i="28" s="1"/>
  <c r="M172" i="28"/>
  <c r="V172" i="28" s="1"/>
  <c r="M16" i="28"/>
  <c r="V16" i="28" s="1"/>
  <c r="M38" i="28"/>
  <c r="V38" i="28" s="1"/>
  <c r="M50" i="28"/>
  <c r="V50" i="28" s="1"/>
  <c r="M58" i="28"/>
  <c r="V58" i="28" s="1"/>
  <c r="M120" i="28"/>
  <c r="V120" i="28" s="1"/>
  <c r="M132" i="28"/>
  <c r="M20" i="28"/>
  <c r="V20" i="28" s="1"/>
  <c r="M15" i="28"/>
  <c r="V15" i="28" s="1"/>
  <c r="M23" i="28"/>
  <c r="V23" i="28" s="1"/>
  <c r="M37" i="28"/>
  <c r="V37" i="28" s="1"/>
  <c r="M155" i="28"/>
  <c r="V155" i="28" s="1"/>
  <c r="M49" i="28"/>
  <c r="V49" i="28" s="1"/>
  <c r="M57" i="28"/>
  <c r="V57" i="28" s="1"/>
  <c r="M65" i="28"/>
  <c r="V65" i="28" s="1"/>
  <c r="M76" i="28"/>
  <c r="V76" i="28" s="1"/>
  <c r="M95" i="28"/>
  <c r="V95" i="28" s="1"/>
  <c r="M102" i="28"/>
  <c r="V102" i="28" s="1"/>
  <c r="M107" i="28"/>
  <c r="V107" i="28" s="1"/>
  <c r="M124" i="28"/>
  <c r="V124" i="28" s="1"/>
  <c r="M142" i="28"/>
  <c r="V142" i="28" s="1"/>
  <c r="M168" i="28"/>
  <c r="V168" i="28" s="1"/>
  <c r="M165" i="28"/>
  <c r="V165" i="28" s="1"/>
  <c r="M157" i="28"/>
  <c r="V157" i="28" s="1"/>
  <c r="M169" i="28"/>
  <c r="V169" i="28" s="1"/>
  <c r="M174" i="28"/>
  <c r="V174" i="28" s="1"/>
  <c r="M96" i="28"/>
  <c r="V96" i="28" s="1"/>
  <c r="M46" i="28"/>
  <c r="V46" i="28" s="1"/>
  <c r="M2" i="28"/>
  <c r="M85" i="28"/>
  <c r="M182" i="28"/>
  <c r="M171" i="28"/>
  <c r="V171" i="28" s="1"/>
  <c r="U87" i="28"/>
  <c r="U70" i="28"/>
  <c r="M195" i="28"/>
  <c r="M156" i="28"/>
  <c r="V156" i="28" s="1"/>
  <c r="M121" i="28"/>
  <c r="M170" i="28"/>
  <c r="V170" i="28" s="1"/>
  <c r="V2" i="28" l="1"/>
  <c r="Q132" i="28"/>
  <c r="S132" i="28"/>
  <c r="U14" i="28"/>
  <c r="U28" i="28"/>
  <c r="U12" i="28"/>
  <c r="U128" i="28"/>
  <c r="U60" i="28"/>
  <c r="U126" i="28"/>
  <c r="U96" i="28"/>
  <c r="U49" i="28"/>
  <c r="U219" i="28"/>
  <c r="S233" i="28"/>
  <c r="V233" i="28" s="1"/>
  <c r="U212" i="28"/>
  <c r="U242" i="28"/>
  <c r="U71" i="28"/>
  <c r="Q195" i="28"/>
  <c r="U200" i="28"/>
  <c r="U204" i="28"/>
  <c r="U110" i="28"/>
  <c r="U37" i="28"/>
  <c r="U44" i="28"/>
  <c r="U53" i="28"/>
  <c r="U122" i="28"/>
  <c r="U152" i="28"/>
  <c r="U207" i="28"/>
  <c r="U155" i="28"/>
  <c r="U78" i="28"/>
  <c r="U108" i="28"/>
  <c r="U165" i="28"/>
  <c r="U23" i="28"/>
  <c r="U67" i="28"/>
  <c r="U144" i="28"/>
  <c r="U24" i="28"/>
  <c r="U94" i="28"/>
  <c r="U20" i="28"/>
  <c r="U136" i="28"/>
  <c r="U159" i="28"/>
  <c r="U164" i="28"/>
  <c r="U21" i="28"/>
  <c r="U183" i="28"/>
  <c r="U30" i="28"/>
  <c r="U65" i="28"/>
  <c r="U57" i="28"/>
  <c r="U161" i="28"/>
  <c r="U13" i="28"/>
  <c r="U239" i="28"/>
  <c r="U181" i="28"/>
  <c r="U176" i="28"/>
  <c r="U124" i="28"/>
  <c r="U69" i="28"/>
  <c r="U17" i="28"/>
  <c r="U92" i="28"/>
  <c r="U177" i="28"/>
  <c r="U202" i="28"/>
  <c r="U215" i="28"/>
  <c r="U191" i="28"/>
  <c r="U158" i="28"/>
  <c r="U229" i="28"/>
  <c r="U15" i="28"/>
  <c r="U147" i="28"/>
  <c r="U123" i="28"/>
  <c r="U82" i="28"/>
  <c r="U213" i="28"/>
  <c r="U185" i="28"/>
  <c r="U167" i="28"/>
  <c r="U125" i="28"/>
  <c r="U223" i="28"/>
  <c r="U186" i="28"/>
  <c r="U190" i="28"/>
  <c r="U131" i="28"/>
  <c r="U10" i="28"/>
  <c r="Q233" i="28"/>
  <c r="U232" i="28"/>
  <c r="U19" i="28"/>
  <c r="U3" i="28"/>
  <c r="U194" i="28"/>
  <c r="U214" i="28"/>
  <c r="U208" i="28"/>
  <c r="U34" i="28"/>
  <c r="U226" i="28"/>
  <c r="U83" i="28"/>
  <c r="U188" i="28"/>
  <c r="U198" i="28"/>
  <c r="U116" i="28"/>
  <c r="U218" i="28"/>
  <c r="U206" i="28"/>
  <c r="U224" i="28"/>
  <c r="U216" i="28"/>
  <c r="U220" i="28"/>
  <c r="U221" i="28"/>
  <c r="U180" i="28"/>
  <c r="U203" i="28"/>
  <c r="U173" i="28"/>
  <c r="U201" i="28"/>
  <c r="U192" i="28"/>
  <c r="U33" i="28"/>
  <c r="U138" i="28"/>
  <c r="U228" i="28"/>
  <c r="U89" i="28"/>
  <c r="U22" i="28"/>
  <c r="U72" i="28"/>
  <c r="U197" i="28"/>
  <c r="U241" i="28"/>
  <c r="U32" i="28"/>
  <c r="U209" i="28"/>
  <c r="U184" i="28"/>
  <c r="U178" i="28"/>
  <c r="U196" i="28"/>
  <c r="U211" i="28"/>
  <c r="U115" i="28"/>
  <c r="U56" i="28"/>
  <c r="U217" i="28"/>
  <c r="U199" i="28"/>
  <c r="U210" i="28"/>
  <c r="U231" i="28"/>
  <c r="U143" i="28"/>
  <c r="U90" i="28"/>
  <c r="U222" i="28"/>
  <c r="U149" i="28"/>
  <c r="U97" i="28"/>
  <c r="S182" i="28"/>
  <c r="V182" i="28" s="1"/>
  <c r="Q182" i="28"/>
  <c r="U171" i="28"/>
  <c r="T156" i="28"/>
  <c r="S85" i="28"/>
  <c r="V85" i="28" s="1"/>
  <c r="Q85" i="28"/>
  <c r="T85" i="28" s="1"/>
  <c r="Q121" i="28"/>
  <c r="T121" i="28" s="1"/>
  <c r="S121" i="28"/>
  <c r="V121" i="28" s="1"/>
  <c r="U91" i="28"/>
  <c r="U162" i="28"/>
  <c r="U106" i="28"/>
  <c r="U88" i="28"/>
  <c r="U55" i="28"/>
  <c r="U117" i="28"/>
  <c r="U5" i="28"/>
  <c r="U175" i="28"/>
  <c r="U134" i="28"/>
  <c r="U76" i="28"/>
  <c r="U64" i="28"/>
  <c r="U7" i="28"/>
  <c r="U154" i="28"/>
  <c r="U93" i="28"/>
  <c r="U163" i="28"/>
  <c r="U63" i="28"/>
  <c r="U2" i="28"/>
  <c r="U236" i="28"/>
  <c r="U35" i="28"/>
  <c r="U172" i="28"/>
  <c r="U129" i="28"/>
  <c r="U146" i="28"/>
  <c r="U235" i="28"/>
  <c r="U153" i="28"/>
  <c r="U166" i="28"/>
  <c r="U8" i="28"/>
  <c r="U29" i="28"/>
  <c r="U51" i="28"/>
  <c r="U31" i="28"/>
  <c r="U111" i="28"/>
  <c r="U61" i="28"/>
  <c r="U140" i="28"/>
  <c r="U119" i="28"/>
  <c r="U42" i="28"/>
  <c r="U58" i="28"/>
  <c r="U73" i="28"/>
  <c r="U139" i="28"/>
  <c r="U84" i="28"/>
  <c r="U127" i="28"/>
  <c r="U189" i="28"/>
  <c r="U104" i="28"/>
  <c r="U179" i="28"/>
  <c r="U130" i="28"/>
  <c r="U59" i="28"/>
  <c r="U100" i="28"/>
  <c r="U95" i="28"/>
  <c r="U174" i="28"/>
  <c r="U118" i="28"/>
  <c r="U145" i="28"/>
  <c r="U81" i="28"/>
  <c r="U25" i="28"/>
  <c r="U86" i="28"/>
  <c r="U4" i="28"/>
  <c r="U151" i="28"/>
  <c r="U50" i="28"/>
  <c r="U6" i="28"/>
  <c r="U157" i="28"/>
  <c r="U79" i="28"/>
  <c r="U27" i="28"/>
  <c r="U148" i="28"/>
  <c r="U36" i="28"/>
  <c r="U105" i="28"/>
  <c r="U113" i="28"/>
  <c r="U137" i="28"/>
  <c r="U150" i="28"/>
  <c r="U142" i="28"/>
  <c r="U114" i="28"/>
  <c r="U74" i="28"/>
  <c r="U16" i="28"/>
  <c r="U40" i="28"/>
  <c r="U68" i="28"/>
  <c r="U41" i="28"/>
  <c r="U18" i="28"/>
  <c r="U54" i="28"/>
  <c r="U160" i="28"/>
  <c r="U52" i="28"/>
  <c r="U39" i="28"/>
  <c r="U26" i="28"/>
  <c r="U102" i="28"/>
  <c r="U141" i="28"/>
  <c r="U11" i="28"/>
  <c r="U80" i="28"/>
  <c r="U75" i="28"/>
  <c r="U120" i="28"/>
  <c r="U99" i="28"/>
  <c r="U187" i="28"/>
  <c r="U77" i="28"/>
  <c r="U169" i="28"/>
  <c r="U101" i="28"/>
  <c r="U109" i="28"/>
  <c r="U9" i="28"/>
  <c r="U38" i="28"/>
  <c r="U133" i="28"/>
  <c r="U66" i="28"/>
  <c r="U98" i="28"/>
  <c r="U45" i="28"/>
  <c r="U47" i="28"/>
  <c r="U48" i="28"/>
  <c r="U46" i="28"/>
  <c r="U112" i="28"/>
  <c r="U168" i="28"/>
  <c r="U107" i="28"/>
  <c r="U237" i="28"/>
  <c r="U234" i="28"/>
  <c r="U240" i="28"/>
  <c r="S195" i="28"/>
  <c r="V195" i="28" s="1"/>
  <c r="U227" i="28"/>
  <c r="U230" i="28"/>
  <c r="Q316" i="28" l="1"/>
  <c r="V132" i="28"/>
  <c r="S316" i="28"/>
  <c r="T233" i="28"/>
  <c r="U233" i="28" s="1"/>
  <c r="T195" i="28"/>
  <c r="U195" i="28" s="1"/>
  <c r="T103" i="28"/>
  <c r="U103" i="28" s="1"/>
  <c r="T132" i="28"/>
  <c r="T182" i="28"/>
  <c r="U182" i="28" s="1"/>
  <c r="U170" i="28"/>
  <c r="U238" i="28"/>
  <c r="U156" i="28"/>
  <c r="U121" i="28"/>
  <c r="U132" i="28" l="1"/>
  <c r="T316" i="28"/>
  <c r="U85" i="28"/>
  <c r="M62" i="28" l="1"/>
  <c r="M316" i="28" s="1"/>
  <c r="V62" i="28" l="1"/>
  <c r="V316" i="28" s="1"/>
  <c r="U62" i="28"/>
  <c r="U316" i="28" l="1"/>
  <c r="B308" i="30" s="1"/>
  <c r="U317" i="28" l="1"/>
</calcChain>
</file>

<file path=xl/sharedStrings.xml><?xml version="1.0" encoding="utf-8"?>
<sst xmlns="http://schemas.openxmlformats.org/spreadsheetml/2006/main" count="5087" uniqueCount="1242">
  <si>
    <t>SLNO</t>
  </si>
  <si>
    <t>Employee Number</t>
  </si>
  <si>
    <t>ANG Reference</t>
  </si>
  <si>
    <t>Employee Name</t>
  </si>
  <si>
    <t>Joining Date</t>
  </si>
  <si>
    <t>Sector</t>
  </si>
  <si>
    <t>Department</t>
  </si>
  <si>
    <t>Gross Salary</t>
  </si>
  <si>
    <t>Total Salary to be paid</t>
  </si>
  <si>
    <t>Prorated Markup</t>
  </si>
  <si>
    <t>Other Amount</t>
  </si>
  <si>
    <t>Total (Salary+Markup)</t>
  </si>
  <si>
    <t>Remarks</t>
  </si>
  <si>
    <t>Grade</t>
  </si>
  <si>
    <t>Cost Center</t>
  </si>
  <si>
    <t>02-4048</t>
  </si>
  <si>
    <t>Sean Joshua Campbell</t>
  </si>
  <si>
    <t>02-4070</t>
  </si>
  <si>
    <t>Irina Kosinchuk</t>
  </si>
  <si>
    <t>Designation</t>
  </si>
  <si>
    <t>Nationality</t>
  </si>
  <si>
    <t xml:space="preserve">Basic </t>
  </si>
  <si>
    <t>Other Allowance</t>
  </si>
  <si>
    <t>Allowances</t>
  </si>
  <si>
    <t>Employer Pension</t>
  </si>
  <si>
    <t>Previous month salary</t>
  </si>
  <si>
    <t>Employee Pension</t>
  </si>
  <si>
    <t>WPS Salary</t>
  </si>
  <si>
    <t>Visa / LC</t>
  </si>
  <si>
    <t>02-0288</t>
  </si>
  <si>
    <t>Evangeline Gacayan</t>
  </si>
  <si>
    <t>Administrative Officer</t>
  </si>
  <si>
    <t>Philippines</t>
  </si>
  <si>
    <t>Support Services</t>
  </si>
  <si>
    <t>Supply Management</t>
  </si>
  <si>
    <t>4A</t>
  </si>
  <si>
    <t>ANG</t>
  </si>
  <si>
    <t>02-0561</t>
  </si>
  <si>
    <t>Jose Ferdie Jungco Valencia</t>
  </si>
  <si>
    <t>Senior Document Controller</t>
  </si>
  <si>
    <t>Office Of Undersecretary</t>
  </si>
  <si>
    <t>3A</t>
  </si>
  <si>
    <t>02-0591</t>
  </si>
  <si>
    <t>Mohamed Osman Sidahmed Elhassan Mohamed Osman</t>
  </si>
  <si>
    <t>Sudan</t>
  </si>
  <si>
    <t>Abu Dhabi Arabic Language Centre</t>
  </si>
  <si>
    <t>02-0603</t>
  </si>
  <si>
    <t>Saleh Hasan Abu Kuhail</t>
  </si>
  <si>
    <t>Jordan</t>
  </si>
  <si>
    <t>Culture</t>
  </si>
  <si>
    <t>02-0877</t>
  </si>
  <si>
    <t>Thara Elizebath Varughese</t>
  </si>
  <si>
    <t>India</t>
  </si>
  <si>
    <t>People &amp; Performance</t>
  </si>
  <si>
    <t>02-0977</t>
  </si>
  <si>
    <t>Zainah Meshal Abu Sido</t>
  </si>
  <si>
    <t>3C</t>
  </si>
  <si>
    <t>02-0986</t>
  </si>
  <si>
    <t>Anas Yousef Awad Alkhun</t>
  </si>
  <si>
    <t>02-1008</t>
  </si>
  <si>
    <t>Rabi Georges</t>
  </si>
  <si>
    <t>Germany</t>
  </si>
  <si>
    <t>Culture Sites Management</t>
  </si>
  <si>
    <t>02-1010</t>
  </si>
  <si>
    <t>Reema Azmi Al Sadeq</t>
  </si>
  <si>
    <t>Performance Management Senior Specialist</t>
  </si>
  <si>
    <t>02-1017</t>
  </si>
  <si>
    <t>Fatema Mumtaz</t>
  </si>
  <si>
    <t>Bangladesh</t>
  </si>
  <si>
    <t>Tourism</t>
  </si>
  <si>
    <t>02-1145</t>
  </si>
  <si>
    <t>Mohamed Yakoub Hamouda</t>
  </si>
  <si>
    <t>Palestine</t>
  </si>
  <si>
    <t>02-1153</t>
  </si>
  <si>
    <t>Mohammed Fawaz</t>
  </si>
  <si>
    <t>02-1176</t>
  </si>
  <si>
    <t>Duha Ramadan</t>
  </si>
  <si>
    <t>Administrative Assistant</t>
  </si>
  <si>
    <t>4C</t>
  </si>
  <si>
    <t>02-1181</t>
  </si>
  <si>
    <t>Afaf Rady Ghanem</t>
  </si>
  <si>
    <t>Egypt</t>
  </si>
  <si>
    <t>02-1191</t>
  </si>
  <si>
    <t>Omer Habib Khan</t>
  </si>
  <si>
    <t>Pakistan</t>
  </si>
  <si>
    <t>02-1197</t>
  </si>
  <si>
    <t>Vicky Mahendra Sangani</t>
  </si>
  <si>
    <t>Strategic Affairs</t>
  </si>
  <si>
    <t>3B</t>
  </si>
  <si>
    <t>02-1220</t>
  </si>
  <si>
    <t>Omar Fayiz Sabri Al Farran</t>
  </si>
  <si>
    <t>Office of the Support Services Executive Director</t>
  </si>
  <si>
    <t>02-1224</t>
  </si>
  <si>
    <t>Saleem Ahmad</t>
  </si>
  <si>
    <t>02-1245</t>
  </si>
  <si>
    <t>Mallak Ahmad Mousa Etoum</t>
  </si>
  <si>
    <t>IT Service Desk Agent</t>
  </si>
  <si>
    <t>Technology</t>
  </si>
  <si>
    <t>02-1246</t>
  </si>
  <si>
    <t>Omar Jihad Muslih</t>
  </si>
  <si>
    <t>Technical Support Engineer</t>
  </si>
  <si>
    <t>02-1267</t>
  </si>
  <si>
    <t>Fakhry Al Sarraj</t>
  </si>
  <si>
    <t>Abu Dhabi Events Bureau Director</t>
  </si>
  <si>
    <t>Abu Dhabi Events Bureau</t>
  </si>
  <si>
    <t>02-1292</t>
  </si>
  <si>
    <t>April Joy Manalo</t>
  </si>
  <si>
    <t>Marketing &amp; Communications</t>
  </si>
  <si>
    <t>02-1295</t>
  </si>
  <si>
    <t>Esameldine Abdelsal</t>
  </si>
  <si>
    <t>02-1299</t>
  </si>
  <si>
    <t>Ahad Nisar</t>
  </si>
  <si>
    <t>02-1300</t>
  </si>
  <si>
    <t>Ahmed Ezzdin Shlibak</t>
  </si>
  <si>
    <t>British</t>
  </si>
  <si>
    <t>02-1329</t>
  </si>
  <si>
    <t>Eugene Marcelo</t>
  </si>
  <si>
    <t>Document Controller</t>
  </si>
  <si>
    <t>02-1331</t>
  </si>
  <si>
    <t>Rahmah Hasan Saeed Al-Abidi</t>
  </si>
  <si>
    <t>Regional Outreach &amp; Partnerships Specialist</t>
  </si>
  <si>
    <t>Yemen</t>
  </si>
  <si>
    <t>02-1344</t>
  </si>
  <si>
    <t>Tamer Cheng</t>
  </si>
  <si>
    <t>China</t>
  </si>
  <si>
    <t>02-1347</t>
  </si>
  <si>
    <t>Noura Nadim Khalil</t>
  </si>
  <si>
    <t>Lebanon</t>
  </si>
  <si>
    <t>02-1350</t>
  </si>
  <si>
    <t>Thomas Jean de Olivera</t>
  </si>
  <si>
    <t>France</t>
  </si>
  <si>
    <t>Abu Dhabi Conventions &amp; Exhibition Bureau</t>
  </si>
  <si>
    <t>02-1369</t>
  </si>
  <si>
    <t>Shabeer Theparambil Mohamedali</t>
  </si>
  <si>
    <t>02-1370</t>
  </si>
  <si>
    <t>Seri Badran</t>
  </si>
  <si>
    <t>02-1392</t>
  </si>
  <si>
    <t>Sarah Julie Ferry</t>
  </si>
  <si>
    <t>02-1441</t>
  </si>
  <si>
    <t>Priji Kumar Damodharan</t>
  </si>
  <si>
    <t>Cataloguing Technician</t>
  </si>
  <si>
    <t>02-1449</t>
  </si>
  <si>
    <t>Honaida Naib</t>
  </si>
  <si>
    <t>Eritrea</t>
  </si>
  <si>
    <t>02-1478</t>
  </si>
  <si>
    <t>Tino Belarmino Castillo</t>
  </si>
  <si>
    <t>Employee Relations Specialist</t>
  </si>
  <si>
    <t>02-1512</t>
  </si>
  <si>
    <t>Bahaaeldin Mohamed Mohamed Okasha Ghareib</t>
  </si>
  <si>
    <t>ANMPS</t>
  </si>
  <si>
    <t>02-1703</t>
  </si>
  <si>
    <t>Expedieto Delicano Agravante</t>
  </si>
  <si>
    <t>Finance</t>
  </si>
  <si>
    <t>02-1709</t>
  </si>
  <si>
    <t>Majd Shat</t>
  </si>
  <si>
    <t>Assistant Curator</t>
  </si>
  <si>
    <t>02-1748</t>
  </si>
  <si>
    <t>Malak Al Ajou</t>
  </si>
  <si>
    <t>02-1754</t>
  </si>
  <si>
    <t>Leslie Rocal</t>
  </si>
  <si>
    <t>02-1775</t>
  </si>
  <si>
    <t>Gnei Shabeena Cassiere</t>
  </si>
  <si>
    <t>Sri Lanka</t>
  </si>
  <si>
    <t>02-1776</t>
  </si>
  <si>
    <t>Anabela Machado Hipolito Marques Ferreira</t>
  </si>
  <si>
    <t>Objects Conservator</t>
  </si>
  <si>
    <t>Portugal</t>
  </si>
  <si>
    <t>02-1791</t>
  </si>
  <si>
    <t>02-1792</t>
  </si>
  <si>
    <t>Fatima Hassan Ahmed</t>
  </si>
  <si>
    <t>Somalia</t>
  </si>
  <si>
    <t>02-1800</t>
  </si>
  <si>
    <t>Ghadeer M  S Al Baghdadi</t>
  </si>
  <si>
    <t>02-1853</t>
  </si>
  <si>
    <t>Inna Shchurova</t>
  </si>
  <si>
    <t>Ukraine</t>
  </si>
  <si>
    <t>Strategic Planning</t>
  </si>
  <si>
    <t>02-1858</t>
  </si>
  <si>
    <t>Mohamed Munir</t>
  </si>
  <si>
    <t>02-1859</t>
  </si>
  <si>
    <t>Mostafa Mohamed</t>
  </si>
  <si>
    <t>Storekeeping Assistant</t>
  </si>
  <si>
    <t>02-1860</t>
  </si>
  <si>
    <t>Yasin Mohamed</t>
  </si>
  <si>
    <t>02-1896</t>
  </si>
  <si>
    <t>Syed Moazzam Ali</t>
  </si>
  <si>
    <t>02-1978</t>
  </si>
  <si>
    <t>Tariq Mohammad Jameel Mahmoud Massarwah</t>
  </si>
  <si>
    <t>Australia</t>
  </si>
  <si>
    <t>02-1981</t>
  </si>
  <si>
    <t>Ruth Gallafant</t>
  </si>
  <si>
    <t>02-1982</t>
  </si>
  <si>
    <t>Andre Dieufonne Poisson</t>
  </si>
  <si>
    <t>2A</t>
  </si>
  <si>
    <t>02-1985</t>
  </si>
  <si>
    <t>Kristine Garbo Plaza</t>
  </si>
  <si>
    <t>02-1999</t>
  </si>
  <si>
    <t>Sahil Dhawan</t>
  </si>
  <si>
    <t>02-2010</t>
  </si>
  <si>
    <t>Saliny Paul</t>
  </si>
  <si>
    <t>02-2012</t>
  </si>
  <si>
    <t>Dipakkumar Gokalbhai Fataniya</t>
  </si>
  <si>
    <t>2B</t>
  </si>
  <si>
    <t>02-2028</t>
  </si>
  <si>
    <t>Muhammed Hashim Thangal Kunju</t>
  </si>
  <si>
    <t>02-2038</t>
  </si>
  <si>
    <t>Esraa Mahmoud Ayoub</t>
  </si>
  <si>
    <t>Support Services Senior Specialist</t>
  </si>
  <si>
    <t>02-2040</t>
  </si>
  <si>
    <t>Ruth Abadesco Ladrillo</t>
  </si>
  <si>
    <t>4B</t>
  </si>
  <si>
    <t>02-2043</t>
  </si>
  <si>
    <t>Khalil Mohammad Khalil (Alshaikh-Khalil)</t>
  </si>
  <si>
    <t>Advisor</t>
  </si>
  <si>
    <t>02-2143</t>
  </si>
  <si>
    <t>Faisal Nawaz Danyal</t>
  </si>
  <si>
    <t>AV Support Engineer</t>
  </si>
  <si>
    <t>02-2351</t>
  </si>
  <si>
    <t>Zainab Mohamed Ashraf Mohamed hamed</t>
  </si>
  <si>
    <t>02-2375</t>
  </si>
  <si>
    <t>Raouf Ibrahim Gamal  Ibrahim Salama</t>
  </si>
  <si>
    <t>Legal &amp; Government Affairs</t>
  </si>
  <si>
    <t>02-2384</t>
  </si>
  <si>
    <t>Alejandro Antonio Pena Santos</t>
  </si>
  <si>
    <t>Dominican Republic</t>
  </si>
  <si>
    <t>02-2398</t>
  </si>
  <si>
    <t>Soraya Kamal Mohamed Farag Gomaa</t>
  </si>
  <si>
    <t>Support Services Affairs Specialist</t>
  </si>
  <si>
    <t>02-2402</t>
  </si>
  <si>
    <t>Nabil Yammine</t>
  </si>
  <si>
    <t>Canada</t>
  </si>
  <si>
    <t>02-2404</t>
  </si>
  <si>
    <t xml:space="preserve">Junaid Abdul Sattar Shaikhdare </t>
  </si>
  <si>
    <t>02-2405</t>
  </si>
  <si>
    <t>Grainne Murphy</t>
  </si>
  <si>
    <t>Ireland</t>
  </si>
  <si>
    <t>Strategic Marketing &amp; Communication</t>
  </si>
  <si>
    <t>Planning, Strategy &amp; Operations</t>
  </si>
  <si>
    <t>02-2407</t>
  </si>
  <si>
    <t>Asif Sahabudeen</t>
  </si>
  <si>
    <t>Senior Business Analyst</t>
  </si>
  <si>
    <t>02-2416</t>
  </si>
  <si>
    <t>Sendrla Nabil Mounir Saad</t>
  </si>
  <si>
    <t>02-2425</t>
  </si>
  <si>
    <t>Razan Hussein</t>
  </si>
  <si>
    <t>02-2436</t>
  </si>
  <si>
    <t>Mohamed Hafez Abdelrahman</t>
  </si>
  <si>
    <t>Accounts Receivables Accountant</t>
  </si>
  <si>
    <t>02-2439</t>
  </si>
  <si>
    <t>Uday Kumar Reddy Leburu</t>
  </si>
  <si>
    <t>Data Reporting Specialist</t>
  </si>
  <si>
    <t>02-2455</t>
  </si>
  <si>
    <t>Ahmed Mohamed Mohamed Abdel Fattah Higazy</t>
  </si>
  <si>
    <t>2C</t>
  </si>
  <si>
    <t>02-2532</t>
  </si>
  <si>
    <t>Fahd Favio El-Mounaged</t>
  </si>
  <si>
    <t>Strategic Planning Office - ALC</t>
  </si>
  <si>
    <t>02-2540</t>
  </si>
  <si>
    <t>Chloe Annabelle Margot Hilaire</t>
  </si>
  <si>
    <t>02-2551</t>
  </si>
  <si>
    <t>Ahmad Magdy Abdelazim Mohamed Elshahat</t>
  </si>
  <si>
    <t>Analytics &amp; Transformation Unit Head</t>
  </si>
  <si>
    <t>02-2554</t>
  </si>
  <si>
    <t>Amruddin Shajahan</t>
  </si>
  <si>
    <t>Finance Business Partner</t>
  </si>
  <si>
    <t>02-2555</t>
  </si>
  <si>
    <t>Yassar Mehmood Khan</t>
  </si>
  <si>
    <t>02-2577</t>
  </si>
  <si>
    <t>Faisal Nasir Aziz Khan</t>
  </si>
  <si>
    <t>Tourism Sector Management Office Director</t>
  </si>
  <si>
    <t>Tourism Sector Management Office</t>
  </si>
  <si>
    <t>02-2613</t>
  </si>
  <si>
    <t>Abdulla Yousuf Abdulla Mohammad</t>
  </si>
  <si>
    <t>International Operations Department Director</t>
  </si>
  <si>
    <t>United Arab Emirates</t>
  </si>
  <si>
    <t>International Operations</t>
  </si>
  <si>
    <t>02-2619</t>
  </si>
  <si>
    <t>Teddy Katusiime</t>
  </si>
  <si>
    <t>Supplier Relationship Management Senior Specialist</t>
  </si>
  <si>
    <t>Uganda</t>
  </si>
  <si>
    <t>02-2621</t>
  </si>
  <si>
    <t>Mahmoud I.M. Nashabat</t>
  </si>
  <si>
    <t>02-2627</t>
  </si>
  <si>
    <t>Waed Dakkak</t>
  </si>
  <si>
    <t>Culture Sector Senior Officer</t>
  </si>
  <si>
    <t>02-2642</t>
  </si>
  <si>
    <t>Mai Husni Ahmad Alsaffarini</t>
  </si>
  <si>
    <t>Library Assistant</t>
  </si>
  <si>
    <t>02-2645</t>
  </si>
  <si>
    <t>Hana Yasser Mafdi Rabah</t>
  </si>
  <si>
    <t>02-2665</t>
  </si>
  <si>
    <t>Jamil Wajih Hassan Al Atrash</t>
  </si>
  <si>
    <t>02-2672</t>
  </si>
  <si>
    <t>Claudia Manuela Frei</t>
  </si>
  <si>
    <t>Director General Office</t>
  </si>
  <si>
    <t>02-2673</t>
  </si>
  <si>
    <t>Belhassen Kinbi</t>
  </si>
  <si>
    <t>Senior Heritage Planner</t>
  </si>
  <si>
    <t>Tunisia</t>
  </si>
  <si>
    <t>02-2674</t>
  </si>
  <si>
    <t>Ioannis Spanos</t>
  </si>
  <si>
    <t>Greece</t>
  </si>
  <si>
    <t>02-2711</t>
  </si>
  <si>
    <t>Shaima Ayman Abdallah Allan</t>
  </si>
  <si>
    <t>02-2712</t>
  </si>
  <si>
    <t>Mira Al Abdulla</t>
  </si>
  <si>
    <t>Creative &amp; Production</t>
  </si>
  <si>
    <t>02-2713</t>
  </si>
  <si>
    <t>Khalil Al-Mukhalalati</t>
  </si>
  <si>
    <t>02-2716</t>
  </si>
  <si>
    <t>Mokhtar Maher Fouad Abbas Aboelela</t>
  </si>
  <si>
    <t>Tourism Research Senior Specialist</t>
  </si>
  <si>
    <t>02-2722</t>
  </si>
  <si>
    <t>Marijana Mihajlovic</t>
  </si>
  <si>
    <t>Republic Of Serbia</t>
  </si>
  <si>
    <t>02-2731</t>
  </si>
  <si>
    <t>Bahaa Alam Eddine</t>
  </si>
  <si>
    <t>02-2764</t>
  </si>
  <si>
    <t>Berta Mañas Alcaide</t>
  </si>
  <si>
    <t>Collections Conservation Unit Head</t>
  </si>
  <si>
    <t>Spain</t>
  </si>
  <si>
    <t>02-2775</t>
  </si>
  <si>
    <t>Nasra Solaiman</t>
  </si>
  <si>
    <t>Executive Administrator</t>
  </si>
  <si>
    <t>02-2777</t>
  </si>
  <si>
    <t>Khulood Al Thani</t>
  </si>
  <si>
    <t>02-2803</t>
  </si>
  <si>
    <t>Zain Variawa</t>
  </si>
  <si>
    <t>South Africa</t>
  </si>
  <si>
    <t>02-2816</t>
  </si>
  <si>
    <t>Andrawes Snobar</t>
  </si>
  <si>
    <t>02-2817</t>
  </si>
  <si>
    <t>Khaled Hussein Taleb Dalky</t>
  </si>
  <si>
    <t>Arabic Language Examination Unit Head</t>
  </si>
  <si>
    <t>02-2818</t>
  </si>
  <si>
    <t>Henry Richard Harding</t>
  </si>
  <si>
    <t>Curator</t>
  </si>
  <si>
    <t>02-2819</t>
  </si>
  <si>
    <t>Mohammed Siyad Nalakath</t>
  </si>
  <si>
    <t>02-2827</t>
  </si>
  <si>
    <t>Ibrahim Osama Ibrahim Khalil</t>
  </si>
  <si>
    <t>02-2828</t>
  </si>
  <si>
    <t>Steven John Bond</t>
  </si>
  <si>
    <t>02-2830</t>
  </si>
  <si>
    <t>Marwan Kayyil</t>
  </si>
  <si>
    <t>02-2836</t>
  </si>
  <si>
    <t>Hanya Alkhadra</t>
  </si>
  <si>
    <t>Digital Marketing Unit Head</t>
  </si>
  <si>
    <t>Morocco</t>
  </si>
  <si>
    <t>02-2837</t>
  </si>
  <si>
    <t>May Elsayed Ezzeldin Elsayed</t>
  </si>
  <si>
    <t>02-2840</t>
  </si>
  <si>
    <t>Niharika Soni</t>
  </si>
  <si>
    <t>02-2841</t>
  </si>
  <si>
    <t>Yanal Khasef Alshaban</t>
  </si>
  <si>
    <t>Republic Of Korea</t>
  </si>
  <si>
    <t>02-2884</t>
  </si>
  <si>
    <t>Andre Francois</t>
  </si>
  <si>
    <t>Culinary Development Section Head</t>
  </si>
  <si>
    <t>02-2899</t>
  </si>
  <si>
    <t>Prima Sheena Celeste</t>
  </si>
  <si>
    <t>02-2900</t>
  </si>
  <si>
    <t>Farres Kailany</t>
  </si>
  <si>
    <t>United States</t>
  </si>
  <si>
    <t>02-2901</t>
  </si>
  <si>
    <t>Amal Mohamad El Hajj</t>
  </si>
  <si>
    <t>02-2902</t>
  </si>
  <si>
    <t>Mohamed Hesham Ismail Mohamed</t>
  </si>
  <si>
    <t>02-2913</t>
  </si>
  <si>
    <t>Amna Al Harmoodi</t>
  </si>
  <si>
    <t>Creative Content</t>
  </si>
  <si>
    <t>02-2915</t>
  </si>
  <si>
    <t>Hijas Puthalath Aniyaparavan</t>
  </si>
  <si>
    <t>Senior Graphic Designer</t>
  </si>
  <si>
    <t>02-2920</t>
  </si>
  <si>
    <t>Deniz Ghazal</t>
  </si>
  <si>
    <t>Legal Counsel</t>
  </si>
  <si>
    <t>02-2923</t>
  </si>
  <si>
    <t>Basil Ali Hassan Ismail</t>
  </si>
  <si>
    <t>02-2926</t>
  </si>
  <si>
    <t xml:space="preserve">Muhammad Farook </t>
  </si>
  <si>
    <t>02-2949</t>
  </si>
  <si>
    <t>Maryam Abdulkarim Mohamed Balfagieh</t>
  </si>
  <si>
    <t>02-2978</t>
  </si>
  <si>
    <t>Monsurudeen Mongolian Ishola Alasi</t>
  </si>
  <si>
    <t>02-2979</t>
  </si>
  <si>
    <t>Abhinav Kumar Rajhans</t>
  </si>
  <si>
    <t>02-2994</t>
  </si>
  <si>
    <t>Anas Mohd Abdul Jalil Bahnini</t>
  </si>
  <si>
    <t>Business Partnership Senior Specialist</t>
  </si>
  <si>
    <t>02-3026</t>
  </si>
  <si>
    <t>Santhosh Koyadan Veettil</t>
  </si>
  <si>
    <t>02-3032</t>
  </si>
  <si>
    <t>Amira Chabbah</t>
  </si>
  <si>
    <t>Executive Assistant</t>
  </si>
  <si>
    <t>Austria</t>
  </si>
  <si>
    <t>02-3034</t>
  </si>
  <si>
    <t>Iman F A Haidous</t>
  </si>
  <si>
    <t>People &amp; Performance Business Partner</t>
  </si>
  <si>
    <t>Kuwait</t>
  </si>
  <si>
    <t>02-3036</t>
  </si>
  <si>
    <t xml:space="preserve">Khalilul Rahman Kunnakkadan </t>
  </si>
  <si>
    <t>Sourcing Senior Specialist</t>
  </si>
  <si>
    <t>02-3363</t>
  </si>
  <si>
    <t>Tim Smith</t>
  </si>
  <si>
    <t>02-3595</t>
  </si>
  <si>
    <t>Nader Assad</t>
  </si>
  <si>
    <t>Syrian Arab Republic</t>
  </si>
  <si>
    <t>02-3596</t>
  </si>
  <si>
    <t>Swati</t>
  </si>
  <si>
    <t>02-3606</t>
  </si>
  <si>
    <t>Aghyad Sati</t>
  </si>
  <si>
    <t>02-3629</t>
  </si>
  <si>
    <t>Aiham Ahmad Taher Masoud</t>
  </si>
  <si>
    <t>02-3630</t>
  </si>
  <si>
    <t>Ezzat Mhd Nabil AlHamwi</t>
  </si>
  <si>
    <t>02-3647</t>
  </si>
  <si>
    <t>Rene Von Mullen Skafte</t>
  </si>
  <si>
    <t>Senior Projects Manager</t>
  </si>
  <si>
    <t>Denmark</t>
  </si>
  <si>
    <t>02-3649</t>
  </si>
  <si>
    <t>Xavier Hubert Marie Mellet</t>
  </si>
  <si>
    <t>02-3650</t>
  </si>
  <si>
    <t>Katia Muro</t>
  </si>
  <si>
    <t>Research Section Head</t>
  </si>
  <si>
    <t>02-3651</t>
  </si>
  <si>
    <t>Muhammad Mubeen Khan Lodi</t>
  </si>
  <si>
    <t>Data &amp; Systems Unit Head</t>
  </si>
  <si>
    <t>02-3655</t>
  </si>
  <si>
    <t>Melroy Peter Vaz</t>
  </si>
  <si>
    <t>02-3669</t>
  </si>
  <si>
    <t>Zoran Ninic</t>
  </si>
  <si>
    <t>02-3678</t>
  </si>
  <si>
    <t>Malek Abu Ageel</t>
  </si>
  <si>
    <t>02-3679</t>
  </si>
  <si>
    <t>Shameer Cheeroth</t>
  </si>
  <si>
    <t>02-3681</t>
  </si>
  <si>
    <t>Anas Mhd Mutaa Azeezyeh</t>
  </si>
  <si>
    <t>5C</t>
  </si>
  <si>
    <t>02-3686</t>
  </si>
  <si>
    <t>Karim Tarek Kabil</t>
  </si>
  <si>
    <t>02-3690</t>
  </si>
  <si>
    <t>Mohammad Hasan Mohammad Alsmadi</t>
  </si>
  <si>
    <t>02-3695</t>
  </si>
  <si>
    <t>Koyuki Engelhardt</t>
  </si>
  <si>
    <t>Japan</t>
  </si>
  <si>
    <t>02-3700</t>
  </si>
  <si>
    <t>Jawan Fares</t>
  </si>
  <si>
    <t>Sector Marketing</t>
  </si>
  <si>
    <t>02-3716</t>
  </si>
  <si>
    <t>Charlyn Mae Aguacito Apdan</t>
  </si>
  <si>
    <t>02-3725</t>
  </si>
  <si>
    <t>Islam Mahmoud Faleh Altawallbeh</t>
  </si>
  <si>
    <t>Sourcing Unit Head</t>
  </si>
  <si>
    <t>02-3726</t>
  </si>
  <si>
    <t>Ciaran Gerard Costello</t>
  </si>
  <si>
    <t>02-3731</t>
  </si>
  <si>
    <t>Hamad Ali Khalifa Abdulla Alrumaithi</t>
  </si>
  <si>
    <t>Project Manager</t>
  </si>
  <si>
    <t>02-3732</t>
  </si>
  <si>
    <t>Waddah Muhammad Fuad Zanah</t>
  </si>
  <si>
    <t>Procurement Business Partner</t>
  </si>
  <si>
    <t>02-3733</t>
  </si>
  <si>
    <t>Priyanka Priyadarshani</t>
  </si>
  <si>
    <t>02-3734</t>
  </si>
  <si>
    <t>Ahmed Gamal Kamal Hemida</t>
  </si>
  <si>
    <t>Data &amp; Platforms Engineer</t>
  </si>
  <si>
    <t>02-3736</t>
  </si>
  <si>
    <t>Mohammed Abualsaid</t>
  </si>
  <si>
    <t>02-3737</t>
  </si>
  <si>
    <t>Mohamed El Shorafa</t>
  </si>
  <si>
    <t>02-3739</t>
  </si>
  <si>
    <t>Shaimaa Ahmed Mohamed Al Zayat</t>
  </si>
  <si>
    <t>02-3740</t>
  </si>
  <si>
    <t>Souad Azizi Alaoui</t>
  </si>
  <si>
    <t>02-3743</t>
  </si>
  <si>
    <t>Brayden Ainzuain</t>
  </si>
  <si>
    <t>02-3744</t>
  </si>
  <si>
    <t>Saida Khaydarova</t>
  </si>
  <si>
    <t>Uzbekistan</t>
  </si>
  <si>
    <t>02-3746</t>
  </si>
  <si>
    <t>Chaimaa Toumi</t>
  </si>
  <si>
    <t>02-3763</t>
  </si>
  <si>
    <t>Shadi Mashour Ahmed Al Shinteer</t>
  </si>
  <si>
    <t>02-3764</t>
  </si>
  <si>
    <t>Ashraf M.I Albarsy</t>
  </si>
  <si>
    <t>Dominica</t>
  </si>
  <si>
    <t>02-3774</t>
  </si>
  <si>
    <t>Himanshu Pravin Tarpara</t>
  </si>
  <si>
    <t>02-3810</t>
  </si>
  <si>
    <t>Mashael Mohamed Mathkour Al-Ali</t>
  </si>
  <si>
    <t>02-3812</t>
  </si>
  <si>
    <t>Asma Abdulla Saeed Abunawas Alfalasi</t>
  </si>
  <si>
    <t>02-3833</t>
  </si>
  <si>
    <t>Raied Anwar Lutfi Al-Bitar</t>
  </si>
  <si>
    <t>02-3835</t>
  </si>
  <si>
    <t>Hanadi Naeem Mohammed Atout</t>
  </si>
  <si>
    <t>Operations Management Officer</t>
  </si>
  <si>
    <t>02-3836</t>
  </si>
  <si>
    <t>Mohamed Rafiudeen Samsudeen</t>
  </si>
  <si>
    <t>02-3837</t>
  </si>
  <si>
    <t>Hamza Shafiq Mohammad Alqum</t>
  </si>
  <si>
    <t>02-3891</t>
  </si>
  <si>
    <t xml:space="preserve">Imane Grebici </t>
  </si>
  <si>
    <t>Algeria</t>
  </si>
  <si>
    <t>02-3894</t>
  </si>
  <si>
    <t>Srour Qusai Fayez Al -Muwalla</t>
  </si>
  <si>
    <t>02-3895</t>
  </si>
  <si>
    <t>Kamel Abdul-Rahman</t>
  </si>
  <si>
    <t>02-3896</t>
  </si>
  <si>
    <t>Khalid Tawfiq Ayed Al-Saqqar</t>
  </si>
  <si>
    <t>02-3897</t>
  </si>
  <si>
    <t>Romi Sebastian</t>
  </si>
  <si>
    <t>Senior Project Manager</t>
  </si>
  <si>
    <t>02-3901</t>
  </si>
  <si>
    <t>Jamil Laham</t>
  </si>
  <si>
    <t>02-3908</t>
  </si>
  <si>
    <t>Dabyah Taha Saleh Ebrahim Juma Al Jenaid</t>
  </si>
  <si>
    <t>Graphic Designer</t>
  </si>
  <si>
    <t>Bahrain</t>
  </si>
  <si>
    <t>02-3916</t>
  </si>
  <si>
    <t xml:space="preserve">Omar Muhieddine Salem </t>
  </si>
  <si>
    <t>02-3919</t>
  </si>
  <si>
    <t>Ammar Raed Ahmed Al-Shargabi</t>
  </si>
  <si>
    <t>Events Licensing Executive</t>
  </si>
  <si>
    <t>02-3920</t>
  </si>
  <si>
    <t>Abdul Ghani Amer</t>
  </si>
  <si>
    <t>Technology PMO Section Head</t>
  </si>
  <si>
    <t>02-3933</t>
  </si>
  <si>
    <t>MHD Ghaith Mahmoud Aljamal</t>
  </si>
  <si>
    <t>Projects Senior Specialist</t>
  </si>
  <si>
    <t>02-3934</t>
  </si>
  <si>
    <t>Ayman Kazim Mahmoud Alkhatib</t>
  </si>
  <si>
    <t>02-3958</t>
  </si>
  <si>
    <t>Kevin Charles Pierre Francois Lidour</t>
  </si>
  <si>
    <t>02-3959</t>
  </si>
  <si>
    <t>Karim Qassoud</t>
  </si>
  <si>
    <t>Strategic Planning Unit Head (International Operations &amp; Marketing)</t>
  </si>
  <si>
    <t>02-3969</t>
  </si>
  <si>
    <t>Mohamed Hassan Attialla Abuassi</t>
  </si>
  <si>
    <t>02-3970</t>
  </si>
  <si>
    <t>Manish Kumar Vaidya</t>
  </si>
  <si>
    <t>02-3989</t>
  </si>
  <si>
    <t>Bashar T M Tufaha</t>
  </si>
  <si>
    <t>Enterprise Architecture Section Head</t>
  </si>
  <si>
    <t>02-3997</t>
  </si>
  <si>
    <t>Seham Salema A Bajammal</t>
  </si>
  <si>
    <t>Saudi Arabia</t>
  </si>
  <si>
    <t>02-4011</t>
  </si>
  <si>
    <t>Siroos Setoodeh</t>
  </si>
  <si>
    <t>Iran</t>
  </si>
  <si>
    <t>02-4013</t>
  </si>
  <si>
    <t>Khaloud Nasser AlMandhari</t>
  </si>
  <si>
    <t>Oman</t>
  </si>
  <si>
    <t>02-4031</t>
  </si>
  <si>
    <t>Arthi Balasubramanian</t>
  </si>
  <si>
    <t>Senior Architect</t>
  </si>
  <si>
    <t>02-4037</t>
  </si>
  <si>
    <t>George Nissem Maawad Saad</t>
  </si>
  <si>
    <t>Multimedia Design Unit Head</t>
  </si>
  <si>
    <t>02-4047</t>
  </si>
  <si>
    <t>Sadish Kumar</t>
  </si>
  <si>
    <t>02-4051</t>
  </si>
  <si>
    <t>Jitha Sajith</t>
  </si>
  <si>
    <t>Contracts &amp; Performance Senior Specialist</t>
  </si>
  <si>
    <t>02-4062</t>
  </si>
  <si>
    <t>Mariyam Ali</t>
  </si>
  <si>
    <t>Exhibitions Registrar</t>
  </si>
  <si>
    <t>02-4063</t>
  </si>
  <si>
    <t>Nishita Ulhas Virkar</t>
  </si>
  <si>
    <t>02-4065</t>
  </si>
  <si>
    <t>Ahmed Ragaie Rashad Tawfik Abdelwahab</t>
  </si>
  <si>
    <t>Digital Design Unit Head</t>
  </si>
  <si>
    <t>Russian Federation</t>
  </si>
  <si>
    <t>02-4132</t>
  </si>
  <si>
    <t>Emily Elizabeth Campbell</t>
  </si>
  <si>
    <t>Sector Marketing Department Director</t>
  </si>
  <si>
    <t>02-4141</t>
  </si>
  <si>
    <t>Tatiana Vanessa Campos Valente</t>
  </si>
  <si>
    <t>Field Archaeologist</t>
  </si>
  <si>
    <t>02-4142</t>
  </si>
  <si>
    <t>Hanan Mohammed Hashem Ba Alawi</t>
  </si>
  <si>
    <t>Support Services Affairs Officer</t>
  </si>
  <si>
    <t>02-4147</t>
  </si>
  <si>
    <t>Clemence Marie Bergal</t>
  </si>
  <si>
    <t>02-4158</t>
  </si>
  <si>
    <t>Mark Powell Kyffin</t>
  </si>
  <si>
    <t>02-4170</t>
  </si>
  <si>
    <t>Mohammed Oussama Mouhsine</t>
  </si>
  <si>
    <t>02-4177</t>
  </si>
  <si>
    <t>Rakshit Mahajan</t>
  </si>
  <si>
    <t>Back End Developer</t>
  </si>
  <si>
    <t>02-4192</t>
  </si>
  <si>
    <t>Dream Viola Hurtada</t>
  </si>
  <si>
    <t>Tendering Senior Specialist</t>
  </si>
  <si>
    <t>02-4195</t>
  </si>
  <si>
    <t>Crystal Tsang</t>
  </si>
  <si>
    <t>02-4203</t>
  </si>
  <si>
    <t>Filipe Manuel Costa Vaz</t>
  </si>
  <si>
    <t>Archaeobotanist</t>
  </si>
  <si>
    <t>02-4257</t>
  </si>
  <si>
    <t>Khaled S H Alhousaini</t>
  </si>
  <si>
    <t>02-4271</t>
  </si>
  <si>
    <t>Fariz Nayan Veettil</t>
  </si>
  <si>
    <t>02-4375</t>
  </si>
  <si>
    <t>Chitrarasan Dhurisamy</t>
  </si>
  <si>
    <t>Senior CRM Architect</t>
  </si>
  <si>
    <t>02-4389</t>
  </si>
  <si>
    <t>Jawad Tuma Awad Alnimri</t>
  </si>
  <si>
    <t>Lead Contracts &amp; Cost Estimation Engineer</t>
  </si>
  <si>
    <t>02-4406</t>
  </si>
  <si>
    <t>Ahmed Galal Shaban Aly Elkhawity</t>
  </si>
  <si>
    <t>Senior Arabic Copywriter</t>
  </si>
  <si>
    <t>02-4491</t>
  </si>
  <si>
    <t>David Millan Ruiz</t>
  </si>
  <si>
    <t>02-4496</t>
  </si>
  <si>
    <t>Saji Asok Pillai</t>
  </si>
  <si>
    <t>Vendor Management Unit Head</t>
  </si>
  <si>
    <t>02-4759</t>
  </si>
  <si>
    <t>Hanns Maria Joachim Dr. Gierlichs</t>
  </si>
  <si>
    <t>Senior Curator</t>
  </si>
  <si>
    <t>Italy</t>
  </si>
  <si>
    <t>Total</t>
  </si>
  <si>
    <t>Angela Moreno Gaby</t>
  </si>
  <si>
    <t>Sadeq Saleh Ahmed Al-Sadi</t>
  </si>
  <si>
    <t>Faheem Faried Asvat</t>
  </si>
  <si>
    <t>Special Projects Senior Specialist</t>
  </si>
  <si>
    <t>Baji Koteswara Rao Bayonapalli</t>
  </si>
  <si>
    <t>Majid Khan</t>
  </si>
  <si>
    <t>Erin Lucy Kelly</t>
  </si>
  <si>
    <t>Anwar Salem Ahmed Alragabi Almessabi</t>
  </si>
  <si>
    <t>02-4816</t>
  </si>
  <si>
    <t>02-4835</t>
  </si>
  <si>
    <t>02-4778</t>
  </si>
  <si>
    <t>02-4785</t>
  </si>
  <si>
    <t>02-4837</t>
  </si>
  <si>
    <t>02-4838</t>
  </si>
  <si>
    <t>Thomas Peter Watson</t>
  </si>
  <si>
    <t>Governance Section Head</t>
  </si>
  <si>
    <t>02-4811</t>
  </si>
  <si>
    <t>Mohamed Ellithey Mohamed Yousef Barghoth</t>
  </si>
  <si>
    <t>Ahmad Esam Hassan Abotawaheeneh</t>
  </si>
  <si>
    <t>James Charles Cheetham</t>
  </si>
  <si>
    <t>02-4833</t>
  </si>
  <si>
    <t>02-4848</t>
  </si>
  <si>
    <t>02-4853</t>
  </si>
  <si>
    <t>Mohammed Abuzaid Mohammed Abdellah</t>
  </si>
  <si>
    <t>Salwa Salem Abbod Bakuhail</t>
  </si>
  <si>
    <t>Feras Khaled Mahmoud Al-Srouri</t>
  </si>
  <si>
    <t>Sustainability Lead</t>
  </si>
  <si>
    <t>02-4851</t>
  </si>
  <si>
    <t>02-4795</t>
  </si>
  <si>
    <t>02-4874</t>
  </si>
  <si>
    <t>02-4858</t>
  </si>
  <si>
    <t>02-4877</t>
  </si>
  <si>
    <t>02-4872</t>
  </si>
  <si>
    <t>02-4854</t>
  </si>
  <si>
    <t>02-4890</t>
  </si>
  <si>
    <t>02-4910</t>
  </si>
  <si>
    <t>Ekaterina Mikhlina</t>
  </si>
  <si>
    <t>Mohamed Abdelsamia Abdelsalam Mohamed</t>
  </si>
  <si>
    <t>Sushil Karam</t>
  </si>
  <si>
    <t>Danyal Nasser Anwar</t>
  </si>
  <si>
    <t>Process Improvement Unit Head</t>
  </si>
  <si>
    <t>Special Projects Strategic Planning Section Head</t>
  </si>
  <si>
    <t>Rohith Rajeev</t>
  </si>
  <si>
    <t>CRM Engineer</t>
  </si>
  <si>
    <t>Nawal Ibrahim Abdul Aziz Nawal</t>
  </si>
  <si>
    <t>02-4891</t>
  </si>
  <si>
    <t>Data Analytics Senior Analyst</t>
  </si>
  <si>
    <t>Roberta Burksaite</t>
  </si>
  <si>
    <t>02-4945</t>
  </si>
  <si>
    <t>Lithuania</t>
  </si>
  <si>
    <t>Rana Mohamed Mahmoud Soliman Elshafie</t>
  </si>
  <si>
    <t>02-4942</t>
  </si>
  <si>
    <t>Arvin Lloyd Manisan Orillaneda</t>
  </si>
  <si>
    <t>02-4943</t>
  </si>
  <si>
    <t>Fixed Assets Management Accountant</t>
  </si>
  <si>
    <t>Afshan Jamal</t>
  </si>
  <si>
    <t>02-4954</t>
  </si>
  <si>
    <t>Sponsorships Officer</t>
  </si>
  <si>
    <t>References &amp; Library Education Specialist</t>
  </si>
  <si>
    <t>Facilities Management Specialist</t>
  </si>
  <si>
    <t>Artists-In-Residence Programme Specialist</t>
  </si>
  <si>
    <t>Culture Sites Management Officer</t>
  </si>
  <si>
    <t>Tourism Analysis &amp; Reporting Unit Head</t>
  </si>
  <si>
    <t>Special Projects Manager</t>
  </si>
  <si>
    <t>Gifts &amp; Exchange Assistant</t>
  </si>
  <si>
    <t>Sector Environment Health &amp; Safety Executive</t>
  </si>
  <si>
    <t>Exhibitor Relations Specialist</t>
  </si>
  <si>
    <t>Procurement Business Partners Unit Head</t>
  </si>
  <si>
    <t>BD &amp; Sales Lead</t>
  </si>
  <si>
    <t>Sales Lead</t>
  </si>
  <si>
    <t>Nominations Specialist</t>
  </si>
  <si>
    <t>Surveyor</t>
  </si>
  <si>
    <t>Projects Coordinator</t>
  </si>
  <si>
    <t>Project Management Senior Specialist</t>
  </si>
  <si>
    <t>Strategic Planning Senior Specialist (Museums &amp; Affiliated Entities)</t>
  </si>
  <si>
    <t>IT Audit &amp; Compliance Senior Specialist</t>
  </si>
  <si>
    <t>Business Analytics Senior Specialist</t>
  </si>
  <si>
    <t>Technical Support Officer</t>
  </si>
  <si>
    <t>Arabic Language Education &amp; Research Department Director</t>
  </si>
  <si>
    <t>Category Management Specialist</t>
  </si>
  <si>
    <t>Succession Planning &amp; Leadership Senior Specialist</t>
  </si>
  <si>
    <t>Specialized Arabic Language Programmes - Programme Manager</t>
  </si>
  <si>
    <t>Culture Strategy &amp; Performance Management Unit Head</t>
  </si>
  <si>
    <t>General Ledger Unit Head</t>
  </si>
  <si>
    <t>Accounts Payables Accountant</t>
  </si>
  <si>
    <t>Tourism &amp; Marketing Strategic Planning Section Head</t>
  </si>
  <si>
    <t>Primary Research Specialist</t>
  </si>
  <si>
    <t>P&amp;P Systems Specialist</t>
  </si>
  <si>
    <t>Succession Planning &amp; Leadership Unit Head</t>
  </si>
  <si>
    <t>Category Management Unit Head</t>
  </si>
  <si>
    <t>Culture PMO Lead</t>
  </si>
  <si>
    <t>Category Management Senior Specialist</t>
  </si>
  <si>
    <t>International Operations (GCC) Unit Head</t>
  </si>
  <si>
    <t>Production Senior Specialist</t>
  </si>
  <si>
    <t>Cruise Unit Head</t>
  </si>
  <si>
    <t>Financial Analysis Lead</t>
  </si>
  <si>
    <t>Experience Monitoring Section Head</t>
  </si>
  <si>
    <t>Talent Attraction Specialist</t>
  </si>
  <si>
    <t>Project Manager Capital Projects</t>
  </si>
  <si>
    <t>Corporate Social Responsibility Senior Specialist</t>
  </si>
  <si>
    <t>Campaigns Management Unit Head</t>
  </si>
  <si>
    <t>Projects Manager</t>
  </si>
  <si>
    <t>Planning, Research &amp; Insight Section Head</t>
  </si>
  <si>
    <t>Publishing Copyrights &amp; Agreements Officer</t>
  </si>
  <si>
    <t>Corporate Security Lead</t>
  </si>
  <si>
    <t>02-4920</t>
  </si>
  <si>
    <t>Juan Guillermo Chacon Barrera</t>
  </si>
  <si>
    <t>02-4935</t>
  </si>
  <si>
    <t>Rowdha Mohamed Askar Ali AlNaqeeb</t>
  </si>
  <si>
    <t>02-4939</t>
  </si>
  <si>
    <t>Narendra Babu Madala</t>
  </si>
  <si>
    <t>02-4955</t>
  </si>
  <si>
    <t>Safia Saleh Omar AlJaberi</t>
  </si>
  <si>
    <t>02-4974</t>
  </si>
  <si>
    <t>Jubin Mathews John</t>
  </si>
  <si>
    <t>02-4987</t>
  </si>
  <si>
    <t>Kim Dayrren De Guzman Andaya</t>
  </si>
  <si>
    <t>Mohammed Shereif Sairaj Thonnammackal</t>
  </si>
  <si>
    <t>02-1768</t>
  </si>
  <si>
    <t>Special Projects &amp; Transformation Lead</t>
  </si>
  <si>
    <t>Colombia</t>
  </si>
  <si>
    <t>Production Management Unit Head</t>
  </si>
  <si>
    <t>Videographer / Photographer</t>
  </si>
  <si>
    <t>1A</t>
  </si>
  <si>
    <t>Culture Festivals &amp; Platforms</t>
  </si>
  <si>
    <t>Vishal Vijay Lakhani</t>
  </si>
  <si>
    <t>Christopher Ian Silva Santos</t>
  </si>
  <si>
    <t>Senior Digital Designer</t>
  </si>
  <si>
    <t>Fahad Jamal Saeed Ali</t>
  </si>
  <si>
    <t>Global Partnerships Executive</t>
  </si>
  <si>
    <t>Barry McGrath</t>
  </si>
  <si>
    <t>Belal Ghassan Basher Mohammad</t>
  </si>
  <si>
    <t>02-4944</t>
  </si>
  <si>
    <t>02-5014</t>
  </si>
  <si>
    <t>02-5033</t>
  </si>
  <si>
    <t>02-5034</t>
  </si>
  <si>
    <t>Tanzania</t>
  </si>
  <si>
    <t>02-5052</t>
  </si>
  <si>
    <t>Ahmad Akram Sulaiman Al Zubi</t>
  </si>
  <si>
    <t>Karin Aghadjanian</t>
  </si>
  <si>
    <t>Strategic Planning Office Director</t>
  </si>
  <si>
    <t>Said Harib Haliman Ali AlAlawi</t>
  </si>
  <si>
    <t>Hind Salem Fadhel Ali AlSalmi</t>
  </si>
  <si>
    <t>Mohamed Faizal Mohamed Kayas</t>
  </si>
  <si>
    <t>Data Engineer</t>
  </si>
  <si>
    <t>02-4781</t>
  </si>
  <si>
    <t>02-4996</t>
  </si>
  <si>
    <t>02-5062</t>
  </si>
  <si>
    <t>Ismail Ben Jelloun Touimi</t>
  </si>
  <si>
    <t>Moaz Khamis Arabi Ashour</t>
  </si>
  <si>
    <t>Hothaifa Mikhled Yousif Al-Dweikat</t>
  </si>
  <si>
    <t>Eric Malcolm Staples</t>
  </si>
  <si>
    <t>Abelrahman Mostafa Mostafa Seyam</t>
  </si>
  <si>
    <t>02-5107</t>
  </si>
  <si>
    <t>02-5087</t>
  </si>
  <si>
    <t>02-5086</t>
  </si>
  <si>
    <t>02-5111</t>
  </si>
  <si>
    <t>02-5106</t>
  </si>
  <si>
    <t>Swapnadeep Raha</t>
  </si>
  <si>
    <t>Omar Obaid Ateeq Roudah Aldhaheri</t>
  </si>
  <si>
    <t>02-5146</t>
  </si>
  <si>
    <t>02-5179</t>
  </si>
  <si>
    <t>Digital Marketing Specialist</t>
  </si>
  <si>
    <t>Finance Projects &amp; Transformation Senior Analyst</t>
  </si>
  <si>
    <t>Organization Development Senior Specialist</t>
  </si>
  <si>
    <t>Maritime &amp; Paleontology Unit Head</t>
  </si>
  <si>
    <t>Senior Cloud Architect</t>
  </si>
  <si>
    <t>Stakeholder Engagement Section Head</t>
  </si>
  <si>
    <t>02-5091</t>
  </si>
  <si>
    <t>Rajeev Bhagat</t>
  </si>
  <si>
    <t>02-5060</t>
  </si>
  <si>
    <t>Rawan A.A. AlGhussein</t>
  </si>
  <si>
    <t>02-5092</t>
  </si>
  <si>
    <t>Balavardhana Reddy Meka</t>
  </si>
  <si>
    <t>Senior Data Engineer</t>
  </si>
  <si>
    <t>Extra Allowance for 1 year Starting 08 November 2024 to 07 November 2025</t>
  </si>
  <si>
    <t>Extra Allowance for 1 year Starting 31 January 2025 to 30 January 2026</t>
  </si>
  <si>
    <t>Namarata Gupta</t>
  </si>
  <si>
    <t>02-5189</t>
  </si>
  <si>
    <t>Ahmad Nemr El Chami</t>
  </si>
  <si>
    <t>02-4941</t>
  </si>
  <si>
    <t>Visitor Experience Supervisor</t>
  </si>
  <si>
    <t>Laila Walid Sharaf Khalifeh</t>
  </si>
  <si>
    <t>Content Development Specialist</t>
  </si>
  <si>
    <t>Ady Nabih H. Badawi</t>
  </si>
  <si>
    <t>Media Planning Specialist</t>
  </si>
  <si>
    <t>Kate Helena Horvath</t>
  </si>
  <si>
    <t>Digital &amp; Social Media Section Head</t>
  </si>
  <si>
    <t>Marketing Campaign Strategy Lead</t>
  </si>
  <si>
    <t>Yazan Al Kayyali</t>
  </si>
  <si>
    <t>Social Media Specialist</t>
  </si>
  <si>
    <t>Sherine Nourel Din Mostafa Abdel Ghafar</t>
  </si>
  <si>
    <t>Culture Sector Marketing Department Director</t>
  </si>
  <si>
    <t>Ali Dajani</t>
  </si>
  <si>
    <t>Business Development Lead</t>
  </si>
  <si>
    <t>Kyrollos John Tawfik Fathy Gayed</t>
  </si>
  <si>
    <t>Motion Graphic Designer</t>
  </si>
  <si>
    <t>02-5192</t>
  </si>
  <si>
    <t>02-5205</t>
  </si>
  <si>
    <t>02-5182</t>
  </si>
  <si>
    <t>02-5230</t>
  </si>
  <si>
    <t>02-5203</t>
  </si>
  <si>
    <t>02-5212</t>
  </si>
  <si>
    <t>02-5172</t>
  </si>
  <si>
    <t>02-5229</t>
  </si>
  <si>
    <t>02-5220</t>
  </si>
  <si>
    <t>Mahmoud Kamal Abdelghany Mehrez</t>
  </si>
  <si>
    <t>02-5280</t>
  </si>
  <si>
    <t>Jieun Jeung</t>
  </si>
  <si>
    <t>Zaki Aslan</t>
  </si>
  <si>
    <t>Smruthiraj Athiringal Rajan</t>
  </si>
  <si>
    <t>Senior Project Controls Engineer</t>
  </si>
  <si>
    <t>Majdi Jamal Issa Mohammad</t>
  </si>
  <si>
    <t>Senior Applications Architect</t>
  </si>
  <si>
    <t>02-5282</t>
  </si>
  <si>
    <t>02-5308</t>
  </si>
  <si>
    <t>02-5306</t>
  </si>
  <si>
    <t>02-5304</t>
  </si>
  <si>
    <t xml:space="preserve">Mariana Julia Empis Da Crus Alves Bessa Ribas </t>
  </si>
  <si>
    <t>02-5215</t>
  </si>
  <si>
    <t>Dominic Alan Tomasi</t>
  </si>
  <si>
    <t>Archaeologist</t>
  </si>
  <si>
    <t>Louvre Abu Dhabi</t>
  </si>
  <si>
    <t>Office of Chairman</t>
  </si>
  <si>
    <t>Project Management &amp; Engineering</t>
  </si>
  <si>
    <t>Book Fairs &amp; Events</t>
  </si>
  <si>
    <t>Library Management</t>
  </si>
  <si>
    <t>Literature Awards</t>
  </si>
  <si>
    <t>Visitors Experience</t>
  </si>
  <si>
    <t>Historic Environment</t>
  </si>
  <si>
    <t>Licensing &amp; Regulatory Compliance</t>
  </si>
  <si>
    <t>Tendering &amp; Projects Control</t>
  </si>
  <si>
    <t>Scientific, Curatorial and Collection Department</t>
  </si>
  <si>
    <t>Museum’s Director Office</t>
  </si>
  <si>
    <t>Arabic Language Education &amp; Research</t>
  </si>
  <si>
    <t>Business Excellence &amp; Continuity</t>
  </si>
  <si>
    <t>ALC Executive Director’s Office</t>
  </si>
  <si>
    <t>Organization Strategy &amp; Transformation Department</t>
  </si>
  <si>
    <t>Office of the Culture Executive Director</t>
  </si>
  <si>
    <t>Tourism Products Development</t>
  </si>
  <si>
    <t>Culture Programming</t>
  </si>
  <si>
    <t>Strategic Communications</t>
  </si>
  <si>
    <t>Executive Affairs</t>
  </si>
  <si>
    <t>ALC Chairman’s Office</t>
  </si>
  <si>
    <t>Culture Sector Marketing</t>
  </si>
  <si>
    <t>4510240</t>
  </si>
  <si>
    <t>4510150</t>
  </si>
  <si>
    <t>4519200</t>
  </si>
  <si>
    <t>4516100</t>
  </si>
  <si>
    <t>4510220</t>
  </si>
  <si>
    <t>4519201</t>
  </si>
  <si>
    <t>4511250</t>
  </si>
  <si>
    <t>4515300</t>
  </si>
  <si>
    <t>4511300</t>
  </si>
  <si>
    <t>4512200</t>
  </si>
  <si>
    <t>4510201</t>
  </si>
  <si>
    <t>7A</t>
  </si>
  <si>
    <t>4510250</t>
  </si>
  <si>
    <t>1B</t>
  </si>
  <si>
    <t>4515500</t>
  </si>
  <si>
    <t>4519196</t>
  </si>
  <si>
    <t>4510170</t>
  </si>
  <si>
    <t>4515400</t>
  </si>
  <si>
    <t>4510155</t>
  </si>
  <si>
    <t>4511150</t>
  </si>
  <si>
    <t>4510210</t>
  </si>
  <si>
    <t>5A</t>
  </si>
  <si>
    <t>4512100</t>
  </si>
  <si>
    <t>6A</t>
  </si>
  <si>
    <t>02</t>
  </si>
  <si>
    <t>4519197</t>
  </si>
  <si>
    <t>4510160</t>
  </si>
  <si>
    <t>4512300</t>
  </si>
  <si>
    <t>4510195</t>
  </si>
  <si>
    <t>4513130</t>
  </si>
  <si>
    <t>4519203</t>
  </si>
  <si>
    <t>4511010</t>
  </si>
  <si>
    <t>4515010</t>
  </si>
  <si>
    <t>4515100</t>
  </si>
  <si>
    <t>6B</t>
  </si>
  <si>
    <t>4515900</t>
  </si>
  <si>
    <t>4513110</t>
  </si>
  <si>
    <t>4510110</t>
  </si>
  <si>
    <t>4519199</t>
  </si>
  <si>
    <t>4515700</t>
  </si>
  <si>
    <t>5B</t>
  </si>
  <si>
    <t>4511700</t>
  </si>
  <si>
    <t>4513140</t>
  </si>
  <si>
    <t>4513120</t>
  </si>
  <si>
    <t>1C</t>
  </si>
  <si>
    <t>4510011</t>
  </si>
  <si>
    <t>4511750</t>
  </si>
  <si>
    <t>4511550</t>
  </si>
  <si>
    <t>Nasereddin Abid Mohamd Abu Elian</t>
  </si>
  <si>
    <t>ICH Activations &amp; Operations Specialist</t>
  </si>
  <si>
    <t>Dana Nidal Jawdat Hamdan</t>
  </si>
  <si>
    <t>Circulation Senior Specialist</t>
  </si>
  <si>
    <t>Kirti Kaushal</t>
  </si>
  <si>
    <t>Culture Business Development Unit Head</t>
  </si>
  <si>
    <t>02-5255</t>
  </si>
  <si>
    <t>02-5292</t>
  </si>
  <si>
    <t>02-5382</t>
  </si>
  <si>
    <t>Editorial Unit Head</t>
  </si>
  <si>
    <t>Financial Planning &amp; Business Partnership Section Head</t>
  </si>
  <si>
    <t>House of Artisans Section Head</t>
  </si>
  <si>
    <t>PR &amp; Communications Unit Head</t>
  </si>
  <si>
    <t>Business Development &amp; Sales Officer - Book Fairs</t>
  </si>
  <si>
    <t>Strategic Planning Senior Specialist (International Operations &amp; Marketing)</t>
  </si>
  <si>
    <t>Performance Support Project Manager</t>
  </si>
  <si>
    <t>Culture, Museums &amp; Affiliated Entities Strategic Planning Section Head</t>
  </si>
  <si>
    <t>Business Analyst</t>
  </si>
  <si>
    <t>Bioarchaeologist</t>
  </si>
  <si>
    <t>Artificial Intelligence Section Head</t>
  </si>
  <si>
    <t>Travel &amp; Hospitality Specialist</t>
  </si>
  <si>
    <t>Consumer Communications Section Head</t>
  </si>
  <si>
    <t>Planning &amp; Operations (Russia &amp; CIS) Senior Executive</t>
  </si>
  <si>
    <t>Abu Dhabi Public Art Section Head</t>
  </si>
  <si>
    <t>Architecture Director</t>
  </si>
  <si>
    <t>Media &amp; Partnerships Section Head</t>
  </si>
  <si>
    <t>Extra Allowance for 1 year Starting 09 May 2025 to 08 May 2026</t>
  </si>
  <si>
    <t>Lu Jue</t>
  </si>
  <si>
    <t>Visitor Experience Strategy Director</t>
  </si>
  <si>
    <t>02-5425</t>
  </si>
  <si>
    <t>Josep Cervera Bou</t>
  </si>
  <si>
    <t>Dia Eddin Abdullah Ali Altawallbeh</t>
  </si>
  <si>
    <t>Mulalo Liphosa</t>
  </si>
  <si>
    <t>Special Projects Strategic Planning Unit Head</t>
  </si>
  <si>
    <t>Sara Ahmed Omer Khalafalla</t>
  </si>
  <si>
    <t>Project Finance Unit Head</t>
  </si>
  <si>
    <t>02-5451</t>
  </si>
  <si>
    <t>02-5434</t>
  </si>
  <si>
    <t>02-5488</t>
  </si>
  <si>
    <t>02-5416</t>
  </si>
  <si>
    <t>02-5475</t>
  </si>
  <si>
    <t>Mohammed Abdelwahed</t>
  </si>
  <si>
    <t>Marketing Strategy Specialist</t>
  </si>
  <si>
    <t>02-5452</t>
  </si>
  <si>
    <t>Mohd Issa Azaizeh</t>
  </si>
  <si>
    <t>Shabnam Amirova</t>
  </si>
  <si>
    <t>02-5502</t>
  </si>
  <si>
    <t>Business Development &amp; Management Senior Specialist</t>
  </si>
  <si>
    <t>Azerbhaijan</t>
  </si>
  <si>
    <t>Vladimir Bogomolov</t>
  </si>
  <si>
    <t>02-5493</t>
  </si>
  <si>
    <t>Nisreen O. M. Faris</t>
  </si>
  <si>
    <t>02-5558</t>
  </si>
  <si>
    <t>Content Management Lead</t>
  </si>
  <si>
    <t>Huda Issam Fuad Abu Amer</t>
  </si>
  <si>
    <t>02-5598</t>
  </si>
  <si>
    <t>Collections Registrar</t>
  </si>
  <si>
    <t>Abdallah Ayman M.F Alhaj Khalil</t>
  </si>
  <si>
    <t>02-4101</t>
  </si>
  <si>
    <t>Prior Month Total</t>
  </si>
  <si>
    <t>Adjustments</t>
  </si>
  <si>
    <t>New Joiners</t>
  </si>
  <si>
    <t>Leavers</t>
  </si>
  <si>
    <t>Additions / Deductions</t>
  </si>
  <si>
    <t>Current Month</t>
  </si>
  <si>
    <t>Validate</t>
  </si>
  <si>
    <t>Net Pay</t>
  </si>
  <si>
    <t>Comments</t>
  </si>
  <si>
    <t>Ala Jabr</t>
  </si>
  <si>
    <t>02-5581</t>
  </si>
  <si>
    <t>Contracts Administration &amp; Cost Estimation Manager</t>
  </si>
  <si>
    <t>Musab Ibrahim Mahmoud Masad</t>
  </si>
  <si>
    <t>Technology Infrastructure Section Head</t>
  </si>
  <si>
    <t>Nadia Sabry</t>
  </si>
  <si>
    <t>ICH Register Senior Specialist</t>
  </si>
  <si>
    <t>Selim Mankai</t>
  </si>
  <si>
    <t>Strategic Planning Unit Head (Activation &amp; Product Development)</t>
  </si>
  <si>
    <t>02-5650</t>
  </si>
  <si>
    <t>02-5575</t>
  </si>
  <si>
    <t>02-5681</t>
  </si>
  <si>
    <t>Extra Allowance for 1 year from 21 July 2025 to 20 July 2026</t>
  </si>
  <si>
    <t>Extra Allowance for 1 year from 01 August 2025 to 31 July 2026</t>
  </si>
  <si>
    <t>Extra Allowance for 1 year from 05 August 2025 to 04 August 2026</t>
  </si>
  <si>
    <t>Extra Allowance for 1 year from 14 July 2025 to 13 July 2026</t>
  </si>
  <si>
    <t>S.No</t>
  </si>
  <si>
    <t>Intangible Cultural Heritage</t>
  </si>
  <si>
    <t>Talent Attraction Unit Head</t>
  </si>
  <si>
    <t>International Outreach &amp; Partnerships Lead</t>
  </si>
  <si>
    <t>Experience Monitoring &amp; Reporting Senior Specialist</t>
  </si>
  <si>
    <t>Business Development &amp; Sales Specialist - Publishing</t>
  </si>
  <si>
    <t>Urban Conservation Senior Specialist</t>
  </si>
  <si>
    <t>Business Development &amp; Sales – Book Fairs Specialist</t>
  </si>
  <si>
    <t>Data &amp; AI Department</t>
  </si>
  <si>
    <t>Driver</t>
  </si>
  <si>
    <t>Combat Sports Unit Head</t>
  </si>
  <si>
    <t>Contracts Administration &amp; Cost Estimation Lead</t>
  </si>
  <si>
    <t>Capital Projects Senior Specialist</t>
  </si>
  <si>
    <t>Weddings Lead</t>
  </si>
  <si>
    <t>Events Services Unit Head</t>
  </si>
  <si>
    <t>Senior Specialist, Field Research</t>
  </si>
  <si>
    <t>Design Thinking Senior Specialist</t>
  </si>
  <si>
    <t>Planning Section Head</t>
  </si>
  <si>
    <t>DCT Museums and Affiliates Contracts Advisory Senior Legal Counsel</t>
  </si>
  <si>
    <t>Innovation Senior Analyst</t>
  </si>
  <si>
    <t>Internal Communication Unit Head</t>
  </si>
  <si>
    <t>Celebrities &amp; VIPs Management Unit Head</t>
  </si>
  <si>
    <t>Market Research  Unit Head</t>
  </si>
  <si>
    <t>Culture Sector Policy and Development Office</t>
  </si>
  <si>
    <t>Compensation Senior Specialist</t>
  </si>
  <si>
    <t>People &amp; Performance Officer</t>
  </si>
  <si>
    <t>Brand Collaborations &amp; Sponsorships  Unit Head</t>
  </si>
  <si>
    <t>Information Security Section Head</t>
  </si>
  <si>
    <t>Niche Markets, Sports, &amp; Holiday Homes Section Head</t>
  </si>
  <si>
    <t>Performance Management Unit Head</t>
  </si>
  <si>
    <t>Strategy &amp; Growth Management Section Head</t>
  </si>
  <si>
    <t>Performance &amp; Process Management Unit Head</t>
  </si>
  <si>
    <t>Media Planning Officer</t>
  </si>
  <si>
    <t>Strategic Planning Unit Head (Museums &amp; Affiliated Entities)</t>
  </si>
  <si>
    <t>Programme Management  Specialist</t>
  </si>
  <si>
    <t>Research Unit Head</t>
  </si>
  <si>
    <t>Planning &amp; Operations (Middle East &amp; Africa) Executive</t>
  </si>
  <si>
    <t>Projects Director</t>
  </si>
  <si>
    <t>Culinary Project Delivery Management Senior Specialist</t>
  </si>
  <si>
    <t>Destinations Management Department</t>
  </si>
  <si>
    <t>Digital Marketing and Analytics Section Head</t>
  </si>
  <si>
    <t>Project Coordinator</t>
  </si>
  <si>
    <t>Events Strategy &amp; Planning Section Head</t>
  </si>
  <si>
    <t>Legislations Unit Head</t>
  </si>
  <si>
    <t>Special Projects Marketing Specialist</t>
  </si>
  <si>
    <t>Strategic Projects &amp; Transformation Unit Head</t>
  </si>
  <si>
    <t>Sponsorship Specialist</t>
  </si>
  <si>
    <t>Programmes Management Officer</t>
  </si>
  <si>
    <t>MEP Projects Manager</t>
  </si>
  <si>
    <t>Events Performance, Analysis, &amp; Reporting  Senior Specialist</t>
  </si>
  <si>
    <t>Social Media Management Unit Head</t>
  </si>
  <si>
    <t>Tendering Director</t>
  </si>
  <si>
    <t>Journey Planning Unit Head</t>
  </si>
  <si>
    <t>Events Services Coordinator</t>
  </si>
  <si>
    <t>Sponsorship Unit Head</t>
  </si>
  <si>
    <t>International Operations Unit Head (India Sub-Content)</t>
  </si>
  <si>
    <t>Data &amp; AI Department Director</t>
  </si>
  <si>
    <t>P&amp;P Systems Senior Specialist</t>
  </si>
  <si>
    <t>Books Design Manager</t>
  </si>
  <si>
    <t>Culture Marketing  Section Head</t>
  </si>
  <si>
    <t>Economic Modeling Unit Head</t>
  </si>
  <si>
    <t>International Destination Marketing Specialist</t>
  </si>
  <si>
    <t>Strategic Partnerships  Section Head</t>
  </si>
  <si>
    <t>Planning &amp; Operations (South Europe) Executive</t>
  </si>
  <si>
    <t>Digital Experience Development Senior Specialist</t>
  </si>
  <si>
    <t>Fixed Assets Management  Accountant</t>
  </si>
  <si>
    <t>Events Partnerships Management Lead</t>
  </si>
  <si>
    <t>Digital Product Unit Head</t>
  </si>
  <si>
    <t>Influencers Management Specialist</t>
  </si>
  <si>
    <t>Special Projects Marketing  Unit Head</t>
  </si>
  <si>
    <t>Senior Photojournalist</t>
  </si>
  <si>
    <t>Project Officer</t>
  </si>
  <si>
    <t>Program Manager</t>
  </si>
  <si>
    <t>Strategy and Market Intelligence Unit Head</t>
  </si>
  <si>
    <t>Research &amp; Insight Specialist</t>
  </si>
  <si>
    <t>Committees Governance and Reporting Unit Head</t>
  </si>
  <si>
    <t>Special Projects Section Head</t>
  </si>
  <si>
    <t>4515001</t>
  </si>
  <si>
    <t>4511600</t>
  </si>
  <si>
    <t>Ramzi Zohdi Mohammad Al-Hamaidah</t>
  </si>
  <si>
    <t>Government Relations Specialist</t>
  </si>
  <si>
    <t>02-5740</t>
  </si>
  <si>
    <t>Suraj Soni </t>
  </si>
  <si>
    <t>Special Projects Lead</t>
  </si>
  <si>
    <t>02-5826</t>
  </si>
  <si>
    <t>Adrian Garry McGregor</t>
  </si>
  <si>
    <t>02-5827</t>
  </si>
  <si>
    <t>Mahdi Fayez Ali Samhouri</t>
  </si>
  <si>
    <t>02-5842</t>
  </si>
  <si>
    <t>02-5794</t>
  </si>
  <si>
    <t>Sidarth Sondhi</t>
  </si>
  <si>
    <t xml:space="preserve">Procurement Contracts Advisory Unit Head </t>
  </si>
  <si>
    <t>Mina Rachid Ragheb Megalla</t>
  </si>
  <si>
    <t>02-5897</t>
  </si>
  <si>
    <t>Researcher</t>
  </si>
  <si>
    <t>Bulgaria</t>
  </si>
  <si>
    <t>Extra Allowance for 1 year Starting 21 August 2025 to 20 August 2026</t>
  </si>
  <si>
    <t>Extra Allowance for 1 year Starting 25 August 2025 to 24 August 2026</t>
  </si>
  <si>
    <t>Extra Allowance for 1 year Starting 01 September 2025 to 31 August 2026</t>
  </si>
  <si>
    <t>Employer pension share for October 2025 - 15%</t>
  </si>
  <si>
    <t>Extra Allowance for 1 year Starting 16 September 2025 to 15 September 2026</t>
  </si>
  <si>
    <t>L.W.D. 30.10.2025</t>
  </si>
  <si>
    <t>Increment adjustment</t>
  </si>
  <si>
    <t>Mohamed Osman El Hassan</t>
  </si>
  <si>
    <t>Chaimaa Ahmed Toumi</t>
  </si>
  <si>
    <t>Esameldin Mohamed Abdesalam</t>
  </si>
  <si>
    <t>Expedieto Agravante</t>
  </si>
  <si>
    <t>Anas Yousef Alkhun</t>
  </si>
  <si>
    <t>Mallak Ahmad Etoum</t>
  </si>
  <si>
    <t>Omar Jehad Mosleh</t>
  </si>
  <si>
    <t>Ahad Khateeb Nisar</t>
  </si>
  <si>
    <t>Grainne Treise Murphy</t>
  </si>
  <si>
    <t>Noura Nadim Kahil</t>
  </si>
  <si>
    <t>Khalil Mohammed Alshaikh</t>
  </si>
  <si>
    <t>Khaled Hussein Dalky</t>
  </si>
  <si>
    <t>Afaf Rady Elsayed</t>
  </si>
  <si>
    <t>Maryam Abdulkarim Balfageih</t>
  </si>
  <si>
    <t>Zainah Meshal Abusido</t>
  </si>
  <si>
    <t>Rahmah Hasan Al Abidi</t>
  </si>
  <si>
    <t>Hamza Shafiq Alqum</t>
  </si>
  <si>
    <t>Yanal Alshaban</t>
  </si>
  <si>
    <t>Ciaran Costello</t>
  </si>
  <si>
    <t>Nader Monir</t>
  </si>
  <si>
    <t>Ezzat Al Hamwi</t>
  </si>
  <si>
    <t>Mohamed Fawaz Almadhoun</t>
  </si>
  <si>
    <t>Honaida Hassan Naib</t>
  </si>
  <si>
    <t>Malak Mohamed Al Ajou</t>
  </si>
  <si>
    <t>Ahmad Akram Al Zubi</t>
  </si>
  <si>
    <t>Yasin Mohamed Ibrahim</t>
  </si>
  <si>
    <t>Moustafa Mohamed Elmetwally</t>
  </si>
  <si>
    <t>Mohammad Munir</t>
  </si>
  <si>
    <t>Seri Sami Badran</t>
  </si>
  <si>
    <t>Anabela Ferreira</t>
  </si>
  <si>
    <t>IOANNIS SPANOS</t>
  </si>
  <si>
    <t>Raouf Ibrahim Salama</t>
  </si>
  <si>
    <t>Mohammad Alsmadi</t>
  </si>
  <si>
    <t>Khalil Al Mukhalati</t>
  </si>
  <si>
    <t>Jose Ferdie Valencia</t>
  </si>
  <si>
    <t>Eugenie Remie Marcelo</t>
  </si>
  <si>
    <t>Raied Al Bitar</t>
  </si>
  <si>
    <t>Rene von Müllen</t>
  </si>
  <si>
    <t>Khalid Tawfiq Al-Saqqar</t>
  </si>
  <si>
    <t>Shabeer Mohamed Mohamedali</t>
  </si>
  <si>
    <t>Ayman Kazim Alkhatib</t>
  </si>
  <si>
    <t>Anas Mohd Azeezyeh</t>
  </si>
  <si>
    <t>Mokhtar Maher Aboelela</t>
  </si>
  <si>
    <t>Ahmed Gamal Hemida</t>
  </si>
  <si>
    <t>Mohamed Hesham Mohamed</t>
  </si>
  <si>
    <t>Marwan Taiseer Kayyali</t>
  </si>
  <si>
    <t>Farres Mohamad Kailany</t>
  </si>
  <si>
    <t>Jamil Wajih Al Atrash</t>
  </si>
  <si>
    <t>Hamad Ali Al Rumaithi</t>
  </si>
  <si>
    <t>Reema Azmi AlSadeq</t>
  </si>
  <si>
    <t>Zainab Mohamed Hamed</t>
  </si>
  <si>
    <t>Iman Haidous</t>
  </si>
  <si>
    <t>Abhinav Rajhans</t>
  </si>
  <si>
    <t>Charlyn Apdan</t>
  </si>
  <si>
    <t>Evangeline Garcia</t>
  </si>
  <si>
    <t>Mohammed Sairaj</t>
  </si>
  <si>
    <t>Muhammad Farook</t>
  </si>
  <si>
    <t>Basil Ali Ismail</t>
  </si>
  <si>
    <t>Islam Altawallbeh</t>
  </si>
  <si>
    <t>Waddah Mohammad Zanah</t>
  </si>
  <si>
    <t>Shadi Alshinteer</t>
  </si>
  <si>
    <t>Ashraf Albarasy</t>
  </si>
  <si>
    <t>Tariq Massarwah</t>
  </si>
  <si>
    <t>Ibrahim Osama Khalil</t>
  </si>
  <si>
    <t>Thomas Jean Patrick de Oliveira</t>
  </si>
  <si>
    <t>Bahaaeldin Mohamed Okasha</t>
  </si>
  <si>
    <t>Shabeena Cassiere</t>
  </si>
  <si>
    <t>Fakhry Maher Alsarraj</t>
  </si>
  <si>
    <t>Xavier Mellet</t>
  </si>
  <si>
    <t>Souad Alaoui</t>
  </si>
  <si>
    <t>Khulood Ahmad Al Thani</t>
  </si>
  <si>
    <t>May Elsayed Ezzeldin</t>
  </si>
  <si>
    <t>Bahaa Redwan Al Am Eddine</t>
  </si>
  <si>
    <t>Mansurudeen Ishola</t>
  </si>
  <si>
    <t>Shaima Ayman Allan</t>
  </si>
  <si>
    <t>Swati Singla</t>
  </si>
  <si>
    <t>Increment Arrears</t>
  </si>
  <si>
    <t>Increment Arrears w.e.f. 01.09.2025</t>
  </si>
  <si>
    <t>Increment Arrears w.e.f. 01.09.2025 &amp; Adjustment for Extra Allowance</t>
  </si>
  <si>
    <t>Increment Arrears w.e.f. 01.09.2025, Monthly Deduction from September - November 2025 for Advance against housing alowance</t>
  </si>
  <si>
    <t>Increment Arrears w.e.f. 23.10.2025</t>
  </si>
  <si>
    <t>Employer pension share for November 2025 - 15%</t>
  </si>
  <si>
    <t>Increment Arrears w.e.f. 01.09.2025, Employer pension share for November 2025 - 11%</t>
  </si>
  <si>
    <t>Monthly Deduction from January - December 2025 for Advance against housing alowance, Employer pension share for November 2025 - 15%, Extra Allowance for 1 year Starting 01 September 2025 to 31 August 2026, - Employee &amp; Employer Pension share calculated on old salary - to be updated in January 2026</t>
  </si>
  <si>
    <t>Extra Allowance for 1 year from 20 May 2025 to 19 May 2026, Employer pension share for November 2025 - 15% - Employee &amp; Employer Pension share calculated on old salary - to be updated in January 2026</t>
  </si>
  <si>
    <t>Employer pension share for November 2025 - 14%</t>
  </si>
  <si>
    <t>Employer pension share for November 2025 - 11%</t>
  </si>
  <si>
    <t>Monthly Deduction from May 2025 - April 2026 for Advance against housing alowance - Employer pension share for November 2025 - 15%</t>
  </si>
  <si>
    <t>Employer pension share for November 2025 - 15% &amp; Extra Allowance for 1 year from 14 July 2025 to 13 July 2026</t>
  </si>
  <si>
    <t>Monthly Deduction from February 2025 - January 2026 for Advance against housing alowance, Employer pension share for November 2025 - 15%</t>
  </si>
  <si>
    <t>Change in D.O.J. from 08.10.2025 to 06.10.2025</t>
  </si>
  <si>
    <t>Extra Allowance for 1 year Starting 24 October 2025 to 23 October 2026</t>
  </si>
  <si>
    <t>Extra Allowance for 1 year Starting 15 October 2025 to 14 October 2026</t>
  </si>
  <si>
    <t>Extra Allowance for 1 year Starting 24 September 2025 to 23 September 2026, Employer pension share for November 2025 - 15% - Employee &amp; Employer Pension share calculated on old salary - to be updated in January 2026</t>
  </si>
  <si>
    <t>October 2025 dues</t>
  </si>
  <si>
    <t>2024 Salary adjustment for unpaid days - Computed on 2024 pay, Employer pension share for November 2025 - 09%, Extra Allowance for 1 year Starting 01 August 2025 to 31 July 2026</t>
  </si>
  <si>
    <t>Increment Arrears w.e.f. 23.10.2025, 2024 Salary adjustment for unpaid days - Computed on 2024 pay</t>
  </si>
  <si>
    <t>02-5956</t>
  </si>
  <si>
    <t>Denis Korovin</t>
  </si>
  <si>
    <t>Strategic Planning Senior Specialist (Activation &amp; Product Development)</t>
  </si>
  <si>
    <t>D.O.J. 03.11.2025</t>
  </si>
  <si>
    <t>Abdulla AbdulRahman Mohammad Hamad AlMheiri</t>
  </si>
  <si>
    <t>08-1069</t>
  </si>
  <si>
    <t>Visitor Experience Unit Head</t>
  </si>
  <si>
    <t>D.O.J. 29.10.2025</t>
  </si>
  <si>
    <t>Mahmoud Abdelaziz Ahmed Abdelmaksoud</t>
  </si>
  <si>
    <t>Stephen Robert Cox</t>
  </si>
  <si>
    <t>02-5942</t>
  </si>
  <si>
    <t xml:space="preserve">SM&amp;C Sector Management Director </t>
  </si>
  <si>
    <t>D.O.J. 31.10.2025</t>
  </si>
  <si>
    <t>Naima Chikhi</t>
  </si>
  <si>
    <t>Extra Alllowance adjustment</t>
  </si>
  <si>
    <t>New Joiner adjustment</t>
  </si>
  <si>
    <t>End of Extra Allowance</t>
  </si>
  <si>
    <t>Start of Extra Allowance</t>
  </si>
  <si>
    <t>Added back to Payroll</t>
  </si>
  <si>
    <t>December 2024 Adjustment</t>
  </si>
  <si>
    <t>November Salary Adjustment due to increment</t>
  </si>
  <si>
    <t>02-2613 - Abdulla Yousuf Abdulla Mohammad - Employer pension share for November 2025 - 15%</t>
  </si>
  <si>
    <t>02-2777 - Khulood Al Thani - Increment Arrears w.e.f. 01.09.2025</t>
  </si>
  <si>
    <t>02-2913 - Amna Al Harmoodi - Employer pension share for November 2025 - 15%</t>
  </si>
  <si>
    <t>02-3034 - Iman F A Haidous - Increment Arrears w.e.f. 01.09.2025, Employer pension share for November 2025 - 11%</t>
  </si>
  <si>
    <t>02-3731 - Hamad Ali Khalifa Abdulla Alrumaithi - Employer pension share for October 2025 - 15%</t>
  </si>
  <si>
    <t>02-3810 - Mashael Mohamed Mathkour Al-Ali - Employer pension share for October 2025 - 15%</t>
  </si>
  <si>
    <t>02-3812 - Asma Abdulla Saeed Abunawas Alfalasi - Employer pension share for October 2025 - 15%</t>
  </si>
  <si>
    <t>02-3908 - Dabyah Taha Saleh Ebrahim Juma Al Jenaid - Employer pension share for November 2025 - 14%</t>
  </si>
  <si>
    <t>02-3997 - Seham Salema A Bajammal - 2024 Salary adjustment for unpaid days - Computed on 2024 pay, Employer pension share for November 2025 - 09%, Extra Allowance for 1 year Starting 01 August 2025 to 31 July 2026</t>
  </si>
  <si>
    <t>02-4013 - Khaloud Nasser AlMandhari - Employer pension share for November 2025 - 11%</t>
  </si>
  <si>
    <t>02-4838 - Anwar Salem Ahmed Alragabi Almessabi - Employer pension share for November 2025 - 15%</t>
  </si>
  <si>
    <t>02-4935 - Rowdha Mohamed Askar Ali AlNaqeeb - Employer pension share for November 2025 - 15%</t>
  </si>
  <si>
    <t>02-4955 - Safia Saleh Omar AlJaberi - Employer pension share for October 2025 - 15%</t>
  </si>
  <si>
    <t>02-4996 - Hind Salem Fadhel Ali AlSalmi - Employer pension share for November 2025 - 15% &amp; Extra Allowance for 1 year from 14 July 2025 to 13 July 2026</t>
  </si>
  <si>
    <t>02-5052 - Said Harib Haliman Ali AlAlawi - Employer pension share for November 2025 - 11%</t>
  </si>
  <si>
    <t>02-5179 - Omar Obaid Ateeq Roudah Aldhaheri - Employer pension share for October 2025 - 15%</t>
  </si>
  <si>
    <t>Increment Arrears w.e.f. 01.09.2025 &amp; Extra Allowance</t>
  </si>
  <si>
    <t>Al Nahiya total Salary with Fee</t>
  </si>
  <si>
    <t>DCT Total Cost</t>
  </si>
  <si>
    <t>DCT vs. Al Nahiya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</si>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</sst>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[$AED]\ * #,##0.00_-;\-[$AED]\ * #,##0.00_-;_-[$AED]\ * &quot;-&quot;??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8"/>
      <name val="Verdana"/>
      <family val="2"/>
    </font>
    <font>
      <b/>
      <sz val="8"/>
      <color theme="1" tint="4.9989318521683403E-2"/>
      <name val="Verdana"/>
      <family val="2"/>
    </font>
    <font>
      <sz val="8"/>
      <color theme="1"/>
      <name val="Verdana"/>
      <family val="2"/>
    </font>
    <font>
      <sz val="8"/>
      <color theme="1" tint="4.9989318521683403E-2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  <font>
      <sz val="8"/>
      <color theme="0"/>
      <name val="Verdana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2" borderId="1" applyNumberFormat="0" applyProtection="0">
      <alignment horizontal="left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3" applyNumberFormat="0" applyFill="0" applyAlignment="0" applyProtection="0"/>
    <xf numFmtId="0" fontId="14" fillId="4" borderId="4" applyNumberFormat="0" applyAlignment="0" applyProtection="0"/>
    <xf numFmtId="0" fontId="12" fillId="0" borderId="5" applyNumberFormat="0" applyFill="0" applyAlignment="0" applyProtection="0"/>
    <xf numFmtId="0" fontId="2" fillId="5" borderId="0" applyNumberFormat="0" applyBorder="0" applyAlignment="0" applyProtection="0"/>
  </cellStyleXfs>
  <cellXfs count="112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3" fontId="5" fillId="0" borderId="2" xfId="2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49" fontId="8" fillId="0" borderId="2" xfId="5" applyNumberFormat="1" applyFont="1" applyBorder="1" applyAlignment="1">
      <alignment horizontal="center" vertical="center"/>
    </xf>
    <xf numFmtId="0" fontId="8" fillId="0" borderId="2" xfId="5" applyFont="1" applyBorder="1" applyAlignment="1">
      <alignment horizontal="left" vertical="center"/>
    </xf>
    <xf numFmtId="14" fontId="8" fillId="0" borderId="2" xfId="5" applyNumberFormat="1" applyFont="1" applyBorder="1" applyAlignment="1">
      <alignment horizontal="center" vertical="center"/>
    </xf>
    <xf numFmtId="43" fontId="8" fillId="0" borderId="2" xfId="2" applyFont="1" applyFill="1" applyBorder="1" applyAlignment="1">
      <alignment horizontal="left" vertical="center"/>
    </xf>
    <xf numFmtId="43" fontId="8" fillId="0" borderId="2" xfId="2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49" fontId="8" fillId="0" borderId="2" xfId="5" quotePrefix="1" applyNumberFormat="1" applyFont="1" applyBorder="1" applyAlignment="1">
      <alignment horizontal="center" vertical="center"/>
    </xf>
    <xf numFmtId="49" fontId="9" fillId="0" borderId="2" xfId="5" quotePrefix="1" applyNumberFormat="1" applyFont="1" applyBorder="1" applyAlignment="1">
      <alignment horizontal="center" vertical="center"/>
    </xf>
    <xf numFmtId="0" fontId="9" fillId="0" borderId="2" xfId="5" applyFont="1" applyBorder="1" applyAlignment="1">
      <alignment horizontal="left" vertical="center"/>
    </xf>
    <xf numFmtId="43" fontId="9" fillId="0" borderId="2" xfId="2" applyFont="1" applyFill="1" applyBorder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14" fontId="9" fillId="0" borderId="2" xfId="5" applyNumberFormat="1" applyFont="1" applyBorder="1" applyAlignment="1">
      <alignment horizontal="center" vertical="center"/>
    </xf>
    <xf numFmtId="43" fontId="9" fillId="0" borderId="2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3" borderId="2" xfId="5" applyFont="1" applyFill="1" applyBorder="1" applyAlignment="1">
      <alignment horizontal="center" vertical="center"/>
    </xf>
    <xf numFmtId="49" fontId="10" fillId="3" borderId="2" xfId="5" quotePrefix="1" applyNumberFormat="1" applyFont="1" applyFill="1" applyBorder="1" applyAlignment="1">
      <alignment horizontal="center" vertical="center"/>
    </xf>
    <xf numFmtId="0" fontId="10" fillId="3" borderId="2" xfId="5" applyFont="1" applyFill="1" applyBorder="1" applyAlignment="1">
      <alignment horizontal="left" vertical="center"/>
    </xf>
    <xf numFmtId="43" fontId="10" fillId="3" borderId="2" xfId="2" applyFont="1" applyFill="1" applyBorder="1" applyAlignment="1">
      <alignment horizontal="left" vertical="center"/>
    </xf>
    <xf numFmtId="14" fontId="10" fillId="3" borderId="2" xfId="5" applyNumberFormat="1" applyFont="1" applyFill="1" applyBorder="1" applyAlignment="1">
      <alignment horizontal="center" vertical="center"/>
    </xf>
    <xf numFmtId="43" fontId="10" fillId="3" borderId="2" xfId="2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2" xfId="2" applyFont="1" applyFill="1" applyBorder="1" applyAlignment="1">
      <alignment horizontal="center" vertical="center"/>
    </xf>
    <xf numFmtId="49" fontId="8" fillId="0" borderId="2" xfId="2" applyNumberFormat="1" applyFont="1" applyFill="1" applyBorder="1" applyAlignment="1">
      <alignment horizontal="center" vertical="center"/>
    </xf>
    <xf numFmtId="49" fontId="8" fillId="0" borderId="2" xfId="2" quotePrefix="1" applyNumberFormat="1" applyFont="1" applyFill="1" applyBorder="1" applyAlignment="1">
      <alignment horizontal="center" vertical="center"/>
    </xf>
    <xf numFmtId="49" fontId="9" fillId="0" borderId="2" xfId="2" quotePrefix="1" applyNumberFormat="1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center" vertical="center"/>
    </xf>
    <xf numFmtId="164" fontId="8" fillId="0" borderId="2" xfId="6" applyFont="1" applyFill="1" applyBorder="1" applyAlignment="1">
      <alignment horizontal="left" vertical="center"/>
    </xf>
    <xf numFmtId="164" fontId="8" fillId="0" borderId="2" xfId="6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vertical="center"/>
    </xf>
    <xf numFmtId="165" fontId="6" fillId="3" borderId="2" xfId="3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43" fontId="11" fillId="0" borderId="0" xfId="2" applyFont="1" applyAlignment="1">
      <alignment vertical="center"/>
    </xf>
    <xf numFmtId="43" fontId="6" fillId="3" borderId="2" xfId="2" applyFont="1" applyFill="1" applyBorder="1" applyAlignment="1">
      <alignment vertical="center"/>
    </xf>
    <xf numFmtId="49" fontId="9" fillId="0" borderId="0" xfId="0" applyNumberFormat="1" applyFont="1" applyAlignment="1">
      <alignment vertical="center"/>
    </xf>
    <xf numFmtId="0" fontId="8" fillId="0" borderId="0" xfId="5" applyFont="1" applyAlignment="1">
      <alignment horizontal="center" vertical="center"/>
    </xf>
    <xf numFmtId="49" fontId="8" fillId="0" borderId="0" xfId="5" quotePrefix="1" applyNumberFormat="1" applyFont="1" applyAlignment="1">
      <alignment horizontal="center" vertical="center"/>
    </xf>
    <xf numFmtId="0" fontId="8" fillId="0" borderId="0" xfId="5" applyFont="1" applyAlignment="1">
      <alignment horizontal="left" vertical="center"/>
    </xf>
    <xf numFmtId="14" fontId="8" fillId="0" borderId="0" xfId="5" applyNumberFormat="1" applyFont="1" applyAlignment="1">
      <alignment horizontal="center" vertical="center"/>
    </xf>
    <xf numFmtId="43" fontId="8" fillId="3" borderId="2" xfId="2" applyFont="1" applyFill="1" applyBorder="1" applyAlignment="1">
      <alignment horizontal="center" vertical="center"/>
    </xf>
    <xf numFmtId="43" fontId="12" fillId="6" borderId="0" xfId="2" applyFont="1" applyFill="1"/>
    <xf numFmtId="164" fontId="15" fillId="4" borderId="4" xfId="15" applyNumberFormat="1" applyFont="1"/>
    <xf numFmtId="0" fontId="2" fillId="0" borderId="0" xfId="0" applyFont="1"/>
    <xf numFmtId="43" fontId="2" fillId="0" borderId="0" xfId="2" applyFont="1"/>
    <xf numFmtId="43" fontId="12" fillId="0" borderId="5" xfId="16" applyNumberFormat="1"/>
    <xf numFmtId="43" fontId="16" fillId="5" borderId="0" xfId="17" applyNumberFormat="1" applyFont="1"/>
    <xf numFmtId="43" fontId="12" fillId="0" borderId="6" xfId="16" applyNumberFormat="1" applyBorder="1"/>
    <xf numFmtId="43" fontId="12" fillId="0" borderId="1" xfId="2" applyFont="1" applyBorder="1"/>
    <xf numFmtId="0" fontId="12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43" fontId="4" fillId="0" borderId="1" xfId="2" applyFont="1" applyFill="1" applyBorder="1" applyAlignment="1">
      <alignment horizontal="left" vertical="center" wrapText="1"/>
    </xf>
    <xf numFmtId="43" fontId="4" fillId="0" borderId="1" xfId="2" applyFont="1" applyFill="1" applyBorder="1"/>
    <xf numFmtId="43" fontId="2" fillId="0" borderId="1" xfId="2" applyFont="1" applyBorder="1"/>
    <xf numFmtId="0" fontId="2" fillId="0" borderId="1" xfId="0" applyFont="1" applyBorder="1"/>
    <xf numFmtId="0" fontId="4" fillId="0" borderId="1" xfId="0" applyFont="1" applyBorder="1" applyAlignment="1">
      <alignment vertical="center" wrapText="1"/>
    </xf>
    <xf numFmtId="43" fontId="12" fillId="0" borderId="1" xfId="2" applyFont="1" applyBorder="1" applyAlignment="1"/>
    <xf numFmtId="164" fontId="15" fillId="4" borderId="4" xfId="15" applyNumberFormat="1" applyFont="1" applyAlignment="1"/>
    <xf numFmtId="43" fontId="12" fillId="6" borderId="0" xfId="2" applyFont="1" applyFill="1" applyAlignment="1"/>
    <xf numFmtId="43" fontId="13" fillId="0" borderId="1" xfId="14" applyNumberFormat="1" applyBorder="1"/>
    <xf numFmtId="0" fontId="5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horizontal="left" vertical="center"/>
    </xf>
    <xf numFmtId="14" fontId="6" fillId="0" borderId="2" xfId="5" applyNumberFormat="1" applyFont="1" applyBorder="1" applyAlignment="1">
      <alignment horizontal="center" vertical="center"/>
    </xf>
    <xf numFmtId="43" fontId="6" fillId="0" borderId="2" xfId="2" applyFont="1" applyFill="1" applyBorder="1" applyAlignment="1">
      <alignment horizontal="center" vertical="center"/>
    </xf>
    <xf numFmtId="49" fontId="9" fillId="0" borderId="2" xfId="2" applyNumberFormat="1" applyFont="1" applyFill="1" applyBorder="1" applyAlignment="1">
      <alignment horizontal="center" vertical="center"/>
    </xf>
    <xf numFmtId="0" fontId="4" fillId="8" borderId="1" xfId="5" applyFont="1" applyFill="1" applyBorder="1" applyAlignment="1">
      <alignment horizontal="left" vertical="center" wrapText="1"/>
    </xf>
    <xf numFmtId="43" fontId="4" fillId="8" borderId="1" xfId="2" applyFont="1" applyFill="1" applyBorder="1" applyAlignment="1">
      <alignment horizontal="center" vertical="center"/>
    </xf>
    <xf numFmtId="49" fontId="5" fillId="0" borderId="2" xfId="5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0" fontId="5" fillId="0" borderId="2" xfId="5" applyFont="1" applyBorder="1" applyAlignment="1">
      <alignment vertical="center"/>
    </xf>
    <xf numFmtId="0" fontId="10" fillId="0" borderId="2" xfId="5" applyFont="1" applyBorder="1" applyAlignment="1">
      <alignment horizontal="left" vertical="center"/>
    </xf>
    <xf numFmtId="0" fontId="8" fillId="3" borderId="2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43" fontId="9" fillId="3" borderId="2" xfId="2" applyFont="1" applyFill="1" applyBorder="1" applyAlignment="1">
      <alignment horizontal="left" vertical="center"/>
    </xf>
    <xf numFmtId="43" fontId="8" fillId="3" borderId="2" xfId="2" applyFont="1" applyFill="1" applyBorder="1" applyAlignment="1">
      <alignment horizontal="left" vertical="center"/>
    </xf>
    <xf numFmtId="49" fontId="8" fillId="0" borderId="2" xfId="5" quotePrefix="1" applyNumberFormat="1" applyFont="1" applyBorder="1" applyAlignment="1">
      <alignment horizontal="left" vertical="center"/>
    </xf>
    <xf numFmtId="49" fontId="8" fillId="3" borderId="2" xfId="5" quotePrefix="1" applyNumberFormat="1" applyFont="1" applyFill="1" applyBorder="1" applyAlignment="1">
      <alignment horizontal="left" vertical="center"/>
    </xf>
    <xf numFmtId="0" fontId="10" fillId="0" borderId="0" xfId="5" applyFont="1" applyAlignment="1">
      <alignment horizontal="left" vertical="center"/>
    </xf>
    <xf numFmtId="165" fontId="6" fillId="3" borderId="2" xfId="3" applyNumberFormat="1" applyFont="1" applyFill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165" fontId="6" fillId="0" borderId="2" xfId="3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3" borderId="0" xfId="5" applyFont="1" applyFill="1" applyAlignment="1">
      <alignment horizontal="left" vertical="center"/>
    </xf>
    <xf numFmtId="43" fontId="9" fillId="0" borderId="0" xfId="0" applyNumberFormat="1" applyFont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vertical="center"/>
    </xf>
    <xf numFmtId="43" fontId="7" fillId="8" borderId="0" xfId="0" applyNumberFormat="1" applyFont="1" applyFill="1" applyAlignment="1">
      <alignment vertical="center"/>
    </xf>
    <xf numFmtId="43" fontId="13" fillId="0" borderId="7" xfId="14" applyNumberFormat="1" applyBorder="1" applyAlignment="1">
      <alignment horizontal="left"/>
    </xf>
    <xf numFmtId="43" fontId="13" fillId="0" borderId="8" xfId="14" applyNumberFormat="1" applyBorder="1" applyAlignment="1">
      <alignment horizontal="left"/>
    </xf>
    <xf numFmtId="164" fontId="17" fillId="7" borderId="9" xfId="9" applyFont="1" applyFill="1" applyBorder="1" applyAlignment="1">
      <alignment horizontal="left"/>
    </xf>
    <xf numFmtId="164" fontId="17" fillId="7" borderId="0" xfId="9" applyFont="1" applyFill="1" applyBorder="1" applyAlignment="1">
      <alignment horizontal="left"/>
    </xf>
    <xf numFmtId="43" fontId="16" fillId="5" borderId="10" xfId="17" applyNumberFormat="1" applyFont="1" applyBorder="1" applyAlignment="1">
      <alignment horizontal="left"/>
    </xf>
    <xf numFmtId="43" fontId="7" fillId="8" borderId="0" xfId="2" applyFont="1" applyFill="1" applyAlignment="1">
      <alignment horizontal="center" vertical="center"/>
    </xf>
    <xf numFmtId="43" fontId="9" fillId="0" borderId="0" xfId="2" applyFont="1" applyAlignment="1">
      <alignment vertical="center"/>
    </xf>
    <xf numFmtId="43" fontId="7" fillId="0" borderId="0" xfId="2" applyFont="1" applyAlignment="1">
      <alignment vertical="center"/>
    </xf>
  </cellXfs>
  <cellStyles count="18">
    <cellStyle name="40% - Accent4" xfId="17" builtinId="43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1" xr:uid="{00000000-0005-0000-0000-000000000000}"/>
    <cellStyle name="Comma" xfId="2" builtinId="3"/>
    <cellStyle name="Comma 2" xfId="6" xr:uid="{B9329F66-F143-494A-8F01-1414D4D573F3}"/>
    <cellStyle name="Comma 2 2" xfId="7" xr:uid="{E9B107B4-832A-483B-852D-EF51CEA7702E}"/>
    <cellStyle name="Comma 2 2 2" xfId="9" xr:uid="{200DE0C1-4B1E-4EC3-85D0-CA2E4DBEF30B}"/>
    <cellStyle name="Comma 2 2 2 2" xfId="13" xr:uid="{FF6F43C7-1C5B-445D-A020-A582762BC211}"/>
    <cellStyle name="Comma 2 2 3" xfId="11" xr:uid="{1383EC0E-BE63-44E3-8E27-EABC8DE4C20A}"/>
    <cellStyle name="Comma 2 3" xfId="8" xr:uid="{88991D6C-FDCA-4EAE-AB2C-54E23DF2CAFA}"/>
    <cellStyle name="Comma 2 3 2" xfId="12" xr:uid="{A4053FA6-1C27-48F0-9A98-EA69D8E4A0EA}"/>
    <cellStyle name="Comma 2 4" xfId="10" xr:uid="{2BFC8588-B5B2-46B5-BFBB-04B3AB24DC7B}"/>
    <cellStyle name="Currency" xfId="3" builtinId="4"/>
    <cellStyle name="Heading 2" xfId="14" builtinId="17"/>
    <cellStyle name="Input" xfId="15" builtinId="20"/>
    <cellStyle name="Normal" xfId="0" builtinId="0"/>
    <cellStyle name="Normal 10 2" xfId="4" xr:uid="{00000000-0005-0000-0000-000004000000}"/>
    <cellStyle name="Normal 2" xfId="5" xr:uid="{00000000-0005-0000-0000-000005000000}"/>
    <cellStyle name="Total" xfId="16" builtinId="25"/>
  </cellStyles>
  <dxfs count="10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nahiya-my.sharepoint.com/personal/jatin_alnahiya_com/Documents/Accounts/Payroll/DCT/2025/DCT%20Increments%202025%20-%20September%20Cycle.xlsx" TargetMode="External"/><Relationship Id="rId1" Type="http://schemas.openxmlformats.org/officeDocument/2006/relationships/externalLinkPath" Target="https://alnahiya-my.sharepoint.com/personal/jatin_alnahiya_com/Documents/Accounts/Payroll/DCT/2025/DCT%20Increments%202025%20-%20September%20Cyc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k20669\Downloads\AR-MainMasterDataReportwithEducationExperience-Component1%20-%202025-10-01T063854.702.xlsx" TargetMode="External"/><Relationship Id="rId1" Type="http://schemas.openxmlformats.org/officeDocument/2006/relationships/externalLinkPath" Target="/Users/yk20669/Downloads/AR-MainMasterDataReportwithEducationExperience-Component1%20-%202025-10-01T063854.7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5)"/>
    </sheetNames>
    <sheetDataSet>
      <sheetData sheetId="0">
        <row r="1">
          <cell r="B1" t="str">
            <v>ANG ID</v>
          </cell>
          <cell r="C1" t="str">
            <v>Employee Name</v>
          </cell>
          <cell r="D1" t="str">
            <v>Action Type</v>
          </cell>
          <cell r="E1" t="str">
            <v>Effective Date</v>
          </cell>
          <cell r="F1" t="str">
            <v>Contract Type</v>
          </cell>
          <cell r="G1" t="str">
            <v>Nationality</v>
          </cell>
          <cell r="H1" t="str">
            <v>Current Grade</v>
          </cell>
          <cell r="I1" t="str">
            <v>New Grade</v>
          </cell>
          <cell r="J1" t="str">
            <v>Current Salary</v>
          </cell>
          <cell r="K1" t="str">
            <v>New Salary</v>
          </cell>
          <cell r="L1" t="str">
            <v>Cost</v>
          </cell>
          <cell r="M1" t="str">
            <v>% Increase</v>
          </cell>
          <cell r="N1" t="str">
            <v xml:space="preserve">Department </v>
          </cell>
          <cell r="O1" t="str">
            <v>Sector</v>
          </cell>
          <cell r="P1" t="str">
            <v>Date of Joining</v>
          </cell>
          <cell r="Q1" t="str">
            <v>Current Title</v>
          </cell>
          <cell r="R1" t="str">
            <v>New Title</v>
          </cell>
          <cell r="S1" t="str">
            <v>Agency</v>
          </cell>
          <cell r="T1" t="str">
            <v>Acting Allowance adjustment</v>
          </cell>
          <cell r="U1" t="str">
            <v>November Payroll</v>
          </cell>
          <cell r="V1" t="str">
            <v>New Basic</v>
          </cell>
          <cell r="W1" t="str">
            <v>New Other Allowance</v>
          </cell>
        </row>
        <row r="2">
          <cell r="B2" t="str">
            <v>02-0591</v>
          </cell>
          <cell r="C2" t="str">
            <v>Mohamed Osman El Hassan</v>
          </cell>
          <cell r="D2" t="str">
            <v>Promotion</v>
          </cell>
          <cell r="E2">
            <v>45953</v>
          </cell>
          <cell r="F2" t="str">
            <v>Outsource</v>
          </cell>
          <cell r="G2" t="str">
            <v>Expat</v>
          </cell>
          <cell r="H2" t="str">
            <v>4A</v>
          </cell>
          <cell r="I2" t="str">
            <v>3C</v>
          </cell>
          <cell r="J2">
            <v>20000</v>
          </cell>
          <cell r="K2">
            <v>28375</v>
          </cell>
          <cell r="L2">
            <v>8375</v>
          </cell>
          <cell r="M2">
            <v>0.41875000000000001</v>
          </cell>
          <cell r="N2" t="str">
            <v>Book Fairs &amp; Events</v>
          </cell>
          <cell r="O2" t="str">
            <v>Abu Dhabi Arabic Language Centre</v>
          </cell>
          <cell r="P2">
            <v>42900</v>
          </cell>
          <cell r="Q2" t="str">
            <v>Sponsorships Officer</v>
          </cell>
          <cell r="R2" t="str">
            <v>Sponsorships Senior Officer</v>
          </cell>
          <cell r="S2" t="str">
            <v>Al Nahiya Group</v>
          </cell>
          <cell r="T2">
            <v>0</v>
          </cell>
          <cell r="U2">
            <v>2233.3333333333335</v>
          </cell>
          <cell r="V2">
            <v>11350</v>
          </cell>
          <cell r="W2">
            <v>17025</v>
          </cell>
        </row>
        <row r="3">
          <cell r="B3" t="str">
            <v>02-3746</v>
          </cell>
          <cell r="C3" t="str">
            <v>Chaimaa Ahmed Toumi</v>
          </cell>
          <cell r="D3" t="str">
            <v>Promotion</v>
          </cell>
          <cell r="E3">
            <v>45901</v>
          </cell>
          <cell r="F3" t="str">
            <v>Outsource</v>
          </cell>
          <cell r="G3" t="str">
            <v>Expat</v>
          </cell>
          <cell r="H3" t="str">
            <v>4B</v>
          </cell>
          <cell r="I3" t="str">
            <v>3C</v>
          </cell>
          <cell r="J3">
            <v>22050</v>
          </cell>
          <cell r="K3">
            <v>28375</v>
          </cell>
          <cell r="L3">
            <v>6325</v>
          </cell>
          <cell r="M3">
            <v>0.28684807256235828</v>
          </cell>
          <cell r="N3" t="str">
            <v>Creative Content</v>
          </cell>
          <cell r="O3" t="str">
            <v>Abu Dhabi Arabic Language Centre</v>
          </cell>
          <cell r="P3">
            <v>45078</v>
          </cell>
          <cell r="Q3" t="str">
            <v>Programmes Management Officer</v>
          </cell>
          <cell r="R3" t="str">
            <v>Programmes Management Specialist</v>
          </cell>
          <cell r="S3" t="str">
            <v>Al Nahiya Group</v>
          </cell>
          <cell r="T3">
            <v>0</v>
          </cell>
          <cell r="U3">
            <v>12650</v>
          </cell>
          <cell r="V3">
            <v>11350</v>
          </cell>
          <cell r="W3">
            <v>17025</v>
          </cell>
        </row>
        <row r="4">
          <cell r="B4" t="str">
            <v>02-1792</v>
          </cell>
          <cell r="C4" t="str">
            <v>Fatima Hassan Ahmed</v>
          </cell>
          <cell r="D4" t="str">
            <v>Promotion</v>
          </cell>
          <cell r="E4">
            <v>45953</v>
          </cell>
          <cell r="F4" t="str">
            <v>Outsource</v>
          </cell>
          <cell r="G4" t="str">
            <v>Expat</v>
          </cell>
          <cell r="H4" t="str">
            <v>5A</v>
          </cell>
          <cell r="I4" t="str">
            <v>4C</v>
          </cell>
          <cell r="J4">
            <v>22680</v>
          </cell>
          <cell r="K4">
            <v>24948</v>
          </cell>
          <cell r="L4">
            <v>2268</v>
          </cell>
          <cell r="M4">
            <v>0.1</v>
          </cell>
          <cell r="N4" t="str">
            <v>Historic Environment</v>
          </cell>
          <cell r="O4" t="str">
            <v>Culture</v>
          </cell>
          <cell r="P4">
            <v>43745</v>
          </cell>
          <cell r="Q4" t="str">
            <v>Projects Coordinator</v>
          </cell>
          <cell r="R4" t="str">
            <v>Projects Officer</v>
          </cell>
          <cell r="S4" t="str">
            <v>Al Nahiya Group</v>
          </cell>
          <cell r="T4">
            <v>0</v>
          </cell>
          <cell r="U4">
            <v>604.79999999999995</v>
          </cell>
          <cell r="V4">
            <v>9979.2000000000007</v>
          </cell>
          <cell r="W4">
            <v>14968.8</v>
          </cell>
        </row>
        <row r="5">
          <cell r="B5" t="str">
            <v>02-1295</v>
          </cell>
          <cell r="C5" t="str">
            <v>Esameldin Mohamed Abdesalam</v>
          </cell>
          <cell r="D5" t="str">
            <v>Promotion</v>
          </cell>
          <cell r="E5">
            <v>45953</v>
          </cell>
          <cell r="F5" t="str">
            <v>Outsource</v>
          </cell>
          <cell r="G5" t="str">
            <v>Expat</v>
          </cell>
          <cell r="H5" t="str">
            <v>4A</v>
          </cell>
          <cell r="I5" t="str">
            <v>3C</v>
          </cell>
          <cell r="J5">
            <v>20000</v>
          </cell>
          <cell r="K5">
            <v>28375</v>
          </cell>
          <cell r="L5">
            <v>8375</v>
          </cell>
          <cell r="M5">
            <v>0.41875000000000001</v>
          </cell>
          <cell r="N5" t="str">
            <v>Library Management</v>
          </cell>
          <cell r="O5" t="str">
            <v>Culture</v>
          </cell>
          <cell r="P5">
            <v>43466</v>
          </cell>
          <cell r="Q5" t="str">
            <v>Gifts &amp; Exchange Assistant</v>
          </cell>
          <cell r="R5" t="str">
            <v>Gifts &amp; Exchange Senior Specialist</v>
          </cell>
          <cell r="S5" t="str">
            <v>Al Nahiya Group</v>
          </cell>
          <cell r="T5">
            <v>0</v>
          </cell>
          <cell r="U5">
            <v>2233.3333333333335</v>
          </cell>
          <cell r="V5">
            <v>11350</v>
          </cell>
          <cell r="W5">
            <v>17025</v>
          </cell>
        </row>
        <row r="6">
          <cell r="B6" t="str">
            <v>02-0603</v>
          </cell>
          <cell r="C6" t="str">
            <v>Saleh Hasan Abu Kuhail</v>
          </cell>
          <cell r="D6" t="str">
            <v>Promotion</v>
          </cell>
          <cell r="E6">
            <v>45953</v>
          </cell>
          <cell r="F6" t="str">
            <v>Outsource</v>
          </cell>
          <cell r="G6" t="str">
            <v>Expat</v>
          </cell>
          <cell r="H6" t="str">
            <v>4A</v>
          </cell>
          <cell r="I6" t="str">
            <v>3C</v>
          </cell>
          <cell r="J6">
            <v>28350</v>
          </cell>
          <cell r="K6">
            <v>31185</v>
          </cell>
          <cell r="L6">
            <v>2835</v>
          </cell>
          <cell r="M6">
            <v>0.1</v>
          </cell>
          <cell r="N6" t="str">
            <v>Library Management</v>
          </cell>
          <cell r="O6" t="str">
            <v>Culture</v>
          </cell>
          <cell r="P6">
            <v>42887</v>
          </cell>
          <cell r="Q6" t="str">
            <v>References &amp; Library Education Specialist</v>
          </cell>
          <cell r="R6" t="str">
            <v>References &amp; Library Education Senior Specialist</v>
          </cell>
          <cell r="S6" t="str">
            <v>Al Nahiya Group</v>
          </cell>
          <cell r="T6">
            <v>0</v>
          </cell>
          <cell r="U6">
            <v>756</v>
          </cell>
          <cell r="V6">
            <v>12474</v>
          </cell>
          <cell r="W6">
            <v>18711</v>
          </cell>
        </row>
        <row r="7">
          <cell r="B7" t="str">
            <v>02-1754</v>
          </cell>
          <cell r="C7" t="str">
            <v>Leslie Rocal</v>
          </cell>
          <cell r="D7" t="str">
            <v>Promotion</v>
          </cell>
          <cell r="E7">
            <v>45953</v>
          </cell>
          <cell r="F7" t="str">
            <v>Outsource</v>
          </cell>
          <cell r="G7" t="str">
            <v>Expat</v>
          </cell>
          <cell r="H7" t="str">
            <v>5A</v>
          </cell>
          <cell r="I7" t="str">
            <v>4C</v>
          </cell>
          <cell r="J7">
            <v>20240</v>
          </cell>
          <cell r="K7">
            <v>21252</v>
          </cell>
          <cell r="L7">
            <v>1012</v>
          </cell>
          <cell r="M7">
            <v>0.05</v>
          </cell>
          <cell r="N7" t="str">
            <v>Project Management &amp; Engineering</v>
          </cell>
          <cell r="O7" t="str">
            <v>Office Of Undersecretary</v>
          </cell>
          <cell r="P7">
            <v>43709</v>
          </cell>
          <cell r="Q7" t="str">
            <v>Document Controller</v>
          </cell>
          <cell r="R7" t="str">
            <v xml:space="preserve">Document Control Analyst </v>
          </cell>
          <cell r="S7" t="str">
            <v>Al Nahiya Group</v>
          </cell>
          <cell r="T7">
            <v>0</v>
          </cell>
          <cell r="U7">
            <v>269.86666666666667</v>
          </cell>
          <cell r="V7">
            <v>8500.8000000000011</v>
          </cell>
          <cell r="W7">
            <v>12751.199999999999</v>
          </cell>
        </row>
        <row r="8">
          <cell r="B8" t="str">
            <v>02-1999</v>
          </cell>
          <cell r="C8" t="str">
            <v>Sahil Dhawan</v>
          </cell>
          <cell r="D8" t="str">
            <v>Promotion</v>
          </cell>
          <cell r="E8">
            <v>45901</v>
          </cell>
          <cell r="F8" t="str">
            <v>Outsource</v>
          </cell>
          <cell r="G8" t="str">
            <v>Expat</v>
          </cell>
          <cell r="H8" t="str">
            <v>4B</v>
          </cell>
          <cell r="I8" t="str">
            <v>3C</v>
          </cell>
          <cell r="J8">
            <v>38850</v>
          </cell>
          <cell r="K8">
            <v>42735</v>
          </cell>
          <cell r="L8">
            <v>3885</v>
          </cell>
          <cell r="M8">
            <v>0.1</v>
          </cell>
          <cell r="N8" t="str">
            <v>Data &amp; AI Department</v>
          </cell>
          <cell r="O8" t="str">
            <v>Strategic Affairs</v>
          </cell>
          <cell r="P8">
            <v>44007</v>
          </cell>
          <cell r="Q8" t="str">
            <v>Business Analytics Senior Specialist</v>
          </cell>
          <cell r="R8" t="str">
            <v>Business Analytics Senior Specialist</v>
          </cell>
          <cell r="S8" t="str">
            <v>Al Nahiya Group</v>
          </cell>
          <cell r="T8">
            <v>0</v>
          </cell>
          <cell r="U8">
            <v>7770</v>
          </cell>
          <cell r="V8">
            <v>17094</v>
          </cell>
          <cell r="W8">
            <v>25641</v>
          </cell>
        </row>
        <row r="9">
          <cell r="B9" t="str">
            <v>02-1703</v>
          </cell>
          <cell r="C9" t="str">
            <v>Expedieto Agravante</v>
          </cell>
          <cell r="D9" t="str">
            <v>Promotion</v>
          </cell>
          <cell r="E9">
            <v>45953</v>
          </cell>
          <cell r="F9" t="str">
            <v>Outsource</v>
          </cell>
          <cell r="G9" t="str">
            <v>Expat</v>
          </cell>
          <cell r="H9" t="str">
            <v>4A</v>
          </cell>
          <cell r="I9" t="str">
            <v>3C</v>
          </cell>
          <cell r="J9">
            <v>22950</v>
          </cell>
          <cell r="K9">
            <v>28375</v>
          </cell>
          <cell r="L9">
            <v>5425</v>
          </cell>
          <cell r="M9">
            <v>0.23638344226579522</v>
          </cell>
          <cell r="N9" t="str">
            <v>Finance</v>
          </cell>
          <cell r="O9" t="str">
            <v>Support Services</v>
          </cell>
          <cell r="P9">
            <v>43681</v>
          </cell>
          <cell r="Q9" t="str">
            <v>Fixed Assets Management Accountant</v>
          </cell>
          <cell r="R9" t="str">
            <v>Fixed Assets Management Senior Accountant</v>
          </cell>
          <cell r="S9" t="str">
            <v>Al Nahiya Group</v>
          </cell>
          <cell r="T9">
            <v>0</v>
          </cell>
          <cell r="U9">
            <v>1446.6666666666667</v>
          </cell>
          <cell r="V9">
            <v>11350</v>
          </cell>
          <cell r="W9">
            <v>17025</v>
          </cell>
        </row>
        <row r="10">
          <cell r="B10" t="str">
            <v>02-1478</v>
          </cell>
          <cell r="C10" t="str">
            <v>Tino Belarmino Castillo</v>
          </cell>
          <cell r="D10" t="str">
            <v>Promotion</v>
          </cell>
          <cell r="E10">
            <v>45953</v>
          </cell>
          <cell r="F10" t="str">
            <v>Outsource</v>
          </cell>
          <cell r="G10" t="str">
            <v>Expat</v>
          </cell>
          <cell r="H10" t="str">
            <v>4A</v>
          </cell>
          <cell r="I10" t="str">
            <v>3C</v>
          </cell>
          <cell r="J10">
            <v>24948</v>
          </cell>
          <cell r="K10">
            <v>28375</v>
          </cell>
          <cell r="L10">
            <v>3427</v>
          </cell>
          <cell r="M10">
            <v>0.13736572069905403</v>
          </cell>
          <cell r="N10" t="str">
            <v>People &amp; Performance</v>
          </cell>
          <cell r="O10" t="str">
            <v>Support Services</v>
          </cell>
          <cell r="P10">
            <v>43653</v>
          </cell>
          <cell r="Q10" t="str">
            <v>Employee Relations Specialist</v>
          </cell>
          <cell r="R10" t="str">
            <v>Employee Relations Senior Specialist</v>
          </cell>
          <cell r="S10" t="str">
            <v>Al Nahiya Group</v>
          </cell>
          <cell r="T10">
            <v>0</v>
          </cell>
          <cell r="U10">
            <v>913.86666666666667</v>
          </cell>
          <cell r="V10">
            <v>11350</v>
          </cell>
          <cell r="W10">
            <v>17025</v>
          </cell>
        </row>
        <row r="11">
          <cell r="B11" t="str">
            <v>02-0986</v>
          </cell>
          <cell r="C11" t="str">
            <v>Anas Yousef Alkhun</v>
          </cell>
          <cell r="D11" t="str">
            <v>Promotion</v>
          </cell>
          <cell r="E11">
            <v>45953</v>
          </cell>
          <cell r="F11" t="str">
            <v>Outsource</v>
          </cell>
          <cell r="G11" t="str">
            <v>Expat</v>
          </cell>
          <cell r="H11" t="str">
            <v>4A</v>
          </cell>
          <cell r="I11" t="str">
            <v>3C</v>
          </cell>
          <cell r="J11">
            <v>20000</v>
          </cell>
          <cell r="K11">
            <v>28375</v>
          </cell>
          <cell r="L11">
            <v>8375</v>
          </cell>
          <cell r="M11">
            <v>0.41875000000000001</v>
          </cell>
          <cell r="N11" t="str">
            <v>Supply Management</v>
          </cell>
          <cell r="O11" t="str">
            <v>Support Services</v>
          </cell>
          <cell r="P11">
            <v>43178</v>
          </cell>
          <cell r="Q11" t="str">
            <v>Facilities Management Specialist</v>
          </cell>
          <cell r="R11" t="str">
            <v>Facilities Management Senior Specialist</v>
          </cell>
          <cell r="S11" t="str">
            <v>Al Nahiya Group</v>
          </cell>
          <cell r="T11">
            <v>0</v>
          </cell>
          <cell r="U11">
            <v>2233.3333333333335</v>
          </cell>
          <cell r="V11">
            <v>11350</v>
          </cell>
          <cell r="W11">
            <v>17025</v>
          </cell>
        </row>
        <row r="12">
          <cell r="B12" t="str">
            <v>02-2028</v>
          </cell>
          <cell r="C12" t="str">
            <v>Muhammed Hashim Thangal Kunju</v>
          </cell>
          <cell r="D12" t="str">
            <v>Promotion</v>
          </cell>
          <cell r="E12">
            <v>45953</v>
          </cell>
          <cell r="F12" t="str">
            <v>Outsource</v>
          </cell>
          <cell r="G12" t="str">
            <v>Expat</v>
          </cell>
          <cell r="H12" t="str">
            <v>4A</v>
          </cell>
          <cell r="I12" t="str">
            <v>3C</v>
          </cell>
          <cell r="J12">
            <v>20000</v>
          </cell>
          <cell r="K12">
            <v>28375</v>
          </cell>
          <cell r="L12">
            <v>8375</v>
          </cell>
          <cell r="M12">
            <v>0.41875000000000001</v>
          </cell>
          <cell r="N12" t="str">
            <v>Technology</v>
          </cell>
          <cell r="O12" t="str">
            <v>Support Services</v>
          </cell>
          <cell r="P12">
            <v>43101</v>
          </cell>
          <cell r="Q12" t="str">
            <v>Technical Support Engineer</v>
          </cell>
          <cell r="R12" t="str">
            <v>Technical Support Senior Engineer</v>
          </cell>
          <cell r="S12" t="str">
            <v>Al Nahiya Group</v>
          </cell>
          <cell r="T12">
            <v>0</v>
          </cell>
          <cell r="U12">
            <v>2233.3333333333335</v>
          </cell>
          <cell r="V12">
            <v>11350</v>
          </cell>
          <cell r="W12">
            <v>17025</v>
          </cell>
        </row>
        <row r="13">
          <cell r="B13" t="str">
            <v>02-1245</v>
          </cell>
          <cell r="C13" t="str">
            <v>Mallak Ahmad Etoum</v>
          </cell>
          <cell r="D13" t="str">
            <v>Promotion</v>
          </cell>
          <cell r="E13">
            <v>45953</v>
          </cell>
          <cell r="F13" t="str">
            <v>Outsource</v>
          </cell>
          <cell r="G13" t="str">
            <v>Expat</v>
          </cell>
          <cell r="H13" t="str">
            <v>4A</v>
          </cell>
          <cell r="I13" t="str">
            <v>3C</v>
          </cell>
          <cell r="J13">
            <v>20000</v>
          </cell>
          <cell r="K13">
            <v>28375</v>
          </cell>
          <cell r="L13">
            <v>8375</v>
          </cell>
          <cell r="M13">
            <v>0.41875000000000001</v>
          </cell>
          <cell r="N13" t="str">
            <v>Technology</v>
          </cell>
          <cell r="O13" t="str">
            <v>Support Services</v>
          </cell>
          <cell r="P13">
            <v>43457</v>
          </cell>
          <cell r="Q13" t="str">
            <v>IT Service Desk Agent</v>
          </cell>
          <cell r="R13" t="str">
            <v>Senior IT Service Desk Agent</v>
          </cell>
          <cell r="S13" t="str">
            <v>Al Nahiya Group</v>
          </cell>
          <cell r="T13">
            <v>0</v>
          </cell>
          <cell r="U13">
            <v>2233.3333333333335</v>
          </cell>
          <cell r="V13">
            <v>11350</v>
          </cell>
          <cell r="W13">
            <v>17025</v>
          </cell>
        </row>
        <row r="14">
          <cell r="B14" t="str">
            <v>02-1246</v>
          </cell>
          <cell r="C14" t="str">
            <v>Omar Jehad Mosleh</v>
          </cell>
          <cell r="D14" t="str">
            <v>Promotion</v>
          </cell>
          <cell r="E14">
            <v>45953</v>
          </cell>
          <cell r="F14" t="str">
            <v>Outsource</v>
          </cell>
          <cell r="G14" t="str">
            <v>Expat</v>
          </cell>
          <cell r="H14" t="str">
            <v>4A</v>
          </cell>
          <cell r="I14" t="str">
            <v>3C</v>
          </cell>
          <cell r="J14">
            <v>20000</v>
          </cell>
          <cell r="K14">
            <v>28375</v>
          </cell>
          <cell r="L14">
            <v>8375</v>
          </cell>
          <cell r="M14">
            <v>0.41875000000000001</v>
          </cell>
          <cell r="N14" t="str">
            <v>Technology</v>
          </cell>
          <cell r="O14" t="str">
            <v>Support Services</v>
          </cell>
          <cell r="P14">
            <v>43499</v>
          </cell>
          <cell r="Q14" t="str">
            <v>Technical Support Engineer</v>
          </cell>
          <cell r="R14" t="str">
            <v>Technical Support Senior Engineer</v>
          </cell>
          <cell r="S14" t="str">
            <v>Al Nahiya Group</v>
          </cell>
          <cell r="T14">
            <v>0</v>
          </cell>
          <cell r="U14">
            <v>2233.3333333333335</v>
          </cell>
          <cell r="V14">
            <v>11350</v>
          </cell>
          <cell r="W14">
            <v>17025</v>
          </cell>
        </row>
        <row r="15">
          <cell r="B15" t="str">
            <v>02-3032</v>
          </cell>
          <cell r="C15" t="str">
            <v>Amira Chabbah</v>
          </cell>
          <cell r="D15" t="str">
            <v>Acting Confirmation</v>
          </cell>
          <cell r="E15">
            <v>45901</v>
          </cell>
          <cell r="F15" t="str">
            <v>Outsource</v>
          </cell>
          <cell r="G15" t="str">
            <v>Expat</v>
          </cell>
          <cell r="H15" t="str">
            <v>4B</v>
          </cell>
          <cell r="I15" t="str">
            <v>3C</v>
          </cell>
          <cell r="J15">
            <v>31500</v>
          </cell>
          <cell r="K15">
            <v>34650</v>
          </cell>
          <cell r="L15">
            <v>3150</v>
          </cell>
          <cell r="M15">
            <v>0.1</v>
          </cell>
          <cell r="N15" t="str">
            <v>International Operations</v>
          </cell>
          <cell r="O15" t="str">
            <v>Tourism</v>
          </cell>
          <cell r="P15">
            <v>44881</v>
          </cell>
          <cell r="Q15" t="str">
            <v>Planning &amp; Operations (Middle East &amp; Africa) Executive</v>
          </cell>
          <cell r="R15" t="str">
            <v>Planning &amp; Operations (Middle East &amp; Africa) Senior Executive</v>
          </cell>
          <cell r="S15" t="str">
            <v>Al Nahiya Group</v>
          </cell>
          <cell r="T15">
            <v>4625</v>
          </cell>
          <cell r="U15">
            <v>6300</v>
          </cell>
          <cell r="V15">
            <v>13860</v>
          </cell>
          <cell r="W15">
            <v>20790</v>
          </cell>
        </row>
        <row r="16">
          <cell r="B16" t="str">
            <v>02-1299</v>
          </cell>
          <cell r="C16" t="str">
            <v>Ahad Khateeb Nisar</v>
          </cell>
          <cell r="D16" t="str">
            <v>Promotion</v>
          </cell>
          <cell r="E16">
            <v>45953</v>
          </cell>
          <cell r="F16" t="str">
            <v>Outsource</v>
          </cell>
          <cell r="G16" t="str">
            <v>Expat</v>
          </cell>
          <cell r="H16" t="str">
            <v>4A</v>
          </cell>
          <cell r="I16" t="str">
            <v>3C</v>
          </cell>
          <cell r="J16">
            <v>36722.5</v>
          </cell>
          <cell r="K16">
            <v>38558.75</v>
          </cell>
          <cell r="L16">
            <v>1836.25</v>
          </cell>
          <cell r="M16">
            <v>5.0003403907686025E-2</v>
          </cell>
          <cell r="N16" t="str">
            <v>Licensing &amp; Regulatory Compliance</v>
          </cell>
          <cell r="O16" t="str">
            <v>Tourism</v>
          </cell>
          <cell r="P16">
            <v>43545</v>
          </cell>
          <cell r="Q16" t="str">
            <v>Sector Environment Health &amp; Safety Executive</v>
          </cell>
          <cell r="R16" t="str">
            <v>Sector Environment Health &amp; Safety Senior Executive</v>
          </cell>
          <cell r="S16" t="str">
            <v>Al Nahiya Group</v>
          </cell>
          <cell r="T16">
            <v>0</v>
          </cell>
          <cell r="U16">
            <v>489.66666666666669</v>
          </cell>
          <cell r="V16">
            <v>15423.5</v>
          </cell>
          <cell r="W16">
            <v>23135.25</v>
          </cell>
        </row>
        <row r="17">
          <cell r="B17" t="str">
            <v>02-2405</v>
          </cell>
          <cell r="C17" t="str">
            <v>Grainne Treise Murphy</v>
          </cell>
          <cell r="D17" t="str">
            <v>Salary Increment</v>
          </cell>
          <cell r="E17">
            <v>45901</v>
          </cell>
          <cell r="F17" t="str">
            <v>Outsource</v>
          </cell>
          <cell r="G17" t="str">
            <v>Expat</v>
          </cell>
          <cell r="H17" t="str">
            <v>3A</v>
          </cell>
          <cell r="I17" t="str">
            <v>3A</v>
          </cell>
          <cell r="J17">
            <v>36813</v>
          </cell>
          <cell r="K17">
            <v>42334.95</v>
          </cell>
          <cell r="L17">
            <v>5521.9499999999971</v>
          </cell>
          <cell r="M17">
            <v>0.15</v>
          </cell>
          <cell r="N17" t="str">
            <v>Planning, Strategy &amp; Operations</v>
          </cell>
          <cell r="O17" t="str">
            <v>Strategic Marketing &amp; Communication</v>
          </cell>
          <cell r="P17">
            <v>44594</v>
          </cell>
          <cell r="Q17" t="str">
            <v>Celebrities &amp; VIPs Management Unit Head</v>
          </cell>
          <cell r="R17" t="str">
            <v>Celebrities &amp; VIPs Management Unit Head</v>
          </cell>
          <cell r="S17" t="str">
            <v>Al Nahiya Group</v>
          </cell>
          <cell r="T17">
            <v>0</v>
          </cell>
          <cell r="U17">
            <v>11043.899999999994</v>
          </cell>
          <cell r="V17">
            <v>16933.98</v>
          </cell>
          <cell r="W17">
            <v>25400.969999999998</v>
          </cell>
        </row>
        <row r="18">
          <cell r="B18" t="str">
            <v>02-1347</v>
          </cell>
          <cell r="C18" t="str">
            <v>Noura Nadim Kahil</v>
          </cell>
          <cell r="D18" t="str">
            <v>Salary Increment</v>
          </cell>
          <cell r="E18">
            <v>45901</v>
          </cell>
          <cell r="F18" t="str">
            <v>Outsource</v>
          </cell>
          <cell r="G18" t="str">
            <v>Expat</v>
          </cell>
          <cell r="H18" t="str">
            <v>3A</v>
          </cell>
          <cell r="I18" t="str">
            <v>3A</v>
          </cell>
          <cell r="J18">
            <v>59616</v>
          </cell>
          <cell r="K18">
            <v>68558.399999999994</v>
          </cell>
          <cell r="L18">
            <v>8942.3999999999942</v>
          </cell>
          <cell r="M18">
            <v>0.15</v>
          </cell>
          <cell r="N18" t="str">
            <v>Abu Dhabi Events Bureau</v>
          </cell>
          <cell r="O18" t="str">
            <v>Tourism</v>
          </cell>
          <cell r="P18">
            <v>43583</v>
          </cell>
          <cell r="Q18" t="str">
            <v>Combat Sports Unit Head</v>
          </cell>
          <cell r="R18" t="str">
            <v>Combat Sports Unit Head</v>
          </cell>
          <cell r="S18" t="str">
            <v>Al Nahiya Group</v>
          </cell>
          <cell r="T18">
            <v>0</v>
          </cell>
          <cell r="U18">
            <v>17884.799999999988</v>
          </cell>
          <cell r="V18">
            <v>27423.360000000001</v>
          </cell>
          <cell r="W18">
            <v>41135.039999999994</v>
          </cell>
        </row>
        <row r="19">
          <cell r="B19" t="str">
            <v>02-2043</v>
          </cell>
          <cell r="C19" t="str">
            <v>Khalil Mohammed Alshaikh</v>
          </cell>
          <cell r="D19" t="str">
            <v>Sub-Grade</v>
          </cell>
          <cell r="E19">
            <v>45901</v>
          </cell>
          <cell r="F19" t="str">
            <v>Outsource</v>
          </cell>
          <cell r="G19" t="str">
            <v>Expat</v>
          </cell>
          <cell r="H19" t="str">
            <v>1B</v>
          </cell>
          <cell r="I19" t="str">
            <v>1A</v>
          </cell>
          <cell r="J19">
            <v>88200</v>
          </cell>
          <cell r="K19">
            <v>92610</v>
          </cell>
          <cell r="L19">
            <v>4410</v>
          </cell>
          <cell r="M19">
            <v>0.05</v>
          </cell>
          <cell r="N19" t="str">
            <v>Arabic Language Education &amp; Research</v>
          </cell>
          <cell r="O19" t="str">
            <v>Abu Dhabi Arabic Language Centre</v>
          </cell>
          <cell r="P19">
            <v>44069</v>
          </cell>
          <cell r="Q19" t="str">
            <v>Arabic Language Education &amp; Research Department Director</v>
          </cell>
          <cell r="R19" t="str">
            <v>Arabic Language Education &amp; Research Department Director</v>
          </cell>
          <cell r="S19" t="str">
            <v>Al Nahiya Group</v>
          </cell>
          <cell r="T19">
            <v>0</v>
          </cell>
          <cell r="U19">
            <v>8820</v>
          </cell>
          <cell r="V19">
            <v>37044</v>
          </cell>
          <cell r="W19">
            <v>55566</v>
          </cell>
        </row>
        <row r="20">
          <cell r="B20" t="str">
            <v>02-2817</v>
          </cell>
          <cell r="C20" t="str">
            <v>Khaled Hussein Dalky</v>
          </cell>
          <cell r="D20" t="str">
            <v>Sub-Grade</v>
          </cell>
          <cell r="E20">
            <v>45901</v>
          </cell>
          <cell r="F20" t="str">
            <v>Outsource</v>
          </cell>
          <cell r="G20" t="str">
            <v>Expat</v>
          </cell>
          <cell r="H20" t="str">
            <v>3B</v>
          </cell>
          <cell r="I20" t="str">
            <v>3A</v>
          </cell>
          <cell r="J20">
            <v>36750</v>
          </cell>
          <cell r="K20">
            <v>38587.5</v>
          </cell>
          <cell r="L20">
            <v>1837.5</v>
          </cell>
          <cell r="M20">
            <v>0.05</v>
          </cell>
          <cell r="N20" t="str">
            <v>Arabic Language Education &amp; Research</v>
          </cell>
          <cell r="O20" t="str">
            <v>Abu Dhabi Arabic Language Centre</v>
          </cell>
          <cell r="P20">
            <v>44806</v>
          </cell>
          <cell r="Q20" t="str">
            <v>Arabic Language Examination Unit Head</v>
          </cell>
          <cell r="R20" t="str">
            <v>Arabic Language Examination Unit Head</v>
          </cell>
          <cell r="S20" t="str">
            <v>Al Nahiya Group</v>
          </cell>
          <cell r="T20">
            <v>0</v>
          </cell>
          <cell r="U20">
            <v>3675</v>
          </cell>
          <cell r="V20">
            <v>15435</v>
          </cell>
          <cell r="W20">
            <v>23152.5</v>
          </cell>
        </row>
        <row r="21">
          <cell r="B21" t="str">
            <v>02-1145</v>
          </cell>
          <cell r="C21" t="str">
            <v>Mohamed Yakoub Hamouda</v>
          </cell>
          <cell r="D21" t="str">
            <v>Sub-Grade</v>
          </cell>
          <cell r="E21">
            <v>45901</v>
          </cell>
          <cell r="F21" t="str">
            <v>Outsource</v>
          </cell>
          <cell r="G21" t="str">
            <v>Expat</v>
          </cell>
          <cell r="H21" t="str">
            <v>3B</v>
          </cell>
          <cell r="I21" t="str">
            <v>3A</v>
          </cell>
          <cell r="J21">
            <v>28375</v>
          </cell>
          <cell r="K21">
            <v>29793.75</v>
          </cell>
          <cell r="L21">
            <v>1418.75</v>
          </cell>
          <cell r="M21">
            <v>0.05</v>
          </cell>
          <cell r="N21" t="str">
            <v>Book Fairs &amp; Events</v>
          </cell>
          <cell r="O21" t="str">
            <v>Abu Dhabi Arabic Language Centre</v>
          </cell>
          <cell r="P21">
            <v>43394</v>
          </cell>
          <cell r="Q21" t="str">
            <v>Business Development &amp; Sales Specialist - Publishing</v>
          </cell>
          <cell r="R21" t="str">
            <v>Business Development &amp; Sales Specialist - Publishing</v>
          </cell>
          <cell r="S21" t="str">
            <v>Al Nahiya Group</v>
          </cell>
          <cell r="T21">
            <v>0</v>
          </cell>
          <cell r="U21">
            <v>2837.5</v>
          </cell>
          <cell r="V21">
            <v>11917.5</v>
          </cell>
          <cell r="W21">
            <v>17876.25</v>
          </cell>
        </row>
        <row r="22">
          <cell r="B22" t="str">
            <v>02-1181</v>
          </cell>
          <cell r="C22" t="str">
            <v>Afaf Rady Elsayed</v>
          </cell>
          <cell r="D22" t="str">
            <v>Sub-Grade</v>
          </cell>
          <cell r="E22">
            <v>45901</v>
          </cell>
          <cell r="F22" t="str">
            <v>Outsource</v>
          </cell>
          <cell r="G22" t="str">
            <v>Expat</v>
          </cell>
          <cell r="H22" t="str">
            <v>3C</v>
          </cell>
          <cell r="I22" t="str">
            <v>3B</v>
          </cell>
          <cell r="J22">
            <v>31212.5</v>
          </cell>
          <cell r="K22">
            <v>32773.25</v>
          </cell>
          <cell r="L22">
            <v>1560.75</v>
          </cell>
          <cell r="M22">
            <v>5.0004004805766923E-2</v>
          </cell>
          <cell r="N22" t="str">
            <v>Book Fairs &amp; Events</v>
          </cell>
          <cell r="O22" t="str">
            <v>Abu Dhabi Arabic Language Centre</v>
          </cell>
          <cell r="P22">
            <v>43410</v>
          </cell>
          <cell r="Q22" t="str">
            <v>Business Development &amp; Sales – Book Fairs Specialist</v>
          </cell>
          <cell r="R22" t="str">
            <v>Business Development &amp; Sales – Book Fairs Specialist</v>
          </cell>
          <cell r="S22" t="str">
            <v>Al Nahiya Group</v>
          </cell>
          <cell r="T22">
            <v>0</v>
          </cell>
          <cell r="U22">
            <v>3121.5</v>
          </cell>
          <cell r="V22">
            <v>13109.300000000001</v>
          </cell>
          <cell r="W22">
            <v>19663.95</v>
          </cell>
        </row>
        <row r="23">
          <cell r="B23" t="str">
            <v>02-1300</v>
          </cell>
          <cell r="C23" t="str">
            <v>Ahmed Ezzdin Shlibak</v>
          </cell>
          <cell r="D23" t="str">
            <v>Sub-Grade</v>
          </cell>
          <cell r="E23">
            <v>45901</v>
          </cell>
          <cell r="F23" t="str">
            <v>Outsource</v>
          </cell>
          <cell r="G23" t="str">
            <v>Expat</v>
          </cell>
          <cell r="H23" t="str">
            <v>3C</v>
          </cell>
          <cell r="I23" t="str">
            <v>3B</v>
          </cell>
          <cell r="J23">
            <v>35420</v>
          </cell>
          <cell r="K23">
            <v>37191</v>
          </cell>
          <cell r="L23">
            <v>1771</v>
          </cell>
          <cell r="M23">
            <v>0.05</v>
          </cell>
          <cell r="N23" t="str">
            <v>Book Fairs &amp; Events</v>
          </cell>
          <cell r="O23" t="str">
            <v>Abu Dhabi Arabic Language Centre</v>
          </cell>
          <cell r="P23">
            <v>43541</v>
          </cell>
          <cell r="Q23" t="str">
            <v>Exhibitor Relations Specialist</v>
          </cell>
          <cell r="R23" t="str">
            <v>Exhibitor Relations Specialist</v>
          </cell>
          <cell r="S23" t="str">
            <v>Al Nahiya Group</v>
          </cell>
          <cell r="T23">
            <v>0</v>
          </cell>
          <cell r="U23">
            <v>3542</v>
          </cell>
          <cell r="V23">
            <v>14876.400000000001</v>
          </cell>
          <cell r="W23">
            <v>22314.6</v>
          </cell>
        </row>
        <row r="24">
          <cell r="B24" t="str">
            <v>02-2949</v>
          </cell>
          <cell r="C24" t="str">
            <v>Maryam Abdulkarim Balfageih</v>
          </cell>
          <cell r="D24" t="str">
            <v>Sub-Grade</v>
          </cell>
          <cell r="E24">
            <v>45901</v>
          </cell>
          <cell r="F24" t="str">
            <v>Outsource</v>
          </cell>
          <cell r="G24" t="str">
            <v>Expat</v>
          </cell>
          <cell r="H24" t="str">
            <v>3B</v>
          </cell>
          <cell r="I24" t="str">
            <v>3A</v>
          </cell>
          <cell r="J24">
            <v>28375</v>
          </cell>
          <cell r="K24">
            <v>31212.5</v>
          </cell>
          <cell r="L24">
            <v>2837.5</v>
          </cell>
          <cell r="M24">
            <v>0.1</v>
          </cell>
          <cell r="N24" t="str">
            <v>Book Fairs &amp; Events</v>
          </cell>
          <cell r="O24" t="str">
            <v>Abu Dhabi Arabic Language Centre</v>
          </cell>
          <cell r="P24">
            <v>44865</v>
          </cell>
          <cell r="Q24" t="str">
            <v>Programme Management  Specialist</v>
          </cell>
          <cell r="R24" t="str">
            <v>Programme Management  Specialist</v>
          </cell>
          <cell r="S24" t="str">
            <v>Al Nahiya Group</v>
          </cell>
          <cell r="T24">
            <v>0</v>
          </cell>
          <cell r="U24">
            <v>5675</v>
          </cell>
          <cell r="V24">
            <v>12485</v>
          </cell>
          <cell r="W24">
            <v>18727.5</v>
          </cell>
        </row>
        <row r="25">
          <cell r="B25" t="str">
            <v>02-0977</v>
          </cell>
          <cell r="C25" t="str">
            <v>Zainah Meshal Abusido</v>
          </cell>
          <cell r="D25" t="str">
            <v>Sub-Grade</v>
          </cell>
          <cell r="E25">
            <v>45901</v>
          </cell>
          <cell r="F25" t="str">
            <v>Outsource</v>
          </cell>
          <cell r="G25" t="str">
            <v>Expat</v>
          </cell>
          <cell r="H25" t="str">
            <v>3B</v>
          </cell>
          <cell r="I25" t="str">
            <v>3A</v>
          </cell>
          <cell r="J25">
            <v>35000</v>
          </cell>
          <cell r="K25">
            <v>36750</v>
          </cell>
          <cell r="L25">
            <v>1750</v>
          </cell>
          <cell r="M25">
            <v>0.05</v>
          </cell>
          <cell r="N25" t="str">
            <v>Literature Awards</v>
          </cell>
          <cell r="O25" t="str">
            <v>Abu Dhabi Arabic Language Centre</v>
          </cell>
          <cell r="P25">
            <v>43165</v>
          </cell>
          <cell r="Q25" t="str">
            <v>International Outreach &amp; Partnerships Lead</v>
          </cell>
          <cell r="R25" t="str">
            <v>International Outreach &amp; Partnerships Lead</v>
          </cell>
          <cell r="S25" t="str">
            <v>Al Nahiya Group</v>
          </cell>
          <cell r="T25">
            <v>0</v>
          </cell>
          <cell r="U25">
            <v>3500</v>
          </cell>
          <cell r="V25">
            <v>14700</v>
          </cell>
          <cell r="W25">
            <v>22050</v>
          </cell>
        </row>
        <row r="26">
          <cell r="B26" t="str">
            <v>02-1331</v>
          </cell>
          <cell r="C26" t="str">
            <v>Rahmah Hasan Al Abidi</v>
          </cell>
          <cell r="D26" t="str">
            <v>Sub-Grade</v>
          </cell>
          <cell r="E26">
            <v>45901</v>
          </cell>
          <cell r="F26" t="str">
            <v>Outsource</v>
          </cell>
          <cell r="G26" t="str">
            <v>Expat</v>
          </cell>
          <cell r="H26" t="str">
            <v>3B</v>
          </cell>
          <cell r="I26" t="str">
            <v>3A</v>
          </cell>
          <cell r="J26">
            <v>28375</v>
          </cell>
          <cell r="K26">
            <v>29793.75</v>
          </cell>
          <cell r="L26">
            <v>1418.75</v>
          </cell>
          <cell r="M26">
            <v>0.05</v>
          </cell>
          <cell r="N26" t="str">
            <v>Literature Awards</v>
          </cell>
          <cell r="O26" t="str">
            <v>Abu Dhabi Arabic Language Centre</v>
          </cell>
          <cell r="P26">
            <v>43556</v>
          </cell>
          <cell r="Q26" t="str">
            <v>Regional Outreach &amp; Partnerships Specialist</v>
          </cell>
          <cell r="R26" t="str">
            <v>Regional Outreach &amp; Partnerships Specialist</v>
          </cell>
          <cell r="S26" t="str">
            <v>Al Nahiya Group</v>
          </cell>
          <cell r="T26">
            <v>0</v>
          </cell>
          <cell r="U26">
            <v>2837.5</v>
          </cell>
          <cell r="V26">
            <v>11917.5</v>
          </cell>
          <cell r="W26">
            <v>17876.25</v>
          </cell>
        </row>
        <row r="27">
          <cell r="B27" t="str">
            <v>02-1709</v>
          </cell>
          <cell r="C27" t="str">
            <v>Majd Shat</v>
          </cell>
          <cell r="D27" t="str">
            <v>Sub-Grade</v>
          </cell>
          <cell r="E27">
            <v>45901</v>
          </cell>
          <cell r="F27" t="str">
            <v>Outsource</v>
          </cell>
          <cell r="G27" t="str">
            <v>Expat</v>
          </cell>
          <cell r="H27" t="str">
            <v>4B</v>
          </cell>
          <cell r="I27" t="str">
            <v>4A</v>
          </cell>
          <cell r="J27">
            <v>20212.5</v>
          </cell>
          <cell r="K27">
            <v>21223.25</v>
          </cell>
          <cell r="L27">
            <v>1010.75</v>
          </cell>
          <cell r="M27">
            <v>5.0006184291898577E-2</v>
          </cell>
          <cell r="N27" t="str">
            <v>Literature Awards</v>
          </cell>
          <cell r="O27" t="str">
            <v>Abu Dhabi Arabic Language Centre</v>
          </cell>
          <cell r="P27">
            <v>43683</v>
          </cell>
          <cell r="Q27" t="str">
            <v>Nominations Specialist</v>
          </cell>
          <cell r="R27" t="str">
            <v>Nominations Specialist</v>
          </cell>
          <cell r="S27" t="str">
            <v>Al Nahiya Group</v>
          </cell>
          <cell r="T27">
            <v>0</v>
          </cell>
          <cell r="U27">
            <v>2021.5</v>
          </cell>
          <cell r="V27">
            <v>8489.3000000000011</v>
          </cell>
          <cell r="W27">
            <v>12733.949999999999</v>
          </cell>
        </row>
        <row r="28">
          <cell r="B28" t="str">
            <v>02-3678</v>
          </cell>
          <cell r="C28" t="str">
            <v>Malek Abu Ageel</v>
          </cell>
          <cell r="D28" t="str">
            <v>Sub-Grade</v>
          </cell>
          <cell r="E28">
            <v>45901</v>
          </cell>
          <cell r="F28" t="str">
            <v>Outsource</v>
          </cell>
          <cell r="G28" t="str">
            <v>Expat</v>
          </cell>
          <cell r="H28" t="str">
            <v>2B</v>
          </cell>
          <cell r="I28" t="str">
            <v>2A</v>
          </cell>
          <cell r="J28">
            <v>46200</v>
          </cell>
          <cell r="K28">
            <v>48510</v>
          </cell>
          <cell r="L28">
            <v>2310</v>
          </cell>
          <cell r="M28">
            <v>0.05</v>
          </cell>
          <cell r="N28" t="str">
            <v>Marketing &amp; Communications</v>
          </cell>
          <cell r="O28" t="str">
            <v>Abu Dhabi Arabic Language Centre</v>
          </cell>
          <cell r="P28">
            <v>44313</v>
          </cell>
          <cell r="Q28" t="str">
            <v>Digital Marketing and Analytics Section Head</v>
          </cell>
          <cell r="R28" t="str">
            <v>Digital Marketing and Analytics Section Head</v>
          </cell>
          <cell r="S28" t="str">
            <v>Al Nahiya Group</v>
          </cell>
          <cell r="T28">
            <v>0</v>
          </cell>
          <cell r="U28">
            <v>4620</v>
          </cell>
          <cell r="V28">
            <v>19404</v>
          </cell>
          <cell r="W28">
            <v>29106</v>
          </cell>
        </row>
        <row r="29">
          <cell r="B29" t="str">
            <v>02-3837</v>
          </cell>
          <cell r="C29" t="str">
            <v>Hamza Shafiq Alqum</v>
          </cell>
          <cell r="D29" t="str">
            <v>Sub-Grade</v>
          </cell>
          <cell r="E29">
            <v>45901</v>
          </cell>
          <cell r="F29" t="str">
            <v>Outsource</v>
          </cell>
          <cell r="G29" t="str">
            <v>Expat</v>
          </cell>
          <cell r="H29" t="str">
            <v>3B</v>
          </cell>
          <cell r="I29" t="str">
            <v>3A</v>
          </cell>
          <cell r="J29">
            <v>38500</v>
          </cell>
          <cell r="K29">
            <v>40425</v>
          </cell>
          <cell r="L29">
            <v>1925</v>
          </cell>
          <cell r="M29">
            <v>0.05</v>
          </cell>
          <cell r="N29" t="str">
            <v>Marketing &amp; Communications</v>
          </cell>
          <cell r="O29" t="str">
            <v>Abu Dhabi Arabic Language Centre</v>
          </cell>
          <cell r="P29">
            <v>45113</v>
          </cell>
          <cell r="Q29" t="str">
            <v>Social Media Management Unit Head</v>
          </cell>
          <cell r="R29" t="str">
            <v>Social Media Management Unit Head</v>
          </cell>
          <cell r="S29" t="str">
            <v>Al Nahiya Group</v>
          </cell>
          <cell r="T29">
            <v>0</v>
          </cell>
          <cell r="U29">
            <v>3850</v>
          </cell>
          <cell r="V29">
            <v>16170</v>
          </cell>
          <cell r="W29">
            <v>24255</v>
          </cell>
        </row>
        <row r="30">
          <cell r="B30" t="str">
            <v>02-2816</v>
          </cell>
          <cell r="C30" t="str">
            <v>Andrawes Snobar</v>
          </cell>
          <cell r="D30" t="str">
            <v>Sub-Grade</v>
          </cell>
          <cell r="E30">
            <v>45901</v>
          </cell>
          <cell r="F30" t="str">
            <v>Outsource</v>
          </cell>
          <cell r="G30" t="str">
            <v>Expat</v>
          </cell>
          <cell r="H30" t="str">
            <v>2B</v>
          </cell>
          <cell r="I30" t="str">
            <v>2A</v>
          </cell>
          <cell r="J30">
            <v>52920</v>
          </cell>
          <cell r="K30">
            <v>58212</v>
          </cell>
          <cell r="L30">
            <v>5292</v>
          </cell>
          <cell r="M30">
            <v>0.1</v>
          </cell>
          <cell r="N30" t="str">
            <v>Strategic Planning Office - ALC</v>
          </cell>
          <cell r="O30" t="str">
            <v>Abu Dhabi Arabic Language Centre</v>
          </cell>
          <cell r="P30">
            <v>44831</v>
          </cell>
          <cell r="Q30" t="str">
            <v>Strategy &amp; Growth Management Section Head</v>
          </cell>
          <cell r="R30" t="str">
            <v>Strategy &amp; Growth Management Section Head</v>
          </cell>
          <cell r="S30" t="str">
            <v>Al Nahiya Group</v>
          </cell>
          <cell r="T30">
            <v>0</v>
          </cell>
          <cell r="U30">
            <v>10584</v>
          </cell>
          <cell r="V30">
            <v>23284.800000000003</v>
          </cell>
          <cell r="W30">
            <v>34927.199999999997</v>
          </cell>
        </row>
        <row r="31">
          <cell r="B31" t="str">
            <v>02-2841</v>
          </cell>
          <cell r="C31" t="str">
            <v>Yanal Alshaban</v>
          </cell>
          <cell r="D31" t="str">
            <v>Sub-Grade</v>
          </cell>
          <cell r="E31">
            <v>45901</v>
          </cell>
          <cell r="F31" t="str">
            <v>Outsource</v>
          </cell>
          <cell r="G31" t="str">
            <v>Expat</v>
          </cell>
          <cell r="H31" t="str">
            <v>3C</v>
          </cell>
          <cell r="I31" t="str">
            <v>3B</v>
          </cell>
          <cell r="J31">
            <v>35000</v>
          </cell>
          <cell r="K31">
            <v>36750</v>
          </cell>
          <cell r="L31">
            <v>1750</v>
          </cell>
          <cell r="M31">
            <v>0.05</v>
          </cell>
          <cell r="N31" t="str">
            <v>Strategic Planning Office - ALC</v>
          </cell>
          <cell r="O31" t="str">
            <v>Abu Dhabi Arabic Language Centre</v>
          </cell>
          <cell r="P31">
            <v>44325</v>
          </cell>
          <cell r="Q31" t="str">
            <v>Performance &amp; Process Management Unit Head</v>
          </cell>
          <cell r="R31" t="str">
            <v>Performance &amp; Process Management Unit Head</v>
          </cell>
          <cell r="S31" t="str">
            <v>Al Nahiya Group</v>
          </cell>
          <cell r="T31">
            <v>0</v>
          </cell>
          <cell r="U31">
            <v>3500</v>
          </cell>
          <cell r="V31">
            <v>14700</v>
          </cell>
          <cell r="W31">
            <v>22050</v>
          </cell>
        </row>
        <row r="32">
          <cell r="B32" t="str">
            <v>02-3726</v>
          </cell>
          <cell r="C32" t="str">
            <v>Ciaran Costello</v>
          </cell>
          <cell r="D32" t="str">
            <v>Sub-Grade</v>
          </cell>
          <cell r="E32">
            <v>45901</v>
          </cell>
          <cell r="F32" t="str">
            <v>Outsource</v>
          </cell>
          <cell r="G32" t="str">
            <v>Expat</v>
          </cell>
          <cell r="H32" t="str">
            <v>3B</v>
          </cell>
          <cell r="I32" t="str">
            <v>3A</v>
          </cell>
          <cell r="J32">
            <v>55676.25</v>
          </cell>
          <cell r="K32">
            <v>58460</v>
          </cell>
          <cell r="L32">
            <v>2783.75</v>
          </cell>
          <cell r="M32">
            <v>4.9998877438764286E-2</v>
          </cell>
          <cell r="N32" t="str">
            <v>Culture Sector Policy and Development Office</v>
          </cell>
          <cell r="O32" t="str">
            <v>Culture</v>
          </cell>
          <cell r="P32">
            <v>45078</v>
          </cell>
          <cell r="Q32" t="str">
            <v>Project Manager Capital Projects</v>
          </cell>
          <cell r="R32" t="str">
            <v>Project Manager Capital Projects</v>
          </cell>
          <cell r="S32" t="str">
            <v>Al Nahiya Group</v>
          </cell>
          <cell r="T32">
            <v>0</v>
          </cell>
          <cell r="U32">
            <v>5567.5</v>
          </cell>
          <cell r="V32">
            <v>23384</v>
          </cell>
          <cell r="W32">
            <v>35076</v>
          </cell>
        </row>
        <row r="33">
          <cell r="B33" t="str">
            <v>02-3595</v>
          </cell>
          <cell r="C33" t="str">
            <v>Nader Monir</v>
          </cell>
          <cell r="D33" t="str">
            <v>Sub-Grade</v>
          </cell>
          <cell r="E33">
            <v>45901</v>
          </cell>
          <cell r="F33" t="str">
            <v>Outsource</v>
          </cell>
          <cell r="G33" t="str">
            <v>Expat</v>
          </cell>
          <cell r="H33" t="str">
            <v>3B</v>
          </cell>
          <cell r="I33" t="str">
            <v>3A</v>
          </cell>
          <cell r="J33">
            <v>36750</v>
          </cell>
          <cell r="K33">
            <v>38587.5</v>
          </cell>
          <cell r="L33">
            <v>1837.5</v>
          </cell>
          <cell r="M33">
            <v>0.05</v>
          </cell>
          <cell r="N33" t="str">
            <v>Culture Sector Policy and Development Office</v>
          </cell>
          <cell r="O33" t="str">
            <v>Culture</v>
          </cell>
          <cell r="P33">
            <v>44985</v>
          </cell>
          <cell r="Q33" t="str">
            <v>Culture PMO Lead</v>
          </cell>
          <cell r="R33" t="str">
            <v>Culture PMO Lead</v>
          </cell>
          <cell r="S33" t="str">
            <v>Al Nahiya Group</v>
          </cell>
          <cell r="T33">
            <v>0</v>
          </cell>
          <cell r="U33">
            <v>3675</v>
          </cell>
          <cell r="V33">
            <v>15435</v>
          </cell>
          <cell r="W33">
            <v>23152.5</v>
          </cell>
        </row>
        <row r="34">
          <cell r="B34" t="str">
            <v>02-1008</v>
          </cell>
          <cell r="C34" t="str">
            <v>Rabi Georges</v>
          </cell>
          <cell r="D34" t="str">
            <v>Salary Increment</v>
          </cell>
          <cell r="E34">
            <v>45901</v>
          </cell>
          <cell r="F34" t="str">
            <v>Outsource</v>
          </cell>
          <cell r="G34" t="str">
            <v>Expat</v>
          </cell>
          <cell r="H34" t="str">
            <v>4A</v>
          </cell>
          <cell r="I34" t="str">
            <v>4A</v>
          </cell>
          <cell r="J34">
            <v>42842.75</v>
          </cell>
          <cell r="K34">
            <v>44985</v>
          </cell>
          <cell r="L34">
            <v>2142.25</v>
          </cell>
          <cell r="M34">
            <v>5.0002625881858657E-2</v>
          </cell>
          <cell r="N34" t="str">
            <v>Culture Sites Management</v>
          </cell>
          <cell r="O34" t="str">
            <v>Culture</v>
          </cell>
          <cell r="P34">
            <v>43192</v>
          </cell>
          <cell r="Q34" t="str">
            <v>Artists-In-Residence Programme Specialist</v>
          </cell>
          <cell r="R34" t="str">
            <v>Artists-In-Residence Programme Specialist</v>
          </cell>
          <cell r="S34" t="str">
            <v>Al Nahiya Group</v>
          </cell>
          <cell r="T34">
            <v>0</v>
          </cell>
          <cell r="U34">
            <v>4284.5</v>
          </cell>
          <cell r="V34">
            <v>17994</v>
          </cell>
          <cell r="W34">
            <v>26991</v>
          </cell>
        </row>
        <row r="35">
          <cell r="B35" t="str">
            <v>02-3630</v>
          </cell>
          <cell r="C35" t="str">
            <v>Ezzat Al Hamwi</v>
          </cell>
          <cell r="D35" t="str">
            <v>Sub-Grade</v>
          </cell>
          <cell r="E35">
            <v>45901</v>
          </cell>
          <cell r="F35" t="str">
            <v>Outsource</v>
          </cell>
          <cell r="G35" t="str">
            <v>Expat</v>
          </cell>
          <cell r="H35" t="str">
            <v>3B</v>
          </cell>
          <cell r="I35" t="str">
            <v>3A</v>
          </cell>
          <cell r="J35">
            <v>42000</v>
          </cell>
          <cell r="K35">
            <v>46200</v>
          </cell>
          <cell r="L35">
            <v>4200</v>
          </cell>
          <cell r="M35">
            <v>0.1</v>
          </cell>
          <cell r="N35" t="str">
            <v>Culture Sites Management</v>
          </cell>
          <cell r="O35" t="str">
            <v>Culture</v>
          </cell>
          <cell r="P35">
            <v>45016</v>
          </cell>
          <cell r="Q35" t="str">
            <v>Production Senior Specialist</v>
          </cell>
          <cell r="R35" t="str">
            <v>Production Senior Specialist</v>
          </cell>
          <cell r="S35" t="str">
            <v>Al Nahiya Group</v>
          </cell>
          <cell r="T35">
            <v>0</v>
          </cell>
          <cell r="U35">
            <v>8400</v>
          </cell>
          <cell r="V35">
            <v>18480</v>
          </cell>
          <cell r="W35">
            <v>27720</v>
          </cell>
        </row>
        <row r="36">
          <cell r="B36" t="str">
            <v>02-1153</v>
          </cell>
          <cell r="C36" t="str">
            <v>Mohamed Fawaz Almadhoun</v>
          </cell>
          <cell r="D36" t="str">
            <v>Sub-Grade</v>
          </cell>
          <cell r="E36">
            <v>45901</v>
          </cell>
          <cell r="F36" t="str">
            <v>Outsource</v>
          </cell>
          <cell r="G36" t="str">
            <v>Expat</v>
          </cell>
          <cell r="H36" t="str">
            <v>3C</v>
          </cell>
          <cell r="I36" t="str">
            <v>3B</v>
          </cell>
          <cell r="J36">
            <v>28375</v>
          </cell>
          <cell r="K36">
            <v>29793.75</v>
          </cell>
          <cell r="L36">
            <v>1418.75</v>
          </cell>
          <cell r="M36">
            <v>0.05</v>
          </cell>
          <cell r="N36" t="str">
            <v>Historic Environment</v>
          </cell>
          <cell r="O36" t="str">
            <v>Culture</v>
          </cell>
          <cell r="P36">
            <v>43394</v>
          </cell>
          <cell r="Q36" t="str">
            <v>Urban Conservation Senior Specialist</v>
          </cell>
          <cell r="R36" t="str">
            <v>Urban Conservation Senior Specialist</v>
          </cell>
          <cell r="S36" t="str">
            <v>Al Nahiya Group</v>
          </cell>
          <cell r="T36">
            <v>0</v>
          </cell>
          <cell r="U36">
            <v>2837.5</v>
          </cell>
          <cell r="V36">
            <v>11917.5</v>
          </cell>
          <cell r="W36">
            <v>17876.25</v>
          </cell>
        </row>
        <row r="37">
          <cell r="B37" t="str">
            <v>02-1449</v>
          </cell>
          <cell r="C37" t="str">
            <v>Honaida Hassan Naib</v>
          </cell>
          <cell r="D37" t="str">
            <v>Sub-Grade</v>
          </cell>
          <cell r="E37">
            <v>45901</v>
          </cell>
          <cell r="F37" t="str">
            <v>Outsource</v>
          </cell>
          <cell r="G37" t="str">
            <v>Expat</v>
          </cell>
          <cell r="H37" t="str">
            <v>3B</v>
          </cell>
          <cell r="I37" t="str">
            <v>3A</v>
          </cell>
          <cell r="J37">
            <v>28375</v>
          </cell>
          <cell r="K37">
            <v>29793.75</v>
          </cell>
          <cell r="L37">
            <v>1418.75</v>
          </cell>
          <cell r="M37">
            <v>0.05</v>
          </cell>
          <cell r="N37" t="str">
            <v>Historic Environment</v>
          </cell>
          <cell r="O37" t="str">
            <v>Culture</v>
          </cell>
          <cell r="P37">
            <v>43639</v>
          </cell>
          <cell r="Q37" t="str">
            <v>Senior Heritage Planner</v>
          </cell>
          <cell r="R37" t="str">
            <v>Senior Heritage Planner</v>
          </cell>
          <cell r="S37" t="str">
            <v>Al Nahiya Group</v>
          </cell>
          <cell r="T37">
            <v>0</v>
          </cell>
          <cell r="U37">
            <v>2837.5</v>
          </cell>
          <cell r="V37">
            <v>11917.5</v>
          </cell>
          <cell r="W37">
            <v>17876.25</v>
          </cell>
        </row>
        <row r="38">
          <cell r="B38" t="str">
            <v>02-1748</v>
          </cell>
          <cell r="C38" t="str">
            <v>Malak Mohamed Al Ajou</v>
          </cell>
          <cell r="D38" t="str">
            <v>Sub-Grade</v>
          </cell>
          <cell r="E38">
            <v>45901</v>
          </cell>
          <cell r="F38" t="str">
            <v>Outsource</v>
          </cell>
          <cell r="G38" t="str">
            <v>Expat</v>
          </cell>
          <cell r="H38" t="str">
            <v>4B</v>
          </cell>
          <cell r="I38" t="str">
            <v>4A</v>
          </cell>
          <cell r="J38">
            <v>28875</v>
          </cell>
          <cell r="K38">
            <v>30318.75</v>
          </cell>
          <cell r="L38">
            <v>1443.75</v>
          </cell>
          <cell r="M38">
            <v>0.05</v>
          </cell>
          <cell r="N38" t="str">
            <v>Historic Environment</v>
          </cell>
          <cell r="O38" t="str">
            <v>Culture</v>
          </cell>
          <cell r="P38">
            <v>43710</v>
          </cell>
          <cell r="Q38" t="str">
            <v>Surveyor</v>
          </cell>
          <cell r="R38" t="str">
            <v>Surveyor</v>
          </cell>
          <cell r="S38" t="str">
            <v>Al Nahiya Group</v>
          </cell>
          <cell r="T38">
            <v>0</v>
          </cell>
          <cell r="U38">
            <v>2887.5</v>
          </cell>
          <cell r="V38">
            <v>12127.5</v>
          </cell>
          <cell r="W38">
            <v>18191.25</v>
          </cell>
        </row>
        <row r="39">
          <cell r="B39" t="str">
            <v>02-1791</v>
          </cell>
          <cell r="C39" t="str">
            <v>Ahmad Akram Al Zubi</v>
          </cell>
          <cell r="D39" t="str">
            <v>Sub-Grade</v>
          </cell>
          <cell r="E39">
            <v>45901</v>
          </cell>
          <cell r="F39" t="str">
            <v>Outsource</v>
          </cell>
          <cell r="G39" t="str">
            <v>Expat</v>
          </cell>
          <cell r="H39" t="str">
            <v>3B</v>
          </cell>
          <cell r="I39" t="str">
            <v>3A</v>
          </cell>
          <cell r="J39">
            <v>28375</v>
          </cell>
          <cell r="K39">
            <v>29793.75</v>
          </cell>
          <cell r="L39">
            <v>1418.75</v>
          </cell>
          <cell r="M39">
            <v>0.05</v>
          </cell>
          <cell r="N39" t="str">
            <v>Historic Environment</v>
          </cell>
          <cell r="O39" t="str">
            <v>Culture</v>
          </cell>
          <cell r="P39">
            <v>43751</v>
          </cell>
          <cell r="Q39" t="str">
            <v>Senior Specialist, Field Research</v>
          </cell>
          <cell r="R39" t="str">
            <v>Senior Specialist, Field Research</v>
          </cell>
          <cell r="S39" t="str">
            <v>Al Nahiya Group</v>
          </cell>
          <cell r="T39">
            <v>0</v>
          </cell>
          <cell r="U39">
            <v>2837.5</v>
          </cell>
          <cell r="V39">
            <v>11917.5</v>
          </cell>
          <cell r="W39">
            <v>17876.25</v>
          </cell>
        </row>
        <row r="40">
          <cell r="B40" t="str">
            <v>02-1441</v>
          </cell>
          <cell r="C40" t="str">
            <v>Priji Kumar Damodharan</v>
          </cell>
          <cell r="D40" t="str">
            <v>Sub-Grade</v>
          </cell>
          <cell r="E40">
            <v>45901</v>
          </cell>
          <cell r="F40" t="str">
            <v>Outsource</v>
          </cell>
          <cell r="G40" t="str">
            <v>Expat</v>
          </cell>
          <cell r="H40" t="str">
            <v>5C</v>
          </cell>
          <cell r="I40" t="str">
            <v>5B</v>
          </cell>
          <cell r="J40">
            <v>15750</v>
          </cell>
          <cell r="K40">
            <v>16537.5</v>
          </cell>
          <cell r="L40">
            <v>787.5</v>
          </cell>
          <cell r="M40">
            <v>0.05</v>
          </cell>
          <cell r="N40" t="str">
            <v>Library Management</v>
          </cell>
          <cell r="O40" t="str">
            <v>Culture</v>
          </cell>
          <cell r="P40">
            <v>43625</v>
          </cell>
          <cell r="Q40" t="str">
            <v>Cataloguing Technician</v>
          </cell>
          <cell r="R40" t="str">
            <v>Cataloguing Technician</v>
          </cell>
          <cell r="S40" t="str">
            <v>Al Nahiya Group</v>
          </cell>
          <cell r="T40">
            <v>0</v>
          </cell>
          <cell r="U40">
            <v>1575</v>
          </cell>
          <cell r="V40">
            <v>6615</v>
          </cell>
          <cell r="W40">
            <v>9922.5</v>
          </cell>
        </row>
        <row r="41">
          <cell r="B41" t="str">
            <v>02-1860</v>
          </cell>
          <cell r="C41" t="str">
            <v>Yasin Mohamed Ibrahim</v>
          </cell>
          <cell r="D41" t="str">
            <v>Salary Increment</v>
          </cell>
          <cell r="E41">
            <v>45901</v>
          </cell>
          <cell r="F41" t="str">
            <v>Outsource</v>
          </cell>
          <cell r="G41" t="str">
            <v>Expat</v>
          </cell>
          <cell r="H41" t="str">
            <v>5A</v>
          </cell>
          <cell r="I41" t="str">
            <v>5A</v>
          </cell>
          <cell r="J41">
            <v>15750</v>
          </cell>
          <cell r="K41">
            <v>16537.5</v>
          </cell>
          <cell r="L41">
            <v>787.5</v>
          </cell>
          <cell r="M41">
            <v>0.05</v>
          </cell>
          <cell r="N41" t="str">
            <v>Library Management</v>
          </cell>
          <cell r="O41" t="str">
            <v>Culture</v>
          </cell>
          <cell r="P41">
            <v>43772</v>
          </cell>
          <cell r="Q41" t="str">
            <v>Storekeeping Assistant</v>
          </cell>
          <cell r="R41" t="str">
            <v>Storekeeping Assistant</v>
          </cell>
          <cell r="S41" t="str">
            <v>Al Nahiya Group</v>
          </cell>
          <cell r="T41">
            <v>0</v>
          </cell>
          <cell r="U41">
            <v>1575</v>
          </cell>
          <cell r="V41">
            <v>6615</v>
          </cell>
          <cell r="W41">
            <v>9922.5</v>
          </cell>
        </row>
        <row r="42">
          <cell r="B42" t="str">
            <v>02-1859</v>
          </cell>
          <cell r="C42" t="str">
            <v>Moustafa Mohamed Elmetwally</v>
          </cell>
          <cell r="D42" t="str">
            <v>Sub-Grade</v>
          </cell>
          <cell r="E42">
            <v>45901</v>
          </cell>
          <cell r="F42" t="str">
            <v>Outsource</v>
          </cell>
          <cell r="G42" t="str">
            <v>Expat</v>
          </cell>
          <cell r="H42" t="str">
            <v>4B</v>
          </cell>
          <cell r="I42" t="str">
            <v>4A</v>
          </cell>
          <cell r="J42">
            <v>20000</v>
          </cell>
          <cell r="K42">
            <v>21000</v>
          </cell>
          <cell r="L42">
            <v>1000</v>
          </cell>
          <cell r="M42">
            <v>0.05</v>
          </cell>
          <cell r="N42" t="str">
            <v>Library Management</v>
          </cell>
          <cell r="O42" t="str">
            <v>Culture</v>
          </cell>
          <cell r="P42">
            <v>43772</v>
          </cell>
          <cell r="Q42" t="str">
            <v>Storekeeping Assistant</v>
          </cell>
          <cell r="R42" t="str">
            <v>Storekeeping Assistant</v>
          </cell>
          <cell r="S42" t="str">
            <v>Al Nahiya Group</v>
          </cell>
          <cell r="T42">
            <v>0</v>
          </cell>
          <cell r="U42">
            <v>2000</v>
          </cell>
          <cell r="V42">
            <v>8400</v>
          </cell>
          <cell r="W42">
            <v>12600</v>
          </cell>
        </row>
        <row r="43">
          <cell r="B43" t="str">
            <v>02-1858</v>
          </cell>
          <cell r="C43" t="str">
            <v>Mohammad Munir</v>
          </cell>
          <cell r="D43" t="str">
            <v>Salary Increment</v>
          </cell>
          <cell r="E43">
            <v>45901</v>
          </cell>
          <cell r="F43" t="str">
            <v>Outsource</v>
          </cell>
          <cell r="G43" t="str">
            <v>Expat</v>
          </cell>
          <cell r="H43" t="str">
            <v>6A</v>
          </cell>
          <cell r="I43" t="str">
            <v>6A</v>
          </cell>
          <cell r="J43">
            <v>10000</v>
          </cell>
          <cell r="K43">
            <v>10500</v>
          </cell>
          <cell r="L43">
            <v>500</v>
          </cell>
          <cell r="M43">
            <v>0.05</v>
          </cell>
          <cell r="N43" t="str">
            <v>Library Management</v>
          </cell>
          <cell r="O43" t="str">
            <v>Culture</v>
          </cell>
          <cell r="P43">
            <v>43772</v>
          </cell>
          <cell r="Q43" t="str">
            <v>Cataloguing Technician</v>
          </cell>
          <cell r="R43" t="str">
            <v>Cataloguing Technician</v>
          </cell>
          <cell r="S43" t="str">
            <v>Al Nahiya Group</v>
          </cell>
          <cell r="T43">
            <v>0</v>
          </cell>
          <cell r="U43">
            <v>1000</v>
          </cell>
          <cell r="V43">
            <v>4200</v>
          </cell>
          <cell r="W43">
            <v>6300</v>
          </cell>
        </row>
        <row r="44">
          <cell r="B44" t="str">
            <v>02-1370</v>
          </cell>
          <cell r="C44" t="str">
            <v>Seri Sami Badran</v>
          </cell>
          <cell r="D44" t="str">
            <v>Salary Increment</v>
          </cell>
          <cell r="E44">
            <v>45901</v>
          </cell>
          <cell r="F44" t="str">
            <v>Outsource</v>
          </cell>
          <cell r="G44" t="str">
            <v>Expat</v>
          </cell>
          <cell r="H44" t="str">
            <v>3A</v>
          </cell>
          <cell r="I44" t="str">
            <v>3A</v>
          </cell>
          <cell r="J44">
            <v>37060</v>
          </cell>
          <cell r="K44">
            <v>38913</v>
          </cell>
          <cell r="L44">
            <v>1853</v>
          </cell>
          <cell r="M44">
            <v>0.05</v>
          </cell>
          <cell r="N44" t="str">
            <v>Scientific, Curatorial and Collection Department</v>
          </cell>
          <cell r="O44" t="str">
            <v>Culture</v>
          </cell>
          <cell r="P44">
            <v>43590</v>
          </cell>
          <cell r="Q44" t="str">
            <v>Capital Projects Senior Specialist</v>
          </cell>
          <cell r="R44" t="str">
            <v>Capital Projects Senior Specialist</v>
          </cell>
          <cell r="S44" t="str">
            <v>Al Nahiya Group</v>
          </cell>
          <cell r="T44">
            <v>0</v>
          </cell>
          <cell r="U44">
            <v>3706</v>
          </cell>
          <cell r="V44">
            <v>15565.2</v>
          </cell>
          <cell r="W44">
            <v>23347.8</v>
          </cell>
        </row>
        <row r="45">
          <cell r="B45" t="str">
            <v>02-1776</v>
          </cell>
          <cell r="C45" t="str">
            <v>Anabela Ferreira</v>
          </cell>
          <cell r="D45" t="str">
            <v>Promotion</v>
          </cell>
          <cell r="E45">
            <v>45901</v>
          </cell>
          <cell r="F45" t="str">
            <v>Outsource</v>
          </cell>
          <cell r="G45" t="str">
            <v>Expat</v>
          </cell>
          <cell r="H45" t="str">
            <v>4A</v>
          </cell>
          <cell r="I45" t="str">
            <v>3C</v>
          </cell>
          <cell r="J45">
            <v>40604.75</v>
          </cell>
          <cell r="K45">
            <v>42635</v>
          </cell>
          <cell r="L45">
            <v>2030.25</v>
          </cell>
          <cell r="M45">
            <v>5.0000307845756965E-2</v>
          </cell>
          <cell r="N45" t="str">
            <v>Scientific, Curatorial and Collection Department</v>
          </cell>
          <cell r="O45" t="str">
            <v>Culture</v>
          </cell>
          <cell r="P45">
            <v>43740</v>
          </cell>
          <cell r="Q45" t="str">
            <v>Objects Conservator</v>
          </cell>
          <cell r="R45" t="str">
            <v>Senior Objects Conservator</v>
          </cell>
          <cell r="S45" t="str">
            <v>Al Nahiya Group</v>
          </cell>
          <cell r="T45">
            <v>0</v>
          </cell>
          <cell r="U45">
            <v>4060.5</v>
          </cell>
          <cell r="V45">
            <v>17054</v>
          </cell>
          <cell r="W45">
            <v>25581</v>
          </cell>
        </row>
        <row r="46">
          <cell r="B46" t="str">
            <v>02-2674</v>
          </cell>
          <cell r="C46" t="str">
            <v>IOANNIS SPANOS</v>
          </cell>
          <cell r="D46" t="str">
            <v>Sub-Grade</v>
          </cell>
          <cell r="E46">
            <v>45901</v>
          </cell>
          <cell r="F46" t="str">
            <v>Outsource</v>
          </cell>
          <cell r="G46" t="str">
            <v>Expat</v>
          </cell>
          <cell r="H46" t="str">
            <v>3B</v>
          </cell>
          <cell r="I46" t="str">
            <v>3A</v>
          </cell>
          <cell r="J46">
            <v>32287.5</v>
          </cell>
          <cell r="K46">
            <v>33902</v>
          </cell>
          <cell r="L46">
            <v>1614.5</v>
          </cell>
          <cell r="M46">
            <v>5.0003871467286104E-2</v>
          </cell>
          <cell r="N46" t="str">
            <v>Scientific, Curatorial and Collection Department</v>
          </cell>
          <cell r="O46" t="str">
            <v>Culture</v>
          </cell>
          <cell r="P46">
            <v>44767</v>
          </cell>
          <cell r="Q46" t="str">
            <v>Objects Conservator</v>
          </cell>
          <cell r="R46" t="str">
            <v>Objects Conservator</v>
          </cell>
          <cell r="S46" t="str">
            <v>Al Nahiya Group</v>
          </cell>
          <cell r="T46">
            <v>0</v>
          </cell>
          <cell r="U46">
            <v>3229</v>
          </cell>
          <cell r="V46">
            <v>13560.800000000001</v>
          </cell>
          <cell r="W46">
            <v>20341.2</v>
          </cell>
        </row>
        <row r="47">
          <cell r="B47" t="str">
            <v>02-3736</v>
          </cell>
          <cell r="C47" t="str">
            <v>Mohammed Abualsaid</v>
          </cell>
          <cell r="D47" t="str">
            <v>Sub-Grade</v>
          </cell>
          <cell r="E47">
            <v>45901</v>
          </cell>
          <cell r="F47" t="str">
            <v>Outsource</v>
          </cell>
          <cell r="G47" t="str">
            <v>Expat</v>
          </cell>
          <cell r="H47" t="str">
            <v>4B</v>
          </cell>
          <cell r="I47" t="str">
            <v>4A</v>
          </cell>
          <cell r="J47">
            <v>27562.5</v>
          </cell>
          <cell r="K47">
            <v>28940.75</v>
          </cell>
          <cell r="L47">
            <v>1378.25</v>
          </cell>
          <cell r="M47">
            <v>5.0004535147392289E-2</v>
          </cell>
          <cell r="N47" t="str">
            <v>Scientific, Curatorial and Collection Department</v>
          </cell>
          <cell r="O47" t="str">
            <v>Culture</v>
          </cell>
          <cell r="P47">
            <v>45089</v>
          </cell>
          <cell r="Q47" t="str">
            <v>Assistant Curator</v>
          </cell>
          <cell r="R47" t="str">
            <v>Assistant Curator</v>
          </cell>
          <cell r="S47" t="str">
            <v>Al Nahiya Group</v>
          </cell>
          <cell r="T47">
            <v>0</v>
          </cell>
          <cell r="U47">
            <v>2756.5</v>
          </cell>
          <cell r="V47">
            <v>11576.300000000001</v>
          </cell>
          <cell r="W47">
            <v>17364.45</v>
          </cell>
        </row>
        <row r="48">
          <cell r="B48" t="str">
            <v>02-2375</v>
          </cell>
          <cell r="C48" t="str">
            <v>Raouf Ibrahim Salama</v>
          </cell>
          <cell r="D48" t="str">
            <v>Salary Increment</v>
          </cell>
          <cell r="E48">
            <v>45901</v>
          </cell>
          <cell r="F48" t="str">
            <v>Outsource</v>
          </cell>
          <cell r="G48" t="str">
            <v>Expat</v>
          </cell>
          <cell r="H48" t="str">
            <v>2A</v>
          </cell>
          <cell r="I48" t="str">
            <v>2A</v>
          </cell>
          <cell r="J48">
            <v>80870.5</v>
          </cell>
          <cell r="K48">
            <v>88957.5</v>
          </cell>
          <cell r="L48">
            <v>8087</v>
          </cell>
          <cell r="M48">
            <v>9.9999381727576803E-2</v>
          </cell>
          <cell r="N48" t="str">
            <v>Legal &amp; Government Affairs</v>
          </cell>
          <cell r="O48" t="str">
            <v>Office Of Undersecretary</v>
          </cell>
          <cell r="P48">
            <v>44118</v>
          </cell>
          <cell r="Q48" t="str">
            <v>DCT Museums and Affiliates Contracts Advisory Senior Legal Counsel</v>
          </cell>
          <cell r="R48" t="str">
            <v>DCT Museums and Affiliates Contracts Advisory Senior Legal Counsel</v>
          </cell>
          <cell r="S48" t="str">
            <v>Al Nahiya Group</v>
          </cell>
          <cell r="T48">
            <v>0</v>
          </cell>
          <cell r="U48">
            <v>16174</v>
          </cell>
          <cell r="V48">
            <v>35583</v>
          </cell>
          <cell r="W48">
            <v>53374.5</v>
          </cell>
        </row>
        <row r="49">
          <cell r="B49" t="str">
            <v>02-2920</v>
          </cell>
          <cell r="C49" t="str">
            <v>Deniz Ghazal</v>
          </cell>
          <cell r="D49" t="str">
            <v>Sub-Grade</v>
          </cell>
          <cell r="E49">
            <v>45901</v>
          </cell>
          <cell r="F49" t="str">
            <v>Outsource</v>
          </cell>
          <cell r="G49" t="str">
            <v>Expat</v>
          </cell>
          <cell r="H49" t="str">
            <v>3B</v>
          </cell>
          <cell r="I49" t="str">
            <v>3A</v>
          </cell>
          <cell r="J49">
            <v>55000</v>
          </cell>
          <cell r="K49">
            <v>60500</v>
          </cell>
          <cell r="L49">
            <v>5500</v>
          </cell>
          <cell r="M49">
            <v>0.1</v>
          </cell>
          <cell r="N49" t="str">
            <v>Legal &amp; Government Affairs</v>
          </cell>
          <cell r="O49" t="str">
            <v>Office Of Undersecretary</v>
          </cell>
          <cell r="P49">
            <v>44866</v>
          </cell>
          <cell r="Q49" t="str">
            <v>Legal Counsel</v>
          </cell>
          <cell r="R49" t="str">
            <v>Legal Counsel</v>
          </cell>
          <cell r="S49" t="str">
            <v>Al Nahiya Group</v>
          </cell>
          <cell r="T49">
            <v>0</v>
          </cell>
          <cell r="U49">
            <v>11000</v>
          </cell>
          <cell r="V49">
            <v>24200</v>
          </cell>
          <cell r="W49">
            <v>36300</v>
          </cell>
        </row>
        <row r="50">
          <cell r="B50" t="str">
            <v>02-3690</v>
          </cell>
          <cell r="C50" t="str">
            <v>Mohammad Alsmadi</v>
          </cell>
          <cell r="D50" t="str">
            <v>Sub-Grade</v>
          </cell>
          <cell r="E50">
            <v>45901</v>
          </cell>
          <cell r="F50" t="str">
            <v>Outsource</v>
          </cell>
          <cell r="G50" t="str">
            <v>Expat</v>
          </cell>
          <cell r="H50" t="str">
            <v>3B</v>
          </cell>
          <cell r="I50" t="str">
            <v>3A</v>
          </cell>
          <cell r="J50">
            <v>74937.5</v>
          </cell>
          <cell r="K50">
            <v>82431.25</v>
          </cell>
          <cell r="L50">
            <v>7493.75</v>
          </cell>
          <cell r="M50">
            <v>0.1</v>
          </cell>
          <cell r="N50" t="str">
            <v>Legal &amp; Government Affairs</v>
          </cell>
          <cell r="O50" t="str">
            <v>Office Of Undersecretary</v>
          </cell>
          <cell r="P50">
            <v>45042</v>
          </cell>
          <cell r="Q50" t="str">
            <v>Legislations Unit Head</v>
          </cell>
          <cell r="R50" t="str">
            <v>Legislations Unit Head</v>
          </cell>
          <cell r="S50" t="str">
            <v>Al Nahiya Group</v>
          </cell>
          <cell r="T50">
            <v>0</v>
          </cell>
          <cell r="U50">
            <v>14987.5</v>
          </cell>
          <cell r="V50">
            <v>32972.5</v>
          </cell>
          <cell r="W50">
            <v>49458.75</v>
          </cell>
        </row>
        <row r="51">
          <cell r="B51" t="str">
            <v>02-2901</v>
          </cell>
          <cell r="C51" t="str">
            <v>Amal Mohamad El Hajj</v>
          </cell>
          <cell r="D51" t="str">
            <v>Sub-Grade</v>
          </cell>
          <cell r="E51">
            <v>45901</v>
          </cell>
          <cell r="F51" t="str">
            <v>Outsource</v>
          </cell>
          <cell r="G51" t="str">
            <v>Expat</v>
          </cell>
          <cell r="H51" t="str">
            <v>3B</v>
          </cell>
          <cell r="I51" t="str">
            <v>3A</v>
          </cell>
          <cell r="J51">
            <v>49350</v>
          </cell>
          <cell r="K51">
            <v>51817.5</v>
          </cell>
          <cell r="L51">
            <v>2467.5</v>
          </cell>
          <cell r="M51">
            <v>0.05</v>
          </cell>
          <cell r="N51" t="str">
            <v>Office Of Undersecretary</v>
          </cell>
          <cell r="O51" t="str">
            <v>Office Of Undersecretary</v>
          </cell>
          <cell r="P51">
            <v>44844</v>
          </cell>
          <cell r="Q51" t="str">
            <v>Project Manager</v>
          </cell>
          <cell r="R51" t="str">
            <v>Project Manager</v>
          </cell>
          <cell r="S51" t="str">
            <v>Al Nahiya Group</v>
          </cell>
          <cell r="T51">
            <v>0</v>
          </cell>
          <cell r="U51">
            <v>4935</v>
          </cell>
          <cell r="V51">
            <v>20727</v>
          </cell>
          <cell r="W51">
            <v>31090.5</v>
          </cell>
        </row>
        <row r="52">
          <cell r="B52" t="str">
            <v>02-2713</v>
          </cell>
          <cell r="C52" t="str">
            <v>Khalil Al Mukhalati</v>
          </cell>
          <cell r="D52" t="str">
            <v>Sub-Grade</v>
          </cell>
          <cell r="E52">
            <v>45901</v>
          </cell>
          <cell r="F52" t="str">
            <v>Outsource</v>
          </cell>
          <cell r="G52" t="str">
            <v>Expat</v>
          </cell>
          <cell r="H52" t="str">
            <v>2C</v>
          </cell>
          <cell r="I52" t="str">
            <v>2B</v>
          </cell>
          <cell r="J52">
            <v>48400</v>
          </cell>
          <cell r="K52">
            <v>50820</v>
          </cell>
          <cell r="L52">
            <v>2420</v>
          </cell>
          <cell r="M52">
            <v>0.05</v>
          </cell>
          <cell r="N52" t="str">
            <v>Office Of Undersecretary</v>
          </cell>
          <cell r="O52" t="str">
            <v>Office Of Undersecretary</v>
          </cell>
          <cell r="P52">
            <v>44774</v>
          </cell>
          <cell r="Q52" t="str">
            <v>Information Security Section Head</v>
          </cell>
          <cell r="R52" t="str">
            <v>Information Security Section Head</v>
          </cell>
          <cell r="S52" t="str">
            <v>Al Nahiya Group</v>
          </cell>
          <cell r="T52">
            <v>0</v>
          </cell>
          <cell r="U52">
            <v>4840</v>
          </cell>
          <cell r="V52">
            <v>20328</v>
          </cell>
          <cell r="W52">
            <v>30492</v>
          </cell>
        </row>
        <row r="53">
          <cell r="B53" t="str">
            <v>02-0561</v>
          </cell>
          <cell r="C53" t="str">
            <v>Jose Ferdie Valencia</v>
          </cell>
          <cell r="D53" t="str">
            <v>Salary Increment</v>
          </cell>
          <cell r="E53">
            <v>45901</v>
          </cell>
          <cell r="F53" t="str">
            <v>Outsource</v>
          </cell>
          <cell r="G53" t="str">
            <v>Expat</v>
          </cell>
          <cell r="H53" t="str">
            <v>3A</v>
          </cell>
          <cell r="I53" t="str">
            <v>3A</v>
          </cell>
          <cell r="J53">
            <v>25687.5</v>
          </cell>
          <cell r="K53">
            <v>28375</v>
          </cell>
          <cell r="L53">
            <v>2687.5</v>
          </cell>
          <cell r="M53">
            <v>0.10462287104622871</v>
          </cell>
          <cell r="N53" t="str">
            <v>Project Management &amp; Engineering</v>
          </cell>
          <cell r="O53" t="str">
            <v>Office Of Undersecretary</v>
          </cell>
          <cell r="P53">
            <v>42852</v>
          </cell>
          <cell r="Q53" t="str">
            <v>Senior Document Controller</v>
          </cell>
          <cell r="R53" t="str">
            <v>Senior Document Controller</v>
          </cell>
          <cell r="S53" t="str">
            <v>Al Nahiya Group</v>
          </cell>
          <cell r="T53">
            <v>0</v>
          </cell>
          <cell r="U53">
            <v>5375</v>
          </cell>
          <cell r="V53">
            <v>11350</v>
          </cell>
          <cell r="W53">
            <v>17025</v>
          </cell>
        </row>
        <row r="54">
          <cell r="B54" t="str">
            <v>02-1329</v>
          </cell>
          <cell r="C54" t="str">
            <v>Eugenie Remie Marcelo</v>
          </cell>
          <cell r="D54" t="str">
            <v>Salary Increment</v>
          </cell>
          <cell r="E54">
            <v>45901</v>
          </cell>
          <cell r="F54" t="str">
            <v>Outsource</v>
          </cell>
          <cell r="G54" t="str">
            <v>Expat</v>
          </cell>
          <cell r="H54" t="str">
            <v>4A</v>
          </cell>
          <cell r="I54" t="str">
            <v>4A</v>
          </cell>
          <cell r="J54">
            <v>20000</v>
          </cell>
          <cell r="K54">
            <v>21000</v>
          </cell>
          <cell r="L54">
            <v>1000</v>
          </cell>
          <cell r="M54">
            <v>0.05</v>
          </cell>
          <cell r="N54" t="str">
            <v>Project Management &amp; Engineering</v>
          </cell>
          <cell r="O54" t="str">
            <v>Office Of Undersecretary</v>
          </cell>
          <cell r="P54">
            <v>43569</v>
          </cell>
          <cell r="Q54" t="str">
            <v>Document Controller</v>
          </cell>
          <cell r="R54" t="str">
            <v>Document Controller</v>
          </cell>
          <cell r="S54" t="str">
            <v>Al Nahiya Group</v>
          </cell>
          <cell r="T54">
            <v>0</v>
          </cell>
          <cell r="U54">
            <v>2000</v>
          </cell>
          <cell r="V54">
            <v>8400</v>
          </cell>
          <cell r="W54">
            <v>12600</v>
          </cell>
        </row>
        <row r="55">
          <cell r="B55" t="str">
            <v>02-3833</v>
          </cell>
          <cell r="C55" t="str">
            <v>Raied Al Bitar</v>
          </cell>
          <cell r="D55" t="str">
            <v>Sub-Grade</v>
          </cell>
          <cell r="E55">
            <v>45901</v>
          </cell>
          <cell r="F55" t="str">
            <v>Outsource</v>
          </cell>
          <cell r="G55" t="str">
            <v>Expat</v>
          </cell>
          <cell r="H55" t="str">
            <v>3B</v>
          </cell>
          <cell r="I55" t="str">
            <v>3A</v>
          </cell>
          <cell r="J55">
            <v>46200</v>
          </cell>
          <cell r="K55">
            <v>48510</v>
          </cell>
          <cell r="L55">
            <v>2310</v>
          </cell>
          <cell r="M55">
            <v>0.05</v>
          </cell>
          <cell r="N55" t="str">
            <v>Project Management &amp; Engineering</v>
          </cell>
          <cell r="O55" t="str">
            <v>Office Of Undersecretary</v>
          </cell>
          <cell r="P55">
            <v>45139</v>
          </cell>
          <cell r="Q55" t="str">
            <v>MEP Projects Manager</v>
          </cell>
          <cell r="R55" t="str">
            <v>MEP Projects Manager</v>
          </cell>
          <cell r="S55" t="str">
            <v>Al Nahiya Group</v>
          </cell>
          <cell r="T55">
            <v>0</v>
          </cell>
          <cell r="U55">
            <v>4620</v>
          </cell>
          <cell r="V55">
            <v>19404</v>
          </cell>
          <cell r="W55">
            <v>29106</v>
          </cell>
        </row>
        <row r="56">
          <cell r="B56" t="str">
            <v>02-3647</v>
          </cell>
          <cell r="C56" t="str">
            <v>Rene von Müllen</v>
          </cell>
          <cell r="D56" t="str">
            <v>Sub-Grade</v>
          </cell>
          <cell r="E56">
            <v>45901</v>
          </cell>
          <cell r="F56" t="str">
            <v>Outsource</v>
          </cell>
          <cell r="G56" t="str">
            <v>Expat</v>
          </cell>
          <cell r="H56" t="str">
            <v>2B</v>
          </cell>
          <cell r="I56" t="str">
            <v>2A</v>
          </cell>
          <cell r="J56">
            <v>103661.25</v>
          </cell>
          <cell r="K56">
            <v>108844.25</v>
          </cell>
          <cell r="L56">
            <v>5183</v>
          </cell>
          <cell r="M56">
            <v>4.9999397074605989E-2</v>
          </cell>
          <cell r="N56" t="str">
            <v>Project Management &amp; Engineering</v>
          </cell>
          <cell r="O56" t="str">
            <v>Office Of Undersecretary</v>
          </cell>
          <cell r="P56">
            <v>45020</v>
          </cell>
          <cell r="Q56" t="str">
            <v>Projects Director</v>
          </cell>
          <cell r="R56" t="str">
            <v>Projects Director</v>
          </cell>
          <cell r="S56" t="str">
            <v>Al Nahiya Group</v>
          </cell>
          <cell r="T56">
            <v>0</v>
          </cell>
          <cell r="U56">
            <v>10366</v>
          </cell>
          <cell r="V56">
            <v>43537.700000000004</v>
          </cell>
          <cell r="W56">
            <v>65306.549999999996</v>
          </cell>
        </row>
        <row r="57">
          <cell r="B57" t="str">
            <v>02-3896</v>
          </cell>
          <cell r="C57" t="str">
            <v>Khalid Tawfiq Al-Saqqar</v>
          </cell>
          <cell r="D57" t="str">
            <v>Salary Increment</v>
          </cell>
          <cell r="E57">
            <v>45901</v>
          </cell>
          <cell r="F57" t="str">
            <v>Outsource</v>
          </cell>
          <cell r="G57" t="str">
            <v>Expat</v>
          </cell>
          <cell r="H57" t="str">
            <v>3A</v>
          </cell>
          <cell r="I57" t="str">
            <v>3A</v>
          </cell>
          <cell r="J57">
            <v>53542.5</v>
          </cell>
          <cell r="K57">
            <v>56219.75</v>
          </cell>
          <cell r="L57">
            <v>2677.25</v>
          </cell>
          <cell r="M57">
            <v>5.0002334594014104E-2</v>
          </cell>
          <cell r="N57" t="str">
            <v>Project Management &amp; Engineering</v>
          </cell>
          <cell r="O57" t="str">
            <v>Office Of Undersecretary</v>
          </cell>
          <cell r="P57">
            <v>45149</v>
          </cell>
          <cell r="Q57" t="str">
            <v>MEP Projects Manager</v>
          </cell>
          <cell r="R57" t="str">
            <v>MEP Projects Manager</v>
          </cell>
          <cell r="S57" t="str">
            <v>Al Nahiya Group</v>
          </cell>
          <cell r="T57">
            <v>0</v>
          </cell>
          <cell r="U57">
            <v>5354.5</v>
          </cell>
          <cell r="V57">
            <v>22487.9</v>
          </cell>
          <cell r="W57">
            <v>33731.85</v>
          </cell>
        </row>
        <row r="58">
          <cell r="B58" t="str">
            <v>02-1369</v>
          </cell>
          <cell r="C58" t="str">
            <v>Shabeer Mohamed Mohamedali</v>
          </cell>
          <cell r="D58" t="str">
            <v>Salary Increment</v>
          </cell>
          <cell r="E58">
            <v>45901</v>
          </cell>
          <cell r="F58" t="str">
            <v>Outsource</v>
          </cell>
          <cell r="G58" t="str">
            <v>Expat</v>
          </cell>
          <cell r="H58" t="str">
            <v>3A</v>
          </cell>
          <cell r="I58" t="str">
            <v>3A</v>
          </cell>
          <cell r="J58">
            <v>39460</v>
          </cell>
          <cell r="K58">
            <v>43406</v>
          </cell>
          <cell r="L58">
            <v>3946</v>
          </cell>
          <cell r="M58">
            <v>0.1</v>
          </cell>
          <cell r="N58" t="str">
            <v>Tendering &amp; Projects Control</v>
          </cell>
          <cell r="O58" t="str">
            <v>Office Of Undersecretary</v>
          </cell>
          <cell r="P58">
            <v>43590</v>
          </cell>
          <cell r="Q58" t="str">
            <v>Contracts Administration &amp; Cost Estimation Lead</v>
          </cell>
          <cell r="R58" t="str">
            <v>Contracts Administration &amp; Cost Estimation Lead</v>
          </cell>
          <cell r="S58" t="str">
            <v>Al Nahiya Group</v>
          </cell>
          <cell r="T58">
            <v>0</v>
          </cell>
          <cell r="U58">
            <v>7892</v>
          </cell>
          <cell r="V58">
            <v>17362.400000000001</v>
          </cell>
          <cell r="W58">
            <v>26043.599999999999</v>
          </cell>
        </row>
        <row r="59">
          <cell r="B59" t="str">
            <v>02-3934</v>
          </cell>
          <cell r="C59" t="str">
            <v>Ayman Kazim Alkhatib</v>
          </cell>
          <cell r="D59" t="str">
            <v>Sub-Grade</v>
          </cell>
          <cell r="E59">
            <v>45901</v>
          </cell>
          <cell r="F59" t="str">
            <v>Outsource</v>
          </cell>
          <cell r="G59" t="str">
            <v>Expat</v>
          </cell>
          <cell r="H59" t="str">
            <v>2B</v>
          </cell>
          <cell r="I59" t="str">
            <v>2A</v>
          </cell>
          <cell r="J59">
            <v>88000</v>
          </cell>
          <cell r="K59">
            <v>101200</v>
          </cell>
          <cell r="L59">
            <v>13200</v>
          </cell>
          <cell r="M59">
            <v>0.15</v>
          </cell>
          <cell r="N59" t="str">
            <v>Tendering &amp; Projects Control</v>
          </cell>
          <cell r="O59" t="str">
            <v>Office Of Undersecretary</v>
          </cell>
          <cell r="P59">
            <v>45142</v>
          </cell>
          <cell r="Q59" t="str">
            <v>Tendering Director</v>
          </cell>
          <cell r="R59" t="str">
            <v>Tendering Director</v>
          </cell>
          <cell r="S59" t="str">
            <v>Al Nahiya Group</v>
          </cell>
          <cell r="T59">
            <v>0</v>
          </cell>
          <cell r="U59">
            <v>26400</v>
          </cell>
          <cell r="V59">
            <v>40480</v>
          </cell>
          <cell r="W59">
            <v>60720</v>
          </cell>
        </row>
        <row r="60">
          <cell r="B60" t="str">
            <v>02-3681</v>
          </cell>
          <cell r="C60" t="str">
            <v>Anas Mohd Azeezyeh</v>
          </cell>
          <cell r="D60" t="str">
            <v>Sub-Grade</v>
          </cell>
          <cell r="E60">
            <v>45901</v>
          </cell>
          <cell r="F60" t="str">
            <v>Outsource</v>
          </cell>
          <cell r="G60" t="str">
            <v>Expat</v>
          </cell>
          <cell r="H60" t="str">
            <v>5B</v>
          </cell>
          <cell r="I60" t="str">
            <v>5A</v>
          </cell>
          <cell r="J60">
            <v>23814</v>
          </cell>
          <cell r="K60">
            <v>25004.75</v>
          </cell>
          <cell r="L60">
            <v>1190.75</v>
          </cell>
          <cell r="M60">
            <v>5.0002099605274207E-2</v>
          </cell>
          <cell r="N60" t="str">
            <v>Business Excellence &amp; Continuity</v>
          </cell>
          <cell r="O60" t="str">
            <v>Strategic Affairs</v>
          </cell>
          <cell r="P60">
            <v>45047</v>
          </cell>
          <cell r="Q60" t="str">
            <v>Project Coordinator</v>
          </cell>
          <cell r="R60" t="str">
            <v>Project Coordinator</v>
          </cell>
          <cell r="S60" t="str">
            <v>Al Nahiya Group</v>
          </cell>
          <cell r="T60">
            <v>0</v>
          </cell>
          <cell r="U60">
            <v>2381.5</v>
          </cell>
          <cell r="V60">
            <v>10001.900000000001</v>
          </cell>
          <cell r="W60">
            <v>15002.849999999999</v>
          </cell>
        </row>
        <row r="61">
          <cell r="B61" t="str">
            <v>02-4491</v>
          </cell>
          <cell r="C61" t="str">
            <v>David Millan Ruiz</v>
          </cell>
          <cell r="D61" t="str">
            <v>Sub-Grade</v>
          </cell>
          <cell r="E61">
            <v>45901</v>
          </cell>
          <cell r="F61" t="str">
            <v>Outsource</v>
          </cell>
          <cell r="G61" t="str">
            <v>Expat</v>
          </cell>
          <cell r="H61" t="str">
            <v>1C</v>
          </cell>
          <cell r="I61" t="str">
            <v>1B</v>
          </cell>
          <cell r="J61">
            <v>110000</v>
          </cell>
          <cell r="K61">
            <v>121000</v>
          </cell>
          <cell r="L61">
            <v>11000</v>
          </cell>
          <cell r="M61">
            <v>0.1</v>
          </cell>
          <cell r="N61" t="str">
            <v>Data &amp; AI Department</v>
          </cell>
          <cell r="O61" t="str">
            <v>Strategic Affairs</v>
          </cell>
          <cell r="P61">
            <v>45467</v>
          </cell>
          <cell r="Q61" t="str">
            <v>Data &amp; AI Department Director</v>
          </cell>
          <cell r="R61" t="str">
            <v>Data &amp; AI Department Director</v>
          </cell>
          <cell r="S61" t="str">
            <v>Al Nahiya Group</v>
          </cell>
          <cell r="T61">
            <v>0</v>
          </cell>
          <cell r="U61">
            <v>22000</v>
          </cell>
          <cell r="V61">
            <v>48400</v>
          </cell>
          <cell r="W61">
            <v>72600</v>
          </cell>
        </row>
        <row r="62">
          <cell r="B62" t="str">
            <v>02-2716</v>
          </cell>
          <cell r="C62" t="str">
            <v>Mokhtar Maher Aboelela</v>
          </cell>
          <cell r="D62" t="str">
            <v>Sub-Grade</v>
          </cell>
          <cell r="E62">
            <v>45901</v>
          </cell>
          <cell r="F62" t="str">
            <v>Outsource</v>
          </cell>
          <cell r="G62" t="str">
            <v>Expat</v>
          </cell>
          <cell r="H62" t="str">
            <v>3B</v>
          </cell>
          <cell r="I62" t="str">
            <v>3A</v>
          </cell>
          <cell r="J62">
            <v>30450</v>
          </cell>
          <cell r="K62">
            <v>31972.5</v>
          </cell>
          <cell r="L62">
            <v>1522.5</v>
          </cell>
          <cell r="M62">
            <v>0.05</v>
          </cell>
          <cell r="N62" t="str">
            <v>Data &amp; AI Department</v>
          </cell>
          <cell r="O62" t="str">
            <v>Strategic Affairs</v>
          </cell>
          <cell r="P62">
            <v>44809</v>
          </cell>
          <cell r="Q62" t="str">
            <v>Tourism Research Senior Specialist</v>
          </cell>
          <cell r="R62" t="str">
            <v>Tourism Research Senior Specialist</v>
          </cell>
          <cell r="S62" t="str">
            <v>Al Nahiya Group</v>
          </cell>
          <cell r="T62">
            <v>0</v>
          </cell>
          <cell r="U62">
            <v>3045</v>
          </cell>
          <cell r="V62">
            <v>12789</v>
          </cell>
          <cell r="W62">
            <v>19183.5</v>
          </cell>
        </row>
        <row r="63">
          <cell r="B63" t="str">
            <v>02-2840</v>
          </cell>
          <cell r="C63" t="str">
            <v>Niharika Soni</v>
          </cell>
          <cell r="D63" t="str">
            <v>Sub-Grade</v>
          </cell>
          <cell r="E63">
            <v>45901</v>
          </cell>
          <cell r="F63" t="str">
            <v>Outsource</v>
          </cell>
          <cell r="G63" t="str">
            <v>Expat</v>
          </cell>
          <cell r="H63" t="str">
            <v>4B</v>
          </cell>
          <cell r="I63" t="str">
            <v>4A</v>
          </cell>
          <cell r="J63">
            <v>23173.5</v>
          </cell>
          <cell r="K63">
            <v>24332.25</v>
          </cell>
          <cell r="L63">
            <v>1158.75</v>
          </cell>
          <cell r="M63">
            <v>5.0003236455434009E-2</v>
          </cell>
          <cell r="N63" t="str">
            <v>Data &amp; AI Department</v>
          </cell>
          <cell r="O63" t="str">
            <v>Strategic Affairs</v>
          </cell>
          <cell r="P63">
            <v>44826</v>
          </cell>
          <cell r="Q63" t="str">
            <v>Primary Research Specialist</v>
          </cell>
          <cell r="R63" t="str">
            <v>Primary Research Specialist</v>
          </cell>
          <cell r="S63" t="str">
            <v>Al Nahiya Group</v>
          </cell>
          <cell r="T63">
            <v>0</v>
          </cell>
          <cell r="U63">
            <v>2317.5</v>
          </cell>
          <cell r="V63">
            <v>9732.9</v>
          </cell>
          <cell r="W63">
            <v>14599.35</v>
          </cell>
        </row>
        <row r="64">
          <cell r="B64" t="str">
            <v>02-3650</v>
          </cell>
          <cell r="C64" t="str">
            <v>Katia Muro</v>
          </cell>
          <cell r="D64" t="str">
            <v>Sub-Grade</v>
          </cell>
          <cell r="E64">
            <v>45901</v>
          </cell>
          <cell r="F64" t="str">
            <v>Outsource</v>
          </cell>
          <cell r="G64" t="str">
            <v>Expat</v>
          </cell>
          <cell r="H64" t="str">
            <v>2B</v>
          </cell>
          <cell r="I64" t="str">
            <v>2A</v>
          </cell>
          <cell r="J64">
            <v>66000</v>
          </cell>
          <cell r="K64">
            <v>69300</v>
          </cell>
          <cell r="L64">
            <v>3300</v>
          </cell>
          <cell r="M64">
            <v>0.05</v>
          </cell>
          <cell r="N64" t="str">
            <v>Data &amp; AI Department</v>
          </cell>
          <cell r="O64" t="str">
            <v>Strategic Affairs</v>
          </cell>
          <cell r="P64">
            <v>45020</v>
          </cell>
          <cell r="Q64" t="str">
            <v>Research Section Head</v>
          </cell>
          <cell r="R64" t="str">
            <v>Research Section Head</v>
          </cell>
          <cell r="S64" t="str">
            <v>Al Nahiya Group</v>
          </cell>
          <cell r="T64">
            <v>0</v>
          </cell>
          <cell r="U64">
            <v>6600</v>
          </cell>
          <cell r="V64">
            <v>27720</v>
          </cell>
          <cell r="W64">
            <v>41580</v>
          </cell>
        </row>
        <row r="65">
          <cell r="B65" t="str">
            <v>02-3734</v>
          </cell>
          <cell r="C65" t="str">
            <v>Ahmed Gamal Hemida</v>
          </cell>
          <cell r="D65" t="str">
            <v>Sub-Grade</v>
          </cell>
          <cell r="E65">
            <v>45901</v>
          </cell>
          <cell r="F65" t="str">
            <v>Outsource</v>
          </cell>
          <cell r="G65" t="str">
            <v>Expat</v>
          </cell>
          <cell r="H65" t="str">
            <v>4B</v>
          </cell>
          <cell r="I65" t="str">
            <v>4A</v>
          </cell>
          <cell r="J65">
            <v>26775</v>
          </cell>
          <cell r="K65">
            <v>28113.75</v>
          </cell>
          <cell r="L65">
            <v>1338.75</v>
          </cell>
          <cell r="M65">
            <v>0.05</v>
          </cell>
          <cell r="N65" t="str">
            <v>Data &amp; AI Department</v>
          </cell>
          <cell r="O65" t="str">
            <v>Strategic Affairs</v>
          </cell>
          <cell r="P65">
            <v>45064</v>
          </cell>
          <cell r="Q65" t="str">
            <v>Data &amp; Platforms Engineer</v>
          </cell>
          <cell r="R65" t="str">
            <v>Data &amp; Platforms Engineer</v>
          </cell>
          <cell r="S65" t="str">
            <v>Al Nahiya Group</v>
          </cell>
          <cell r="T65">
            <v>0</v>
          </cell>
          <cell r="U65">
            <v>2677.5</v>
          </cell>
          <cell r="V65">
            <v>11245.5</v>
          </cell>
          <cell r="W65">
            <v>16868.25</v>
          </cell>
        </row>
        <row r="66">
          <cell r="B66" t="str">
            <v>02-2902</v>
          </cell>
          <cell r="C66" t="str">
            <v>Mohamed Hesham Mohamed</v>
          </cell>
          <cell r="D66" t="str">
            <v>Sub-Grade</v>
          </cell>
          <cell r="E66">
            <v>45901</v>
          </cell>
          <cell r="F66" t="str">
            <v>Outsource</v>
          </cell>
          <cell r="G66" t="str">
            <v>Expat</v>
          </cell>
          <cell r="H66" t="str">
            <v>3B</v>
          </cell>
          <cell r="I66" t="str">
            <v>3A</v>
          </cell>
          <cell r="J66">
            <v>38500</v>
          </cell>
          <cell r="K66">
            <v>40425</v>
          </cell>
          <cell r="L66">
            <v>1925</v>
          </cell>
          <cell r="M66">
            <v>0.05</v>
          </cell>
          <cell r="N66" t="str">
            <v>Strategic Planning</v>
          </cell>
          <cell r="O66" t="str">
            <v>Strategic Affairs</v>
          </cell>
          <cell r="P66">
            <v>44839</v>
          </cell>
          <cell r="Q66" t="str">
            <v>Strategic Planning Unit Head (Museums &amp; Affiliated Entities)</v>
          </cell>
          <cell r="R66" t="str">
            <v>Strategic Planning Unit Head (Museums &amp; Affiliated Entities)</v>
          </cell>
          <cell r="S66" t="str">
            <v>Al Nahiya Group</v>
          </cell>
          <cell r="T66">
            <v>0</v>
          </cell>
          <cell r="U66">
            <v>3850</v>
          </cell>
          <cell r="V66">
            <v>16170</v>
          </cell>
          <cell r="W66">
            <v>24255</v>
          </cell>
        </row>
        <row r="67">
          <cell r="B67" t="str">
            <v>02-1853</v>
          </cell>
          <cell r="C67" t="str">
            <v>Inna Shchurova</v>
          </cell>
          <cell r="D67" t="str">
            <v>Sub-Grade</v>
          </cell>
          <cell r="E67">
            <v>45901</v>
          </cell>
          <cell r="F67" t="str">
            <v>Outsource</v>
          </cell>
          <cell r="G67" t="str">
            <v>Expat</v>
          </cell>
          <cell r="H67" t="str">
            <v>3C</v>
          </cell>
          <cell r="I67" t="str">
            <v>3B</v>
          </cell>
          <cell r="J67">
            <v>31212.5</v>
          </cell>
          <cell r="K67">
            <v>32773.25</v>
          </cell>
          <cell r="L67">
            <v>1560.75</v>
          </cell>
          <cell r="M67">
            <v>5.0004004805766923E-2</v>
          </cell>
          <cell r="N67" t="str">
            <v>Strategic Planning</v>
          </cell>
          <cell r="O67" t="str">
            <v>Strategic Affairs</v>
          </cell>
          <cell r="P67">
            <v>43772</v>
          </cell>
          <cell r="Q67" t="str">
            <v>Strategic Planning Senior Specialist (Museums &amp; Affiliated Entities)</v>
          </cell>
          <cell r="R67" t="str">
            <v>Strategic Planning Senior Specialist (Museums &amp; Affiliated Entities)</v>
          </cell>
          <cell r="S67" t="str">
            <v>Al Nahiya Group</v>
          </cell>
          <cell r="T67">
            <v>0</v>
          </cell>
          <cell r="U67">
            <v>3121.5</v>
          </cell>
          <cell r="V67">
            <v>13109.300000000001</v>
          </cell>
          <cell r="W67">
            <v>19663.95</v>
          </cell>
        </row>
        <row r="68">
          <cell r="B68" t="str">
            <v>02-3959</v>
          </cell>
          <cell r="C68" t="str">
            <v>Karim Qassoud</v>
          </cell>
          <cell r="D68" t="str">
            <v>Sub-Grade</v>
          </cell>
          <cell r="E68">
            <v>45901</v>
          </cell>
          <cell r="F68" t="str">
            <v>Outsource</v>
          </cell>
          <cell r="G68" t="str">
            <v>Expat</v>
          </cell>
          <cell r="H68" t="str">
            <v>3B</v>
          </cell>
          <cell r="I68" t="str">
            <v>3A</v>
          </cell>
          <cell r="J68">
            <v>52093.75</v>
          </cell>
          <cell r="K68">
            <v>57303.25</v>
          </cell>
          <cell r="L68">
            <v>5209.5</v>
          </cell>
          <cell r="M68">
            <v>0.10000239952009599</v>
          </cell>
          <cell r="N68" t="str">
            <v>Strategic Planning</v>
          </cell>
          <cell r="O68" t="str">
            <v>Strategic Affairs</v>
          </cell>
          <cell r="P68">
            <v>45139</v>
          </cell>
          <cell r="Q68" t="str">
            <v>Strategic Planning Unit Head (International Operations &amp; Marketing)</v>
          </cell>
          <cell r="R68" t="str">
            <v>Strategic Planning Unit Head (International Operations &amp; Marketing)</v>
          </cell>
          <cell r="S68" t="str">
            <v>Al Nahiya Group</v>
          </cell>
          <cell r="T68">
            <v>0</v>
          </cell>
          <cell r="U68">
            <v>10419</v>
          </cell>
          <cell r="V68">
            <v>22921.300000000003</v>
          </cell>
          <cell r="W68">
            <v>34381.949999999997</v>
          </cell>
        </row>
        <row r="69">
          <cell r="B69" t="str">
            <v>02-2830</v>
          </cell>
          <cell r="C69" t="str">
            <v>Marwan Taiseer Kayyali</v>
          </cell>
          <cell r="D69" t="str">
            <v>Sub-Grade</v>
          </cell>
          <cell r="E69">
            <v>45901</v>
          </cell>
          <cell r="F69" t="str">
            <v>Outsource</v>
          </cell>
          <cell r="G69" t="str">
            <v>Expat</v>
          </cell>
          <cell r="H69" t="str">
            <v>2B</v>
          </cell>
          <cell r="I69" t="str">
            <v>2A</v>
          </cell>
          <cell r="J69">
            <v>71500</v>
          </cell>
          <cell r="K69">
            <v>78650</v>
          </cell>
          <cell r="L69">
            <v>7150</v>
          </cell>
          <cell r="M69">
            <v>0.1</v>
          </cell>
          <cell r="N69" t="str">
            <v>Strategic Planning</v>
          </cell>
          <cell r="O69" t="str">
            <v>Strategic Affairs</v>
          </cell>
          <cell r="P69">
            <v>44838</v>
          </cell>
          <cell r="Q69" t="str">
            <v>Tourism &amp; Marketing Strategic Planning Section Head</v>
          </cell>
          <cell r="R69" t="str">
            <v>Tourism &amp; Marketing Strategic Planning Section Head</v>
          </cell>
          <cell r="S69" t="str">
            <v>Al Nahiya Group</v>
          </cell>
          <cell r="T69">
            <v>0</v>
          </cell>
          <cell r="U69">
            <v>14300</v>
          </cell>
          <cell r="V69">
            <v>31460</v>
          </cell>
          <cell r="W69">
            <v>47190</v>
          </cell>
        </row>
        <row r="70">
          <cell r="B70" t="str">
            <v>02-2712</v>
          </cell>
          <cell r="C70" t="str">
            <v>Mira Al Abdulla</v>
          </cell>
          <cell r="D70" t="str">
            <v>Sub-Grade</v>
          </cell>
          <cell r="E70">
            <v>45901</v>
          </cell>
          <cell r="F70" t="str">
            <v>Outsource</v>
          </cell>
          <cell r="G70" t="str">
            <v>Expat</v>
          </cell>
          <cell r="H70" t="str">
            <v>3B</v>
          </cell>
          <cell r="I70" t="str">
            <v>3A</v>
          </cell>
          <cell r="J70">
            <v>39975</v>
          </cell>
          <cell r="K70">
            <v>41973.75</v>
          </cell>
          <cell r="L70">
            <v>1998.75</v>
          </cell>
          <cell r="M70">
            <v>0.05</v>
          </cell>
          <cell r="N70" t="str">
            <v>Planning, Strategy &amp; Operations</v>
          </cell>
          <cell r="O70" t="str">
            <v>Strategic Marketing &amp; Communication</v>
          </cell>
          <cell r="P70">
            <v>44754</v>
          </cell>
          <cell r="Q70" t="str">
            <v>Brand Collaborations &amp; Sponsorships  Unit Head</v>
          </cell>
          <cell r="R70" t="str">
            <v>Brand Collaborations &amp; Sponsorships  Unit Head</v>
          </cell>
          <cell r="S70" t="str">
            <v>Al Nahiya Group</v>
          </cell>
          <cell r="T70">
            <v>0</v>
          </cell>
          <cell r="U70">
            <v>3997.5</v>
          </cell>
          <cell r="V70">
            <v>16789.5</v>
          </cell>
          <cell r="W70">
            <v>25184.25</v>
          </cell>
        </row>
        <row r="71">
          <cell r="B71" t="str">
            <v>02-2900</v>
          </cell>
          <cell r="C71" t="str">
            <v>Farres Mohamad Kailany</v>
          </cell>
          <cell r="D71" t="str">
            <v>Sub-Grade</v>
          </cell>
          <cell r="E71">
            <v>45901</v>
          </cell>
          <cell r="F71" t="str">
            <v>Outsource</v>
          </cell>
          <cell r="G71" t="str">
            <v>Expat</v>
          </cell>
          <cell r="H71" t="str">
            <v>4B</v>
          </cell>
          <cell r="I71" t="str">
            <v>4A</v>
          </cell>
          <cell r="J71">
            <v>32400</v>
          </cell>
          <cell r="K71">
            <v>34020</v>
          </cell>
          <cell r="L71">
            <v>1620</v>
          </cell>
          <cell r="M71">
            <v>0.05</v>
          </cell>
          <cell r="N71" t="str">
            <v>Planning, Strategy &amp; Operations</v>
          </cell>
          <cell r="O71" t="str">
            <v>Strategic Marketing &amp; Communication</v>
          </cell>
          <cell r="P71">
            <v>44837</v>
          </cell>
          <cell r="Q71" t="str">
            <v>Media Planning Officer</v>
          </cell>
          <cell r="R71" t="str">
            <v>Media Planning Officer</v>
          </cell>
          <cell r="S71" t="str">
            <v>Al Nahiya Group</v>
          </cell>
          <cell r="T71">
            <v>0</v>
          </cell>
          <cell r="U71">
            <v>3240</v>
          </cell>
          <cell r="V71">
            <v>13608</v>
          </cell>
          <cell r="W71">
            <v>20412</v>
          </cell>
        </row>
        <row r="72">
          <cell r="B72" t="str">
            <v>02-3743</v>
          </cell>
          <cell r="C72" t="str">
            <v>Brayden Ainzuain</v>
          </cell>
          <cell r="D72" t="str">
            <v>Sub-Grade</v>
          </cell>
          <cell r="E72">
            <v>45901</v>
          </cell>
          <cell r="F72" t="str">
            <v>Outsource</v>
          </cell>
          <cell r="G72" t="str">
            <v>Expat</v>
          </cell>
          <cell r="H72" t="str">
            <v>2B</v>
          </cell>
          <cell r="I72" t="str">
            <v>2A</v>
          </cell>
          <cell r="J72">
            <v>73500</v>
          </cell>
          <cell r="K72">
            <v>77175</v>
          </cell>
          <cell r="L72">
            <v>3675</v>
          </cell>
          <cell r="M72">
            <v>0.05</v>
          </cell>
          <cell r="N72" t="str">
            <v>Planning, Strategy &amp; Operations</v>
          </cell>
          <cell r="O72" t="str">
            <v>Strategic Marketing &amp; Communication</v>
          </cell>
          <cell r="P72">
            <v>45082</v>
          </cell>
          <cell r="Q72" t="str">
            <v>Planning, Research &amp; Insight Section Head</v>
          </cell>
          <cell r="R72" t="str">
            <v>Planning, Research &amp; Insight Section Head</v>
          </cell>
          <cell r="S72" t="str">
            <v>Al Nahiya Group</v>
          </cell>
          <cell r="T72">
            <v>0</v>
          </cell>
          <cell r="U72">
            <v>7350</v>
          </cell>
          <cell r="V72">
            <v>30870</v>
          </cell>
          <cell r="W72">
            <v>46305</v>
          </cell>
        </row>
        <row r="73">
          <cell r="B73" t="str">
            <v>02-3700</v>
          </cell>
          <cell r="C73" t="str">
            <v>Jawan Fares</v>
          </cell>
          <cell r="D73" t="str">
            <v>Sub-Grade</v>
          </cell>
          <cell r="E73">
            <v>45901</v>
          </cell>
          <cell r="F73" t="str">
            <v>Outsource</v>
          </cell>
          <cell r="G73" t="str">
            <v>Expat</v>
          </cell>
          <cell r="H73" t="str">
            <v>3C</v>
          </cell>
          <cell r="I73" t="str">
            <v>3B</v>
          </cell>
          <cell r="J73">
            <v>28375</v>
          </cell>
          <cell r="K73">
            <v>31212.5</v>
          </cell>
          <cell r="L73">
            <v>2837.5</v>
          </cell>
          <cell r="M73">
            <v>0.1</v>
          </cell>
          <cell r="N73" t="str">
            <v>Sector Marketing</v>
          </cell>
          <cell r="O73" t="str">
            <v>Strategic Marketing &amp; Communication</v>
          </cell>
          <cell r="P73">
            <v>45054</v>
          </cell>
          <cell r="Q73" t="str">
            <v>Special Projects Marketing Specialist</v>
          </cell>
          <cell r="R73" t="str">
            <v>Special Projects Marketing Specialist</v>
          </cell>
          <cell r="S73" t="str">
            <v>Al Nahiya Group</v>
          </cell>
          <cell r="T73">
            <v>0</v>
          </cell>
          <cell r="U73">
            <v>5675</v>
          </cell>
          <cell r="V73">
            <v>12485</v>
          </cell>
          <cell r="W73">
            <v>18727.5</v>
          </cell>
        </row>
        <row r="74">
          <cell r="B74" t="str">
            <v>02-2554</v>
          </cell>
          <cell r="C74" t="str">
            <v>Amruddin Shajahan</v>
          </cell>
          <cell r="D74" t="str">
            <v>Salary Increment</v>
          </cell>
          <cell r="E74">
            <v>45901</v>
          </cell>
          <cell r="F74" t="str">
            <v>Outsource</v>
          </cell>
          <cell r="G74" t="str">
            <v>Expat</v>
          </cell>
          <cell r="H74" t="str">
            <v>3A</v>
          </cell>
          <cell r="I74" t="str">
            <v>3A</v>
          </cell>
          <cell r="J74">
            <v>37500</v>
          </cell>
          <cell r="K74">
            <v>39375</v>
          </cell>
          <cell r="L74">
            <v>1875</v>
          </cell>
          <cell r="M74">
            <v>0.05</v>
          </cell>
          <cell r="N74" t="str">
            <v>Finance</v>
          </cell>
          <cell r="O74" t="str">
            <v>Support Services</v>
          </cell>
          <cell r="P74">
            <v>44678</v>
          </cell>
          <cell r="Q74" t="str">
            <v>Finance Business Partner</v>
          </cell>
          <cell r="R74" t="str">
            <v>Finance Business Partner</v>
          </cell>
          <cell r="S74" t="str">
            <v>Al Nahiya Group</v>
          </cell>
          <cell r="T74">
            <v>0</v>
          </cell>
          <cell r="U74">
            <v>3750</v>
          </cell>
          <cell r="V74">
            <v>15750</v>
          </cell>
          <cell r="W74">
            <v>23625</v>
          </cell>
        </row>
        <row r="75">
          <cell r="B75" t="str">
            <v>02-2665</v>
          </cell>
          <cell r="C75" t="str">
            <v>Jamil Wajih Al Atrash</v>
          </cell>
          <cell r="D75" t="str">
            <v>Sub-Grade</v>
          </cell>
          <cell r="E75">
            <v>45901</v>
          </cell>
          <cell r="F75" t="str">
            <v>Outsource</v>
          </cell>
          <cell r="G75" t="str">
            <v>Expat</v>
          </cell>
          <cell r="H75" t="str">
            <v>3B</v>
          </cell>
          <cell r="I75" t="str">
            <v>3A</v>
          </cell>
          <cell r="J75">
            <v>50312.5</v>
          </cell>
          <cell r="K75">
            <v>55343.75</v>
          </cell>
          <cell r="L75">
            <v>5031.25</v>
          </cell>
          <cell r="M75">
            <v>0.1</v>
          </cell>
          <cell r="N75" t="str">
            <v>Finance</v>
          </cell>
          <cell r="O75" t="str">
            <v>Support Services</v>
          </cell>
          <cell r="P75">
            <v>44755</v>
          </cell>
          <cell r="Q75" t="str">
            <v>General Ledger Unit Head</v>
          </cell>
          <cell r="R75" t="str">
            <v>General Ledger Unit Head</v>
          </cell>
          <cell r="S75" t="str">
            <v>Al Nahiya Group</v>
          </cell>
          <cell r="T75">
            <v>0</v>
          </cell>
          <cell r="U75">
            <v>10062.5</v>
          </cell>
          <cell r="V75">
            <v>22137.5</v>
          </cell>
          <cell r="W75">
            <v>33206.25</v>
          </cell>
        </row>
        <row r="76">
          <cell r="B76" t="str">
            <v>02-2819</v>
          </cell>
          <cell r="C76" t="str">
            <v>Mohammed Siyad Nalakath</v>
          </cell>
          <cell r="D76" t="str">
            <v>Sub-Grade</v>
          </cell>
          <cell r="E76">
            <v>45901</v>
          </cell>
          <cell r="F76" t="str">
            <v>Outsource</v>
          </cell>
          <cell r="G76" t="str">
            <v>Expat</v>
          </cell>
          <cell r="H76" t="str">
            <v>4B</v>
          </cell>
          <cell r="I76" t="str">
            <v>4A</v>
          </cell>
          <cell r="J76">
            <v>23663.75</v>
          </cell>
          <cell r="K76">
            <v>26030.25</v>
          </cell>
          <cell r="L76">
            <v>2366.5</v>
          </cell>
          <cell r="M76">
            <v>0.10000528234113359</v>
          </cell>
          <cell r="N76" t="str">
            <v>Finance</v>
          </cell>
          <cell r="O76" t="str">
            <v>Support Services</v>
          </cell>
          <cell r="P76">
            <v>44806</v>
          </cell>
          <cell r="Q76" t="str">
            <v>Accounts Payables Accountant</v>
          </cell>
          <cell r="R76" t="str">
            <v>Accounts Payables Accountant</v>
          </cell>
          <cell r="S76" t="str">
            <v>Al Nahiya Group</v>
          </cell>
          <cell r="T76">
            <v>0</v>
          </cell>
          <cell r="U76">
            <v>4733</v>
          </cell>
          <cell r="V76">
            <v>10412.1</v>
          </cell>
          <cell r="W76">
            <v>15618.15</v>
          </cell>
        </row>
        <row r="77">
          <cell r="B77" t="str">
            <v>02-2038</v>
          </cell>
          <cell r="C77" t="str">
            <v>Esraa Mahmoud Ayoub</v>
          </cell>
          <cell r="D77" t="str">
            <v>Sub-Grade</v>
          </cell>
          <cell r="E77">
            <v>45901</v>
          </cell>
          <cell r="F77" t="str">
            <v>Outsource</v>
          </cell>
          <cell r="G77" t="str">
            <v>Expat</v>
          </cell>
          <cell r="H77" t="str">
            <v>3B</v>
          </cell>
          <cell r="I77" t="str">
            <v>3A</v>
          </cell>
          <cell r="J77">
            <v>39900</v>
          </cell>
          <cell r="K77">
            <v>43890</v>
          </cell>
          <cell r="L77">
            <v>3990</v>
          </cell>
          <cell r="M77">
            <v>0.1</v>
          </cell>
          <cell r="N77" t="str">
            <v>Office of the Support Services Executive Director</v>
          </cell>
          <cell r="O77" t="str">
            <v>Support Services</v>
          </cell>
          <cell r="P77">
            <v>44067</v>
          </cell>
          <cell r="Q77" t="str">
            <v>Support Services Senior Specialist</v>
          </cell>
          <cell r="R77" t="str">
            <v>Support Services Senior Specialist</v>
          </cell>
          <cell r="S77" t="str">
            <v>Al Nahiya Group</v>
          </cell>
          <cell r="T77">
            <v>0</v>
          </cell>
          <cell r="U77">
            <v>7980</v>
          </cell>
          <cell r="V77">
            <v>17556</v>
          </cell>
          <cell r="W77">
            <v>26334</v>
          </cell>
        </row>
        <row r="78">
          <cell r="B78" t="str">
            <v>02-3731</v>
          </cell>
          <cell r="C78" t="str">
            <v>Hamad Ali Al Rumaithi</v>
          </cell>
          <cell r="D78" t="str">
            <v>Salary Increment</v>
          </cell>
          <cell r="E78">
            <v>45901</v>
          </cell>
          <cell r="F78" t="str">
            <v>Outsource</v>
          </cell>
          <cell r="G78" t="str">
            <v>UAE National</v>
          </cell>
          <cell r="H78" t="str">
            <v>3A</v>
          </cell>
          <cell r="I78" t="str">
            <v>3A</v>
          </cell>
          <cell r="J78">
            <v>67293.600000000006</v>
          </cell>
          <cell r="K78">
            <v>70658.25</v>
          </cell>
          <cell r="L78">
            <v>3364.6499999999942</v>
          </cell>
          <cell r="M78">
            <v>4.9999554192374812E-2</v>
          </cell>
          <cell r="N78" t="str">
            <v>Office of the Support Services Executive Director</v>
          </cell>
          <cell r="O78" t="str">
            <v>Support Services</v>
          </cell>
          <cell r="P78">
            <v>45078</v>
          </cell>
          <cell r="Q78" t="str">
            <v>Strategic Projects &amp; Transformation Unit Head</v>
          </cell>
          <cell r="R78" t="str">
            <v>Strategic Projects &amp; Transformation Unit Head</v>
          </cell>
          <cell r="S78" t="str">
            <v>Al Nahiya Group</v>
          </cell>
          <cell r="T78">
            <v>0</v>
          </cell>
          <cell r="U78">
            <v>6729.2999999999884</v>
          </cell>
          <cell r="V78">
            <v>28263.300000000003</v>
          </cell>
          <cell r="W78">
            <v>42394.95</v>
          </cell>
        </row>
        <row r="79">
          <cell r="B79" t="str">
            <v>02-1010</v>
          </cell>
          <cell r="C79" t="str">
            <v>Reema Azmi AlSadeq</v>
          </cell>
          <cell r="D79" t="str">
            <v>Acting Confirmation</v>
          </cell>
          <cell r="E79">
            <v>45901</v>
          </cell>
          <cell r="F79" t="str">
            <v>Outsource</v>
          </cell>
          <cell r="G79" t="str">
            <v>Expat</v>
          </cell>
          <cell r="H79" t="str">
            <v>3B</v>
          </cell>
          <cell r="I79" t="str">
            <v>3A</v>
          </cell>
          <cell r="J79">
            <v>30162</v>
          </cell>
          <cell r="K79">
            <v>35000</v>
          </cell>
          <cell r="L79">
            <v>4838</v>
          </cell>
          <cell r="M79">
            <v>0.16040050394536171</v>
          </cell>
          <cell r="N79" t="str">
            <v>People &amp; Performance</v>
          </cell>
          <cell r="O79" t="str">
            <v>Support Services</v>
          </cell>
          <cell r="P79">
            <v>43208</v>
          </cell>
          <cell r="Q79" t="str">
            <v>Performance Management Senior Specialist</v>
          </cell>
          <cell r="R79" t="str">
            <v>Performance Management Unit Head</v>
          </cell>
          <cell r="S79" t="str">
            <v>Al Nahiya Group</v>
          </cell>
          <cell r="T79">
            <v>4625</v>
          </cell>
          <cell r="U79">
            <v>9676</v>
          </cell>
          <cell r="V79">
            <v>14000</v>
          </cell>
          <cell r="W79">
            <v>21000</v>
          </cell>
        </row>
        <row r="80">
          <cell r="B80" t="str">
            <v>02-2351</v>
          </cell>
          <cell r="C80" t="str">
            <v>Zainab Mohamed Hamed</v>
          </cell>
          <cell r="D80" t="str">
            <v>Salary Increment</v>
          </cell>
          <cell r="E80">
            <v>45901</v>
          </cell>
          <cell r="F80" t="str">
            <v>Outsource</v>
          </cell>
          <cell r="G80" t="str">
            <v>Expat</v>
          </cell>
          <cell r="H80" t="str">
            <v>3A</v>
          </cell>
          <cell r="I80" t="str">
            <v>3A</v>
          </cell>
          <cell r="J80">
            <v>39690</v>
          </cell>
          <cell r="K80">
            <v>41674.5</v>
          </cell>
          <cell r="L80">
            <v>1984.5</v>
          </cell>
          <cell r="M80">
            <v>0.05</v>
          </cell>
          <cell r="N80" t="str">
            <v>People &amp; Performance</v>
          </cell>
          <cell r="O80" t="str">
            <v>Support Services</v>
          </cell>
          <cell r="P80">
            <v>44416</v>
          </cell>
          <cell r="Q80" t="str">
            <v>People &amp; Performance Business Partner</v>
          </cell>
          <cell r="R80" t="str">
            <v>People &amp; Performance Business Partner</v>
          </cell>
          <cell r="S80" t="str">
            <v>Al Nahiya Group</v>
          </cell>
          <cell r="T80">
            <v>0</v>
          </cell>
          <cell r="U80">
            <v>3969</v>
          </cell>
          <cell r="V80">
            <v>16669.8</v>
          </cell>
          <cell r="W80">
            <v>25004.7</v>
          </cell>
        </row>
        <row r="81">
          <cell r="B81" t="str">
            <v>02-2915</v>
          </cell>
          <cell r="C81" t="str">
            <v>Hijas Puthalath Aniyaparavan</v>
          </cell>
          <cell r="D81" t="str">
            <v>Sub-Grade</v>
          </cell>
          <cell r="E81">
            <v>45901</v>
          </cell>
          <cell r="F81" t="str">
            <v>Outsource</v>
          </cell>
          <cell r="G81" t="str">
            <v>Expat</v>
          </cell>
          <cell r="H81" t="str">
            <v>3B</v>
          </cell>
          <cell r="I81" t="str">
            <v>3A</v>
          </cell>
          <cell r="J81">
            <v>28375</v>
          </cell>
          <cell r="K81">
            <v>29793.75</v>
          </cell>
          <cell r="L81">
            <v>1418.75</v>
          </cell>
          <cell r="M81">
            <v>0.05</v>
          </cell>
          <cell r="N81" t="str">
            <v>People &amp; Performance</v>
          </cell>
          <cell r="O81" t="str">
            <v>Support Services</v>
          </cell>
          <cell r="P81">
            <v>44839</v>
          </cell>
          <cell r="Q81" t="str">
            <v>Senior Graphic Designer</v>
          </cell>
          <cell r="R81" t="str">
            <v>Senior Graphic Designer</v>
          </cell>
          <cell r="S81" t="str">
            <v>Al Nahiya Group</v>
          </cell>
          <cell r="T81">
            <v>0</v>
          </cell>
          <cell r="U81">
            <v>2837.5</v>
          </cell>
          <cell r="V81">
            <v>11917.5</v>
          </cell>
          <cell r="W81">
            <v>17876.25</v>
          </cell>
        </row>
        <row r="82">
          <cell r="B82" t="str">
            <v>02-3034</v>
          </cell>
          <cell r="C82" t="str">
            <v>Iman Haidous</v>
          </cell>
          <cell r="D82" t="str">
            <v>Sub-Grade</v>
          </cell>
          <cell r="E82">
            <v>45901</v>
          </cell>
          <cell r="F82" t="str">
            <v>Outsource</v>
          </cell>
          <cell r="G82" t="str">
            <v>Expat</v>
          </cell>
          <cell r="H82" t="str">
            <v>3B</v>
          </cell>
          <cell r="I82" t="str">
            <v>3A</v>
          </cell>
          <cell r="J82">
            <v>30043.75</v>
          </cell>
          <cell r="K82">
            <v>31546</v>
          </cell>
          <cell r="L82">
            <v>1502.25</v>
          </cell>
          <cell r="M82">
            <v>5.0002080299563136E-2</v>
          </cell>
          <cell r="N82" t="str">
            <v>People &amp; Performance</v>
          </cell>
          <cell r="O82" t="str">
            <v>Support Services</v>
          </cell>
          <cell r="P82">
            <v>44889</v>
          </cell>
          <cell r="Q82" t="str">
            <v>People &amp; Performance Business Partner</v>
          </cell>
          <cell r="R82" t="str">
            <v>People &amp; Performance Business Partner</v>
          </cell>
          <cell r="S82" t="str">
            <v>Al Nahiya Group</v>
          </cell>
          <cell r="T82">
            <v>0</v>
          </cell>
          <cell r="U82">
            <v>3004.5</v>
          </cell>
          <cell r="V82">
            <v>12618.400000000001</v>
          </cell>
          <cell r="W82">
            <v>18927.599999999999</v>
          </cell>
        </row>
        <row r="83">
          <cell r="B83" t="str">
            <v>02-2979</v>
          </cell>
          <cell r="C83" t="str">
            <v>Abhinav Rajhans</v>
          </cell>
          <cell r="D83" t="str">
            <v>Sub-Grade</v>
          </cell>
          <cell r="E83">
            <v>45901</v>
          </cell>
          <cell r="F83" t="str">
            <v>Outsource</v>
          </cell>
          <cell r="G83" t="str">
            <v>Expat</v>
          </cell>
          <cell r="H83" t="str">
            <v>4B</v>
          </cell>
          <cell r="I83" t="str">
            <v>4A</v>
          </cell>
          <cell r="J83">
            <v>24150</v>
          </cell>
          <cell r="K83">
            <v>25357.5</v>
          </cell>
          <cell r="L83">
            <v>1207.5</v>
          </cell>
          <cell r="M83">
            <v>0.05</v>
          </cell>
          <cell r="N83" t="str">
            <v>People &amp; Performance</v>
          </cell>
          <cell r="O83" t="str">
            <v>Support Services</v>
          </cell>
          <cell r="P83">
            <v>44922</v>
          </cell>
          <cell r="Q83" t="str">
            <v>P&amp;P Systems Specialist</v>
          </cell>
          <cell r="R83" t="str">
            <v>P&amp;P Systems Specialist</v>
          </cell>
          <cell r="S83" t="str">
            <v>Al Nahiya Group</v>
          </cell>
          <cell r="T83">
            <v>0</v>
          </cell>
          <cell r="U83">
            <v>2415</v>
          </cell>
          <cell r="V83">
            <v>10143</v>
          </cell>
          <cell r="W83">
            <v>15214.5</v>
          </cell>
        </row>
        <row r="84">
          <cell r="B84" t="str">
            <v>02-3716</v>
          </cell>
          <cell r="C84" t="str">
            <v>Charlyn Apdan</v>
          </cell>
          <cell r="D84" t="str">
            <v>Sub-Grade</v>
          </cell>
          <cell r="E84">
            <v>45901</v>
          </cell>
          <cell r="F84" t="str">
            <v>Outsource</v>
          </cell>
          <cell r="G84" t="str">
            <v>Expat</v>
          </cell>
          <cell r="H84" t="str">
            <v>4B</v>
          </cell>
          <cell r="I84" t="str">
            <v>4A</v>
          </cell>
          <cell r="J84">
            <v>20000</v>
          </cell>
          <cell r="K84">
            <v>21000</v>
          </cell>
          <cell r="L84">
            <v>1000</v>
          </cell>
          <cell r="M84">
            <v>0.05</v>
          </cell>
          <cell r="N84" t="str">
            <v>People &amp; Performance</v>
          </cell>
          <cell r="O84" t="str">
            <v>Support Services</v>
          </cell>
          <cell r="P84">
            <v>44973</v>
          </cell>
          <cell r="Q84" t="str">
            <v>Talent Attraction Specialist</v>
          </cell>
          <cell r="R84" t="str">
            <v>Talent Attraction Specialist</v>
          </cell>
          <cell r="S84" t="str">
            <v>Al Nahiya Group</v>
          </cell>
          <cell r="T84">
            <v>0</v>
          </cell>
          <cell r="U84">
            <v>2000</v>
          </cell>
          <cell r="V84">
            <v>8400</v>
          </cell>
          <cell r="W84">
            <v>12600</v>
          </cell>
        </row>
        <row r="85">
          <cell r="B85" t="str">
            <v>02-3733</v>
          </cell>
          <cell r="C85" t="str">
            <v>Priyanka Priyadarshani</v>
          </cell>
          <cell r="D85" t="str">
            <v>Sub-Grade</v>
          </cell>
          <cell r="E85">
            <v>45901</v>
          </cell>
          <cell r="F85" t="str">
            <v>Outsource</v>
          </cell>
          <cell r="G85" t="str">
            <v>Expat</v>
          </cell>
          <cell r="H85" t="str">
            <v>3B</v>
          </cell>
          <cell r="I85" t="str">
            <v>3A</v>
          </cell>
          <cell r="J85">
            <v>31153.5</v>
          </cell>
          <cell r="K85">
            <v>32711.25</v>
          </cell>
          <cell r="L85">
            <v>1557.75</v>
          </cell>
          <cell r="M85">
            <v>5.0002407434156675E-2</v>
          </cell>
          <cell r="N85" t="str">
            <v>People &amp; Performance</v>
          </cell>
          <cell r="O85" t="str">
            <v>Support Services</v>
          </cell>
          <cell r="P85">
            <v>45063</v>
          </cell>
          <cell r="Q85" t="str">
            <v>Corporate Social Responsibility Senior Specialist</v>
          </cell>
          <cell r="R85" t="str">
            <v>Corporate Social Responsibility Senior Specialist</v>
          </cell>
          <cell r="S85" t="str">
            <v>Al Nahiya Group</v>
          </cell>
          <cell r="T85">
            <v>0</v>
          </cell>
          <cell r="U85">
            <v>3115.5</v>
          </cell>
          <cell r="V85">
            <v>13084.5</v>
          </cell>
          <cell r="W85">
            <v>19626.75</v>
          </cell>
        </row>
        <row r="86">
          <cell r="B86" t="str">
            <v>02-0288</v>
          </cell>
          <cell r="C86" t="str">
            <v>Evangeline Garcia</v>
          </cell>
          <cell r="D86" t="str">
            <v>Salary Increment</v>
          </cell>
          <cell r="E86">
            <v>45901</v>
          </cell>
          <cell r="F86" t="str">
            <v>Outsource</v>
          </cell>
          <cell r="G86" t="str">
            <v>Expat</v>
          </cell>
          <cell r="H86" t="str">
            <v>4A</v>
          </cell>
          <cell r="I86" t="str">
            <v>4A</v>
          </cell>
          <cell r="J86">
            <v>20000</v>
          </cell>
          <cell r="K86">
            <v>21000</v>
          </cell>
          <cell r="L86">
            <v>1000</v>
          </cell>
          <cell r="M86">
            <v>0.05</v>
          </cell>
          <cell r="N86" t="str">
            <v>Supply Management</v>
          </cell>
          <cell r="O86" t="str">
            <v>Support Services</v>
          </cell>
          <cell r="P86">
            <v>41883</v>
          </cell>
          <cell r="Q86" t="str">
            <v>Administrative Officer</v>
          </cell>
          <cell r="R86" t="str">
            <v>Administrative Officer</v>
          </cell>
          <cell r="S86" t="str">
            <v>Al Nahiya Group</v>
          </cell>
          <cell r="T86">
            <v>0</v>
          </cell>
          <cell r="U86">
            <v>2000</v>
          </cell>
          <cell r="V86">
            <v>8400</v>
          </cell>
          <cell r="W86">
            <v>12600</v>
          </cell>
        </row>
        <row r="87">
          <cell r="B87" t="str">
            <v>02-1344</v>
          </cell>
          <cell r="C87" t="str">
            <v>Tamer Cheng</v>
          </cell>
          <cell r="D87" t="str">
            <v>Sub-Grade</v>
          </cell>
          <cell r="E87">
            <v>45901</v>
          </cell>
          <cell r="F87" t="str">
            <v>Outsource</v>
          </cell>
          <cell r="G87" t="str">
            <v>Expat</v>
          </cell>
          <cell r="H87" t="str">
            <v>3C</v>
          </cell>
          <cell r="I87" t="str">
            <v>3B</v>
          </cell>
          <cell r="J87">
            <v>48903.75</v>
          </cell>
          <cell r="K87">
            <v>53794.25</v>
          </cell>
          <cell r="L87">
            <v>4890.5</v>
          </cell>
          <cell r="M87">
            <v>0.10000255604120338</v>
          </cell>
          <cell r="N87" t="str">
            <v>Supply Management</v>
          </cell>
          <cell r="O87" t="str">
            <v>Support Services</v>
          </cell>
          <cell r="P87">
            <v>43583</v>
          </cell>
          <cell r="Q87" t="str">
            <v>Procurement Business Partners Unit Head</v>
          </cell>
          <cell r="R87" t="str">
            <v>Procurement Business Partners Unit Head</v>
          </cell>
          <cell r="S87" t="str">
            <v>Al Nahiya Group</v>
          </cell>
          <cell r="T87">
            <v>0</v>
          </cell>
          <cell r="U87">
            <v>9781</v>
          </cell>
          <cell r="V87">
            <v>21517.7</v>
          </cell>
          <cell r="W87">
            <v>32276.55</v>
          </cell>
        </row>
        <row r="88">
          <cell r="B88" t="str">
            <v>02-1768</v>
          </cell>
          <cell r="C88" t="str">
            <v>Mohammed Sairaj</v>
          </cell>
          <cell r="D88" t="str">
            <v>Sub-grade</v>
          </cell>
          <cell r="E88">
            <v>45901</v>
          </cell>
          <cell r="F88" t="str">
            <v>Outsource</v>
          </cell>
          <cell r="G88" t="str">
            <v>Expat</v>
          </cell>
          <cell r="H88" t="str">
            <v>3B</v>
          </cell>
          <cell r="I88" t="str">
            <v>3A</v>
          </cell>
          <cell r="J88">
            <v>41160</v>
          </cell>
          <cell r="K88">
            <v>43218</v>
          </cell>
          <cell r="L88">
            <v>2058</v>
          </cell>
          <cell r="M88">
            <v>0.05</v>
          </cell>
          <cell r="N88" t="str">
            <v>Supply Management</v>
          </cell>
          <cell r="O88" t="str">
            <v>Support Services</v>
          </cell>
          <cell r="P88">
            <v>43716</v>
          </cell>
          <cell r="Q88" t="str">
            <v>Procurement Business Partner</v>
          </cell>
          <cell r="R88" t="str">
            <v>Procurement Business Partner</v>
          </cell>
          <cell r="S88" t="str">
            <v>Al Nahiya Group</v>
          </cell>
          <cell r="T88">
            <v>0</v>
          </cell>
          <cell r="U88">
            <v>4116</v>
          </cell>
          <cell r="V88">
            <v>17287.2</v>
          </cell>
          <cell r="W88">
            <v>25930.799999999999</v>
          </cell>
        </row>
        <row r="89">
          <cell r="B89" t="str">
            <v>02-2899</v>
          </cell>
          <cell r="C89" t="str">
            <v>Prima Sheena Celeste</v>
          </cell>
          <cell r="D89" t="str">
            <v>Salary Increment</v>
          </cell>
          <cell r="E89">
            <v>45901</v>
          </cell>
          <cell r="F89" t="str">
            <v>Outsource</v>
          </cell>
          <cell r="G89" t="str">
            <v>Expat</v>
          </cell>
          <cell r="H89" t="str">
            <v>4A</v>
          </cell>
          <cell r="I89" t="str">
            <v>4A</v>
          </cell>
          <cell r="J89">
            <v>28490</v>
          </cell>
          <cell r="K89">
            <v>31339</v>
          </cell>
          <cell r="L89">
            <v>2849</v>
          </cell>
          <cell r="M89">
            <v>0.1</v>
          </cell>
          <cell r="N89" t="str">
            <v>Supply Management</v>
          </cell>
          <cell r="O89" t="str">
            <v>Support Services</v>
          </cell>
          <cell r="P89">
            <v>44839</v>
          </cell>
          <cell r="Q89" t="str">
            <v>Category Management Specialist</v>
          </cell>
          <cell r="R89" t="str">
            <v>Category Management Specialist</v>
          </cell>
          <cell r="S89" t="str">
            <v>Al Nahiya Group</v>
          </cell>
          <cell r="T89">
            <v>0</v>
          </cell>
          <cell r="U89">
            <v>5698</v>
          </cell>
          <cell r="V89">
            <v>12535.6</v>
          </cell>
          <cell r="W89">
            <v>18803.399999999998</v>
          </cell>
        </row>
        <row r="90">
          <cell r="B90" t="str">
            <v>02-2926</v>
          </cell>
          <cell r="C90" t="str">
            <v>Muhammad Farook</v>
          </cell>
          <cell r="D90" t="str">
            <v>Sub-grade</v>
          </cell>
          <cell r="E90">
            <v>45901</v>
          </cell>
          <cell r="F90" t="str">
            <v>Outsource</v>
          </cell>
          <cell r="G90" t="str">
            <v>Expat</v>
          </cell>
          <cell r="H90" t="str">
            <v>3B</v>
          </cell>
          <cell r="I90" t="str">
            <v>3A</v>
          </cell>
          <cell r="J90">
            <v>31500</v>
          </cell>
          <cell r="K90">
            <v>33075</v>
          </cell>
          <cell r="L90">
            <v>1575</v>
          </cell>
          <cell r="M90">
            <v>0.05</v>
          </cell>
          <cell r="N90" t="str">
            <v>Supply Management</v>
          </cell>
          <cell r="O90" t="str">
            <v>Support Services</v>
          </cell>
          <cell r="P90">
            <v>44859</v>
          </cell>
          <cell r="Q90" t="str">
            <v>Sourcing Senior Specialist</v>
          </cell>
          <cell r="R90" t="str">
            <v>Sourcing Senior Specialist</v>
          </cell>
          <cell r="S90" t="str">
            <v>Al Nahiya Group</v>
          </cell>
          <cell r="T90">
            <v>0</v>
          </cell>
          <cell r="U90">
            <v>3150</v>
          </cell>
          <cell r="V90">
            <v>13230</v>
          </cell>
          <cell r="W90">
            <v>19845</v>
          </cell>
        </row>
        <row r="91">
          <cell r="B91" t="str">
            <v>02-2923</v>
          </cell>
          <cell r="C91" t="str">
            <v>Basil Ali Ismail</v>
          </cell>
          <cell r="D91" t="str">
            <v>Sub-grade</v>
          </cell>
          <cell r="E91">
            <v>45901</v>
          </cell>
          <cell r="F91" t="str">
            <v>Outsource</v>
          </cell>
          <cell r="G91" t="str">
            <v>Expat</v>
          </cell>
          <cell r="H91" t="str">
            <v>4B</v>
          </cell>
          <cell r="I91" t="str">
            <v>4A</v>
          </cell>
          <cell r="J91">
            <v>31500</v>
          </cell>
          <cell r="K91">
            <v>33075</v>
          </cell>
          <cell r="L91">
            <v>1575</v>
          </cell>
          <cell r="M91">
            <v>0.05</v>
          </cell>
          <cell r="N91" t="str">
            <v>Supply Management</v>
          </cell>
          <cell r="O91" t="str">
            <v>Support Services</v>
          </cell>
          <cell r="P91">
            <v>44859</v>
          </cell>
          <cell r="Q91" t="str">
            <v>Facilities Management Specialist</v>
          </cell>
          <cell r="R91" t="str">
            <v>Facilities Management Specialist</v>
          </cell>
          <cell r="S91" t="str">
            <v>Al Nahiya Group</v>
          </cell>
          <cell r="T91">
            <v>0</v>
          </cell>
          <cell r="U91">
            <v>3150</v>
          </cell>
          <cell r="V91">
            <v>13230</v>
          </cell>
          <cell r="W91">
            <v>19845</v>
          </cell>
        </row>
        <row r="92">
          <cell r="B92" t="str">
            <v>02-3679</v>
          </cell>
          <cell r="C92" t="str">
            <v>Shameer Cheeroth</v>
          </cell>
          <cell r="D92" t="str">
            <v>Sub-grade</v>
          </cell>
          <cell r="E92">
            <v>45901</v>
          </cell>
          <cell r="F92" t="str">
            <v>Outsource</v>
          </cell>
          <cell r="G92" t="str">
            <v>Expat</v>
          </cell>
          <cell r="H92" t="str">
            <v>3B</v>
          </cell>
          <cell r="I92" t="str">
            <v>3A</v>
          </cell>
          <cell r="J92">
            <v>36750</v>
          </cell>
          <cell r="K92">
            <v>38587.5</v>
          </cell>
          <cell r="L92">
            <v>1837.5</v>
          </cell>
          <cell r="M92">
            <v>0.05</v>
          </cell>
          <cell r="N92" t="str">
            <v>Supply Management</v>
          </cell>
          <cell r="O92" t="str">
            <v>Support Services</v>
          </cell>
          <cell r="P92">
            <v>45027</v>
          </cell>
          <cell r="Q92" t="str">
            <v>Category Management Senior Specialist</v>
          </cell>
          <cell r="R92" t="str">
            <v>Category Management Senior Specialist</v>
          </cell>
          <cell r="S92" t="str">
            <v>Al Nahiya Group</v>
          </cell>
          <cell r="T92">
            <v>0</v>
          </cell>
          <cell r="U92">
            <v>3675</v>
          </cell>
          <cell r="V92">
            <v>15435</v>
          </cell>
          <cell r="W92">
            <v>23152.5</v>
          </cell>
        </row>
        <row r="93">
          <cell r="B93" t="str">
            <v>02-3725</v>
          </cell>
          <cell r="C93" t="str">
            <v>Islam Altawallbeh</v>
          </cell>
          <cell r="D93" t="str">
            <v>Sub-grade</v>
          </cell>
          <cell r="E93">
            <v>45901</v>
          </cell>
          <cell r="F93" t="str">
            <v>Outsource</v>
          </cell>
          <cell r="G93" t="str">
            <v>Expat</v>
          </cell>
          <cell r="H93" t="str">
            <v>3B</v>
          </cell>
          <cell r="I93" t="str">
            <v>3A</v>
          </cell>
          <cell r="J93">
            <v>37800</v>
          </cell>
          <cell r="K93">
            <v>39690</v>
          </cell>
          <cell r="L93">
            <v>1890</v>
          </cell>
          <cell r="M93">
            <v>0.05</v>
          </cell>
          <cell r="N93" t="str">
            <v>Supply Management</v>
          </cell>
          <cell r="O93" t="str">
            <v>Support Services</v>
          </cell>
          <cell r="P93">
            <v>45055</v>
          </cell>
          <cell r="Q93" t="str">
            <v>Sourcing Unit Head</v>
          </cell>
          <cell r="R93" t="str">
            <v>Sourcing Unit Head</v>
          </cell>
          <cell r="S93" t="str">
            <v>Al Nahiya Group</v>
          </cell>
          <cell r="T93">
            <v>0</v>
          </cell>
          <cell r="U93">
            <v>3780</v>
          </cell>
          <cell r="V93">
            <v>15876</v>
          </cell>
          <cell r="W93">
            <v>23814</v>
          </cell>
        </row>
        <row r="94">
          <cell r="B94" t="str">
            <v>02-3732</v>
          </cell>
          <cell r="C94" t="str">
            <v>Waddah Mohammad Zanah</v>
          </cell>
          <cell r="D94" t="str">
            <v>Sub-grade</v>
          </cell>
          <cell r="E94">
            <v>45901</v>
          </cell>
          <cell r="F94" t="str">
            <v>Outsource</v>
          </cell>
          <cell r="G94" t="str">
            <v>Expat</v>
          </cell>
          <cell r="H94" t="str">
            <v>3B</v>
          </cell>
          <cell r="I94" t="str">
            <v>3A</v>
          </cell>
          <cell r="J94">
            <v>36750</v>
          </cell>
          <cell r="K94">
            <v>40425</v>
          </cell>
          <cell r="L94">
            <v>3675</v>
          </cell>
          <cell r="M94">
            <v>0.1</v>
          </cell>
          <cell r="N94" t="str">
            <v>Supply Management</v>
          </cell>
          <cell r="O94" t="str">
            <v>Support Services</v>
          </cell>
          <cell r="P94">
            <v>45070</v>
          </cell>
          <cell r="Q94" t="str">
            <v>Procurement Business Partner</v>
          </cell>
          <cell r="R94" t="str">
            <v>Procurement Business Partner</v>
          </cell>
          <cell r="S94" t="str">
            <v>Al Nahiya Group</v>
          </cell>
          <cell r="T94">
            <v>0</v>
          </cell>
          <cell r="U94">
            <v>7350</v>
          </cell>
          <cell r="V94">
            <v>16170</v>
          </cell>
          <cell r="W94">
            <v>24255</v>
          </cell>
        </row>
        <row r="95">
          <cell r="B95" t="str">
            <v>02-3763</v>
          </cell>
          <cell r="C95" t="str">
            <v>Shadi Alshinteer</v>
          </cell>
          <cell r="D95" t="str">
            <v>Sub-grade</v>
          </cell>
          <cell r="E95">
            <v>45901</v>
          </cell>
          <cell r="F95" t="str">
            <v>Outsource</v>
          </cell>
          <cell r="G95" t="str">
            <v>Expat</v>
          </cell>
          <cell r="H95" t="str">
            <v>3B</v>
          </cell>
          <cell r="I95" t="str">
            <v>3A</v>
          </cell>
          <cell r="J95">
            <v>34125</v>
          </cell>
          <cell r="K95">
            <v>35831.25</v>
          </cell>
          <cell r="L95">
            <v>1706.25</v>
          </cell>
          <cell r="M95">
            <v>0.05</v>
          </cell>
          <cell r="N95" t="str">
            <v>Supply Management</v>
          </cell>
          <cell r="O95" t="str">
            <v>Support Services</v>
          </cell>
          <cell r="P95">
            <v>45089</v>
          </cell>
          <cell r="Q95" t="str">
            <v>Sourcing Senior Specialist</v>
          </cell>
          <cell r="R95" t="str">
            <v>Sourcing Senior Specialist</v>
          </cell>
          <cell r="S95" t="str">
            <v>Al Nahiya Group</v>
          </cell>
          <cell r="T95">
            <v>0</v>
          </cell>
          <cell r="U95">
            <v>3412.5</v>
          </cell>
          <cell r="V95">
            <v>14332.5</v>
          </cell>
          <cell r="W95">
            <v>21498.75</v>
          </cell>
        </row>
        <row r="96">
          <cell r="B96" t="str">
            <v>02-3764</v>
          </cell>
          <cell r="C96" t="str">
            <v>Ashraf Albarasy</v>
          </cell>
          <cell r="D96" t="str">
            <v>Sub-grade</v>
          </cell>
          <cell r="E96">
            <v>45901</v>
          </cell>
          <cell r="F96" t="str">
            <v>Outsource</v>
          </cell>
          <cell r="G96" t="str">
            <v>Expat</v>
          </cell>
          <cell r="H96" t="str">
            <v>3B</v>
          </cell>
          <cell r="I96" t="str">
            <v>3A</v>
          </cell>
          <cell r="J96">
            <v>39900</v>
          </cell>
          <cell r="K96">
            <v>41895</v>
          </cell>
          <cell r="L96">
            <v>1995</v>
          </cell>
          <cell r="M96">
            <v>0.05</v>
          </cell>
          <cell r="N96" t="str">
            <v>Supply Management</v>
          </cell>
          <cell r="O96" t="str">
            <v>Support Services</v>
          </cell>
          <cell r="P96">
            <v>45089</v>
          </cell>
          <cell r="Q96" t="str">
            <v>Sourcing Senior Specialist</v>
          </cell>
          <cell r="R96" t="str">
            <v>Sourcing Senior Specialist</v>
          </cell>
          <cell r="S96" t="str">
            <v>Al Nahiya Group</v>
          </cell>
          <cell r="T96">
            <v>0</v>
          </cell>
          <cell r="U96">
            <v>3990</v>
          </cell>
          <cell r="V96">
            <v>16758</v>
          </cell>
          <cell r="W96">
            <v>25137</v>
          </cell>
        </row>
        <row r="97">
          <cell r="B97" t="str">
            <v>02-4051</v>
          </cell>
          <cell r="C97" t="str">
            <v>Jitha Sajith</v>
          </cell>
          <cell r="D97" t="str">
            <v>Sub-grade</v>
          </cell>
          <cell r="E97">
            <v>45901</v>
          </cell>
          <cell r="F97" t="str">
            <v>Outsource</v>
          </cell>
          <cell r="G97" t="str">
            <v>Expat</v>
          </cell>
          <cell r="H97" t="str">
            <v>3B</v>
          </cell>
          <cell r="I97" t="str">
            <v>3A</v>
          </cell>
          <cell r="J97">
            <v>33141.25</v>
          </cell>
          <cell r="K97">
            <v>36455.5</v>
          </cell>
          <cell r="L97">
            <v>3314.25</v>
          </cell>
          <cell r="M97">
            <v>0.10000377173462076</v>
          </cell>
          <cell r="N97" t="str">
            <v>Supply Management</v>
          </cell>
          <cell r="O97" t="str">
            <v>Support Services</v>
          </cell>
          <cell r="P97">
            <v>45182</v>
          </cell>
          <cell r="Q97" t="str">
            <v>Contracts &amp; Performance Senior Specialist</v>
          </cell>
          <cell r="R97" t="str">
            <v>Contracts &amp; Performance Senior Specialist</v>
          </cell>
          <cell r="S97" t="str">
            <v>Al Nahiya Group</v>
          </cell>
          <cell r="T97">
            <v>0</v>
          </cell>
          <cell r="U97">
            <v>6628.5</v>
          </cell>
          <cell r="V97">
            <v>14582.2</v>
          </cell>
          <cell r="W97">
            <v>21873.3</v>
          </cell>
        </row>
        <row r="98">
          <cell r="B98" t="str">
            <v>02-1978</v>
          </cell>
          <cell r="C98" t="str">
            <v>Tariq Massarwah</v>
          </cell>
          <cell r="D98" t="str">
            <v>Sub-Grade</v>
          </cell>
          <cell r="E98">
            <v>45901</v>
          </cell>
          <cell r="F98" t="str">
            <v>Outsource</v>
          </cell>
          <cell r="G98" t="str">
            <v>Expat</v>
          </cell>
          <cell r="H98" t="str">
            <v>3C</v>
          </cell>
          <cell r="I98" t="str">
            <v>3B</v>
          </cell>
          <cell r="J98">
            <v>35937.5</v>
          </cell>
          <cell r="K98">
            <v>37734.5</v>
          </cell>
          <cell r="L98">
            <v>1797</v>
          </cell>
          <cell r="M98">
            <v>5.0003478260869566E-2</v>
          </cell>
          <cell r="N98" t="str">
            <v>Technology</v>
          </cell>
          <cell r="O98" t="str">
            <v>Support Services</v>
          </cell>
          <cell r="P98">
            <v>43191</v>
          </cell>
          <cell r="Q98" t="str">
            <v>IT Audit &amp; Compliance Senior Specialist</v>
          </cell>
          <cell r="R98" t="str">
            <v>IT Audit &amp; Compliance Senior Specialist</v>
          </cell>
          <cell r="S98" t="str">
            <v>Al Nahiya Group</v>
          </cell>
          <cell r="T98">
            <v>0</v>
          </cell>
          <cell r="U98">
            <v>3594</v>
          </cell>
          <cell r="V98">
            <v>15093.800000000001</v>
          </cell>
          <cell r="W98">
            <v>22640.7</v>
          </cell>
        </row>
        <row r="99">
          <cell r="B99" t="str">
            <v>02-2827</v>
          </cell>
          <cell r="C99" t="str">
            <v>Ibrahim Osama Khalil</v>
          </cell>
          <cell r="D99" t="str">
            <v>Sub-Grade</v>
          </cell>
          <cell r="E99">
            <v>45901</v>
          </cell>
          <cell r="F99" t="str">
            <v>Outsource</v>
          </cell>
          <cell r="G99" t="str">
            <v>Expat</v>
          </cell>
          <cell r="H99" t="str">
            <v>4B</v>
          </cell>
          <cell r="I99" t="str">
            <v>4A</v>
          </cell>
          <cell r="J99">
            <v>20000</v>
          </cell>
          <cell r="K99">
            <v>21000</v>
          </cell>
          <cell r="L99">
            <v>1000</v>
          </cell>
          <cell r="M99">
            <v>0.05</v>
          </cell>
          <cell r="N99" t="str">
            <v>Technology</v>
          </cell>
          <cell r="O99" t="str">
            <v>Support Services</v>
          </cell>
          <cell r="P99">
            <v>44817</v>
          </cell>
          <cell r="Q99" t="str">
            <v>Technical Support Engineer</v>
          </cell>
          <cell r="R99" t="str">
            <v>Technical Support Engineer</v>
          </cell>
          <cell r="S99" t="str">
            <v>Al Nahiya Group</v>
          </cell>
          <cell r="T99">
            <v>0</v>
          </cell>
          <cell r="U99">
            <v>2000</v>
          </cell>
          <cell r="V99">
            <v>8400</v>
          </cell>
          <cell r="W99">
            <v>12600</v>
          </cell>
        </row>
        <row r="100">
          <cell r="B100" t="str">
            <v>02-4496</v>
          </cell>
          <cell r="C100" t="str">
            <v>Saji Asok Pillai</v>
          </cell>
          <cell r="D100" t="str">
            <v>Sub-Grade</v>
          </cell>
          <cell r="E100">
            <v>45901</v>
          </cell>
          <cell r="F100" t="str">
            <v>Outsource</v>
          </cell>
          <cell r="G100" t="str">
            <v>Expat</v>
          </cell>
          <cell r="H100" t="str">
            <v>3C</v>
          </cell>
          <cell r="I100" t="str">
            <v>3B</v>
          </cell>
          <cell r="J100">
            <v>45000</v>
          </cell>
          <cell r="K100">
            <v>49500</v>
          </cell>
          <cell r="L100">
            <v>4500</v>
          </cell>
          <cell r="M100">
            <v>0.1</v>
          </cell>
          <cell r="N100" t="str">
            <v>Technology</v>
          </cell>
          <cell r="O100" t="str">
            <v>Support Services</v>
          </cell>
          <cell r="P100">
            <v>45449</v>
          </cell>
          <cell r="Q100" t="str">
            <v>Vendor Management Unit Head</v>
          </cell>
          <cell r="R100" t="str">
            <v>Vendor Management Unit Head</v>
          </cell>
          <cell r="S100" t="str">
            <v>Al Nahiya Group</v>
          </cell>
          <cell r="T100">
            <v>0</v>
          </cell>
          <cell r="U100">
            <v>9000</v>
          </cell>
          <cell r="V100">
            <v>19800</v>
          </cell>
          <cell r="W100">
            <v>29700</v>
          </cell>
        </row>
        <row r="101">
          <cell r="B101" t="str">
            <v>02-1350</v>
          </cell>
          <cell r="C101" t="str">
            <v>Thomas Jean Patrick de Oliveira</v>
          </cell>
          <cell r="D101" t="str">
            <v>Salary Increment</v>
          </cell>
          <cell r="E101">
            <v>45901</v>
          </cell>
          <cell r="F101" t="str">
            <v>Outsource</v>
          </cell>
          <cell r="G101" t="str">
            <v>Expat</v>
          </cell>
          <cell r="H101" t="str">
            <v>3A</v>
          </cell>
          <cell r="I101" t="str">
            <v>3A</v>
          </cell>
          <cell r="J101">
            <v>56160</v>
          </cell>
          <cell r="K101">
            <v>58968</v>
          </cell>
          <cell r="L101">
            <v>2808</v>
          </cell>
          <cell r="M101">
            <v>0.05</v>
          </cell>
          <cell r="N101" t="str">
            <v>Abu Dhabi Conventions &amp; Exhibition Bureau</v>
          </cell>
          <cell r="O101" t="str">
            <v>Tourism</v>
          </cell>
          <cell r="P101">
            <v>43583</v>
          </cell>
          <cell r="Q101" t="str">
            <v>BD &amp; Sales Lead</v>
          </cell>
          <cell r="R101" t="str">
            <v>BD &amp; Sales Lead</v>
          </cell>
          <cell r="S101" t="str">
            <v>Al Nahiya Group</v>
          </cell>
          <cell r="T101">
            <v>0</v>
          </cell>
          <cell r="U101">
            <v>5616</v>
          </cell>
          <cell r="V101">
            <v>23587.200000000001</v>
          </cell>
          <cell r="W101">
            <v>35380.799999999996</v>
          </cell>
        </row>
        <row r="102">
          <cell r="B102" t="str">
            <v>02-1392</v>
          </cell>
          <cell r="C102" t="str">
            <v>Sarah Julie Ferry</v>
          </cell>
          <cell r="D102" t="str">
            <v>Salary Increment</v>
          </cell>
          <cell r="E102">
            <v>45901</v>
          </cell>
          <cell r="F102" t="str">
            <v>Outsource</v>
          </cell>
          <cell r="G102" t="str">
            <v>Expat</v>
          </cell>
          <cell r="H102" t="str">
            <v>3A</v>
          </cell>
          <cell r="I102" t="str">
            <v>3A</v>
          </cell>
          <cell r="J102">
            <v>36813</v>
          </cell>
          <cell r="K102">
            <v>40494.25</v>
          </cell>
          <cell r="L102">
            <v>3681.25</v>
          </cell>
          <cell r="M102">
            <v>9.999864178415234E-2</v>
          </cell>
          <cell r="N102" t="str">
            <v>Abu Dhabi Conventions &amp; Exhibition Bureau</v>
          </cell>
          <cell r="O102" t="str">
            <v>Tourism</v>
          </cell>
          <cell r="P102">
            <v>43611</v>
          </cell>
          <cell r="Q102" t="str">
            <v>Weddings Lead</v>
          </cell>
          <cell r="R102" t="str">
            <v>Weddings Lead</v>
          </cell>
          <cell r="S102" t="str">
            <v>Al Nahiya Group</v>
          </cell>
          <cell r="T102">
            <v>0</v>
          </cell>
          <cell r="U102">
            <v>7362.5</v>
          </cell>
          <cell r="V102">
            <v>16197.7</v>
          </cell>
          <cell r="W102">
            <v>24296.55</v>
          </cell>
        </row>
        <row r="103">
          <cell r="B103" t="str">
            <v>02-1512</v>
          </cell>
          <cell r="C103" t="str">
            <v>Bahaaeldin Mohamed Okasha</v>
          </cell>
          <cell r="D103" t="str">
            <v>Salary Increment</v>
          </cell>
          <cell r="E103">
            <v>45901</v>
          </cell>
          <cell r="F103" t="str">
            <v>Outsource</v>
          </cell>
          <cell r="G103" t="str">
            <v>Expat</v>
          </cell>
          <cell r="H103" t="str">
            <v>3A</v>
          </cell>
          <cell r="I103" t="str">
            <v>3A</v>
          </cell>
          <cell r="J103">
            <v>35000</v>
          </cell>
          <cell r="K103">
            <v>36750</v>
          </cell>
          <cell r="L103">
            <v>1750</v>
          </cell>
          <cell r="M103">
            <v>0.05</v>
          </cell>
          <cell r="N103" t="str">
            <v>Abu Dhabi Conventions &amp; Exhibition Bureau</v>
          </cell>
          <cell r="O103" t="str">
            <v>Tourism</v>
          </cell>
          <cell r="P103">
            <v>43660</v>
          </cell>
          <cell r="Q103" t="str">
            <v>Sales Lead</v>
          </cell>
          <cell r="R103" t="str">
            <v>Sales Lead</v>
          </cell>
          <cell r="S103" t="str">
            <v>Al Nahiya Group</v>
          </cell>
          <cell r="T103">
            <v>0</v>
          </cell>
          <cell r="U103">
            <v>3500</v>
          </cell>
          <cell r="V103">
            <v>14700</v>
          </cell>
          <cell r="W103">
            <v>22050</v>
          </cell>
        </row>
        <row r="104">
          <cell r="B104" t="str">
            <v>02-1775</v>
          </cell>
          <cell r="C104" t="str">
            <v>Shabeena Cassiere</v>
          </cell>
          <cell r="D104" t="str">
            <v>Sub-Grade</v>
          </cell>
          <cell r="E104">
            <v>45901</v>
          </cell>
          <cell r="F104" t="str">
            <v>Outsource</v>
          </cell>
          <cell r="G104" t="str">
            <v>Expat</v>
          </cell>
          <cell r="H104" t="str">
            <v>3B</v>
          </cell>
          <cell r="I104" t="str">
            <v>3A</v>
          </cell>
          <cell r="J104">
            <v>28875</v>
          </cell>
          <cell r="K104">
            <v>35000</v>
          </cell>
          <cell r="L104">
            <v>6125</v>
          </cell>
          <cell r="M104">
            <v>0.21212121212121213</v>
          </cell>
          <cell r="N104" t="str">
            <v>Abu Dhabi Conventions &amp; Exhibition Bureau</v>
          </cell>
          <cell r="O104" t="str">
            <v>Tourism</v>
          </cell>
          <cell r="P104">
            <v>43730</v>
          </cell>
          <cell r="Q104" t="str">
            <v>Events Services Unit Head</v>
          </cell>
          <cell r="R104" t="str">
            <v>Events Services Unit Head</v>
          </cell>
          <cell r="S104" t="str">
            <v>Al Nahiya Group</v>
          </cell>
          <cell r="T104">
            <v>0</v>
          </cell>
          <cell r="U104">
            <v>12250</v>
          </cell>
          <cell r="V104">
            <v>14000</v>
          </cell>
          <cell r="W104">
            <v>21000</v>
          </cell>
        </row>
        <row r="105">
          <cell r="B105" t="str">
            <v>02-1896</v>
          </cell>
          <cell r="C105" t="str">
            <v>Syed Moazzam Ali</v>
          </cell>
          <cell r="D105" t="str">
            <v>Salary Increment</v>
          </cell>
          <cell r="E105">
            <v>45901</v>
          </cell>
          <cell r="F105" t="str">
            <v>Outsource</v>
          </cell>
          <cell r="G105" t="str">
            <v>Expat</v>
          </cell>
          <cell r="H105" t="str">
            <v>3A</v>
          </cell>
          <cell r="I105" t="str">
            <v>3A</v>
          </cell>
          <cell r="J105">
            <v>56160</v>
          </cell>
          <cell r="K105">
            <v>61776</v>
          </cell>
          <cell r="L105">
            <v>5616</v>
          </cell>
          <cell r="M105">
            <v>0.1</v>
          </cell>
          <cell r="N105" t="str">
            <v>Abu Dhabi Conventions &amp; Exhibition Bureau</v>
          </cell>
          <cell r="O105" t="str">
            <v>Tourism</v>
          </cell>
          <cell r="P105">
            <v>43836</v>
          </cell>
          <cell r="Q105" t="str">
            <v>BD &amp; Sales Lead</v>
          </cell>
          <cell r="R105" t="str">
            <v>BD &amp; Sales Lead</v>
          </cell>
          <cell r="S105" t="str">
            <v>Al Nahiya Group</v>
          </cell>
          <cell r="T105">
            <v>0</v>
          </cell>
          <cell r="U105">
            <v>11232</v>
          </cell>
          <cell r="V105">
            <v>24710.400000000001</v>
          </cell>
          <cell r="W105">
            <v>37065.599999999999</v>
          </cell>
        </row>
        <row r="106">
          <cell r="B106" t="str">
            <v>02-1267</v>
          </cell>
          <cell r="C106" t="str">
            <v>Fakhry Maher Alsarraj</v>
          </cell>
          <cell r="D106" t="str">
            <v>Sub-Grade</v>
          </cell>
          <cell r="E106">
            <v>45901</v>
          </cell>
          <cell r="F106" t="str">
            <v>Outsource</v>
          </cell>
          <cell r="G106" t="str">
            <v>Expat</v>
          </cell>
          <cell r="H106" t="str">
            <v>1B</v>
          </cell>
          <cell r="I106" t="str">
            <v>1A</v>
          </cell>
          <cell r="J106">
            <v>90000</v>
          </cell>
          <cell r="K106">
            <v>99000</v>
          </cell>
          <cell r="L106">
            <v>9000</v>
          </cell>
          <cell r="M106">
            <v>0.1</v>
          </cell>
          <cell r="N106" t="str">
            <v>Abu Dhabi Events Bureau</v>
          </cell>
          <cell r="O106" t="str">
            <v>Tourism</v>
          </cell>
          <cell r="P106">
            <v>43506</v>
          </cell>
          <cell r="Q106" t="str">
            <v>Abu Dhabi Events Bureau Director</v>
          </cell>
          <cell r="R106" t="str">
            <v>Abu Dhabi Events Bureau Director</v>
          </cell>
          <cell r="S106" t="str">
            <v>Al Nahiya Group</v>
          </cell>
          <cell r="T106">
            <v>0</v>
          </cell>
          <cell r="U106">
            <v>18000</v>
          </cell>
          <cell r="V106">
            <v>39600</v>
          </cell>
          <cell r="W106">
            <v>59400</v>
          </cell>
        </row>
        <row r="107">
          <cell r="B107" t="str">
            <v>02-3649</v>
          </cell>
          <cell r="C107" t="str">
            <v>Xavier Mellet</v>
          </cell>
          <cell r="D107" t="str">
            <v>Sub-Grade</v>
          </cell>
          <cell r="E107">
            <v>45901</v>
          </cell>
          <cell r="F107" t="str">
            <v>Outsource</v>
          </cell>
          <cell r="G107" t="str">
            <v>Expat</v>
          </cell>
          <cell r="H107" t="str">
            <v>3B</v>
          </cell>
          <cell r="I107" t="str">
            <v>3A</v>
          </cell>
          <cell r="J107">
            <v>36750</v>
          </cell>
          <cell r="K107">
            <v>38587.5</v>
          </cell>
          <cell r="L107">
            <v>1837.5</v>
          </cell>
          <cell r="M107">
            <v>0.05</v>
          </cell>
          <cell r="N107" t="str">
            <v>Abu Dhabi Events Bureau</v>
          </cell>
          <cell r="O107" t="str">
            <v>Tourism</v>
          </cell>
          <cell r="P107">
            <v>45012</v>
          </cell>
          <cell r="Q107" t="str">
            <v>Culinary Project Delivery Management Senior Specialist</v>
          </cell>
          <cell r="R107" t="str">
            <v>Culinary Project Delivery Management Senior Specialist</v>
          </cell>
          <cell r="S107" t="str">
            <v>Al Nahiya Group</v>
          </cell>
          <cell r="T107">
            <v>0</v>
          </cell>
          <cell r="U107">
            <v>3675</v>
          </cell>
          <cell r="V107">
            <v>15435</v>
          </cell>
          <cell r="W107">
            <v>23152.5</v>
          </cell>
        </row>
        <row r="108">
          <cell r="B108" t="str">
            <v>02-3686</v>
          </cell>
          <cell r="C108" t="str">
            <v>Karim Tarek Kabil</v>
          </cell>
          <cell r="D108" t="str">
            <v>Sub-Grade</v>
          </cell>
          <cell r="E108">
            <v>45901</v>
          </cell>
          <cell r="F108" t="str">
            <v>Outsource</v>
          </cell>
          <cell r="G108" t="str">
            <v>Expat</v>
          </cell>
          <cell r="H108" t="str">
            <v>2C</v>
          </cell>
          <cell r="I108" t="str">
            <v>2B</v>
          </cell>
          <cell r="J108">
            <v>66700</v>
          </cell>
          <cell r="K108">
            <v>70035</v>
          </cell>
          <cell r="L108">
            <v>3335</v>
          </cell>
          <cell r="M108">
            <v>0.05</v>
          </cell>
          <cell r="N108" t="str">
            <v>Abu Dhabi Events Bureau</v>
          </cell>
          <cell r="O108" t="str">
            <v>Tourism</v>
          </cell>
          <cell r="P108">
            <v>45033</v>
          </cell>
          <cell r="Q108" t="str">
            <v>Events Strategy &amp; Planning Section Head</v>
          </cell>
          <cell r="R108" t="str">
            <v>Events Strategy &amp; Planning Section Head</v>
          </cell>
          <cell r="S108" t="str">
            <v>Al Nahiya Group</v>
          </cell>
          <cell r="T108">
            <v>0</v>
          </cell>
          <cell r="U108">
            <v>6670</v>
          </cell>
          <cell r="V108">
            <v>28014</v>
          </cell>
          <cell r="W108">
            <v>42021</v>
          </cell>
        </row>
        <row r="109">
          <cell r="B109" t="str">
            <v>02-2672</v>
          </cell>
          <cell r="C109" t="str">
            <v>Claudia Manuela Frei</v>
          </cell>
          <cell r="D109" t="str">
            <v>Sub-Grade</v>
          </cell>
          <cell r="E109">
            <v>45901</v>
          </cell>
          <cell r="F109" t="str">
            <v>Outsource</v>
          </cell>
          <cell r="G109" t="str">
            <v>Expat</v>
          </cell>
          <cell r="H109" t="str">
            <v>3B</v>
          </cell>
          <cell r="I109" t="str">
            <v>3A</v>
          </cell>
          <cell r="J109">
            <v>49875</v>
          </cell>
          <cell r="K109">
            <v>52368.75</v>
          </cell>
          <cell r="L109">
            <v>2493.75</v>
          </cell>
          <cell r="M109">
            <v>0.05</v>
          </cell>
          <cell r="N109" t="str">
            <v>Abu Dhabi Events Bureau</v>
          </cell>
          <cell r="O109" t="str">
            <v>Tourism</v>
          </cell>
          <cell r="P109">
            <v>44743</v>
          </cell>
          <cell r="Q109" t="str">
            <v>Project Manager</v>
          </cell>
          <cell r="R109" t="str">
            <v>Project Manager</v>
          </cell>
          <cell r="S109" t="str">
            <v>Al Nahiya Group</v>
          </cell>
          <cell r="T109">
            <v>0</v>
          </cell>
          <cell r="U109">
            <v>4987.5</v>
          </cell>
          <cell r="V109">
            <v>20947.5</v>
          </cell>
          <cell r="W109">
            <v>31421.25</v>
          </cell>
        </row>
        <row r="110">
          <cell r="B110" t="str">
            <v>02-3744</v>
          </cell>
          <cell r="C110" t="str">
            <v>Saida Khaydarova</v>
          </cell>
          <cell r="D110" t="str">
            <v>Sub-Grade</v>
          </cell>
          <cell r="E110">
            <v>45901</v>
          </cell>
          <cell r="F110" t="str">
            <v>Outsource</v>
          </cell>
          <cell r="G110" t="str">
            <v>Expat</v>
          </cell>
          <cell r="H110" t="str">
            <v>4B</v>
          </cell>
          <cell r="I110" t="str">
            <v>4A</v>
          </cell>
          <cell r="J110">
            <v>22050</v>
          </cell>
          <cell r="K110">
            <v>23152.5</v>
          </cell>
          <cell r="L110">
            <v>1102.5</v>
          </cell>
          <cell r="M110">
            <v>0.05</v>
          </cell>
          <cell r="N110" t="str">
            <v>Abu Dhabi Events Bureau</v>
          </cell>
          <cell r="O110" t="str">
            <v>Tourism</v>
          </cell>
          <cell r="P110">
            <v>45070</v>
          </cell>
          <cell r="Q110" t="str">
            <v>Sponsorship Specialist</v>
          </cell>
          <cell r="R110" t="str">
            <v>Sponsorship Specialist</v>
          </cell>
          <cell r="S110" t="str">
            <v>Al Nahiya Group</v>
          </cell>
          <cell r="T110">
            <v>0</v>
          </cell>
          <cell r="U110">
            <v>2205</v>
          </cell>
          <cell r="V110">
            <v>9261</v>
          </cell>
          <cell r="W110">
            <v>13891.5</v>
          </cell>
        </row>
        <row r="111">
          <cell r="B111" t="str">
            <v>02-3669</v>
          </cell>
          <cell r="C111" t="str">
            <v>Zoran Ninic</v>
          </cell>
          <cell r="D111" t="str">
            <v>Sub-Grade</v>
          </cell>
          <cell r="E111">
            <v>45901</v>
          </cell>
          <cell r="F111" t="str">
            <v>Outsource</v>
          </cell>
          <cell r="G111" t="str">
            <v>Expat</v>
          </cell>
          <cell r="H111" t="str">
            <v>3B</v>
          </cell>
          <cell r="I111" t="str">
            <v>3A</v>
          </cell>
          <cell r="J111">
            <v>40845</v>
          </cell>
          <cell r="K111">
            <v>44929.5</v>
          </cell>
          <cell r="L111">
            <v>4084.5</v>
          </cell>
          <cell r="M111">
            <v>0.1</v>
          </cell>
          <cell r="N111" t="str">
            <v>Destinations Management Department</v>
          </cell>
          <cell r="O111" t="str">
            <v>Tourism</v>
          </cell>
          <cell r="P111">
            <v>45019</v>
          </cell>
          <cell r="Q111" t="str">
            <v>Financial Analysis Lead</v>
          </cell>
          <cell r="R111" t="str">
            <v>Financial Analysis Lead</v>
          </cell>
          <cell r="S111" t="str">
            <v>Al Nahiya Group</v>
          </cell>
          <cell r="T111">
            <v>4625</v>
          </cell>
          <cell r="U111">
            <v>8169</v>
          </cell>
          <cell r="V111">
            <v>17971.8</v>
          </cell>
          <cell r="W111">
            <v>26957.7</v>
          </cell>
        </row>
        <row r="112">
          <cell r="B112" t="str">
            <v>02-3740</v>
          </cell>
          <cell r="C112" t="str">
            <v>Souad Alaoui</v>
          </cell>
          <cell r="D112" t="str">
            <v>Sub-Grade</v>
          </cell>
          <cell r="E112">
            <v>45901</v>
          </cell>
          <cell r="F112" t="str">
            <v>Outsource</v>
          </cell>
          <cell r="G112" t="str">
            <v>Expat</v>
          </cell>
          <cell r="H112" t="str">
            <v>4B</v>
          </cell>
          <cell r="I112" t="str">
            <v>4A</v>
          </cell>
          <cell r="J112">
            <v>20000</v>
          </cell>
          <cell r="K112">
            <v>21000</v>
          </cell>
          <cell r="L112">
            <v>1000</v>
          </cell>
          <cell r="M112">
            <v>0.05</v>
          </cell>
          <cell r="N112" t="str">
            <v>Destinations Management Department</v>
          </cell>
          <cell r="O112" t="str">
            <v>Tourism</v>
          </cell>
          <cell r="P112">
            <v>45078</v>
          </cell>
          <cell r="Q112" t="str">
            <v>Executive Assistant</v>
          </cell>
          <cell r="R112" t="str">
            <v>Executive Assistant</v>
          </cell>
          <cell r="S112" t="str">
            <v>Al Nahiya Group</v>
          </cell>
          <cell r="T112">
            <v>0</v>
          </cell>
          <cell r="U112">
            <v>2000</v>
          </cell>
          <cell r="V112">
            <v>8400</v>
          </cell>
          <cell r="W112">
            <v>12600</v>
          </cell>
        </row>
        <row r="113">
          <cell r="B113" t="str">
            <v>02-2777</v>
          </cell>
          <cell r="C113" t="str">
            <v>Khulood Ahmad Al Thani</v>
          </cell>
          <cell r="D113" t="str">
            <v>Sub-Grade</v>
          </cell>
          <cell r="E113">
            <v>45901</v>
          </cell>
          <cell r="F113" t="str">
            <v>Outsource</v>
          </cell>
          <cell r="G113" t="str">
            <v>UAE National</v>
          </cell>
          <cell r="H113" t="str">
            <v>2B</v>
          </cell>
          <cell r="I113" t="str">
            <v>2A</v>
          </cell>
          <cell r="J113">
            <v>84000</v>
          </cell>
          <cell r="K113">
            <v>88200</v>
          </cell>
          <cell r="L113">
            <v>4200</v>
          </cell>
          <cell r="M113">
            <v>0.05</v>
          </cell>
          <cell r="N113" t="str">
            <v>Director General Office</v>
          </cell>
          <cell r="O113" t="str">
            <v>Tourism</v>
          </cell>
          <cell r="P113">
            <v>44795</v>
          </cell>
          <cell r="Q113" t="str">
            <v>Senior Project Manager</v>
          </cell>
          <cell r="R113" t="str">
            <v>Senior Project Manager</v>
          </cell>
          <cell r="S113" t="str">
            <v>Al Nahiya Group</v>
          </cell>
          <cell r="T113">
            <v>0</v>
          </cell>
          <cell r="U113">
            <v>8400</v>
          </cell>
          <cell r="V113">
            <v>35280</v>
          </cell>
          <cell r="W113">
            <v>52920</v>
          </cell>
        </row>
        <row r="114">
          <cell r="B114" t="str">
            <v>02-2837</v>
          </cell>
          <cell r="C114" t="str">
            <v>May Elsayed Ezzeldin</v>
          </cell>
          <cell r="D114" t="str">
            <v>Sub-Grade</v>
          </cell>
          <cell r="E114">
            <v>45901</v>
          </cell>
          <cell r="F114" t="str">
            <v>Outsource</v>
          </cell>
          <cell r="G114" t="str">
            <v>Expat</v>
          </cell>
          <cell r="H114" t="str">
            <v>2B</v>
          </cell>
          <cell r="I114" t="str">
            <v>2A</v>
          </cell>
          <cell r="J114">
            <v>105000</v>
          </cell>
          <cell r="K114">
            <v>120750</v>
          </cell>
          <cell r="L114">
            <v>15750</v>
          </cell>
          <cell r="M114">
            <v>0.15</v>
          </cell>
          <cell r="N114" t="str">
            <v>Director General Office</v>
          </cell>
          <cell r="O114" t="str">
            <v>Tourism</v>
          </cell>
          <cell r="P114">
            <v>44841</v>
          </cell>
          <cell r="Q114" t="str">
            <v>Advisor</v>
          </cell>
          <cell r="R114" t="str">
            <v>Advisor</v>
          </cell>
          <cell r="S114" t="str">
            <v>Al Nahiya Group</v>
          </cell>
          <cell r="T114">
            <v>0</v>
          </cell>
          <cell r="U114">
            <v>31500</v>
          </cell>
          <cell r="V114">
            <v>48300</v>
          </cell>
          <cell r="W114">
            <v>72450</v>
          </cell>
        </row>
        <row r="115">
          <cell r="B115" t="str">
            <v>02-3606</v>
          </cell>
          <cell r="C115" t="str">
            <v>Aghyad Sati</v>
          </cell>
          <cell r="D115" t="str">
            <v>Sub-Grade</v>
          </cell>
          <cell r="E115">
            <v>45901</v>
          </cell>
          <cell r="F115" t="str">
            <v>Outsource</v>
          </cell>
          <cell r="G115" t="str">
            <v>Expat</v>
          </cell>
          <cell r="H115" t="str">
            <v>3B</v>
          </cell>
          <cell r="I115" t="str">
            <v>3A</v>
          </cell>
          <cell r="J115">
            <v>49612.5</v>
          </cell>
          <cell r="K115">
            <v>52093.25</v>
          </cell>
          <cell r="L115">
            <v>2480.75</v>
          </cell>
          <cell r="M115">
            <v>5.0002519526329052E-2</v>
          </cell>
          <cell r="N115" t="str">
            <v>International Operations</v>
          </cell>
          <cell r="O115" t="str">
            <v>Tourism</v>
          </cell>
          <cell r="P115">
            <v>44991</v>
          </cell>
          <cell r="Q115" t="str">
            <v>International Operations (DACH, Belgium &amp; Netherlands) Unit Head</v>
          </cell>
          <cell r="R115" t="str">
            <v>International Operations (GCC) Unit Head</v>
          </cell>
          <cell r="S115" t="str">
            <v>Al Nahiya Group</v>
          </cell>
          <cell r="T115">
            <v>0</v>
          </cell>
          <cell r="U115">
            <v>4961.5</v>
          </cell>
          <cell r="V115">
            <v>20837.300000000003</v>
          </cell>
          <cell r="W115">
            <v>31255.949999999997</v>
          </cell>
        </row>
        <row r="116">
          <cell r="B116" t="str">
            <v>02-3655</v>
          </cell>
          <cell r="C116" t="str">
            <v>Melroy Peter Vaz</v>
          </cell>
          <cell r="D116" t="str">
            <v>Sub-Grade</v>
          </cell>
          <cell r="E116">
            <v>45901</v>
          </cell>
          <cell r="F116" t="str">
            <v>Outsource</v>
          </cell>
          <cell r="G116" t="str">
            <v>Expat</v>
          </cell>
          <cell r="H116" t="str">
            <v>3B</v>
          </cell>
          <cell r="I116" t="str">
            <v>3A</v>
          </cell>
          <cell r="J116">
            <v>46200</v>
          </cell>
          <cell r="K116">
            <v>48510</v>
          </cell>
          <cell r="L116">
            <v>2310</v>
          </cell>
          <cell r="M116">
            <v>0.05</v>
          </cell>
          <cell r="N116" t="str">
            <v>Tourism Products Development</v>
          </cell>
          <cell r="O116" t="str">
            <v>Tourism</v>
          </cell>
          <cell r="P116">
            <v>45055</v>
          </cell>
          <cell r="Q116" t="str">
            <v>Cruise Unit Head</v>
          </cell>
          <cell r="R116" t="str">
            <v>Cruise Unit Head</v>
          </cell>
          <cell r="S116" t="str">
            <v>Al Nahiya Group</v>
          </cell>
          <cell r="T116">
            <v>0</v>
          </cell>
          <cell r="U116">
            <v>4620</v>
          </cell>
          <cell r="V116">
            <v>19404</v>
          </cell>
          <cell r="W116">
            <v>29106</v>
          </cell>
        </row>
        <row r="117">
          <cell r="B117" t="str">
            <v>02-2731</v>
          </cell>
          <cell r="C117" t="str">
            <v>Bahaa Redwan Al Am Eddine</v>
          </cell>
          <cell r="D117" t="str">
            <v>Sub-Grade</v>
          </cell>
          <cell r="E117">
            <v>45901</v>
          </cell>
          <cell r="F117" t="str">
            <v>Outsource</v>
          </cell>
          <cell r="G117" t="str">
            <v>Expat</v>
          </cell>
          <cell r="H117" t="str">
            <v>3B</v>
          </cell>
          <cell r="I117" t="str">
            <v>3A</v>
          </cell>
          <cell r="J117">
            <v>46000</v>
          </cell>
          <cell r="K117">
            <v>50600</v>
          </cell>
          <cell r="L117">
            <v>4600</v>
          </cell>
          <cell r="M117">
            <v>0.1</v>
          </cell>
          <cell r="N117" t="str">
            <v>Tourism Sector Management Office</v>
          </cell>
          <cell r="O117" t="str">
            <v>Tourism</v>
          </cell>
          <cell r="P117">
            <v>44774</v>
          </cell>
          <cell r="Q117" t="str">
            <v>Performance Management Unit Head</v>
          </cell>
          <cell r="R117" t="str">
            <v>Performance Management Unit Head</v>
          </cell>
          <cell r="S117" t="str">
            <v>Al Nahiya Group</v>
          </cell>
          <cell r="T117">
            <v>0</v>
          </cell>
          <cell r="U117">
            <v>9200</v>
          </cell>
          <cell r="V117">
            <v>20240</v>
          </cell>
          <cell r="W117">
            <v>30360</v>
          </cell>
        </row>
        <row r="118">
          <cell r="B118" t="str">
            <v>02-2978</v>
          </cell>
          <cell r="C118" t="str">
            <v>Mansurudeen Ishola</v>
          </cell>
          <cell r="D118" t="str">
            <v>Sub-Grade</v>
          </cell>
          <cell r="E118">
            <v>45901</v>
          </cell>
          <cell r="F118" t="str">
            <v>Outsource</v>
          </cell>
          <cell r="G118" t="str">
            <v>Expat</v>
          </cell>
          <cell r="H118" t="str">
            <v>3C</v>
          </cell>
          <cell r="I118" t="str">
            <v>3B</v>
          </cell>
          <cell r="J118">
            <v>46000</v>
          </cell>
          <cell r="K118">
            <v>48300</v>
          </cell>
          <cell r="L118">
            <v>2300</v>
          </cell>
          <cell r="M118">
            <v>0.05</v>
          </cell>
          <cell r="N118" t="str">
            <v>Tourism Sector Management Office</v>
          </cell>
          <cell r="O118" t="str">
            <v>Tourism</v>
          </cell>
          <cell r="P118">
            <v>44867</v>
          </cell>
          <cell r="Q118" t="str">
            <v>Research Unit Head</v>
          </cell>
          <cell r="R118" t="str">
            <v>Research Unit Head</v>
          </cell>
          <cell r="S118" t="str">
            <v>Al Nahiya Group</v>
          </cell>
          <cell r="T118">
            <v>0</v>
          </cell>
          <cell r="U118">
            <v>4600</v>
          </cell>
          <cell r="V118">
            <v>19320</v>
          </cell>
          <cell r="W118">
            <v>28980</v>
          </cell>
        </row>
        <row r="119">
          <cell r="B119" t="str">
            <v>02-2711</v>
          </cell>
          <cell r="C119" t="str">
            <v>Shaima Ayman Allan</v>
          </cell>
          <cell r="D119" t="str">
            <v>Sub-Grade</v>
          </cell>
          <cell r="E119">
            <v>45901</v>
          </cell>
          <cell r="F119" t="str">
            <v>Outsource</v>
          </cell>
          <cell r="G119" t="str">
            <v>Expat</v>
          </cell>
          <cell r="H119" t="str">
            <v>6B</v>
          </cell>
          <cell r="I119" t="str">
            <v>6A</v>
          </cell>
          <cell r="J119">
            <v>18900</v>
          </cell>
          <cell r="K119">
            <v>19845</v>
          </cell>
          <cell r="L119">
            <v>945</v>
          </cell>
          <cell r="M119">
            <v>0.05</v>
          </cell>
          <cell r="N119" t="str">
            <v>Visitors Experience</v>
          </cell>
          <cell r="O119" t="str">
            <v>Tourism</v>
          </cell>
          <cell r="P119">
            <v>44754</v>
          </cell>
          <cell r="Q119" t="str">
            <v>Executive Assistant</v>
          </cell>
          <cell r="R119" t="str">
            <v>Executive Assistant</v>
          </cell>
          <cell r="S119" t="str">
            <v>Al Nahiya Group</v>
          </cell>
          <cell r="T119">
            <v>0</v>
          </cell>
          <cell r="U119">
            <v>1890</v>
          </cell>
          <cell r="V119">
            <v>7938</v>
          </cell>
          <cell r="W119">
            <v>11907</v>
          </cell>
        </row>
        <row r="120">
          <cell r="B120" t="str">
            <v>02-3695</v>
          </cell>
          <cell r="C120" t="str">
            <v>Koyuki Engelhardt</v>
          </cell>
          <cell r="D120" t="str">
            <v>Sub-Grade</v>
          </cell>
          <cell r="E120">
            <v>45901</v>
          </cell>
          <cell r="F120" t="str">
            <v>Outsource</v>
          </cell>
          <cell r="G120" t="str">
            <v>Expat</v>
          </cell>
          <cell r="H120" t="str">
            <v>2B</v>
          </cell>
          <cell r="I120" t="str">
            <v>2A</v>
          </cell>
          <cell r="J120">
            <v>44100</v>
          </cell>
          <cell r="K120">
            <v>48510</v>
          </cell>
          <cell r="L120">
            <v>4410</v>
          </cell>
          <cell r="M120">
            <v>0.1</v>
          </cell>
          <cell r="N120" t="str">
            <v>Visitors Experience</v>
          </cell>
          <cell r="O120" t="str">
            <v>Tourism</v>
          </cell>
          <cell r="P120">
            <v>45040</v>
          </cell>
          <cell r="Q120" t="str">
            <v>Experience Monitoring Section Head</v>
          </cell>
          <cell r="R120" t="str">
            <v>Experience Monitoring Section Head</v>
          </cell>
          <cell r="S120" t="str">
            <v>Al Nahiya Group</v>
          </cell>
          <cell r="T120">
            <v>0</v>
          </cell>
          <cell r="U120">
            <v>8820</v>
          </cell>
          <cell r="V120">
            <v>19404</v>
          </cell>
          <cell r="W120">
            <v>29106</v>
          </cell>
        </row>
        <row r="121">
          <cell r="B121" t="str">
            <v>02-3596</v>
          </cell>
          <cell r="C121" t="str">
            <v>Swati Singla</v>
          </cell>
          <cell r="D121" t="str">
            <v>Sub-grade</v>
          </cell>
          <cell r="E121">
            <v>45901</v>
          </cell>
          <cell r="F121" t="str">
            <v>Outsource</v>
          </cell>
          <cell r="G121" t="str">
            <v>Expat</v>
          </cell>
          <cell r="H121" t="str">
            <v>3B</v>
          </cell>
          <cell r="I121" t="str">
            <v>3A</v>
          </cell>
          <cell r="J121">
            <v>32340</v>
          </cell>
          <cell r="K121">
            <v>33957</v>
          </cell>
          <cell r="L121">
            <v>1617</v>
          </cell>
          <cell r="M121">
            <v>0.05</v>
          </cell>
          <cell r="N121" t="str">
            <v>Supply Management</v>
          </cell>
          <cell r="O121" t="str">
            <v>Support Services</v>
          </cell>
          <cell r="P121">
            <v>44986</v>
          </cell>
          <cell r="Q121" t="str">
            <v>Category Management Senior Specialist</v>
          </cell>
          <cell r="R121" t="str">
            <v>Category Management Senior Specialist</v>
          </cell>
          <cell r="S121" t="str">
            <v>Al Nahiya Group</v>
          </cell>
          <cell r="T121">
            <v>0</v>
          </cell>
          <cell r="U121">
            <v>3234</v>
          </cell>
          <cell r="V121">
            <v>13582.800000000001</v>
          </cell>
          <cell r="W121">
            <v>20374.2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 Output"/>
      <sheetName val="Excel Output (2)"/>
      <sheetName val="Sheet2"/>
      <sheetName val="Excel Output (3)"/>
      <sheetName val="Sheet4"/>
      <sheetName val="Sheet1"/>
      <sheetName val="Sheet3"/>
      <sheetName val="Excel Output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Employee Number</v>
          </cell>
          <cell r="B3" t="str">
            <v>Users Sys Id</v>
          </cell>
          <cell r="C3" t="str">
            <v>Employee Status (External Code)</v>
          </cell>
          <cell r="D3" t="str">
            <v>Employee Name</v>
          </cell>
          <cell r="E3" t="str">
            <v>Employee Name (Arabic)</v>
          </cell>
          <cell r="F3" t="str">
            <v>Hire Date</v>
          </cell>
          <cell r="G3" t="str">
            <v>Position code</v>
          </cell>
          <cell r="H3" t="str">
            <v>Position</v>
          </cell>
          <cell r="I3" t="str">
            <v>Position (Arabic)</v>
          </cell>
          <cell r="J3" t="str">
            <v>Position Organizational Chart Status</v>
          </cell>
          <cell r="K3" t="str">
            <v>Payroll-Area</v>
          </cell>
          <cell r="L3" t="str">
            <v>Pay Group (externalCode)</v>
          </cell>
          <cell r="M3" t="str">
            <v>Company (Label)</v>
          </cell>
          <cell r="N3" t="str">
            <v>Sector</v>
          </cell>
          <cell r="O3" t="str">
            <v>Sector(Arabic)</v>
          </cell>
          <cell r="P3" t="str">
            <v xml:space="preserve">Department </v>
          </cell>
          <cell r="Q3" t="str">
            <v>Department (Arabic)</v>
          </cell>
          <cell r="R3" t="str">
            <v>Section</v>
          </cell>
          <cell r="S3" t="str">
            <v>Section(Arabic)</v>
          </cell>
          <cell r="T3" t="str">
            <v>Unit</v>
          </cell>
          <cell r="U3" t="str">
            <v>Unit (Arabic)</v>
          </cell>
          <cell r="V3" t="str">
            <v>Location</v>
          </cell>
          <cell r="W3" t="str">
            <v>Office Location (Picklist Label)</v>
          </cell>
          <cell r="X3" t="str">
            <v>Cost Center</v>
          </cell>
          <cell r="Y3" t="str">
            <v>Job Classification</v>
          </cell>
          <cell r="Z3" t="str">
            <v>Position Job Level</v>
          </cell>
          <cell r="AA3" t="str">
            <v>Grade</v>
          </cell>
        </row>
        <row r="4">
          <cell r="A4">
            <v>2</v>
          </cell>
          <cell r="B4">
            <v>2</v>
          </cell>
          <cell r="C4" t="str">
            <v>A</v>
          </cell>
          <cell r="D4" t="str">
            <v>Hessa Yaser Al Shamsi</v>
          </cell>
          <cell r="E4" t="str">
            <v>حصه ياسر الشامسى</v>
          </cell>
          <cell r="F4">
            <v>37318</v>
          </cell>
          <cell r="G4" t="str">
            <v>10010036</v>
          </cell>
          <cell r="H4" t="str">
            <v>Call Centre Lead</v>
          </cell>
          <cell r="I4" t="str">
            <v>أخصائي رئيسي مركز الاتصال</v>
          </cell>
          <cell r="J4" t="str">
            <v>On-Chart</v>
          </cell>
          <cell r="K4" t="str">
            <v>DCT Payroll</v>
          </cell>
          <cell r="L4" t="str">
            <v>A1</v>
          </cell>
          <cell r="M4" t="str">
            <v>Department of Culture and Tourism</v>
          </cell>
          <cell r="N4" t="str">
            <v>Support Services</v>
          </cell>
          <cell r="O4" t="str">
            <v>الخدمات المساندة</v>
          </cell>
          <cell r="P4" t="str">
            <v>People &amp; Performance</v>
          </cell>
          <cell r="Q4" t="str">
            <v>إدارة الكوادر البشرية والأداء</v>
          </cell>
          <cell r="R4" t="str">
            <v>Employee Relations</v>
          </cell>
          <cell r="S4" t="str">
            <v>شؤون الموظفين</v>
          </cell>
          <cell r="T4" t="str">
            <v>Call Center</v>
          </cell>
          <cell r="U4" t="str">
            <v>مركز الإتصال</v>
          </cell>
          <cell r="V4" t="str">
            <v>Al Ain</v>
          </cell>
          <cell r="W4" t="str">
            <v/>
          </cell>
          <cell r="X4" t="str">
            <v>4510220</v>
          </cell>
          <cell r="Y4" t="str">
            <v>People &amp; Performance _Employee Relations_Senior Professional</v>
          </cell>
          <cell r="Z4" t="str">
            <v>Unit Head</v>
          </cell>
          <cell r="AA4" t="str">
            <v>3A</v>
          </cell>
        </row>
        <row r="5">
          <cell r="A5">
            <v>4</v>
          </cell>
          <cell r="B5">
            <v>4</v>
          </cell>
          <cell r="C5" t="str">
            <v>A</v>
          </cell>
          <cell r="D5" t="str">
            <v>Khalaf Obaid Al Yamahi</v>
          </cell>
          <cell r="E5" t="str">
            <v>خلف عبيد اليماحي</v>
          </cell>
          <cell r="F5">
            <v>37408</v>
          </cell>
          <cell r="G5" t="str">
            <v>47700004</v>
          </cell>
          <cell r="H5" t="str">
            <v>Advisor</v>
          </cell>
          <cell r="I5" t="str">
            <v>مستشار</v>
          </cell>
          <cell r="J5" t="str">
            <v>Off-Chart</v>
          </cell>
          <cell r="K5" t="str">
            <v>DCT Payroll</v>
          </cell>
          <cell r="L5" t="str">
            <v>A1</v>
          </cell>
          <cell r="M5" t="str">
            <v>Department of Culture and Tourism</v>
          </cell>
          <cell r="N5" t="str">
            <v>Support Services</v>
          </cell>
          <cell r="O5" t="str">
            <v>الخدمات المساندة</v>
          </cell>
          <cell r="P5" t="str">
            <v>Office of the Support Services Executive Director</v>
          </cell>
          <cell r="Q5" t="str">
            <v>مكتب المدير التنفيذي لقطاع الخدمات المساندة</v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>Abu Dhabi</v>
          </cell>
          <cell r="W5" t="str">
            <v/>
          </cell>
          <cell r="X5" t="str">
            <v>4510201</v>
          </cell>
          <cell r="Y5" t="str">
            <v>Admin &amp; Support_Support Services Department Head (All)_Director</v>
          </cell>
          <cell r="Z5" t="str">
            <v>Director</v>
          </cell>
          <cell r="AA5" t="str">
            <v>1A</v>
          </cell>
        </row>
        <row r="6">
          <cell r="A6">
            <v>5</v>
          </cell>
          <cell r="B6">
            <v>5</v>
          </cell>
          <cell r="C6" t="str">
            <v>A</v>
          </cell>
          <cell r="D6" t="str">
            <v>Nawal Rashed Al Hassani</v>
          </cell>
          <cell r="E6" t="str">
            <v>نوال راشد الحساني</v>
          </cell>
          <cell r="F6">
            <v>37450</v>
          </cell>
          <cell r="G6" t="str">
            <v>10007199</v>
          </cell>
          <cell r="H6" t="str">
            <v>Advisor</v>
          </cell>
          <cell r="I6" t="str">
            <v>مستشار</v>
          </cell>
          <cell r="J6" t="str">
            <v>Off-Chart</v>
          </cell>
          <cell r="K6" t="str">
            <v>DCT Payroll</v>
          </cell>
          <cell r="L6" t="str">
            <v>A1</v>
          </cell>
          <cell r="M6" t="str">
            <v>Department of Culture and Tourism</v>
          </cell>
          <cell r="N6" t="str">
            <v>Strategic Affairs</v>
          </cell>
          <cell r="O6" t="str">
            <v>الشؤون الاستراتيجية</v>
          </cell>
          <cell r="P6" t="str">
            <v>Office of Strategic Affairs Executive Director</v>
          </cell>
          <cell r="Q6" t="str">
            <v>مكتب المدير التنفيذي لقطاع الشؤون الاستراتيجية</v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>Abu Dhabi</v>
          </cell>
          <cell r="W6" t="str">
            <v/>
          </cell>
          <cell r="X6" t="str">
            <v>4512010</v>
          </cell>
          <cell r="Y6" t="str">
            <v>Executive Management _Strategic Affairs _Executive Director</v>
          </cell>
          <cell r="Z6" t="str">
            <v>Executive Director</v>
          </cell>
          <cell r="AA6" t="str">
            <v>ED - A</v>
          </cell>
        </row>
        <row r="7">
          <cell r="A7">
            <v>6</v>
          </cell>
          <cell r="B7">
            <v>6</v>
          </cell>
          <cell r="C7" t="str">
            <v>A</v>
          </cell>
          <cell r="D7" t="str">
            <v>Khaled Mohammed Al Hashemi</v>
          </cell>
          <cell r="E7" t="str">
            <v>خالد محمد الهاشمي</v>
          </cell>
          <cell r="F7">
            <v>37535</v>
          </cell>
          <cell r="G7" t="str">
            <v>10007151</v>
          </cell>
          <cell r="H7" t="str">
            <v>Advisor</v>
          </cell>
          <cell r="I7" t="str">
            <v>مستشار</v>
          </cell>
          <cell r="J7" t="str">
            <v>Off-Chart</v>
          </cell>
          <cell r="K7" t="str">
            <v>DCT Payroll</v>
          </cell>
          <cell r="L7" t="str">
            <v>A1</v>
          </cell>
          <cell r="M7" t="str">
            <v>Department of Culture and Tourism</v>
          </cell>
          <cell r="N7" t="str">
            <v>Support Services</v>
          </cell>
          <cell r="O7" t="str">
            <v>الخدمات المساندة</v>
          </cell>
          <cell r="P7" t="str">
            <v>Office of the Support Services Executive Director</v>
          </cell>
          <cell r="Q7" t="str">
            <v>مكتب المدير التنفيذي لقطاع الخدمات المساندة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>Abu Dhabi</v>
          </cell>
          <cell r="W7" t="str">
            <v/>
          </cell>
          <cell r="X7" t="str">
            <v>4510201</v>
          </cell>
          <cell r="Y7" t="str">
            <v>Admin &amp; Support_Support Services Department Head (All)_Director</v>
          </cell>
          <cell r="Z7" t="str">
            <v>Director</v>
          </cell>
          <cell r="AA7" t="str">
            <v>1A</v>
          </cell>
        </row>
        <row r="8">
          <cell r="A8">
            <v>8</v>
          </cell>
          <cell r="B8">
            <v>8</v>
          </cell>
          <cell r="C8" t="str">
            <v>A</v>
          </cell>
          <cell r="D8" t="str">
            <v>Jasem Mohamed AL Hebsi</v>
          </cell>
          <cell r="E8" t="str">
            <v>جاسم محمد الحبسي</v>
          </cell>
          <cell r="F8">
            <v>37611</v>
          </cell>
          <cell r="G8" t="str">
            <v>50003109</v>
          </cell>
          <cell r="H8" t="str">
            <v>Projects Director</v>
          </cell>
          <cell r="I8" t="str">
            <v>مدير مشاريع</v>
          </cell>
          <cell r="J8" t="str">
            <v>On-Chart</v>
          </cell>
          <cell r="K8" t="str">
            <v>DCT Payroll</v>
          </cell>
          <cell r="L8" t="str">
            <v>A1</v>
          </cell>
          <cell r="M8" t="str">
            <v>Department of Culture and Tourism</v>
          </cell>
          <cell r="N8" t="str">
            <v>Support Services</v>
          </cell>
          <cell r="O8" t="str">
            <v>الخدمات المساندة</v>
          </cell>
          <cell r="P8" t="str">
            <v>Office of the Support Services Executive Director</v>
          </cell>
          <cell r="Q8" t="str">
            <v>مكتب المدير التنفيذي لقطاع الخدمات المساندة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>Abu Dhabi</v>
          </cell>
          <cell r="W8" t="str">
            <v/>
          </cell>
          <cell r="X8" t="str">
            <v>4510201</v>
          </cell>
          <cell r="Y8" t="str">
            <v>Admin &amp; Support_Support Services Department Head (All)_Director</v>
          </cell>
          <cell r="Z8" t="str">
            <v>Director</v>
          </cell>
          <cell r="AA8" t="str">
            <v>1A</v>
          </cell>
        </row>
        <row r="9">
          <cell r="A9">
            <v>9</v>
          </cell>
          <cell r="B9">
            <v>9</v>
          </cell>
          <cell r="C9" t="str">
            <v>A</v>
          </cell>
          <cell r="D9" t="str">
            <v>Bakhita Salem Al Ahbabi</v>
          </cell>
          <cell r="E9" t="str">
            <v>بخيته سالم الاحبابي</v>
          </cell>
          <cell r="F9">
            <v>37618</v>
          </cell>
          <cell r="G9" t="str">
            <v>50002708</v>
          </cell>
          <cell r="H9" t="str">
            <v>Digital Government Services Unit Head</v>
          </cell>
          <cell r="I9" t="str">
            <v>رئيس وحدة خدمات الحكومة الرقمية​</v>
          </cell>
          <cell r="J9" t="str">
            <v>On-Chart</v>
          </cell>
          <cell r="K9" t="str">
            <v>DCT Payroll</v>
          </cell>
          <cell r="L9" t="str">
            <v>A1</v>
          </cell>
          <cell r="M9" t="str">
            <v>Department of Culture and Tourism</v>
          </cell>
          <cell r="N9" t="str">
            <v>Support Services</v>
          </cell>
          <cell r="O9" t="str">
            <v>الخدمات المساندة</v>
          </cell>
          <cell r="P9" t="str">
            <v>Technology</v>
          </cell>
          <cell r="Q9" t="str">
            <v>التكنولوجيا</v>
          </cell>
          <cell r="R9" t="str">
            <v>Business Applications</v>
          </cell>
          <cell r="S9" t="str">
            <v>التطبيقات المؤسسية</v>
          </cell>
          <cell r="T9" t="str">
            <v>TAMM</v>
          </cell>
          <cell r="U9" t="str">
            <v>منصة تم</v>
          </cell>
          <cell r="V9" t="str">
            <v>Abu Dhabi</v>
          </cell>
          <cell r="W9" t="str">
            <v/>
          </cell>
          <cell r="X9" t="str">
            <v>4510250</v>
          </cell>
          <cell r="Y9" t="str">
            <v>Digital_Emerging Technology _Unit Head</v>
          </cell>
          <cell r="Z9" t="str">
            <v>Unit Head</v>
          </cell>
          <cell r="AA9" t="str">
            <v>3A</v>
          </cell>
        </row>
        <row r="10">
          <cell r="A10">
            <v>11</v>
          </cell>
          <cell r="B10">
            <v>11</v>
          </cell>
          <cell r="C10" t="str">
            <v>A</v>
          </cell>
          <cell r="D10" t="str">
            <v>Amna Darwish Al Boulishi</v>
          </cell>
          <cell r="E10" t="str">
            <v>امنه درويش جلال</v>
          </cell>
          <cell r="F10">
            <v>37646</v>
          </cell>
          <cell r="G10" t="str">
            <v>10009538</v>
          </cell>
          <cell r="H10" t="str">
            <v>Call Centre Executive</v>
          </cell>
          <cell r="I10" t="str">
            <v>تنفيذي مركز الإتصال</v>
          </cell>
          <cell r="J10" t="str">
            <v>On-Chart</v>
          </cell>
          <cell r="K10" t="str">
            <v>DCT Payroll</v>
          </cell>
          <cell r="L10" t="str">
            <v>A1</v>
          </cell>
          <cell r="M10" t="str">
            <v>Department of Culture and Tourism</v>
          </cell>
          <cell r="N10" t="str">
            <v>Support Services</v>
          </cell>
          <cell r="O10" t="str">
            <v>الخدمات المساندة</v>
          </cell>
          <cell r="P10" t="str">
            <v>People &amp; Performance</v>
          </cell>
          <cell r="Q10" t="str">
            <v>إدارة الكوادر البشرية والأداء</v>
          </cell>
          <cell r="R10" t="str">
            <v>Employee Relations</v>
          </cell>
          <cell r="S10" t="str">
            <v>شؤون الموظفين</v>
          </cell>
          <cell r="T10" t="str">
            <v>Call Center</v>
          </cell>
          <cell r="U10" t="str">
            <v>مركز الإتصال</v>
          </cell>
          <cell r="V10" t="str">
            <v>Al Ain</v>
          </cell>
          <cell r="W10" t="str">
            <v/>
          </cell>
          <cell r="X10" t="str">
            <v>4510220</v>
          </cell>
          <cell r="Y10" t="str">
            <v>People &amp; Performance _Employee Relations_Professional Assistant</v>
          </cell>
          <cell r="Z10" t="str">
            <v>Professional</v>
          </cell>
          <cell r="AA10" t="str">
            <v>4A</v>
          </cell>
        </row>
        <row r="11">
          <cell r="A11">
            <v>12</v>
          </cell>
          <cell r="B11">
            <v>12</v>
          </cell>
          <cell r="C11" t="str">
            <v>A</v>
          </cell>
          <cell r="D11" t="str">
            <v>Raya Salem Al Yahyaei</v>
          </cell>
          <cell r="E11" t="str">
            <v>رايه سالم اليحيائي</v>
          </cell>
          <cell r="F11">
            <v>37682</v>
          </cell>
          <cell r="G11" t="str">
            <v>10009541</v>
          </cell>
          <cell r="H11" t="str">
            <v>Call Centre Executive</v>
          </cell>
          <cell r="I11" t="str">
            <v>تنفيذي مركز الإتصال</v>
          </cell>
          <cell r="J11" t="str">
            <v>On-Chart</v>
          </cell>
          <cell r="K11" t="str">
            <v>DCT Payroll</v>
          </cell>
          <cell r="L11" t="str">
            <v>A1</v>
          </cell>
          <cell r="M11" t="str">
            <v>Department of Culture and Tourism</v>
          </cell>
          <cell r="N11" t="str">
            <v>Support Services</v>
          </cell>
          <cell r="O11" t="str">
            <v>الخدمات المساندة</v>
          </cell>
          <cell r="P11" t="str">
            <v>People &amp; Performance</v>
          </cell>
          <cell r="Q11" t="str">
            <v>إدارة الكوادر البشرية والأداء</v>
          </cell>
          <cell r="R11" t="str">
            <v>Employee Relations</v>
          </cell>
          <cell r="S11" t="str">
            <v>شؤون الموظفين</v>
          </cell>
          <cell r="T11" t="str">
            <v>Call Center</v>
          </cell>
          <cell r="U11" t="str">
            <v>مركز الإتصال</v>
          </cell>
          <cell r="V11" t="str">
            <v>Al Ain</v>
          </cell>
          <cell r="W11" t="str">
            <v/>
          </cell>
          <cell r="X11" t="str">
            <v>4510220</v>
          </cell>
          <cell r="Y11" t="str">
            <v>People &amp; Performance _Employee Relations_Professional Assistant</v>
          </cell>
          <cell r="Z11" t="str">
            <v>Professional</v>
          </cell>
          <cell r="AA11" t="str">
            <v>4A</v>
          </cell>
        </row>
        <row r="12">
          <cell r="A12">
            <v>14</v>
          </cell>
          <cell r="B12">
            <v>14</v>
          </cell>
          <cell r="C12" t="str">
            <v>A</v>
          </cell>
          <cell r="D12" t="str">
            <v>Awatef Al Saadi</v>
          </cell>
          <cell r="E12" t="str">
            <v>عواطف محمد السعدى</v>
          </cell>
          <cell r="F12">
            <v>37723</v>
          </cell>
          <cell r="G12" t="str">
            <v>47700014</v>
          </cell>
          <cell r="H12" t="str">
            <v>Licensing Services Executive</v>
          </cell>
          <cell r="I12" t="str">
            <v>تنفيذي خدمات الترخيص</v>
          </cell>
          <cell r="J12" t="str">
            <v>On-Chart</v>
          </cell>
          <cell r="K12" t="str">
            <v>DCT Payroll</v>
          </cell>
          <cell r="L12" t="str">
            <v>A1</v>
          </cell>
          <cell r="M12" t="str">
            <v>Department of Culture and Tourism</v>
          </cell>
          <cell r="N12" t="str">
            <v>Tourism</v>
          </cell>
          <cell r="O12" t="str">
            <v>السياحة</v>
          </cell>
          <cell r="P12" t="str">
            <v>Licensing &amp; Regulatory Compliance</v>
          </cell>
          <cell r="Q12" t="str">
            <v>الرقابة والترخيص</v>
          </cell>
          <cell r="R12" t="str">
            <v>Licensing</v>
          </cell>
          <cell r="S12" t="str">
            <v>الترخيص</v>
          </cell>
          <cell r="T12" t="str">
            <v>Licensing Services</v>
          </cell>
          <cell r="U12" t="str">
            <v>خدمات الترخيص</v>
          </cell>
          <cell r="V12" t="str">
            <v>Al Ain</v>
          </cell>
          <cell r="W12" t="str">
            <v/>
          </cell>
          <cell r="X12" t="str">
            <v>4510170</v>
          </cell>
          <cell r="Y12" t="str">
            <v>Compliance,Governance&amp;Protocol_Licensing &amp; Regulatory Compliance- (Follow-up and Reporting) _Professional Assistant</v>
          </cell>
          <cell r="Z12" t="str">
            <v>Professional</v>
          </cell>
          <cell r="AA12" t="str">
            <v>4A</v>
          </cell>
        </row>
        <row r="13">
          <cell r="A13">
            <v>15</v>
          </cell>
          <cell r="B13">
            <v>15</v>
          </cell>
          <cell r="C13" t="str">
            <v>A</v>
          </cell>
          <cell r="D13" t="str">
            <v>Abdulla Salem Al Dhaheri</v>
          </cell>
          <cell r="E13" t="str">
            <v>عبدالله سالم الظاهري</v>
          </cell>
          <cell r="F13">
            <v>37744</v>
          </cell>
          <cell r="G13" t="str">
            <v>10006639</v>
          </cell>
          <cell r="H13" t="str">
            <v>Events Licensing Unit Head</v>
          </cell>
          <cell r="I13" t="str">
            <v>رئيس وحدة ترخيص الفعاليات</v>
          </cell>
          <cell r="J13" t="str">
            <v>On-Chart</v>
          </cell>
          <cell r="K13" t="str">
            <v>DCT Payroll</v>
          </cell>
          <cell r="L13" t="str">
            <v>A1</v>
          </cell>
          <cell r="M13" t="str">
            <v>Department of Culture and Tourism</v>
          </cell>
          <cell r="N13" t="str">
            <v>Tourism</v>
          </cell>
          <cell r="O13" t="str">
            <v>السياحة</v>
          </cell>
          <cell r="P13" t="str">
            <v>Licensing &amp; Regulatory Compliance</v>
          </cell>
          <cell r="Q13" t="str">
            <v>الرقابة والترخيص</v>
          </cell>
          <cell r="R13" t="str">
            <v>Licensing</v>
          </cell>
          <cell r="S13" t="str">
            <v>الترخيص</v>
          </cell>
          <cell r="T13" t="str">
            <v>Events Licensing</v>
          </cell>
          <cell r="U13" t="str">
            <v>ترخيص الفعاليات</v>
          </cell>
          <cell r="V13" t="str">
            <v>Abu Dhabi</v>
          </cell>
          <cell r="W13" t="str">
            <v/>
          </cell>
          <cell r="X13" t="str">
            <v>4510170</v>
          </cell>
          <cell r="Y13" t="str">
            <v>Compliance,Governance&amp;Protocol_Licensing &amp; Regulatory Compliance_Unit Head</v>
          </cell>
          <cell r="Z13" t="str">
            <v>Unit Head</v>
          </cell>
          <cell r="AA13" t="str">
            <v>3A</v>
          </cell>
        </row>
        <row r="14">
          <cell r="A14">
            <v>17</v>
          </cell>
          <cell r="B14">
            <v>17</v>
          </cell>
          <cell r="C14" t="str">
            <v>A</v>
          </cell>
          <cell r="D14" t="str">
            <v>Saeed Hamdan Al Tunaiji</v>
          </cell>
          <cell r="E14" t="str">
            <v>سعيد حمدان الطنيجي</v>
          </cell>
          <cell r="F14">
            <v>37744</v>
          </cell>
          <cell r="G14" t="str">
            <v>50001141</v>
          </cell>
          <cell r="H14" t="str">
            <v>Executive Director of Abu Dhabi Arabic Language Center</v>
          </cell>
          <cell r="I14" t="str">
            <v>المدير التنفيذي لمركز أبوظبي للغة العربية</v>
          </cell>
          <cell r="J14" t="str">
            <v>On-Chart</v>
          </cell>
          <cell r="K14" t="str">
            <v>ALC Direct Hires</v>
          </cell>
          <cell r="L14" t="str">
            <v>AL1</v>
          </cell>
          <cell r="M14" t="str">
            <v>Abu Dhabi Arabic Language Centre</v>
          </cell>
          <cell r="N14" t="str">
            <v>Abu Dhabi Arabic Language Centre</v>
          </cell>
          <cell r="O14" t="str">
            <v>مركز أبوظبي للغة العربية</v>
          </cell>
          <cell r="P14" t="str">
            <v>ALC Executive Director’s Office</v>
          </cell>
          <cell r="Q14" t="str">
            <v>مكتب المدير التنفيذي لمركز أبوظبي للغة العربية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>Abu Dhabi</v>
          </cell>
          <cell r="W14" t="str">
            <v/>
          </cell>
          <cell r="X14" t="str">
            <v>4510195</v>
          </cell>
          <cell r="Y14" t="str">
            <v>Interpretation &amp; Engagement_Arabic Language Center _SP Director</v>
          </cell>
          <cell r="Z14" t="str">
            <v>Executive Director</v>
          </cell>
          <cell r="AA14" t="str">
            <v>ED - C</v>
          </cell>
        </row>
        <row r="15">
          <cell r="A15">
            <v>19</v>
          </cell>
          <cell r="B15">
            <v>19</v>
          </cell>
          <cell r="C15" t="str">
            <v>A</v>
          </cell>
          <cell r="D15" t="str">
            <v>Sabha Ahmed Al Ameri</v>
          </cell>
          <cell r="E15" t="str">
            <v>صبحه احمد العامري</v>
          </cell>
          <cell r="F15">
            <v>37779</v>
          </cell>
          <cell r="G15" t="str">
            <v>50001072</v>
          </cell>
          <cell r="H15" t="str">
            <v>Technical Services Section Head</v>
          </cell>
          <cell r="I15" t="str">
            <v>رئيس قسم الخدمات الفنية</v>
          </cell>
          <cell r="J15" t="str">
            <v>On-Chart</v>
          </cell>
          <cell r="K15" t="str">
            <v>ALC Direct Hires</v>
          </cell>
          <cell r="L15" t="str">
            <v>AL1</v>
          </cell>
          <cell r="M15" t="str">
            <v>Abu Dhabi Arabic Language Centre</v>
          </cell>
          <cell r="N15" t="str">
            <v>Abu Dhabi Arabic Language Centre</v>
          </cell>
          <cell r="O15" t="str">
            <v>مركز أبوظبي للغة العربية</v>
          </cell>
          <cell r="P15" t="str">
            <v>Specialized Library</v>
          </cell>
          <cell r="Q15" t="str">
            <v>المكتبات المتخصصة</v>
          </cell>
          <cell r="R15" t="str">
            <v>Technical Services - ALC</v>
          </cell>
          <cell r="S15" t="str">
            <v>الخدمات الفنية</v>
          </cell>
          <cell r="T15" t="str">
            <v/>
          </cell>
          <cell r="U15" t="str">
            <v/>
          </cell>
          <cell r="V15" t="str">
            <v>Abu Dhabi</v>
          </cell>
          <cell r="W15" t="str">
            <v/>
          </cell>
          <cell r="X15" t="str">
            <v>4519202</v>
          </cell>
          <cell r="Y15" t="str">
            <v>Interpretation &amp; Engagement_Arabic Language Research &amp; Studies _Section Manager</v>
          </cell>
          <cell r="Z15" t="str">
            <v>Section Manager</v>
          </cell>
          <cell r="AA15" t="str">
            <v>2A</v>
          </cell>
        </row>
        <row r="16">
          <cell r="A16">
            <v>20</v>
          </cell>
          <cell r="B16">
            <v>20</v>
          </cell>
          <cell r="C16" t="str">
            <v>A</v>
          </cell>
          <cell r="D16" t="str">
            <v>Ati Abdulla Al Dhaheri</v>
          </cell>
          <cell r="E16" t="str">
            <v>عاتى عبدالله الظاهري</v>
          </cell>
          <cell r="F16">
            <v>37800</v>
          </cell>
          <cell r="G16" t="str">
            <v>50001996</v>
          </cell>
          <cell r="H16" t="str">
            <v>FAM Trips &amp; Educational Programs Section Head</v>
          </cell>
          <cell r="I16" t="str">
            <v>رئيس قسم الرحلات الترفيهية والبرامج التعليمية</v>
          </cell>
          <cell r="J16" t="str">
            <v>On-Chart</v>
          </cell>
          <cell r="K16" t="str">
            <v>DCT Payroll</v>
          </cell>
          <cell r="L16" t="str">
            <v>A1</v>
          </cell>
          <cell r="M16" t="str">
            <v>Department of Culture and Tourism</v>
          </cell>
          <cell r="N16" t="str">
            <v>Tourism</v>
          </cell>
          <cell r="O16" t="str">
            <v>السياحة</v>
          </cell>
          <cell r="P16" t="str">
            <v>International Operations</v>
          </cell>
          <cell r="Q16" t="str">
            <v>العمليات الدولية</v>
          </cell>
          <cell r="R16" t="str">
            <v>FAM Trips &amp; Educational Programs</v>
          </cell>
          <cell r="S16" t="str">
            <v>الرحلات الترفيهية والبرامج التعليمية</v>
          </cell>
          <cell r="T16" t="str">
            <v/>
          </cell>
          <cell r="U16" t="str">
            <v/>
          </cell>
          <cell r="V16" t="str">
            <v>Abu Dhabi</v>
          </cell>
          <cell r="W16" t="str">
            <v/>
          </cell>
          <cell r="X16" t="str">
            <v>4515100</v>
          </cell>
          <cell r="Y16" t="str">
            <v>Middle Management Marketing &amp; Communications</v>
          </cell>
          <cell r="Z16" t="str">
            <v>Section Manager</v>
          </cell>
          <cell r="AA16" t="str">
            <v>2C</v>
          </cell>
        </row>
        <row r="17">
          <cell r="A17">
            <v>22</v>
          </cell>
          <cell r="B17">
            <v>22</v>
          </cell>
          <cell r="C17" t="str">
            <v>A</v>
          </cell>
          <cell r="D17" t="str">
            <v>Nasser Saif Al Reyami</v>
          </cell>
          <cell r="E17" t="str">
            <v>ناصر سيف الريامي</v>
          </cell>
          <cell r="F17">
            <v>37865</v>
          </cell>
          <cell r="G17" t="str">
            <v>50000598</v>
          </cell>
          <cell r="H17" t="str">
            <v>Health &amp; Safety Advisor</v>
          </cell>
          <cell r="I17" t="str">
            <v>مستشار الصحة والسلامه</v>
          </cell>
          <cell r="J17" t="str">
            <v>Off-Chart</v>
          </cell>
          <cell r="K17" t="str">
            <v>DCT Payroll</v>
          </cell>
          <cell r="L17" t="str">
            <v>A1</v>
          </cell>
          <cell r="M17" t="str">
            <v>Department of Culture and Tourism</v>
          </cell>
          <cell r="N17" t="str">
            <v>Office Of Undersecretary</v>
          </cell>
          <cell r="O17" t="str">
            <v>مكتب وكيل الدائرة</v>
          </cell>
          <cell r="P17" t="str">
            <v>Office Of Undersecretary</v>
          </cell>
          <cell r="Q17" t="str">
            <v>مكتب وكيل الدائرة</v>
          </cell>
          <cell r="R17" t="str">
            <v>Office of Undersecretary</v>
          </cell>
          <cell r="S17" t="str">
            <v>مكتب الوكيل</v>
          </cell>
          <cell r="T17" t="str">
            <v/>
          </cell>
          <cell r="U17" t="str">
            <v/>
          </cell>
          <cell r="V17" t="str">
            <v>Abu Dhabi</v>
          </cell>
          <cell r="W17" t="str">
            <v/>
          </cell>
          <cell r="X17" t="str">
            <v>4510110</v>
          </cell>
          <cell r="Y17" t="str">
            <v>Technical Safety &amp; Security_Environmental Health &amp; Safety _Director</v>
          </cell>
          <cell r="Z17" t="str">
            <v>Director</v>
          </cell>
          <cell r="AA17" t="str">
            <v>1A</v>
          </cell>
        </row>
        <row r="18">
          <cell r="A18">
            <v>23</v>
          </cell>
          <cell r="B18">
            <v>23</v>
          </cell>
          <cell r="C18" t="str">
            <v>A</v>
          </cell>
          <cell r="D18" t="str">
            <v>Saeed Abdulla AL Dhaheri</v>
          </cell>
          <cell r="E18" t="str">
            <v>سعيد عبدالله الظاهري</v>
          </cell>
          <cell r="F18">
            <v>37874</v>
          </cell>
          <cell r="G18" t="str">
            <v>50001599</v>
          </cell>
          <cell r="H18" t="str">
            <v>Destination Management Department Director</v>
          </cell>
          <cell r="I18" t="str">
            <v>مدير إدارة الوجهات</v>
          </cell>
          <cell r="J18" t="str">
            <v>On-Chart</v>
          </cell>
          <cell r="K18" t="str">
            <v>DCT Payroll</v>
          </cell>
          <cell r="L18" t="str">
            <v>A1</v>
          </cell>
          <cell r="M18" t="str">
            <v>Department of Culture and Tourism</v>
          </cell>
          <cell r="N18" t="str">
            <v>Tourism</v>
          </cell>
          <cell r="O18" t="str">
            <v>السياحة</v>
          </cell>
          <cell r="P18" t="str">
            <v>Destinations Management Department</v>
          </cell>
          <cell r="Q18" t="str">
            <v>إدارة الوجهات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>Abu Dhabi</v>
          </cell>
          <cell r="W18" t="str">
            <v/>
          </cell>
          <cell r="X18" t="str">
            <v>4515700</v>
          </cell>
          <cell r="Y18" t="str">
            <v>Commercial _Tourism Products Development _Director</v>
          </cell>
          <cell r="Z18" t="str">
            <v>Director</v>
          </cell>
          <cell r="AA18" t="str">
            <v>1A</v>
          </cell>
        </row>
        <row r="19">
          <cell r="A19">
            <v>24</v>
          </cell>
          <cell r="B19">
            <v>24</v>
          </cell>
          <cell r="C19" t="str">
            <v>A</v>
          </cell>
          <cell r="D19" t="str">
            <v>Neera Saeed AL Ketbi</v>
          </cell>
          <cell r="E19" t="str">
            <v>نيره سعيد الكتبي</v>
          </cell>
          <cell r="F19">
            <v>37891</v>
          </cell>
          <cell r="G19" t="str">
            <v>47700024</v>
          </cell>
          <cell r="H19" t="str">
            <v>Call Centre Senior Executive</v>
          </cell>
          <cell r="I19" t="str">
            <v>تنفيذي أول مركز الاتصال</v>
          </cell>
          <cell r="J19" t="str">
            <v>On-Chart</v>
          </cell>
          <cell r="K19" t="str">
            <v>DCT Payroll</v>
          </cell>
          <cell r="L19" t="str">
            <v>A1</v>
          </cell>
          <cell r="M19" t="str">
            <v>Department of Culture and Tourism</v>
          </cell>
          <cell r="N19" t="str">
            <v>Support Services</v>
          </cell>
          <cell r="O19" t="str">
            <v>الخدمات المساندة</v>
          </cell>
          <cell r="P19" t="str">
            <v>People &amp; Performance</v>
          </cell>
          <cell r="Q19" t="str">
            <v>إدارة الكوادر البشرية والأداء</v>
          </cell>
          <cell r="R19" t="str">
            <v>Employee Relations</v>
          </cell>
          <cell r="S19" t="str">
            <v>شؤون الموظفين</v>
          </cell>
          <cell r="T19" t="str">
            <v>Call Center</v>
          </cell>
          <cell r="U19" t="str">
            <v>مركز الإتصال</v>
          </cell>
          <cell r="V19" t="str">
            <v>Al Ain</v>
          </cell>
          <cell r="W19" t="str">
            <v/>
          </cell>
          <cell r="X19" t="str">
            <v>4510220</v>
          </cell>
          <cell r="Y19" t="str">
            <v>People &amp; Performance _Employee Relations_Professional Assistant</v>
          </cell>
          <cell r="Z19" t="str">
            <v>Senior Professional</v>
          </cell>
          <cell r="AA19" t="str">
            <v>3A</v>
          </cell>
        </row>
        <row r="20">
          <cell r="A20">
            <v>29</v>
          </cell>
          <cell r="B20">
            <v>29</v>
          </cell>
          <cell r="C20" t="str">
            <v>A</v>
          </cell>
          <cell r="D20" t="str">
            <v>Mubarak Hamad Al Shamisi</v>
          </cell>
          <cell r="E20" t="str">
            <v>مبارك حمد الشامسى</v>
          </cell>
          <cell r="F20">
            <v>38087</v>
          </cell>
          <cell r="G20" t="str">
            <v>10004677</v>
          </cell>
          <cell r="H20" t="str">
            <v>Abu Dhabi Convention &amp; Exhibition Bureau Director</v>
          </cell>
          <cell r="I20" t="str">
            <v>مدير مكتب أبوظبي للمؤتمرات والمعارض</v>
          </cell>
          <cell r="J20" t="str">
            <v>On-Chart</v>
          </cell>
          <cell r="K20" t="str">
            <v>DCT Payroll</v>
          </cell>
          <cell r="L20" t="str">
            <v>A1</v>
          </cell>
          <cell r="M20" t="str">
            <v>Department of Culture and Tourism</v>
          </cell>
          <cell r="N20" t="str">
            <v>Tourism</v>
          </cell>
          <cell r="O20" t="str">
            <v>السياحة</v>
          </cell>
          <cell r="P20" t="str">
            <v>Abu Dhabi Conventions &amp; Exhibition Bureau</v>
          </cell>
          <cell r="Q20" t="str">
            <v>مكتب أبوظبي للمؤتمرات والمعارض</v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>Abu Dhabi</v>
          </cell>
          <cell r="W20" t="str">
            <v/>
          </cell>
          <cell r="X20" t="str">
            <v>4515400</v>
          </cell>
          <cell r="Y20" t="str">
            <v>Commercial _Conventions, Exhibitions, Events &amp; Festivals _Director</v>
          </cell>
          <cell r="Z20" t="str">
            <v>Director</v>
          </cell>
          <cell r="AA20" t="str">
            <v>1A</v>
          </cell>
        </row>
        <row r="21">
          <cell r="A21">
            <v>33</v>
          </cell>
          <cell r="B21">
            <v>33</v>
          </cell>
          <cell r="C21" t="str">
            <v>A</v>
          </cell>
          <cell r="D21" t="str">
            <v>Mahra Mohamed Al Zaabi</v>
          </cell>
          <cell r="E21" t="str">
            <v>مهرة محمد الزعابي</v>
          </cell>
          <cell r="F21">
            <v>38535</v>
          </cell>
          <cell r="G21" t="str">
            <v>10007469</v>
          </cell>
          <cell r="H21" t="str">
            <v>Special Projects Manager</v>
          </cell>
          <cell r="I21" t="str">
            <v>مدير المشاريع الخاصة</v>
          </cell>
          <cell r="J21" t="str">
            <v>Off-Chart</v>
          </cell>
          <cell r="K21" t="str">
            <v>DCT Payroll</v>
          </cell>
          <cell r="L21" t="str">
            <v>A1</v>
          </cell>
          <cell r="M21" t="str">
            <v>Department of Culture and Tourism</v>
          </cell>
          <cell r="N21" t="str">
            <v>Strategic Marketing &amp; Communication</v>
          </cell>
          <cell r="O21" t="str">
            <v>التسويق والاتصال الاستراتيجي</v>
          </cell>
          <cell r="P21" t="str">
            <v>Strategic Communications</v>
          </cell>
          <cell r="Q21" t="str">
            <v>الاتصال الاستراتيجي</v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>Abu Dhabi</v>
          </cell>
          <cell r="W21" t="str">
            <v/>
          </cell>
          <cell r="X21" t="str">
            <v>4513120</v>
          </cell>
          <cell r="Y21" t="str">
            <v>Comms &amp; Marketing _Communications (All Areas)_Unit Head</v>
          </cell>
          <cell r="Z21" t="str">
            <v>Unit Head</v>
          </cell>
          <cell r="AA21" t="str">
            <v>2A</v>
          </cell>
        </row>
        <row r="22">
          <cell r="A22">
            <v>36</v>
          </cell>
          <cell r="B22">
            <v>36</v>
          </cell>
          <cell r="C22" t="str">
            <v>A</v>
          </cell>
          <cell r="D22" t="str">
            <v>Sameer Taher Bagaber</v>
          </cell>
          <cell r="E22" t="str">
            <v>سمير طاهر باجابر</v>
          </cell>
          <cell r="F22">
            <v>38612</v>
          </cell>
          <cell r="G22" t="str">
            <v>10009911</v>
          </cell>
          <cell r="H22" t="str">
            <v>Enterprise Risk Management &amp; Business Continuity Section Head</v>
          </cell>
          <cell r="I22" t="str">
            <v>رئيس قسم إدارة المخاطر واستمرارية الأعمال</v>
          </cell>
          <cell r="J22" t="str">
            <v>On-Chart</v>
          </cell>
          <cell r="K22" t="str">
            <v>DCT Payroll</v>
          </cell>
          <cell r="L22" t="str">
            <v>A1</v>
          </cell>
          <cell r="M22" t="str">
            <v>Department of Culture and Tourism</v>
          </cell>
          <cell r="N22" t="str">
            <v>Strategic Affairs</v>
          </cell>
          <cell r="O22" t="str">
            <v>الشؤون الاستراتيجية</v>
          </cell>
          <cell r="P22" t="str">
            <v>Business Excellence &amp; Continuity</v>
          </cell>
          <cell r="Q22" t="str">
            <v>التميز المؤسسي واستمرارية الأعمال</v>
          </cell>
          <cell r="R22" t="str">
            <v>Enterprise Risk Management &amp; Business Continuity</v>
          </cell>
          <cell r="S22" t="str">
            <v>إدارة المخاطر واستمرارية الأعمال</v>
          </cell>
          <cell r="T22" t="str">
            <v/>
          </cell>
          <cell r="U22" t="str">
            <v/>
          </cell>
          <cell r="V22" t="str">
            <v>Abu Dhabi</v>
          </cell>
          <cell r="W22" t="str">
            <v/>
          </cell>
          <cell r="X22" t="str">
            <v>4512300</v>
          </cell>
          <cell r="Y22" t="str">
            <v>Strategy, Planning, Project Mgt_Business Excellence &amp; Foresight Planning _Section Head</v>
          </cell>
          <cell r="Z22" t="str">
            <v>Section Manager</v>
          </cell>
          <cell r="AA22" t="str">
            <v>2A</v>
          </cell>
        </row>
        <row r="23">
          <cell r="A23">
            <v>37</v>
          </cell>
          <cell r="B23">
            <v>37</v>
          </cell>
          <cell r="C23" t="str">
            <v>A</v>
          </cell>
          <cell r="D23" t="str">
            <v>Mona Saif Al Ali</v>
          </cell>
          <cell r="E23" t="str">
            <v>منى سيف آل علي</v>
          </cell>
          <cell r="F23">
            <v>38633</v>
          </cell>
          <cell r="G23" t="str">
            <v>47700037</v>
          </cell>
          <cell r="H23" t="str">
            <v>Employee Relations Assistant</v>
          </cell>
          <cell r="I23" t="str">
            <v>مساعد شؤون الموظفين​</v>
          </cell>
          <cell r="J23" t="str">
            <v>On-Chart</v>
          </cell>
          <cell r="K23" t="str">
            <v>DCT Payroll</v>
          </cell>
          <cell r="L23" t="str">
            <v>A1</v>
          </cell>
          <cell r="M23" t="str">
            <v>Department of Culture and Tourism</v>
          </cell>
          <cell r="N23" t="str">
            <v>Support Services</v>
          </cell>
          <cell r="O23" t="str">
            <v>الخدمات المساندة</v>
          </cell>
          <cell r="P23" t="str">
            <v>People &amp; Performance</v>
          </cell>
          <cell r="Q23" t="str">
            <v>إدارة الكوادر البشرية والأداء</v>
          </cell>
          <cell r="R23" t="str">
            <v>Employee Relations</v>
          </cell>
          <cell r="S23" t="str">
            <v>شؤون الموظفين</v>
          </cell>
          <cell r="T23" t="str">
            <v>Employee Experience</v>
          </cell>
          <cell r="U23" t="str">
            <v>تجربة الموظفين</v>
          </cell>
          <cell r="V23" t="str">
            <v>Abu Dhabi</v>
          </cell>
          <cell r="W23" t="str">
            <v/>
          </cell>
          <cell r="X23" t="str">
            <v>4510220</v>
          </cell>
          <cell r="Y23" t="str">
            <v>People &amp; Performance _Employee Relations_Professional Assistant</v>
          </cell>
          <cell r="Z23" t="str">
            <v>Professional Assistant</v>
          </cell>
          <cell r="AA23" t="str">
            <v>5A</v>
          </cell>
        </row>
        <row r="24">
          <cell r="A24">
            <v>39</v>
          </cell>
          <cell r="B24">
            <v>39</v>
          </cell>
          <cell r="C24" t="str">
            <v>A</v>
          </cell>
          <cell r="D24" t="str">
            <v>Abdul Rahman Juma Al Badwawi</v>
          </cell>
          <cell r="E24" t="str">
            <v>عبدالرحمن جمعه البدواوي</v>
          </cell>
          <cell r="F24">
            <v>38668</v>
          </cell>
          <cell r="G24" t="str">
            <v>10004854</v>
          </cell>
          <cell r="H24" t="str">
            <v>Licensing Services Unit Head</v>
          </cell>
          <cell r="I24" t="str">
            <v>رئيس وحدة خدمات الترخيص</v>
          </cell>
          <cell r="J24" t="str">
            <v>On-Chart</v>
          </cell>
          <cell r="K24" t="str">
            <v>DCT Payroll</v>
          </cell>
          <cell r="L24" t="str">
            <v>A1</v>
          </cell>
          <cell r="M24" t="str">
            <v>Department of Culture and Tourism</v>
          </cell>
          <cell r="N24" t="str">
            <v>Tourism</v>
          </cell>
          <cell r="O24" t="str">
            <v>السياحة</v>
          </cell>
          <cell r="P24" t="str">
            <v>Licensing &amp; Regulatory Compliance</v>
          </cell>
          <cell r="Q24" t="str">
            <v>الرقابة والترخيص</v>
          </cell>
          <cell r="R24" t="str">
            <v>Licensing</v>
          </cell>
          <cell r="S24" t="str">
            <v>الترخيص</v>
          </cell>
          <cell r="T24" t="str">
            <v>Licensing Services</v>
          </cell>
          <cell r="U24" t="str">
            <v>خدمات الترخيص</v>
          </cell>
          <cell r="V24" t="str">
            <v>Abu Dhabi</v>
          </cell>
          <cell r="W24" t="str">
            <v/>
          </cell>
          <cell r="X24" t="str">
            <v>4510170</v>
          </cell>
          <cell r="Y24" t="str">
            <v>Compliance,Governance&amp;Protocol_Licensing &amp; Regulatory Compliance_Unit Head</v>
          </cell>
          <cell r="Z24" t="str">
            <v>Unit Head</v>
          </cell>
          <cell r="AA24" t="str">
            <v>3A</v>
          </cell>
        </row>
        <row r="25">
          <cell r="A25">
            <v>41</v>
          </cell>
          <cell r="B25">
            <v>41</v>
          </cell>
          <cell r="C25" t="str">
            <v>A</v>
          </cell>
          <cell r="D25" t="str">
            <v>Mariam Khalifa Al Dhaheri</v>
          </cell>
          <cell r="E25" t="str">
            <v>مريم خليفة الظاهري</v>
          </cell>
          <cell r="F25">
            <v>38696</v>
          </cell>
          <cell r="G25" t="str">
            <v>47700327</v>
          </cell>
          <cell r="H25" t="str">
            <v>Experience Monitoring &amp; Reporting Unit Head</v>
          </cell>
          <cell r="I25" t="str">
            <v>رئيس وحدة متابعة وتقرير التجارب</v>
          </cell>
          <cell r="J25" t="str">
            <v>On-Chart</v>
          </cell>
          <cell r="K25" t="str">
            <v>DCT Payroll</v>
          </cell>
          <cell r="L25" t="str">
            <v>A1</v>
          </cell>
          <cell r="M25" t="str">
            <v>Department of Culture and Tourism</v>
          </cell>
          <cell r="N25" t="str">
            <v>Tourism</v>
          </cell>
          <cell r="O25" t="str">
            <v>السياحة</v>
          </cell>
          <cell r="P25" t="str">
            <v>Visitors Experience</v>
          </cell>
          <cell r="Q25" t="str">
            <v>تجربة الزوار</v>
          </cell>
          <cell r="R25" t="str">
            <v>Experience Monitoring</v>
          </cell>
          <cell r="S25" t="str">
            <v>مراقبة تجربة الزوار</v>
          </cell>
          <cell r="T25" t="str">
            <v>Experience Monitoring &amp; Reporting Unit</v>
          </cell>
          <cell r="U25" t="str">
            <v>وحدة متابعة وتقرير التجارب</v>
          </cell>
          <cell r="V25" t="str">
            <v>Abu Dhabi</v>
          </cell>
          <cell r="W25" t="str">
            <v/>
          </cell>
          <cell r="X25" t="str">
            <v>4515300</v>
          </cell>
          <cell r="Y25" t="str">
            <v>Senior Specialization Festivals &amp; Events</v>
          </cell>
          <cell r="Z25" t="str">
            <v>Unit Head</v>
          </cell>
          <cell r="AA25" t="str">
            <v>3A</v>
          </cell>
        </row>
        <row r="26">
          <cell r="A26">
            <v>42</v>
          </cell>
          <cell r="B26">
            <v>42</v>
          </cell>
          <cell r="C26" t="str">
            <v>A</v>
          </cell>
          <cell r="D26" t="str">
            <v>Rasha Musbbeh Al Mehairi</v>
          </cell>
          <cell r="E26" t="str">
            <v>رشا مصبح المهيري</v>
          </cell>
          <cell r="F26">
            <v>38696</v>
          </cell>
          <cell r="G26" t="str">
            <v>41000137</v>
          </cell>
          <cell r="H26" t="str">
            <v>Talent Development Programmes Unit Head</v>
          </cell>
          <cell r="I26" t="str">
            <v>رئيس وحدة برامج تطوير المواهب</v>
          </cell>
          <cell r="J26" t="str">
            <v>On-Chart</v>
          </cell>
          <cell r="K26" t="str">
            <v>DCT Payroll</v>
          </cell>
          <cell r="L26" t="str">
            <v>A1</v>
          </cell>
          <cell r="M26" t="str">
            <v>Department of Culture and Tourism</v>
          </cell>
          <cell r="N26" t="str">
            <v>Culture</v>
          </cell>
          <cell r="O26" t="str">
            <v>الثقافة</v>
          </cell>
          <cell r="P26" t="str">
            <v>Education &amp; Outreach</v>
          </cell>
          <cell r="Q26" t="str">
            <v>التعليم والتوعية الثقافية</v>
          </cell>
          <cell r="R26" t="str">
            <v>Outreach</v>
          </cell>
          <cell r="S26" t="str">
            <v>التوعية الثقافية</v>
          </cell>
          <cell r="T26" t="str">
            <v>Talent Development Programmes</v>
          </cell>
          <cell r="U26" t="str">
            <v>برامج تطوير المواهب</v>
          </cell>
          <cell r="V26" t="str">
            <v>Abu Dhabi</v>
          </cell>
          <cell r="W26" t="str">
            <v/>
          </cell>
          <cell r="X26" t="str">
            <v>4511800</v>
          </cell>
          <cell r="Y26" t="str">
            <v>Senior Specialization Interpretation &amp; Engagement</v>
          </cell>
          <cell r="Z26" t="str">
            <v>Unit Head</v>
          </cell>
          <cell r="AA26" t="str">
            <v>3A</v>
          </cell>
        </row>
        <row r="27">
          <cell r="A27">
            <v>43</v>
          </cell>
          <cell r="B27">
            <v>43</v>
          </cell>
          <cell r="C27" t="str">
            <v>A</v>
          </cell>
          <cell r="D27" t="str">
            <v>Amel Mohamed Mourali</v>
          </cell>
          <cell r="E27" t="str">
            <v>امل محمد مورالي</v>
          </cell>
          <cell r="F27">
            <v>38719</v>
          </cell>
          <cell r="G27" t="str">
            <v>50001251</v>
          </cell>
          <cell r="H27" t="str">
            <v>Primary Research Unit Head</v>
          </cell>
          <cell r="I27" t="str">
            <v>رئيس وحدة البحوث الأولية</v>
          </cell>
          <cell r="J27" t="str">
            <v>On-Chart</v>
          </cell>
          <cell r="K27" t="str">
            <v>DCT Payroll</v>
          </cell>
          <cell r="L27" t="str">
            <v>A1</v>
          </cell>
          <cell r="M27" t="str">
            <v>Department of Culture and Tourism</v>
          </cell>
          <cell r="N27" t="str">
            <v>Strategic Affairs</v>
          </cell>
          <cell r="O27" t="str">
            <v>الشؤون الاستراتيجية</v>
          </cell>
          <cell r="P27" t="str">
            <v>Data &amp; AI Department</v>
          </cell>
          <cell r="Q27" t="str">
            <v>إدارة البيانات والذكاء الاصطناعي</v>
          </cell>
          <cell r="R27" t="str">
            <v>Research</v>
          </cell>
          <cell r="S27" t="str">
            <v>البحوث</v>
          </cell>
          <cell r="T27" t="str">
            <v>Primary Research</v>
          </cell>
          <cell r="U27" t="str">
            <v>البحوث الأولية</v>
          </cell>
          <cell r="V27" t="str">
            <v>Abu Dhabi</v>
          </cell>
          <cell r="W27" t="str">
            <v/>
          </cell>
          <cell r="X27" t="str">
            <v>4512200</v>
          </cell>
          <cell r="Y27" t="str">
            <v>Strategy, Planning, Project Mgt_Business &amp; Market Intelligence  Analysis &amp; Planning_Unit Head</v>
          </cell>
          <cell r="Z27" t="str">
            <v>Unit Head</v>
          </cell>
          <cell r="AA27" t="str">
            <v>3A</v>
          </cell>
        </row>
        <row r="28">
          <cell r="A28">
            <v>44</v>
          </cell>
          <cell r="B28">
            <v>44</v>
          </cell>
          <cell r="C28" t="str">
            <v>A</v>
          </cell>
          <cell r="D28" t="str">
            <v>Mouza Jamal Al Shamsi</v>
          </cell>
          <cell r="E28" t="str">
            <v>موزه جمال الشامسى</v>
          </cell>
          <cell r="F28">
            <v>38738</v>
          </cell>
          <cell r="G28" t="str">
            <v>10006270</v>
          </cell>
          <cell r="H28" t="str">
            <v>Sheikh Zayed Book Award Department Director</v>
          </cell>
          <cell r="I28" t="str">
            <v>مدير إدارة جائزة الشيخ زايد للكتاب</v>
          </cell>
          <cell r="J28" t="str">
            <v>Off-Chart</v>
          </cell>
          <cell r="K28" t="str">
            <v>ALC Direct Hires</v>
          </cell>
          <cell r="L28" t="str">
            <v>AL1</v>
          </cell>
          <cell r="M28" t="str">
            <v>Abu Dhabi Arabic Language Centre</v>
          </cell>
          <cell r="N28" t="str">
            <v>Abu Dhabi Arabic Language Centre</v>
          </cell>
          <cell r="O28" t="str">
            <v>مركز أبوظبي للغة العربية</v>
          </cell>
          <cell r="P28" t="str">
            <v>ALC Executive Director’s Office</v>
          </cell>
          <cell r="Q28" t="str">
            <v>مكتب المدير التنفيذي لمركز أبوظبي للغة العربية</v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>Abu Dhabi</v>
          </cell>
          <cell r="W28" t="str">
            <v/>
          </cell>
          <cell r="X28" t="str">
            <v>4510195</v>
          </cell>
          <cell r="Y28" t="str">
            <v>Interpretation &amp; Engagement_Arabic Language Center _SP Director</v>
          </cell>
          <cell r="Z28" t="str">
            <v>Director</v>
          </cell>
          <cell r="AA28" t="str">
            <v>1A</v>
          </cell>
        </row>
        <row r="29">
          <cell r="A29">
            <v>45</v>
          </cell>
          <cell r="B29">
            <v>45</v>
          </cell>
          <cell r="C29" t="str">
            <v>A</v>
          </cell>
          <cell r="D29" t="str">
            <v>Wael Omar Al Shalabi</v>
          </cell>
          <cell r="E29" t="str">
            <v>وائل عمر شلبى</v>
          </cell>
          <cell r="F29">
            <v>38745</v>
          </cell>
          <cell r="G29" t="str">
            <v>47700045</v>
          </cell>
          <cell r="H29" t="str">
            <v>Facilities Management Specialist</v>
          </cell>
          <cell r="I29" t="str">
            <v>أخصائي إدارة المرافق</v>
          </cell>
          <cell r="J29" t="str">
            <v>On-Chart</v>
          </cell>
          <cell r="K29" t="str">
            <v>DCT Payroll</v>
          </cell>
          <cell r="L29" t="str">
            <v>A1</v>
          </cell>
          <cell r="M29" t="str">
            <v>Department of Culture and Tourism</v>
          </cell>
          <cell r="N29" t="str">
            <v>Support Services</v>
          </cell>
          <cell r="O29" t="str">
            <v>الخدمات المساندة</v>
          </cell>
          <cell r="P29" t="str">
            <v>Supply Management</v>
          </cell>
          <cell r="Q29" t="str">
            <v>إدارة الإمداد</v>
          </cell>
          <cell r="R29" t="str">
            <v>Facilities Management</v>
          </cell>
          <cell r="S29" t="str">
            <v>إدارة المرافق</v>
          </cell>
          <cell r="T29" t="str">
            <v>Facilities Management (Abu Dhabi)</v>
          </cell>
          <cell r="U29" t="str">
            <v>إدارة المرافق - أبوظبي</v>
          </cell>
          <cell r="V29" t="str">
            <v>Abu Dhabi</v>
          </cell>
          <cell r="W29" t="str">
            <v/>
          </cell>
          <cell r="X29" t="str">
            <v>4510240</v>
          </cell>
          <cell r="Y29" t="str">
            <v>Procurement_Procurement General_Professional</v>
          </cell>
          <cell r="Z29" t="str">
            <v>Professional</v>
          </cell>
          <cell r="AA29" t="str">
            <v>4A</v>
          </cell>
        </row>
        <row r="30">
          <cell r="A30">
            <v>52</v>
          </cell>
          <cell r="B30">
            <v>52</v>
          </cell>
          <cell r="C30" t="str">
            <v>A</v>
          </cell>
          <cell r="D30" t="str">
            <v>Aqeel Ahmed Aqeel</v>
          </cell>
          <cell r="E30" t="str">
            <v>عقيل احمد صالح</v>
          </cell>
          <cell r="F30">
            <v>38777</v>
          </cell>
          <cell r="G30" t="str">
            <v>47700051</v>
          </cell>
          <cell r="H30" t="str">
            <v>Conservation Unit Head - Historic Buildings</v>
          </cell>
          <cell r="I30" t="str">
            <v>رئيس وحدة حماية المباني التاريخية</v>
          </cell>
          <cell r="J30" t="str">
            <v>On-Chart</v>
          </cell>
          <cell r="K30" t="str">
            <v>DCT Payroll</v>
          </cell>
          <cell r="L30" t="str">
            <v>A1</v>
          </cell>
          <cell r="M30" t="str">
            <v>Department of Culture and Tourism</v>
          </cell>
          <cell r="N30" t="str">
            <v>Culture</v>
          </cell>
          <cell r="O30" t="str">
            <v>الثقافة</v>
          </cell>
          <cell r="P30" t="str">
            <v>Historic Environment</v>
          </cell>
          <cell r="Q30" t="str">
            <v>البيئة التاريخية</v>
          </cell>
          <cell r="R30" t="str">
            <v>Conservation</v>
          </cell>
          <cell r="S30" t="str">
            <v>الترميم</v>
          </cell>
          <cell r="T30" t="str">
            <v>Conservation – Historic Buildings</v>
          </cell>
          <cell r="U30" t="str">
            <v>حماية المباني التاريخية</v>
          </cell>
          <cell r="V30" t="str">
            <v>Abu Dhabi</v>
          </cell>
          <cell r="W30" t="str">
            <v/>
          </cell>
          <cell r="X30" t="str">
            <v>4511300</v>
          </cell>
          <cell r="Y30" t="str">
            <v>Compliance,Governance&amp;Protocol_Policy  (Culture &amp; Tourism)_Unit Head</v>
          </cell>
          <cell r="Z30" t="str">
            <v>Unit Head</v>
          </cell>
          <cell r="AA30" t="str">
            <v>3A</v>
          </cell>
        </row>
        <row r="31">
          <cell r="A31">
            <v>54</v>
          </cell>
          <cell r="B31">
            <v>54</v>
          </cell>
          <cell r="C31" t="str">
            <v>A</v>
          </cell>
          <cell r="D31" t="str">
            <v>Latifa Salim Al Ameri</v>
          </cell>
          <cell r="E31" t="str">
            <v>لطيفة سالم العامري</v>
          </cell>
          <cell r="F31">
            <v>37712</v>
          </cell>
          <cell r="G31" t="str">
            <v>47700053</v>
          </cell>
          <cell r="H31" t="str">
            <v>Artisans Administration Unit Head – Al Ain</v>
          </cell>
          <cell r="I31" t="str">
            <v>رئيس وحدة إدارة الحرفيين – العين</v>
          </cell>
          <cell r="J31" t="str">
            <v>On-Chart</v>
          </cell>
          <cell r="K31" t="str">
            <v>DCT Payroll</v>
          </cell>
          <cell r="L31" t="str">
            <v>A1</v>
          </cell>
          <cell r="M31" t="str">
            <v>Department of Culture and Tourism</v>
          </cell>
          <cell r="N31" t="str">
            <v>Culture</v>
          </cell>
          <cell r="O31" t="str">
            <v>الثقافة</v>
          </cell>
          <cell r="P31" t="str">
            <v>Intangible Cultural Heritage</v>
          </cell>
          <cell r="Q31" t="str">
            <v>التراث الثقافي المعنوي</v>
          </cell>
          <cell r="R31" t="str">
            <v>Handicrafts Development</v>
          </cell>
          <cell r="S31" t="str">
            <v>تطوير الحرف اليدوية</v>
          </cell>
          <cell r="T31" t="str">
            <v>Artisans Administration - Al Ain</v>
          </cell>
          <cell r="U31" t="str">
            <v>إدارة الحرفيين - العين</v>
          </cell>
          <cell r="V31" t="str">
            <v>Al Ain</v>
          </cell>
          <cell r="W31" t="str">
            <v/>
          </cell>
          <cell r="X31" t="str">
            <v>4511600</v>
          </cell>
          <cell r="Y31" t="str">
            <v>Content &amp; Care_World Heritage Planning &amp; Monitoring _Unit Head</v>
          </cell>
          <cell r="Z31" t="str">
            <v>Unit Head</v>
          </cell>
          <cell r="AA31" t="str">
            <v>3A</v>
          </cell>
        </row>
        <row r="32">
          <cell r="A32">
            <v>55</v>
          </cell>
          <cell r="B32">
            <v>55</v>
          </cell>
          <cell r="C32" t="str">
            <v>A</v>
          </cell>
          <cell r="D32" t="str">
            <v>Mohamed Mattar Al-Dhaheri</v>
          </cell>
          <cell r="E32" t="str">
            <v>محمد مطر الظاهري</v>
          </cell>
          <cell r="F32">
            <v>37909</v>
          </cell>
          <cell r="G32" t="str">
            <v>10010474</v>
          </cell>
          <cell r="H32" t="str">
            <v>Historic Buildings &amp; Landscapes Unit Head - Al Ain</v>
          </cell>
          <cell r="I32" t="str">
            <v>رئيس وحدة المباني والمسطحات التاريخية – العين</v>
          </cell>
          <cell r="J32" t="str">
            <v>On-Chart</v>
          </cell>
          <cell r="K32" t="str">
            <v>DCT Payroll</v>
          </cell>
          <cell r="L32" t="str">
            <v>A1</v>
          </cell>
          <cell r="M32" t="str">
            <v>Department of Culture and Tourism</v>
          </cell>
          <cell r="N32" t="str">
            <v>Culture</v>
          </cell>
          <cell r="O32" t="str">
            <v>الثقافة</v>
          </cell>
          <cell r="P32" t="str">
            <v>Historic Environment</v>
          </cell>
          <cell r="Q32" t="str">
            <v>البيئة التاريخية</v>
          </cell>
          <cell r="R32" t="str">
            <v>Historic Buildings &amp; Landscapes</v>
          </cell>
          <cell r="S32" t="str">
            <v>المباني والمسطحات التاريخية</v>
          </cell>
          <cell r="T32" t="str">
            <v>Historic Buildings &amp; Landscapes – Al Ain</v>
          </cell>
          <cell r="U32" t="str">
            <v>المباني والمسطحات التاريخية – العين</v>
          </cell>
          <cell r="V32" t="str">
            <v>Al Ain</v>
          </cell>
          <cell r="W32" t="str">
            <v/>
          </cell>
          <cell r="X32" t="str">
            <v>4511300</v>
          </cell>
          <cell r="Y32" t="str">
            <v>Compliance,Governance&amp;Protocol_Policy  (Culture &amp; Tourism)_Unit Head</v>
          </cell>
          <cell r="Z32" t="str">
            <v>Unit Head</v>
          </cell>
          <cell r="AA32" t="str">
            <v>3A</v>
          </cell>
        </row>
        <row r="33">
          <cell r="A33">
            <v>56</v>
          </cell>
          <cell r="B33">
            <v>56</v>
          </cell>
          <cell r="C33" t="str">
            <v>A</v>
          </cell>
          <cell r="D33" t="str">
            <v>Saeed Hamad Al Kaabi</v>
          </cell>
          <cell r="E33" t="str">
            <v>سعيد حمد الكعبي</v>
          </cell>
          <cell r="F33">
            <v>37899</v>
          </cell>
          <cell r="G33" t="str">
            <v>41000371</v>
          </cell>
          <cell r="H33" t="str">
            <v>Intangible Heritage Department Director</v>
          </cell>
          <cell r="I33" t="str">
            <v>مدير إدارة التراث المعنوي</v>
          </cell>
          <cell r="J33" t="str">
            <v>On-Chart</v>
          </cell>
          <cell r="K33" t="str">
            <v>DCT Payroll</v>
          </cell>
          <cell r="L33" t="str">
            <v>A1</v>
          </cell>
          <cell r="M33" t="str">
            <v>Department of Culture and Tourism</v>
          </cell>
          <cell r="N33" t="str">
            <v>Culture</v>
          </cell>
          <cell r="O33" t="str">
            <v>الثقافة</v>
          </cell>
          <cell r="P33" t="str">
            <v>Intangible Cultural Heritage</v>
          </cell>
          <cell r="Q33" t="str">
            <v>التراث الثقافي المعنوي</v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>Abu Dhabi</v>
          </cell>
          <cell r="W33" t="str">
            <v/>
          </cell>
          <cell r="X33" t="str">
            <v>4511600</v>
          </cell>
          <cell r="Y33" t="str">
            <v>Interpretation &amp; Engagement_Heritage Festivals Committee _Director/Exc</v>
          </cell>
          <cell r="Z33" t="str">
            <v>Director</v>
          </cell>
          <cell r="AA33" t="str">
            <v>1A</v>
          </cell>
        </row>
        <row r="34">
          <cell r="A34">
            <v>57</v>
          </cell>
          <cell r="B34">
            <v>57</v>
          </cell>
          <cell r="C34" t="str">
            <v>A</v>
          </cell>
          <cell r="D34" t="str">
            <v>Mohamed Ahmed Al Zaabi</v>
          </cell>
          <cell r="E34" t="str">
            <v>محمد احمد الزعابي</v>
          </cell>
          <cell r="F34">
            <v>38783</v>
          </cell>
          <cell r="G34" t="str">
            <v>50004113</v>
          </cell>
          <cell r="H34" t="str">
            <v>Emiratization &amp; Capability Development Office Director</v>
          </cell>
          <cell r="I34" t="str">
            <v>مديرمكتب التوطين وتطوير القدرات</v>
          </cell>
          <cell r="J34" t="str">
            <v>On-Chart</v>
          </cell>
          <cell r="K34" t="str">
            <v>DCT Payroll</v>
          </cell>
          <cell r="L34" t="str">
            <v>A1</v>
          </cell>
          <cell r="M34" t="str">
            <v>Department of Culture and Tourism</v>
          </cell>
          <cell r="N34" t="str">
            <v>Tourism</v>
          </cell>
          <cell r="O34" t="str">
            <v>السياحة</v>
          </cell>
          <cell r="P34" t="str">
            <v>Emiratization &amp; Capability Development Office</v>
          </cell>
          <cell r="Q34" t="str">
            <v>مكتب التوطين وتطوير القدرات</v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>Abu Dhabi</v>
          </cell>
          <cell r="W34" t="str">
            <v/>
          </cell>
          <cell r="X34" t="str">
            <v>4515020</v>
          </cell>
          <cell r="Y34" t="str">
            <v/>
          </cell>
          <cell r="Z34" t="str">
            <v>Director</v>
          </cell>
          <cell r="AA34" t="str">
            <v>1A</v>
          </cell>
        </row>
        <row r="35">
          <cell r="A35">
            <v>59</v>
          </cell>
          <cell r="B35">
            <v>59</v>
          </cell>
          <cell r="C35" t="str">
            <v>A</v>
          </cell>
          <cell r="D35" t="str">
            <v>Eman Yousef Al Saiqal</v>
          </cell>
          <cell r="E35" t="str">
            <v>ايمان يوسف الصيقل</v>
          </cell>
          <cell r="F35">
            <v>38801</v>
          </cell>
          <cell r="G35" t="str">
            <v>50001066</v>
          </cell>
          <cell r="H35" t="str">
            <v>Support Services Affairs Office Manager</v>
          </cell>
          <cell r="I35" t="str">
            <v>مدير مكتب تنسيق الخدمات المساندة</v>
          </cell>
          <cell r="J35" t="str">
            <v>On-Chart</v>
          </cell>
          <cell r="K35" t="str">
            <v>ALC Direct Hires</v>
          </cell>
          <cell r="L35" t="str">
            <v>AL1</v>
          </cell>
          <cell r="M35" t="str">
            <v>Abu Dhabi Arabic Language Centre</v>
          </cell>
          <cell r="N35" t="str">
            <v>Abu Dhabi Arabic Language Centre</v>
          </cell>
          <cell r="O35" t="str">
            <v>مركز أبوظبي للغة العربية</v>
          </cell>
          <cell r="P35" t="str">
            <v>ALC Executive Director’s Office</v>
          </cell>
          <cell r="Q35" t="str">
            <v>مكتب المدير التنفيذي لمركز أبوظبي للغة العربية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>Abu Dhabi</v>
          </cell>
          <cell r="W35" t="str">
            <v/>
          </cell>
          <cell r="X35" t="str">
            <v>4510195</v>
          </cell>
          <cell r="Y35" t="str">
            <v>Interpretation &amp; Engagement_Arabic Language Development _Section Manager</v>
          </cell>
          <cell r="Z35" t="str">
            <v>Unit Head</v>
          </cell>
          <cell r="AA35" t="str">
            <v>2A</v>
          </cell>
        </row>
        <row r="36">
          <cell r="A36">
            <v>60</v>
          </cell>
          <cell r="B36">
            <v>60</v>
          </cell>
          <cell r="C36" t="str">
            <v>A</v>
          </cell>
          <cell r="D36" t="str">
            <v>Ibrahim Jasem Makki</v>
          </cell>
          <cell r="E36" t="str">
            <v>ابراهيم جاسم مكى</v>
          </cell>
          <cell r="F36">
            <v>38808</v>
          </cell>
          <cell r="G36" t="str">
            <v>50002325</v>
          </cell>
          <cell r="H36" t="str">
            <v>FAM Trips Senior Executive</v>
          </cell>
          <cell r="I36" t="str">
            <v>تنفيذي أول الرحلات الترفيهية</v>
          </cell>
          <cell r="J36" t="str">
            <v>On-Chart</v>
          </cell>
          <cell r="K36" t="str">
            <v>DCT Payroll</v>
          </cell>
          <cell r="L36" t="str">
            <v>A1</v>
          </cell>
          <cell r="M36" t="str">
            <v>Department of Culture and Tourism</v>
          </cell>
          <cell r="N36" t="str">
            <v>Tourism</v>
          </cell>
          <cell r="O36" t="str">
            <v>السياحة</v>
          </cell>
          <cell r="P36" t="str">
            <v>International Operations</v>
          </cell>
          <cell r="Q36" t="str">
            <v>العمليات الدولية</v>
          </cell>
          <cell r="R36" t="str">
            <v>FAM Trips &amp; Educational Programs</v>
          </cell>
          <cell r="S36" t="str">
            <v>الرحلات الترفيهية والبرامج التعليمية</v>
          </cell>
          <cell r="T36" t="str">
            <v>FAM Trips</v>
          </cell>
          <cell r="U36" t="str">
            <v>الرحلات الترفيهية</v>
          </cell>
          <cell r="V36" t="str">
            <v>Abu Dhabi</v>
          </cell>
          <cell r="W36" t="str">
            <v/>
          </cell>
          <cell r="X36" t="str">
            <v>4515100</v>
          </cell>
          <cell r="Y36" t="str">
            <v>Compliance,Governance&amp;Protocol_Policy (Culture/Tourism _Senior Professional</v>
          </cell>
          <cell r="Z36" t="str">
            <v>Senior Professional</v>
          </cell>
          <cell r="AA36" t="str">
            <v>3A</v>
          </cell>
        </row>
        <row r="37">
          <cell r="A37">
            <v>61</v>
          </cell>
          <cell r="B37">
            <v>61</v>
          </cell>
          <cell r="C37" t="str">
            <v>A</v>
          </cell>
          <cell r="D37" t="str">
            <v>Faisal Abdulla Al Sheikh</v>
          </cell>
          <cell r="E37" t="str">
            <v>فيصل عبدالله الشيخ</v>
          </cell>
          <cell r="F37">
            <v>38815</v>
          </cell>
          <cell r="G37" t="str">
            <v>50000563</v>
          </cell>
          <cell r="H37" t="str">
            <v>Development &amp; Commercial Services Department Director</v>
          </cell>
          <cell r="I37" t="str">
            <v>مدير إدارة التطوير والخدمات التجارية</v>
          </cell>
          <cell r="J37" t="str">
            <v>On-Chart</v>
          </cell>
          <cell r="K37" t="str">
            <v>MSS Direct Hires</v>
          </cell>
          <cell r="L37" t="str">
            <v>M1</v>
          </cell>
          <cell r="M37" t="str">
            <v>Department of Culture and Tourism</v>
          </cell>
          <cell r="N37" t="str">
            <v>Zayed National Museum</v>
          </cell>
          <cell r="O37" t="str">
            <v>متحف زايد الوطني</v>
          </cell>
          <cell r="P37" t="str">
            <v>Development &amp; Commercial Services</v>
          </cell>
          <cell r="Q37" t="str">
            <v>التطوير والخدمات التجارية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>Abu Dhabi</v>
          </cell>
          <cell r="W37" t="str">
            <v/>
          </cell>
          <cell r="X37" t="str">
            <v>4510183</v>
          </cell>
          <cell r="Y37" t="str">
            <v>Commercial _Development &amp; Commercial Services _Director</v>
          </cell>
          <cell r="Z37" t="str">
            <v>Director</v>
          </cell>
          <cell r="AA37" t="str">
            <v>1A</v>
          </cell>
        </row>
        <row r="38">
          <cell r="A38">
            <v>66</v>
          </cell>
          <cell r="B38">
            <v>66</v>
          </cell>
          <cell r="C38" t="str">
            <v>A</v>
          </cell>
          <cell r="D38" t="str">
            <v>Manikandan Kalarikkal Pushkaran</v>
          </cell>
          <cell r="E38" t="str">
            <v>منيكاندان كالديركا بوشكران</v>
          </cell>
          <cell r="F38">
            <v>38846</v>
          </cell>
          <cell r="G38" t="str">
            <v>10007439</v>
          </cell>
          <cell r="H38" t="str">
            <v>Applications Senior Specialist</v>
          </cell>
          <cell r="I38" t="str">
            <v>أخصائي أول تطبيقات</v>
          </cell>
          <cell r="J38" t="str">
            <v>On-Chart</v>
          </cell>
          <cell r="K38" t="str">
            <v>DCT Payroll</v>
          </cell>
          <cell r="L38" t="str">
            <v>A1</v>
          </cell>
          <cell r="M38" t="str">
            <v>Department of Culture and Tourism</v>
          </cell>
          <cell r="N38" t="str">
            <v>Support Services</v>
          </cell>
          <cell r="O38" t="str">
            <v>الخدمات المساندة</v>
          </cell>
          <cell r="P38" t="str">
            <v>Technology</v>
          </cell>
          <cell r="Q38" t="str">
            <v>التكنولوجيا</v>
          </cell>
          <cell r="R38" t="str">
            <v>Business Applications</v>
          </cell>
          <cell r="S38" t="str">
            <v>التطبيقات المؤسسية</v>
          </cell>
          <cell r="T38" t="str">
            <v>Applications</v>
          </cell>
          <cell r="U38" t="str">
            <v>التطبيقات</v>
          </cell>
          <cell r="V38" t="str">
            <v>Abu Dhabi</v>
          </cell>
          <cell r="W38" t="str">
            <v/>
          </cell>
          <cell r="X38" t="str">
            <v>4510250</v>
          </cell>
          <cell r="Y38" t="str">
            <v>Information Technology_IT Business Application _Senior Professional</v>
          </cell>
          <cell r="Z38" t="str">
            <v>Senior Professional</v>
          </cell>
          <cell r="AA38" t="str">
            <v>3A</v>
          </cell>
        </row>
        <row r="39">
          <cell r="A39">
            <v>68</v>
          </cell>
          <cell r="B39">
            <v>68</v>
          </cell>
          <cell r="C39" t="str">
            <v>A</v>
          </cell>
          <cell r="D39" t="str">
            <v>Mark Jonathan Beech</v>
          </cell>
          <cell r="E39" t="str">
            <v>مارك جوناثان  بيش</v>
          </cell>
          <cell r="F39">
            <v>38869</v>
          </cell>
          <cell r="G39" t="str">
            <v>50002995</v>
          </cell>
          <cell r="H39" t="str">
            <v>Scientific Research Lead</v>
          </cell>
          <cell r="I39" t="str">
            <v>قائد البحث العلمي</v>
          </cell>
          <cell r="J39" t="str">
            <v>On-Chart</v>
          </cell>
          <cell r="K39" t="str">
            <v>MSS Direct Hires</v>
          </cell>
          <cell r="L39" t="str">
            <v>M1</v>
          </cell>
          <cell r="M39" t="str">
            <v>Department of Culture and Tourism</v>
          </cell>
          <cell r="N39" t="str">
            <v>Culture</v>
          </cell>
          <cell r="O39" t="str">
            <v>الثقافة</v>
          </cell>
          <cell r="P39" t="str">
            <v>Natural History Museum Abu Dhabi</v>
          </cell>
          <cell r="Q39" t="str">
            <v>متحف التاريخ الطبيعي - أبوظبي</v>
          </cell>
          <cell r="R39" t="str">
            <v>Scientific, Curatorial, &amp; Collections Management</v>
          </cell>
          <cell r="S39" t="str">
            <v>أمناء المتحف وإدارة المقتنيات</v>
          </cell>
          <cell r="T39" t="str">
            <v/>
          </cell>
          <cell r="U39" t="str">
            <v/>
          </cell>
          <cell r="V39" t="str">
            <v>Abu Dhabi</v>
          </cell>
          <cell r="W39" t="str">
            <v/>
          </cell>
          <cell r="X39" t="str">
            <v>4510310</v>
          </cell>
          <cell r="Y39" t="str">
            <v>Compliance,Governance&amp;Protocol_Policy  (Culture &amp; Tourism)_Unit Head</v>
          </cell>
          <cell r="Z39" t="str">
            <v>Unit Head</v>
          </cell>
          <cell r="AA39" t="str">
            <v>02</v>
          </cell>
        </row>
        <row r="40">
          <cell r="A40">
            <v>69</v>
          </cell>
          <cell r="B40">
            <v>69</v>
          </cell>
          <cell r="C40" t="str">
            <v>A</v>
          </cell>
          <cell r="D40" t="str">
            <v>Jawaher Obaid Khadem</v>
          </cell>
          <cell r="E40" t="str">
            <v>جواهر عبيد خادم</v>
          </cell>
          <cell r="F40">
            <v>38885</v>
          </cell>
          <cell r="G40" t="str">
            <v>50002405</v>
          </cell>
          <cell r="H40" t="str">
            <v>Senior Auditor</v>
          </cell>
          <cell r="I40" t="str">
            <v>مدقق أول</v>
          </cell>
          <cell r="J40" t="str">
            <v>On-Chart</v>
          </cell>
          <cell r="K40" t="str">
            <v>DCT Payroll</v>
          </cell>
          <cell r="L40" t="str">
            <v>A1</v>
          </cell>
          <cell r="M40" t="str">
            <v>Department of Culture and Tourism</v>
          </cell>
          <cell r="N40" t="str">
            <v>Tourism</v>
          </cell>
          <cell r="O40" t="str">
            <v>السياحة</v>
          </cell>
          <cell r="P40" t="str">
            <v>Licensing &amp; Regulatory Compliance</v>
          </cell>
          <cell r="Q40" t="str">
            <v>الرقابة والترخيص</v>
          </cell>
          <cell r="R40" t="str">
            <v>Revenue Assurance</v>
          </cell>
          <cell r="S40" t="str">
            <v>تدقيق العائدات</v>
          </cell>
          <cell r="T40" t="str">
            <v>Revenue Assurance (Hotels &amp; Cultural Establishments)</v>
          </cell>
          <cell r="U40" t="str">
            <v>( وحدة  تدقيق العائدات (الفنادق والمؤسسات الثقافية</v>
          </cell>
          <cell r="V40" t="str">
            <v>Abu Dhabi</v>
          </cell>
          <cell r="W40" t="str">
            <v/>
          </cell>
          <cell r="X40" t="str">
            <v>4510170</v>
          </cell>
          <cell r="Y40" t="str">
            <v>Compliance,Governance&amp;Protocol_Licensing &amp; Regulatory Compliance _Senior Professional</v>
          </cell>
          <cell r="Z40" t="str">
            <v>Senior Professional</v>
          </cell>
          <cell r="AA40" t="str">
            <v>3B</v>
          </cell>
        </row>
        <row r="41">
          <cell r="A41">
            <v>76</v>
          </cell>
          <cell r="B41">
            <v>76</v>
          </cell>
          <cell r="C41" t="str">
            <v>A</v>
          </cell>
          <cell r="D41" t="str">
            <v>Amina Ahmed Al Beshri</v>
          </cell>
          <cell r="E41" t="str">
            <v>أمينه أحمد البشري</v>
          </cell>
          <cell r="F41">
            <v>38948</v>
          </cell>
          <cell r="G41" t="str">
            <v>47700075</v>
          </cell>
          <cell r="H41" t="str">
            <v>Licensing Section Head</v>
          </cell>
          <cell r="I41" t="str">
            <v>رئيس قسم الترخيص</v>
          </cell>
          <cell r="J41" t="str">
            <v>On-Chart</v>
          </cell>
          <cell r="K41" t="str">
            <v>DCT Payroll</v>
          </cell>
          <cell r="L41" t="str">
            <v>A1</v>
          </cell>
          <cell r="M41" t="str">
            <v>Department of Culture and Tourism</v>
          </cell>
          <cell r="N41" t="str">
            <v>Tourism</v>
          </cell>
          <cell r="O41" t="str">
            <v>السياحة</v>
          </cell>
          <cell r="P41" t="str">
            <v>Licensing &amp; Regulatory Compliance</v>
          </cell>
          <cell r="Q41" t="str">
            <v>الرقابة والترخيص</v>
          </cell>
          <cell r="R41" t="str">
            <v>Licensing</v>
          </cell>
          <cell r="S41" t="str">
            <v>الترخيص</v>
          </cell>
          <cell r="T41" t="str">
            <v/>
          </cell>
          <cell r="U41" t="str">
            <v/>
          </cell>
          <cell r="V41" t="str">
            <v>Abu Dhabi</v>
          </cell>
          <cell r="W41" t="str">
            <v/>
          </cell>
          <cell r="X41" t="str">
            <v>4510170</v>
          </cell>
          <cell r="Y41" t="str">
            <v>Compliance,Governance&amp;Protocol_Licensing Services &amp; Regulatory Compliance _Section Head</v>
          </cell>
          <cell r="Z41" t="str">
            <v>Section Manager</v>
          </cell>
          <cell r="AA41" t="str">
            <v>2A</v>
          </cell>
        </row>
        <row r="42">
          <cell r="A42">
            <v>77</v>
          </cell>
          <cell r="B42">
            <v>77</v>
          </cell>
          <cell r="C42" t="str">
            <v>A</v>
          </cell>
          <cell r="D42" t="str">
            <v>Ayesha Eid Al Mazrouei</v>
          </cell>
          <cell r="E42" t="str">
            <v>عائشة عيد المزروعي</v>
          </cell>
          <cell r="F42">
            <v>38963</v>
          </cell>
          <cell r="G42" t="str">
            <v>50000999</v>
          </cell>
          <cell r="H42" t="str">
            <v>Book Fairs &amp; Events Department Director</v>
          </cell>
          <cell r="I42" t="str">
            <v>مدير إدارة الفعاليات ومعارض الكتب</v>
          </cell>
          <cell r="J42" t="str">
            <v>On-Chart</v>
          </cell>
          <cell r="K42" t="str">
            <v>ALC Direct Hires</v>
          </cell>
          <cell r="L42" t="str">
            <v>AL1</v>
          </cell>
          <cell r="M42" t="str">
            <v>Abu Dhabi Arabic Language Centre</v>
          </cell>
          <cell r="N42" t="str">
            <v>Abu Dhabi Arabic Language Centre</v>
          </cell>
          <cell r="O42" t="str">
            <v>مركز أبوظبي للغة العربية</v>
          </cell>
          <cell r="P42" t="str">
            <v>Book Fairs &amp; Events</v>
          </cell>
          <cell r="Q42" t="str">
            <v>الفعاليات ومعارض الكتب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>Abu Dhabi</v>
          </cell>
          <cell r="W42" t="str">
            <v/>
          </cell>
          <cell r="X42" t="str">
            <v>4519200</v>
          </cell>
          <cell r="Y42" t="str">
            <v>Interpretation &amp; Engagement_Arabic Language Education &amp; Research_Director</v>
          </cell>
          <cell r="Z42" t="str">
            <v>Director</v>
          </cell>
          <cell r="AA42" t="str">
            <v>1B</v>
          </cell>
        </row>
        <row r="43">
          <cell r="A43">
            <v>78</v>
          </cell>
          <cell r="B43">
            <v>78</v>
          </cell>
          <cell r="C43" t="str">
            <v>A</v>
          </cell>
          <cell r="D43" t="str">
            <v>Bayata Thani Al-Rumaithi</v>
          </cell>
          <cell r="E43" t="str">
            <v>بياتة ثاني الرميثي</v>
          </cell>
          <cell r="F43">
            <v>38963</v>
          </cell>
          <cell r="G43" t="str">
            <v>47700077</v>
          </cell>
          <cell r="H43" t="str">
            <v>Children Art Centre Senior Specialist</v>
          </cell>
          <cell r="I43" t="str">
            <v>أخصائي أول مركز الأطفال للفنون</v>
          </cell>
          <cell r="J43" t="str">
            <v>On-Chart</v>
          </cell>
          <cell r="K43" t="str">
            <v>DCT Payroll</v>
          </cell>
          <cell r="L43" t="str">
            <v>A1</v>
          </cell>
          <cell r="M43" t="str">
            <v>Department of Culture and Tourism</v>
          </cell>
          <cell r="N43" t="str">
            <v>Culture</v>
          </cell>
          <cell r="O43" t="str">
            <v>الثقافة</v>
          </cell>
          <cell r="P43" t="str">
            <v>Culture Sites Management</v>
          </cell>
          <cell r="Q43" t="str">
            <v>إدارة المواقع الثقافية</v>
          </cell>
          <cell r="R43" t="str">
            <v>Cultural Foundation</v>
          </cell>
          <cell r="S43" t="str">
            <v>المجمع الثقافي</v>
          </cell>
          <cell r="T43" t="str">
            <v>Children Art Centre</v>
          </cell>
          <cell r="U43" t="str">
            <v>مركز الأطفال للفنون</v>
          </cell>
          <cell r="V43" t="str">
            <v>Abu Dhabi</v>
          </cell>
          <cell r="W43" t="str">
            <v/>
          </cell>
          <cell r="X43" t="str">
            <v>4511250</v>
          </cell>
          <cell r="Y43" t="str">
            <v>Compliance,Governance&amp;Protocol_Policy (Culture/Tourism _Senior Professional</v>
          </cell>
          <cell r="Z43" t="str">
            <v>Senior Professional</v>
          </cell>
          <cell r="AA43" t="str">
            <v>3A</v>
          </cell>
        </row>
        <row r="44">
          <cell r="A44">
            <v>80</v>
          </cell>
          <cell r="B44">
            <v>80</v>
          </cell>
          <cell r="C44" t="str">
            <v>A</v>
          </cell>
          <cell r="D44" t="str">
            <v>Sultan Shahin Al Awani</v>
          </cell>
          <cell r="E44" t="str">
            <v>سلطان شاهين العواني</v>
          </cell>
          <cell r="F44">
            <v>38963</v>
          </cell>
          <cell r="G44" t="str">
            <v>47700079</v>
          </cell>
          <cell r="H44" t="str">
            <v>Abu Dhabi Inspection Section Head</v>
          </cell>
          <cell r="I44" t="str">
            <v>رئيس قسم التفتيش أبوظبي</v>
          </cell>
          <cell r="J44" t="str">
            <v>On-Chart</v>
          </cell>
          <cell r="K44" t="str">
            <v>DCT Payroll</v>
          </cell>
          <cell r="L44" t="str">
            <v>A1</v>
          </cell>
          <cell r="M44" t="str">
            <v>Department of Culture and Tourism</v>
          </cell>
          <cell r="N44" t="str">
            <v>Tourism</v>
          </cell>
          <cell r="O44" t="str">
            <v>السياحة</v>
          </cell>
          <cell r="P44" t="str">
            <v>Licensing &amp; Regulatory Compliance</v>
          </cell>
          <cell r="Q44" t="str">
            <v>الرقابة والترخيص</v>
          </cell>
          <cell r="R44" t="str">
            <v>Abu Dhabi Inspection</v>
          </cell>
          <cell r="S44" t="str">
            <v>التفتيش</v>
          </cell>
          <cell r="T44" t="str">
            <v/>
          </cell>
          <cell r="U44" t="str">
            <v/>
          </cell>
          <cell r="V44" t="str">
            <v>Abu Dhabi</v>
          </cell>
          <cell r="W44" t="str">
            <v/>
          </cell>
          <cell r="X44" t="str">
            <v>4510170</v>
          </cell>
          <cell r="Y44" t="str">
            <v>Compliance,Governance&amp;Protocol_Licensing Services &amp; Regulatory Compliance _Section Head</v>
          </cell>
          <cell r="Z44" t="str">
            <v>Section Manager</v>
          </cell>
          <cell r="AA44" t="str">
            <v>2A</v>
          </cell>
        </row>
        <row r="45">
          <cell r="A45">
            <v>82</v>
          </cell>
          <cell r="B45">
            <v>82</v>
          </cell>
          <cell r="C45" t="str">
            <v>A</v>
          </cell>
          <cell r="D45" t="str">
            <v>Elham Mohammed Al Hosani</v>
          </cell>
          <cell r="E45" t="str">
            <v>إلهام محمد الحوسني</v>
          </cell>
          <cell r="F45">
            <v>39026</v>
          </cell>
          <cell r="G45" t="str">
            <v>47700081</v>
          </cell>
          <cell r="H45" t="str">
            <v>Call Centre Senior Executive</v>
          </cell>
          <cell r="I45" t="str">
            <v>تنفيذي أول مركز الإتصال</v>
          </cell>
          <cell r="J45" t="str">
            <v>On-Chart</v>
          </cell>
          <cell r="K45" t="str">
            <v>DCT Payroll</v>
          </cell>
          <cell r="L45" t="str">
            <v>A1</v>
          </cell>
          <cell r="M45" t="str">
            <v>Department of Culture and Tourism</v>
          </cell>
          <cell r="N45" t="str">
            <v>Support Services</v>
          </cell>
          <cell r="O45" t="str">
            <v>الخدمات المساندة</v>
          </cell>
          <cell r="P45" t="str">
            <v>People &amp; Performance</v>
          </cell>
          <cell r="Q45" t="str">
            <v>إدارة الكوادر البشرية والأداء</v>
          </cell>
          <cell r="R45" t="str">
            <v>Employee Relations</v>
          </cell>
          <cell r="S45" t="str">
            <v>شؤون الموظفين</v>
          </cell>
          <cell r="T45" t="str">
            <v>Call Center</v>
          </cell>
          <cell r="U45" t="str">
            <v>مركز الإتصال</v>
          </cell>
          <cell r="V45" t="str">
            <v>Al Ain</v>
          </cell>
          <cell r="W45" t="str">
            <v/>
          </cell>
          <cell r="X45" t="str">
            <v>4510220</v>
          </cell>
          <cell r="Y45" t="str">
            <v>People &amp; Performance _Employee Relations_Professional Assistant</v>
          </cell>
          <cell r="Z45" t="str">
            <v>Senior Professional</v>
          </cell>
          <cell r="AA45" t="str">
            <v>3A</v>
          </cell>
        </row>
        <row r="46">
          <cell r="A46">
            <v>83</v>
          </cell>
          <cell r="B46">
            <v>83</v>
          </cell>
          <cell r="C46" t="str">
            <v>A</v>
          </cell>
          <cell r="D46" t="str">
            <v>Fatima Mohammed Al Shamsi</v>
          </cell>
          <cell r="E46" t="str">
            <v>فاطمة محمد الشامسى</v>
          </cell>
          <cell r="F46">
            <v>39026</v>
          </cell>
          <cell r="G46" t="str">
            <v>10005474</v>
          </cell>
          <cell r="H46" t="str">
            <v>Call Centre Unit Head</v>
          </cell>
          <cell r="I46" t="str">
            <v>رئيس وحدة مركز الإتصال</v>
          </cell>
          <cell r="J46" t="str">
            <v>On-Chart</v>
          </cell>
          <cell r="K46" t="str">
            <v>DCT Payroll</v>
          </cell>
          <cell r="L46" t="str">
            <v>A1</v>
          </cell>
          <cell r="M46" t="str">
            <v>Department of Culture and Tourism</v>
          </cell>
          <cell r="N46" t="str">
            <v>Support Services</v>
          </cell>
          <cell r="O46" t="str">
            <v>الخدمات المساندة</v>
          </cell>
          <cell r="P46" t="str">
            <v>People &amp; Performance</v>
          </cell>
          <cell r="Q46" t="str">
            <v>إدارة الكوادر البشرية والأداء</v>
          </cell>
          <cell r="R46" t="str">
            <v>Employee Relations</v>
          </cell>
          <cell r="S46" t="str">
            <v>شؤون الموظفين</v>
          </cell>
          <cell r="T46" t="str">
            <v/>
          </cell>
          <cell r="U46" t="str">
            <v/>
          </cell>
          <cell r="V46" t="str">
            <v>Al Ain</v>
          </cell>
          <cell r="W46" t="str">
            <v/>
          </cell>
          <cell r="X46" t="str">
            <v>4510220</v>
          </cell>
          <cell r="Y46" t="str">
            <v>People &amp; Performance _Employee Relations_Senior Professional</v>
          </cell>
          <cell r="Z46" t="str">
            <v>Unit Head</v>
          </cell>
          <cell r="AA46" t="str">
            <v>3A</v>
          </cell>
        </row>
        <row r="47">
          <cell r="A47">
            <v>88</v>
          </cell>
          <cell r="B47">
            <v>88</v>
          </cell>
          <cell r="C47" t="str">
            <v>A</v>
          </cell>
          <cell r="D47" t="str">
            <v>Nayef Khalifa Al Falasi</v>
          </cell>
          <cell r="E47" t="str">
            <v>نايف خليفة الفلاسي</v>
          </cell>
          <cell r="F47">
            <v>39040</v>
          </cell>
          <cell r="G47" t="str">
            <v>50003206</v>
          </cell>
          <cell r="H47" t="str">
            <v>Government Relations Expert</v>
          </cell>
          <cell r="I47" t="str">
            <v>خبير العلاقات الحكومية</v>
          </cell>
          <cell r="J47" t="str">
            <v>On-Chart</v>
          </cell>
          <cell r="K47" t="str">
            <v>MSS Direct Hires</v>
          </cell>
          <cell r="L47" t="str">
            <v>M1</v>
          </cell>
          <cell r="M47" t="str">
            <v>Department of Culture and Tourism</v>
          </cell>
          <cell r="N47" t="str">
            <v>Abrahamic Family House Center</v>
          </cell>
          <cell r="O47" t="str">
            <v>مركز بيت العائلة الإبراهيمية</v>
          </cell>
          <cell r="P47" t="str">
            <v>Office of Executive Director</v>
          </cell>
          <cell r="Q47" t="str">
            <v>مكتب المدير التنفيذي</v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>Abu Dhabi</v>
          </cell>
          <cell r="W47" t="str">
            <v/>
          </cell>
          <cell r="X47" t="str">
            <v>4514121</v>
          </cell>
          <cell r="Y47" t="str">
            <v>Executive Management _Advisor-ALC Chairman's Office _Section Manager</v>
          </cell>
          <cell r="Z47" t="str">
            <v>Section Manager</v>
          </cell>
          <cell r="AA47" t="str">
            <v>2A</v>
          </cell>
        </row>
        <row r="48">
          <cell r="A48">
            <v>98</v>
          </cell>
          <cell r="B48">
            <v>98</v>
          </cell>
          <cell r="C48" t="str">
            <v>A</v>
          </cell>
          <cell r="D48" t="str">
            <v>Ibraheem Salem Al Maamari</v>
          </cell>
          <cell r="E48" t="str">
            <v>إبراهيم سالم المعمري</v>
          </cell>
          <cell r="F48">
            <v>39106</v>
          </cell>
          <cell r="G48" t="str">
            <v>50004167</v>
          </cell>
          <cell r="H48" t="str">
            <v>Al Ain &amp; Al Dhafra Inspection Section Head</v>
          </cell>
          <cell r="I48" t="str">
            <v>رئيس قسم التفتيش لمنطقتي العين والظفرة</v>
          </cell>
          <cell r="J48" t="str">
            <v>On-Chart</v>
          </cell>
          <cell r="K48" t="str">
            <v>DCT Payroll</v>
          </cell>
          <cell r="L48" t="str">
            <v>A1</v>
          </cell>
          <cell r="M48" t="str">
            <v>Department of Culture and Tourism</v>
          </cell>
          <cell r="N48" t="str">
            <v>Tourism</v>
          </cell>
          <cell r="O48" t="str">
            <v>السياحة</v>
          </cell>
          <cell r="P48" t="str">
            <v>Licensing &amp; Regulatory Compliance</v>
          </cell>
          <cell r="Q48" t="str">
            <v>الرقابة والترخيص</v>
          </cell>
          <cell r="R48" t="str">
            <v>Al Ain &amp; Al Dhafra Inspection</v>
          </cell>
          <cell r="S48" t="str">
            <v>التفتيش لمنطقتي العين والظفرة</v>
          </cell>
          <cell r="T48" t="str">
            <v/>
          </cell>
          <cell r="U48" t="str">
            <v/>
          </cell>
          <cell r="V48" t="str">
            <v>Abu Dhabi</v>
          </cell>
          <cell r="W48" t="str">
            <v/>
          </cell>
          <cell r="X48" t="str">
            <v>4510170</v>
          </cell>
          <cell r="Y48" t="str">
            <v>Compliance,Governance&amp;Protocol_Licensing Services &amp; Regulatory Compliance _Section Head</v>
          </cell>
          <cell r="Z48" t="str">
            <v>Section Manager</v>
          </cell>
          <cell r="AA48" t="str">
            <v>2C</v>
          </cell>
        </row>
        <row r="49">
          <cell r="A49">
            <v>100</v>
          </cell>
          <cell r="B49">
            <v>100</v>
          </cell>
          <cell r="C49" t="str">
            <v>A</v>
          </cell>
          <cell r="D49" t="str">
            <v>Monette Mary Saade</v>
          </cell>
          <cell r="E49" t="str">
            <v>مونيت ماري سعادة</v>
          </cell>
          <cell r="F49">
            <v>39117</v>
          </cell>
          <cell r="G49" t="str">
            <v>10010169</v>
          </cell>
          <cell r="H49" t="str">
            <v>Career Development Unit Head</v>
          </cell>
          <cell r="I49" t="str">
            <v>رئيس وحدة التطويرالوظيفي</v>
          </cell>
          <cell r="J49" t="str">
            <v>On-Chart</v>
          </cell>
          <cell r="K49" t="str">
            <v>DCT Payroll</v>
          </cell>
          <cell r="L49" t="str">
            <v>A1</v>
          </cell>
          <cell r="M49" t="str">
            <v>Department of Culture and Tourism</v>
          </cell>
          <cell r="N49" t="str">
            <v>Support Services</v>
          </cell>
          <cell r="O49" t="str">
            <v>الخدمات المساندة</v>
          </cell>
          <cell r="P49" t="str">
            <v>People &amp; Performance</v>
          </cell>
          <cell r="Q49" t="str">
            <v>إدارة الكوادر البشرية والأداء</v>
          </cell>
          <cell r="R49" t="str">
            <v>Talent Development</v>
          </cell>
          <cell r="S49" t="str">
            <v>تطوير المواهب</v>
          </cell>
          <cell r="T49" t="str">
            <v>Career Development</v>
          </cell>
          <cell r="U49" t="str">
            <v>التطوير الوظيفي</v>
          </cell>
          <cell r="V49" t="str">
            <v>Abu Dhabi</v>
          </cell>
          <cell r="W49" t="str">
            <v/>
          </cell>
          <cell r="X49" t="str">
            <v>4510220</v>
          </cell>
          <cell r="Y49" t="str">
            <v>People &amp; Performance _Learning, Talent &amp; Capability Development _Unit Head</v>
          </cell>
          <cell r="Z49" t="str">
            <v>Unit Head</v>
          </cell>
          <cell r="AA49" t="str">
            <v>03</v>
          </cell>
        </row>
        <row r="50">
          <cell r="A50">
            <v>108</v>
          </cell>
          <cell r="B50">
            <v>108</v>
          </cell>
          <cell r="C50" t="str">
            <v>A</v>
          </cell>
          <cell r="D50" t="str">
            <v>Abdulqader Hashim Al Hashimi</v>
          </cell>
          <cell r="E50" t="str">
            <v>عبدالقادر هاشم الهاشمي</v>
          </cell>
          <cell r="F50">
            <v>38567</v>
          </cell>
          <cell r="G50" t="str">
            <v>50001584</v>
          </cell>
          <cell r="H50" t="str">
            <v>Government Relations Senior Specialist- Abu Dhabi</v>
          </cell>
          <cell r="I50" t="str">
            <v>أخصائي أول العلاقات الحكومية - أبوظبي</v>
          </cell>
          <cell r="J50" t="str">
            <v>On-Chart</v>
          </cell>
          <cell r="K50" t="str">
            <v>DCT Payroll</v>
          </cell>
          <cell r="L50" t="str">
            <v>A1</v>
          </cell>
          <cell r="M50" t="str">
            <v>Department of Culture and Tourism</v>
          </cell>
          <cell r="N50" t="str">
            <v>Support Services</v>
          </cell>
          <cell r="O50" t="str">
            <v>الخدمات المساندة</v>
          </cell>
          <cell r="P50" t="str">
            <v>People &amp; Performance</v>
          </cell>
          <cell r="Q50" t="str">
            <v>إدارة الكوادر البشرية والأداء</v>
          </cell>
          <cell r="R50" t="str">
            <v>Employee Relations</v>
          </cell>
          <cell r="S50" t="str">
            <v>شؤون الموظفين</v>
          </cell>
          <cell r="T50" t="str">
            <v>Government Relations</v>
          </cell>
          <cell r="U50" t="str">
            <v>العلاقات الحكومية</v>
          </cell>
          <cell r="V50" t="str">
            <v>Abu Dhabi</v>
          </cell>
          <cell r="W50" t="str">
            <v/>
          </cell>
          <cell r="X50" t="str">
            <v>4510220</v>
          </cell>
          <cell r="Y50" t="str">
            <v>People &amp; Performance _Employee Relations_Senior Professional</v>
          </cell>
          <cell r="Z50" t="str">
            <v>Senior Professional</v>
          </cell>
          <cell r="AA50" t="str">
            <v>3C</v>
          </cell>
        </row>
        <row r="51">
          <cell r="A51">
            <v>109</v>
          </cell>
          <cell r="B51">
            <v>109</v>
          </cell>
          <cell r="C51" t="str">
            <v>A</v>
          </cell>
          <cell r="D51" t="str">
            <v>Abdulla Ahmed Al Suwaidi</v>
          </cell>
          <cell r="E51" t="str">
            <v>عبدالله أحمد السويدي</v>
          </cell>
          <cell r="F51">
            <v>38419</v>
          </cell>
          <cell r="G51" t="str">
            <v>47700738</v>
          </cell>
          <cell r="H51" t="str">
            <v>Government Relations Specialist- Abu Dhabi</v>
          </cell>
          <cell r="I51" t="str">
            <v>أخصائي العلاقات الحكومية - أبوظبي</v>
          </cell>
          <cell r="J51" t="str">
            <v>On-Chart</v>
          </cell>
          <cell r="K51" t="str">
            <v>DCT Payroll</v>
          </cell>
          <cell r="L51" t="str">
            <v>A1</v>
          </cell>
          <cell r="M51" t="str">
            <v>Department of Culture and Tourism</v>
          </cell>
          <cell r="N51" t="str">
            <v>Support Services</v>
          </cell>
          <cell r="O51" t="str">
            <v>الخدمات المساندة</v>
          </cell>
          <cell r="P51" t="str">
            <v>People &amp; Performance</v>
          </cell>
          <cell r="Q51" t="str">
            <v>إدارة الكوادر البشرية والأداء</v>
          </cell>
          <cell r="R51" t="str">
            <v>Employee Relations</v>
          </cell>
          <cell r="S51" t="str">
            <v>شؤون الموظفين</v>
          </cell>
          <cell r="T51" t="str">
            <v>Government Relations</v>
          </cell>
          <cell r="U51" t="str">
            <v>العلاقات الحكومية</v>
          </cell>
          <cell r="V51" t="str">
            <v>Abu Dhabi</v>
          </cell>
          <cell r="W51" t="str">
            <v/>
          </cell>
          <cell r="X51" t="str">
            <v>4510220</v>
          </cell>
          <cell r="Y51" t="str">
            <v>People &amp; Performance _Employee Relations _Professional</v>
          </cell>
          <cell r="Z51" t="str">
            <v>Professional</v>
          </cell>
          <cell r="AA51" t="str">
            <v>4A</v>
          </cell>
        </row>
        <row r="52">
          <cell r="A52">
            <v>113</v>
          </cell>
          <cell r="B52">
            <v>113</v>
          </cell>
          <cell r="C52" t="str">
            <v>A</v>
          </cell>
          <cell r="D52" t="str">
            <v>Abdulla Mohamed Almehairi</v>
          </cell>
          <cell r="E52" t="str">
            <v>عبدالله محمد المهيري</v>
          </cell>
          <cell r="F52">
            <v>36536</v>
          </cell>
          <cell r="G52" t="str">
            <v>50002077</v>
          </cell>
          <cell r="H52" t="str">
            <v>Store &amp; Inventory Lead</v>
          </cell>
          <cell r="I52" t="str">
            <v>أخصائي رئيسي الجرد والمخازن</v>
          </cell>
          <cell r="J52" t="str">
            <v>On-Chart</v>
          </cell>
          <cell r="K52" t="str">
            <v>DCT Payroll</v>
          </cell>
          <cell r="L52" t="str">
            <v>A1</v>
          </cell>
          <cell r="M52" t="str">
            <v>Department of Culture and Tourism</v>
          </cell>
          <cell r="N52" t="str">
            <v>Support Services</v>
          </cell>
          <cell r="O52" t="str">
            <v>الخدمات المساندة</v>
          </cell>
          <cell r="P52" t="str">
            <v>Supply Management</v>
          </cell>
          <cell r="Q52" t="str">
            <v>إدارة الإمداد</v>
          </cell>
          <cell r="R52" t="str">
            <v>Facilities Management</v>
          </cell>
          <cell r="S52" t="str">
            <v>إدارة المرافق</v>
          </cell>
          <cell r="T52" t="str">
            <v>Stores &amp; Inventory</v>
          </cell>
          <cell r="U52" t="str">
            <v>المخازن والمخزون</v>
          </cell>
          <cell r="V52" t="str">
            <v>Abu Dhabi</v>
          </cell>
          <cell r="W52" t="str">
            <v/>
          </cell>
          <cell r="X52" t="str">
            <v>4510240</v>
          </cell>
          <cell r="Y52" t="str">
            <v>Procurement_Procurement General_Senior Professional</v>
          </cell>
          <cell r="Z52" t="str">
            <v>Unit Head</v>
          </cell>
          <cell r="AA52" t="str">
            <v>2A</v>
          </cell>
        </row>
        <row r="53">
          <cell r="A53">
            <v>114</v>
          </cell>
          <cell r="B53">
            <v>114</v>
          </cell>
          <cell r="C53" t="str">
            <v>A</v>
          </cell>
          <cell r="D53" t="str">
            <v>Abdulla Salem Al Ameri</v>
          </cell>
          <cell r="E53" t="str">
            <v>عبد الله سالم العامري</v>
          </cell>
          <cell r="F53">
            <v>35247</v>
          </cell>
          <cell r="G53" t="str">
            <v>47700113</v>
          </cell>
          <cell r="H53" t="str">
            <v>Arts Advisor</v>
          </cell>
          <cell r="I53" t="str">
            <v>مستشار الفنون</v>
          </cell>
          <cell r="J53" t="str">
            <v>Off-Chart</v>
          </cell>
          <cell r="K53" t="str">
            <v>DCT Payroll</v>
          </cell>
          <cell r="L53" t="str">
            <v>A1</v>
          </cell>
          <cell r="M53" t="str">
            <v>Department of Culture and Tourism</v>
          </cell>
          <cell r="N53" t="str">
            <v>Culture</v>
          </cell>
          <cell r="O53" t="str">
            <v>الثقافة</v>
          </cell>
          <cell r="P53" t="str">
            <v>Culture Programming</v>
          </cell>
          <cell r="Q53" t="str">
            <v>البرامج الثقافية</v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>Abu Dhabi</v>
          </cell>
          <cell r="W53" t="str">
            <v/>
          </cell>
          <cell r="X53" t="str">
            <v>4511700</v>
          </cell>
          <cell r="Y53" t="str">
            <v>Commercial _Culture Festivals &amp; Platforms Department Director</v>
          </cell>
          <cell r="Z53" t="str">
            <v>Director</v>
          </cell>
          <cell r="AA53" t="str">
            <v>1A</v>
          </cell>
        </row>
        <row r="54">
          <cell r="A54">
            <v>115</v>
          </cell>
          <cell r="B54">
            <v>115</v>
          </cell>
          <cell r="C54" t="str">
            <v>A</v>
          </cell>
          <cell r="D54" t="str">
            <v>Abdullah Yahya Al Suraihi</v>
          </cell>
          <cell r="E54" t="str">
            <v>عبدالله يحي السريحي</v>
          </cell>
          <cell r="F54">
            <v>39173</v>
          </cell>
          <cell r="G54" t="str">
            <v>47700114</v>
          </cell>
          <cell r="H54" t="str">
            <v>Manuscripts Senior Researcher</v>
          </cell>
          <cell r="I54" t="str">
            <v>باحث أول مخطوطات</v>
          </cell>
          <cell r="J54" t="str">
            <v>On-Chart</v>
          </cell>
          <cell r="K54" t="str">
            <v>DCT Payroll</v>
          </cell>
          <cell r="L54" t="str">
            <v>A1</v>
          </cell>
          <cell r="M54" t="str">
            <v>Department of Culture and Tourism</v>
          </cell>
          <cell r="N54" t="str">
            <v>Culture</v>
          </cell>
          <cell r="O54" t="str">
            <v>الثقافة</v>
          </cell>
          <cell r="P54" t="str">
            <v>Library Management</v>
          </cell>
          <cell r="Q54" t="str">
            <v>إدارة المكتبات</v>
          </cell>
          <cell r="R54" t="str">
            <v>Manuscripts Conservation</v>
          </cell>
          <cell r="S54" t="str">
            <v>حفظ المخطوطات</v>
          </cell>
          <cell r="T54" t="str">
            <v/>
          </cell>
          <cell r="U54" t="str">
            <v/>
          </cell>
          <cell r="V54" t="str">
            <v>Abu Dhabi</v>
          </cell>
          <cell r="W54" t="str">
            <v/>
          </cell>
          <cell r="X54" t="str">
            <v>4516100</v>
          </cell>
          <cell r="Y54" t="str">
            <v>Operations_Library Operational Management_Senior Professional</v>
          </cell>
          <cell r="Z54" t="str">
            <v>Senior Professional</v>
          </cell>
          <cell r="AA54" t="str">
            <v>3A</v>
          </cell>
        </row>
        <row r="55">
          <cell r="A55">
            <v>120</v>
          </cell>
          <cell r="B55">
            <v>120</v>
          </cell>
          <cell r="C55" t="str">
            <v>A</v>
          </cell>
          <cell r="D55" t="str">
            <v>Ahmad Mohamad Al Qubaisi</v>
          </cell>
          <cell r="E55" t="str">
            <v>أحمد محمد القبيسي</v>
          </cell>
          <cell r="F55">
            <v>37334</v>
          </cell>
          <cell r="G55" t="str">
            <v>50004171</v>
          </cell>
          <cell r="H55" t="str">
            <v>Operations Lead</v>
          </cell>
          <cell r="I55" t="str">
            <v>أخصائي رئيسي العمليات</v>
          </cell>
          <cell r="J55" t="str">
            <v>On-Chart</v>
          </cell>
          <cell r="K55" t="str">
            <v>DCT Payroll</v>
          </cell>
          <cell r="L55" t="str">
            <v>A1</v>
          </cell>
          <cell r="M55" t="str">
            <v>Department of Culture and Tourism</v>
          </cell>
          <cell r="N55" t="str">
            <v>Culture</v>
          </cell>
          <cell r="O55" t="str">
            <v>الثقافة</v>
          </cell>
          <cell r="P55" t="str">
            <v>Culture Sites Management</v>
          </cell>
          <cell r="Q55" t="str">
            <v>إدارة المواقع الثقافية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>Abu Dhabi</v>
          </cell>
          <cell r="W55" t="str">
            <v/>
          </cell>
          <cell r="X55" t="str">
            <v>4511250</v>
          </cell>
          <cell r="Y55" t="str">
            <v/>
          </cell>
          <cell r="Z55" t="str">
            <v>Unit Head</v>
          </cell>
          <cell r="AA55" t="str">
            <v>3A</v>
          </cell>
        </row>
        <row r="56">
          <cell r="A56">
            <v>121</v>
          </cell>
          <cell r="B56">
            <v>121</v>
          </cell>
          <cell r="C56" t="str">
            <v>A</v>
          </cell>
          <cell r="D56" t="str">
            <v>Ahmed Abdalla El Faki</v>
          </cell>
          <cell r="E56" t="str">
            <v>أحمد عبدالله الفكي</v>
          </cell>
          <cell r="F56">
            <v>39173</v>
          </cell>
          <cell r="G56" t="str">
            <v>47700120</v>
          </cell>
          <cell r="H56" t="str">
            <v>Archaeologist</v>
          </cell>
          <cell r="I56" t="str">
            <v>آثاري</v>
          </cell>
          <cell r="J56" t="str">
            <v>On-Chart</v>
          </cell>
          <cell r="K56" t="str">
            <v>DCT Payroll</v>
          </cell>
          <cell r="L56" t="str">
            <v>A1</v>
          </cell>
          <cell r="M56" t="str">
            <v>Department of Culture and Tourism</v>
          </cell>
          <cell r="N56" t="str">
            <v>Culture</v>
          </cell>
          <cell r="O56" t="str">
            <v>الثقافة</v>
          </cell>
          <cell r="P56" t="str">
            <v>Historic Environment</v>
          </cell>
          <cell r="Q56" t="str">
            <v>البيئة التاريخية</v>
          </cell>
          <cell r="R56" t="str">
            <v>Archaeology &amp; Paleontology</v>
          </cell>
          <cell r="S56" t="str">
            <v>علم الآثار</v>
          </cell>
          <cell r="T56" t="str">
            <v>Archaeological Research (Al Dhafra &amp; Abu Dhabi)</v>
          </cell>
          <cell r="U56" t="str">
            <v>البحوث الأثرية (الظفرة وأبو ظبي)</v>
          </cell>
          <cell r="V56" t="str">
            <v>Al Ain</v>
          </cell>
          <cell r="W56" t="str">
            <v/>
          </cell>
          <cell r="X56" t="str">
            <v>4511300</v>
          </cell>
          <cell r="Y56" t="str">
            <v>Compliance,Governance&amp;Protocol_Policy (Culture/Tourism _Senior Professional</v>
          </cell>
          <cell r="Z56" t="str">
            <v>Senior Professional</v>
          </cell>
          <cell r="AA56" t="str">
            <v>03</v>
          </cell>
        </row>
        <row r="57">
          <cell r="A57">
            <v>122</v>
          </cell>
          <cell r="B57">
            <v>122</v>
          </cell>
          <cell r="C57" t="str">
            <v>A</v>
          </cell>
          <cell r="D57" t="str">
            <v>Ahmed Mohamed Alobaidli</v>
          </cell>
          <cell r="E57" t="str">
            <v>أحمد محمد العبيدلي</v>
          </cell>
          <cell r="F57">
            <v>34714</v>
          </cell>
          <cell r="G57" t="str">
            <v>47700121</v>
          </cell>
          <cell r="H57" t="str">
            <v>Binding Technician</v>
          </cell>
          <cell r="I57" t="str">
            <v>فني تجليد</v>
          </cell>
          <cell r="J57" t="str">
            <v>On-Chart</v>
          </cell>
          <cell r="K57" t="str">
            <v>DCT Payroll</v>
          </cell>
          <cell r="L57" t="str">
            <v>A1</v>
          </cell>
          <cell r="M57" t="str">
            <v>Department of Culture and Tourism</v>
          </cell>
          <cell r="N57" t="str">
            <v>Culture</v>
          </cell>
          <cell r="O57" t="str">
            <v>الثقافة</v>
          </cell>
          <cell r="P57" t="str">
            <v>Library Management</v>
          </cell>
          <cell r="Q57" t="str">
            <v>إدارة المكتبات</v>
          </cell>
          <cell r="R57" t="str">
            <v>Technical Services</v>
          </cell>
          <cell r="S57" t="str">
            <v>الخدمات الفنية</v>
          </cell>
          <cell r="T57" t="str">
            <v>Stores &amp; Binding</v>
          </cell>
          <cell r="U57" t="str">
            <v>المستودعات</v>
          </cell>
          <cell r="V57" t="str">
            <v>Abu Dhabi</v>
          </cell>
          <cell r="W57" t="str">
            <v/>
          </cell>
          <cell r="X57" t="str">
            <v>4516100</v>
          </cell>
          <cell r="Y57" t="str">
            <v>Operations_Library Operational  Management _Professional Assistant</v>
          </cell>
          <cell r="Z57" t="str">
            <v>Jr. Professional Assistant</v>
          </cell>
          <cell r="AA57" t="str">
            <v>6A</v>
          </cell>
        </row>
        <row r="58">
          <cell r="A58">
            <v>123</v>
          </cell>
          <cell r="B58">
            <v>123</v>
          </cell>
          <cell r="C58" t="str">
            <v>A</v>
          </cell>
          <cell r="D58" t="str">
            <v>Alia Khesaib Al Sheryani</v>
          </cell>
          <cell r="E58" t="str">
            <v>عاليه خصيب الشرياني</v>
          </cell>
          <cell r="F58">
            <v>37776</v>
          </cell>
          <cell r="G58" t="str">
            <v>10005454</v>
          </cell>
          <cell r="H58" t="str">
            <v>People &amp; Performance Business Partner</v>
          </cell>
          <cell r="I58" t="str">
            <v>شريك أعمال الكوادر البشرية والأداء</v>
          </cell>
          <cell r="J58" t="str">
            <v>On-Chart</v>
          </cell>
          <cell r="K58" t="str">
            <v>DCT Payroll</v>
          </cell>
          <cell r="L58" t="str">
            <v>A1</v>
          </cell>
          <cell r="M58" t="str">
            <v>Department of Culture and Tourism</v>
          </cell>
          <cell r="N58" t="str">
            <v>Support Services</v>
          </cell>
          <cell r="O58" t="str">
            <v>الخدمات المساندة</v>
          </cell>
          <cell r="P58" t="str">
            <v>People &amp; Performance</v>
          </cell>
          <cell r="Q58" t="str">
            <v>إدارة الكوادر البشرية والأداء</v>
          </cell>
          <cell r="R58" t="str">
            <v>People &amp; Performance Business Partners</v>
          </cell>
          <cell r="S58" t="str">
            <v>شركاء أعمال الكوادر البشرية والأداء</v>
          </cell>
          <cell r="T58" t="str">
            <v/>
          </cell>
          <cell r="U58" t="str">
            <v/>
          </cell>
          <cell r="V58" t="str">
            <v>Al Ain</v>
          </cell>
          <cell r="W58" t="str">
            <v/>
          </cell>
          <cell r="X58" t="str">
            <v>4510220</v>
          </cell>
          <cell r="Y58" t="str">
            <v>People &amp; Performance _Business Partnership _Senior Professional</v>
          </cell>
          <cell r="Z58" t="str">
            <v>Unit Head</v>
          </cell>
          <cell r="AA58" t="str">
            <v>3A</v>
          </cell>
        </row>
        <row r="59">
          <cell r="A59">
            <v>125</v>
          </cell>
          <cell r="B59">
            <v>125</v>
          </cell>
          <cell r="C59" t="str">
            <v>A</v>
          </cell>
          <cell r="D59" t="str">
            <v>Ameena Mohamed Al Rashedi</v>
          </cell>
          <cell r="E59" t="str">
            <v>امينة محمد الراشدي</v>
          </cell>
          <cell r="F59">
            <v>38600</v>
          </cell>
          <cell r="G59" t="str">
            <v>50000336</v>
          </cell>
          <cell r="H59" t="str">
            <v>Payroll Management Unit Head</v>
          </cell>
          <cell r="I59" t="str">
            <v>رئيس وحدة إدارة الرواتب</v>
          </cell>
          <cell r="J59" t="str">
            <v>On-Chart</v>
          </cell>
          <cell r="K59" t="str">
            <v>DCT Payroll</v>
          </cell>
          <cell r="L59" t="str">
            <v>A1</v>
          </cell>
          <cell r="M59" t="str">
            <v>Department of Culture and Tourism</v>
          </cell>
          <cell r="N59" t="str">
            <v>Support Services</v>
          </cell>
          <cell r="O59" t="str">
            <v>الخدمات المساندة</v>
          </cell>
          <cell r="P59" t="str">
            <v>Finance</v>
          </cell>
          <cell r="Q59" t="str">
            <v>إدارة المالية</v>
          </cell>
          <cell r="R59" t="str">
            <v>Payables Operations</v>
          </cell>
          <cell r="S59" t="str">
            <v>عمليات الحسابات الدائنة</v>
          </cell>
          <cell r="T59" t="str">
            <v>Payroll Management</v>
          </cell>
          <cell r="U59" t="str">
            <v>إدارة الرواتب</v>
          </cell>
          <cell r="V59" t="str">
            <v>Abu Dhabi</v>
          </cell>
          <cell r="W59" t="str">
            <v/>
          </cell>
          <cell r="X59" t="str">
            <v>4510210</v>
          </cell>
          <cell r="Y59" t="str">
            <v>Finance_Payroll Management _Unit Head</v>
          </cell>
          <cell r="Z59" t="str">
            <v>Unit Head</v>
          </cell>
          <cell r="AA59" t="str">
            <v>3A</v>
          </cell>
        </row>
        <row r="60">
          <cell r="A60">
            <v>126</v>
          </cell>
          <cell r="B60">
            <v>126</v>
          </cell>
          <cell r="C60" t="str">
            <v>A</v>
          </cell>
          <cell r="D60" t="str">
            <v>Aysha Masoud Al Ghaithi</v>
          </cell>
          <cell r="E60" t="str">
            <v>عائشة مسعود الغيثي</v>
          </cell>
          <cell r="F60">
            <v>37184</v>
          </cell>
          <cell r="G60" t="str">
            <v>50004679</v>
          </cell>
          <cell r="H60" t="str">
            <v>Senior Collections Registrar</v>
          </cell>
          <cell r="I60" t="str">
            <v>أخصائي أول تسجيل المقتنيات</v>
          </cell>
          <cell r="J60" t="str">
            <v>On-Chart</v>
          </cell>
          <cell r="K60" t="str">
            <v>DCT Payroll</v>
          </cell>
          <cell r="L60" t="str">
            <v>A1</v>
          </cell>
          <cell r="M60" t="str">
            <v>Department of Culture and Tourism</v>
          </cell>
          <cell r="N60" t="str">
            <v>Culture</v>
          </cell>
          <cell r="O60" t="str">
            <v>الثقافة</v>
          </cell>
          <cell r="P60" t="str">
            <v>Culture Sites Management</v>
          </cell>
          <cell r="Q60" t="str">
            <v>إدارة المواقع الثقافية</v>
          </cell>
          <cell r="R60" t="str">
            <v>Collections Section– Al Ain</v>
          </cell>
          <cell r="S60" t="str">
            <v>رئيس قسم  – منطقة العين</v>
          </cell>
          <cell r="T60" t="str">
            <v>Collections Registration</v>
          </cell>
          <cell r="U60" t="str">
            <v>تسجيل المجموعات</v>
          </cell>
          <cell r="V60" t="str">
            <v>Al Ain</v>
          </cell>
          <cell r="W60" t="str">
            <v/>
          </cell>
          <cell r="X60" t="str">
            <v>4511250</v>
          </cell>
          <cell r="Y60" t="str">
            <v>Compliance,Governance&amp;Protocol_Inspection _Unit Head</v>
          </cell>
          <cell r="Z60" t="str">
            <v>Senior Professional</v>
          </cell>
          <cell r="AA60" t="str">
            <v>3A</v>
          </cell>
        </row>
        <row r="61">
          <cell r="A61">
            <v>127</v>
          </cell>
          <cell r="B61">
            <v>127</v>
          </cell>
          <cell r="C61" t="str">
            <v>A</v>
          </cell>
          <cell r="D61" t="str">
            <v>Badar Ahmed Al Nomani</v>
          </cell>
          <cell r="E61" t="str">
            <v>بدر أحمد النعماني</v>
          </cell>
          <cell r="F61">
            <v>39173</v>
          </cell>
          <cell r="G61" t="str">
            <v>47700126</v>
          </cell>
          <cell r="H61" t="str">
            <v>Programming Senior Specialist</v>
          </cell>
          <cell r="I61" t="str">
            <v>أخصائي أول البرامج</v>
          </cell>
          <cell r="J61" t="str">
            <v>On-Chart</v>
          </cell>
          <cell r="K61" t="str">
            <v>DCT Payroll</v>
          </cell>
          <cell r="L61" t="str">
            <v>A1</v>
          </cell>
          <cell r="M61" t="str">
            <v>Department of Culture and Tourism</v>
          </cell>
          <cell r="N61" t="str">
            <v>Culture</v>
          </cell>
          <cell r="O61" t="str">
            <v>الثقافة</v>
          </cell>
          <cell r="P61" t="str">
            <v>Culture Sites Management</v>
          </cell>
          <cell r="Q61" t="str">
            <v>إدارة المواقع الثقافية</v>
          </cell>
          <cell r="R61" t="str">
            <v>Manarat Al Saadiyat</v>
          </cell>
          <cell r="S61" t="str">
            <v>منارة السعديات</v>
          </cell>
          <cell r="T61" t="str">
            <v>Programming</v>
          </cell>
          <cell r="U61" t="str">
            <v>البرامج</v>
          </cell>
          <cell r="V61" t="str">
            <v>Abu Dhabi</v>
          </cell>
          <cell r="W61" t="str">
            <v/>
          </cell>
          <cell r="X61" t="str">
            <v>4511250</v>
          </cell>
          <cell r="Y61" t="str">
            <v>Compliance,Governance&amp;Protocol_Policy (Culture/Tourism _Senior Professional</v>
          </cell>
          <cell r="Z61" t="str">
            <v>Senior Professional</v>
          </cell>
          <cell r="AA61" t="str">
            <v>03</v>
          </cell>
        </row>
        <row r="62">
          <cell r="A62">
            <v>128</v>
          </cell>
          <cell r="B62">
            <v>128</v>
          </cell>
          <cell r="C62" t="str">
            <v>A</v>
          </cell>
          <cell r="D62" t="str">
            <v>Bassam Mohamad Baroud</v>
          </cell>
          <cell r="E62" t="str">
            <v>بسام محمد بارود</v>
          </cell>
          <cell r="F62">
            <v>39173</v>
          </cell>
          <cell r="G62" t="str">
            <v>47700127</v>
          </cell>
          <cell r="H62" t="str">
            <v>Manuscripts Researcher</v>
          </cell>
          <cell r="I62" t="str">
            <v>باحث مخطوطات</v>
          </cell>
          <cell r="J62" t="str">
            <v>On-Chart</v>
          </cell>
          <cell r="K62" t="str">
            <v>DCT Payroll</v>
          </cell>
          <cell r="L62" t="str">
            <v>A1</v>
          </cell>
          <cell r="M62" t="str">
            <v>Department of Culture and Tourism</v>
          </cell>
          <cell r="N62" t="str">
            <v>Culture</v>
          </cell>
          <cell r="O62" t="str">
            <v>الثقافة</v>
          </cell>
          <cell r="P62" t="str">
            <v>Library Management</v>
          </cell>
          <cell r="Q62" t="str">
            <v>إدارة المكتبات</v>
          </cell>
          <cell r="R62" t="str">
            <v>Manuscripts Conservation</v>
          </cell>
          <cell r="S62" t="str">
            <v>حفظ المخطوطات</v>
          </cell>
          <cell r="T62" t="str">
            <v/>
          </cell>
          <cell r="U62" t="str">
            <v/>
          </cell>
          <cell r="V62" t="str">
            <v>Abu Dhabi</v>
          </cell>
          <cell r="W62" t="str">
            <v/>
          </cell>
          <cell r="X62" t="str">
            <v>4516100</v>
          </cell>
          <cell r="Y62" t="str">
            <v>Interpretation &amp; Engagement_Library Service Delivery (Librarian)_Professional</v>
          </cell>
          <cell r="Z62" t="str">
            <v>Professional</v>
          </cell>
          <cell r="AA62" t="str">
            <v>04</v>
          </cell>
        </row>
        <row r="63">
          <cell r="A63">
            <v>129</v>
          </cell>
          <cell r="B63">
            <v>129</v>
          </cell>
          <cell r="C63" t="str">
            <v>A</v>
          </cell>
          <cell r="D63" t="str">
            <v>Dalia Abualnasr</v>
          </cell>
          <cell r="E63" t="str">
            <v>داليا  النصر</v>
          </cell>
          <cell r="F63">
            <v>34874</v>
          </cell>
          <cell r="G63" t="str">
            <v>10005759</v>
          </cell>
          <cell r="H63" t="str">
            <v>Visual Arts Programmes Senior Specialist</v>
          </cell>
          <cell r="I63" t="str">
            <v>أخصائي أول برامج الفنون البصرية</v>
          </cell>
          <cell r="J63" t="str">
            <v>Off-Chart</v>
          </cell>
          <cell r="K63" t="str">
            <v>DCT Payroll</v>
          </cell>
          <cell r="L63" t="str">
            <v>A1</v>
          </cell>
          <cell r="M63" t="str">
            <v>Department of Culture and Tourism</v>
          </cell>
          <cell r="N63" t="str">
            <v>Culture</v>
          </cell>
          <cell r="O63" t="str">
            <v>الثقافة</v>
          </cell>
          <cell r="P63" t="str">
            <v>Culture Sites Management</v>
          </cell>
          <cell r="Q63" t="str">
            <v>إدارة المواقع الثقافية</v>
          </cell>
          <cell r="R63" t="str">
            <v>Cultural Foundation</v>
          </cell>
          <cell r="S63" t="str">
            <v>المجمع الثقافي</v>
          </cell>
          <cell r="T63" t="str">
            <v/>
          </cell>
          <cell r="U63" t="str">
            <v/>
          </cell>
          <cell r="V63" t="str">
            <v>Abu Dhabi</v>
          </cell>
          <cell r="W63" t="str">
            <v/>
          </cell>
          <cell r="X63" t="str">
            <v>4511250</v>
          </cell>
          <cell r="Y63" t="str">
            <v>Compliance,Governance&amp;Protocol_Policy (Culture/Tourism _Senior Professional</v>
          </cell>
          <cell r="Z63" t="str">
            <v>Senior Professional</v>
          </cell>
          <cell r="AA63" t="str">
            <v>3B</v>
          </cell>
        </row>
        <row r="64">
          <cell r="A64">
            <v>133</v>
          </cell>
          <cell r="B64">
            <v>133</v>
          </cell>
          <cell r="C64" t="str">
            <v>A</v>
          </cell>
          <cell r="D64" t="str">
            <v>Fatema Mohamed Almarzoqi</v>
          </cell>
          <cell r="E64" t="str">
            <v>فاطمة محمد المرزوقي</v>
          </cell>
          <cell r="F64">
            <v>38539</v>
          </cell>
          <cell r="G64" t="str">
            <v>47700132</v>
          </cell>
          <cell r="H64" t="str">
            <v>Children Art Centre Unit Head</v>
          </cell>
          <cell r="I64" t="str">
            <v>رئيس وحدة مركز الأطفال للفنون</v>
          </cell>
          <cell r="J64" t="str">
            <v>On-Chart</v>
          </cell>
          <cell r="K64" t="str">
            <v>DCT Payroll</v>
          </cell>
          <cell r="L64" t="str">
            <v>A1</v>
          </cell>
          <cell r="M64" t="str">
            <v>Department of Culture and Tourism</v>
          </cell>
          <cell r="N64" t="str">
            <v>Culture</v>
          </cell>
          <cell r="O64" t="str">
            <v>الثقافة</v>
          </cell>
          <cell r="P64" t="str">
            <v>Culture Sites Management</v>
          </cell>
          <cell r="Q64" t="str">
            <v>إدارة المواقع الثقافية</v>
          </cell>
          <cell r="R64" t="str">
            <v>Cultural Foundation</v>
          </cell>
          <cell r="S64" t="str">
            <v>المجمع الثقافي</v>
          </cell>
          <cell r="T64" t="str">
            <v>Children Art Centre</v>
          </cell>
          <cell r="U64" t="str">
            <v>مركز الأطفال للفنون</v>
          </cell>
          <cell r="V64" t="str">
            <v>Abu Dhabi</v>
          </cell>
          <cell r="W64" t="str">
            <v/>
          </cell>
          <cell r="X64" t="str">
            <v>4511250</v>
          </cell>
          <cell r="Y64" t="str">
            <v>Compliance,Governance&amp;Protocol_Policy  (Culture &amp; Tourism)_Unit Head</v>
          </cell>
          <cell r="Z64" t="str">
            <v>Unit Head</v>
          </cell>
          <cell r="AA64" t="str">
            <v>3A</v>
          </cell>
        </row>
        <row r="65">
          <cell r="A65">
            <v>134</v>
          </cell>
          <cell r="B65">
            <v>134</v>
          </cell>
          <cell r="C65" t="str">
            <v>A</v>
          </cell>
          <cell r="D65" t="str">
            <v>Fatma Ali AL Mammari</v>
          </cell>
          <cell r="E65" t="str">
            <v>فاطمة علي المعمري</v>
          </cell>
          <cell r="F65">
            <v>39173</v>
          </cell>
          <cell r="G65" t="str">
            <v>47700133</v>
          </cell>
          <cell r="H65" t="str">
            <v>Visitor Experience Coordinator</v>
          </cell>
          <cell r="I65" t="str">
            <v>منسق تجربة الزوار</v>
          </cell>
          <cell r="J65" t="str">
            <v>On-Chart</v>
          </cell>
          <cell r="K65" t="str">
            <v>DCT Payroll</v>
          </cell>
          <cell r="L65" t="str">
            <v>A1</v>
          </cell>
          <cell r="M65" t="str">
            <v>Department of Culture and Tourism</v>
          </cell>
          <cell r="N65" t="str">
            <v>Culture</v>
          </cell>
          <cell r="O65" t="str">
            <v>الثقافة</v>
          </cell>
          <cell r="P65" t="str">
            <v>Culture Sites Management</v>
          </cell>
          <cell r="Q65" t="str">
            <v>إدارة المواقع الثقافية</v>
          </cell>
          <cell r="R65" t="str">
            <v>Al Ain Historical Sites</v>
          </cell>
          <cell r="S65" t="str">
            <v>مواقع العين التاريخية</v>
          </cell>
          <cell r="T65" t="str">
            <v>Al Ain Palace Museum</v>
          </cell>
          <cell r="U65" t="str">
            <v>متحف قصر العين</v>
          </cell>
          <cell r="V65" t="str">
            <v>Al Ain</v>
          </cell>
          <cell r="W65" t="str">
            <v/>
          </cell>
          <cell r="X65" t="str">
            <v>4511250</v>
          </cell>
          <cell r="Y65" t="str">
            <v>Compliance,Governance&amp;Protocol_Policy (Culture/Tourism) _Professional</v>
          </cell>
          <cell r="Z65" t="str">
            <v>Professional Assistant</v>
          </cell>
          <cell r="AA65" t="str">
            <v>5B</v>
          </cell>
        </row>
        <row r="66">
          <cell r="A66">
            <v>135</v>
          </cell>
          <cell r="B66">
            <v>135</v>
          </cell>
          <cell r="C66" t="str">
            <v>A</v>
          </cell>
          <cell r="D66" t="str">
            <v>Ghanem Sultan Al Suwaidi</v>
          </cell>
          <cell r="E66" t="str">
            <v>غانم سلطان السويدي</v>
          </cell>
          <cell r="F66">
            <v>37578</v>
          </cell>
          <cell r="G66" t="str">
            <v>47700134</v>
          </cell>
          <cell r="H66" t="str">
            <v>Gifts &amp; Exchange Technician</v>
          </cell>
          <cell r="I66" t="str">
            <v>فني التبادل والهدايا</v>
          </cell>
          <cell r="J66" t="str">
            <v>On-Chart</v>
          </cell>
          <cell r="K66" t="str">
            <v>DCT Payroll</v>
          </cell>
          <cell r="L66" t="str">
            <v>A1</v>
          </cell>
          <cell r="M66" t="str">
            <v>Department of Culture and Tourism</v>
          </cell>
          <cell r="N66" t="str">
            <v>Culture</v>
          </cell>
          <cell r="O66" t="str">
            <v>الثقافة</v>
          </cell>
          <cell r="P66" t="str">
            <v>Library Management</v>
          </cell>
          <cell r="Q66" t="str">
            <v>إدارة المكتبات</v>
          </cell>
          <cell r="R66" t="str">
            <v>Technical Services</v>
          </cell>
          <cell r="S66" t="str">
            <v>الخدمات الفنية</v>
          </cell>
          <cell r="T66" t="str">
            <v>Gifts &amp; Exchange</v>
          </cell>
          <cell r="U66" t="str">
            <v>التبادل والهدايا</v>
          </cell>
          <cell r="V66" t="str">
            <v>Abu Dhabi</v>
          </cell>
          <cell r="W66" t="str">
            <v/>
          </cell>
          <cell r="X66" t="str">
            <v>4516100</v>
          </cell>
          <cell r="Y66" t="str">
            <v>Operations_Library Operational  Management _Professional Assistant</v>
          </cell>
          <cell r="Z66" t="str">
            <v>Professional Assistant</v>
          </cell>
          <cell r="AA66" t="str">
            <v>6A</v>
          </cell>
        </row>
        <row r="67">
          <cell r="A67">
            <v>139</v>
          </cell>
          <cell r="B67">
            <v>139</v>
          </cell>
          <cell r="C67" t="str">
            <v>A</v>
          </cell>
          <cell r="D67" t="str">
            <v>Ibrahim Mohammad Al Marzouqi</v>
          </cell>
          <cell r="E67" t="str">
            <v>ابراهيم محمد المرزوقي</v>
          </cell>
          <cell r="F67">
            <v>31291</v>
          </cell>
          <cell r="G67" t="str">
            <v>47700138</v>
          </cell>
          <cell r="H67" t="str">
            <v>Stores &amp; Binding Unit Head</v>
          </cell>
          <cell r="I67" t="str">
            <v>رئيس وحدة المستودعات</v>
          </cell>
          <cell r="J67" t="str">
            <v>On-Chart</v>
          </cell>
          <cell r="K67" t="str">
            <v>DCT Payroll</v>
          </cell>
          <cell r="L67" t="str">
            <v>A1</v>
          </cell>
          <cell r="M67" t="str">
            <v>Department of Culture and Tourism</v>
          </cell>
          <cell r="N67" t="str">
            <v>Culture</v>
          </cell>
          <cell r="O67" t="str">
            <v>الثقافة</v>
          </cell>
          <cell r="P67" t="str">
            <v>Library Management</v>
          </cell>
          <cell r="Q67" t="str">
            <v>إدارة المكتبات</v>
          </cell>
          <cell r="R67" t="str">
            <v>Technical Services</v>
          </cell>
          <cell r="S67" t="str">
            <v>الخدمات الفنية</v>
          </cell>
          <cell r="T67" t="str">
            <v>Stores &amp; Binding</v>
          </cell>
          <cell r="U67" t="str">
            <v>المستودعات</v>
          </cell>
          <cell r="V67" t="str">
            <v>Abu Dhabi</v>
          </cell>
          <cell r="W67" t="str">
            <v/>
          </cell>
          <cell r="X67" t="str">
            <v>4516100</v>
          </cell>
          <cell r="Y67" t="str">
            <v>Operations_Library Operational Management_Unit Head</v>
          </cell>
          <cell r="Z67" t="str">
            <v>Unit Head</v>
          </cell>
          <cell r="AA67" t="str">
            <v>3A</v>
          </cell>
        </row>
        <row r="68">
          <cell r="A68">
            <v>142</v>
          </cell>
          <cell r="B68">
            <v>142</v>
          </cell>
          <cell r="C68" t="str">
            <v>A</v>
          </cell>
          <cell r="D68" t="str">
            <v>Ismail Mohammed Khouri</v>
          </cell>
          <cell r="E68" t="str">
            <v>أسماعيل محمد خوري</v>
          </cell>
          <cell r="F68">
            <v>38035</v>
          </cell>
          <cell r="G68" t="str">
            <v>47700141</v>
          </cell>
          <cell r="H68" t="str">
            <v>Ranger</v>
          </cell>
          <cell r="I68" t="str">
            <v>مراقب المواقع الثقافية</v>
          </cell>
          <cell r="J68" t="str">
            <v>On-Chart</v>
          </cell>
          <cell r="K68" t="str">
            <v>DCT Payroll</v>
          </cell>
          <cell r="L68" t="str">
            <v>A1</v>
          </cell>
          <cell r="M68" t="str">
            <v>Department of Culture and Tourism</v>
          </cell>
          <cell r="N68" t="str">
            <v>Culture</v>
          </cell>
          <cell r="O68" t="str">
            <v>الثقافة</v>
          </cell>
          <cell r="P68" t="str">
            <v>Historic Environment</v>
          </cell>
          <cell r="Q68" t="str">
            <v>البيئة التاريخية</v>
          </cell>
          <cell r="R68" t="str">
            <v>Historic Buildings &amp; Landscapes</v>
          </cell>
          <cell r="S68" t="str">
            <v>المباني والمسطحات التاريخية</v>
          </cell>
          <cell r="T68" t="str">
            <v>Culture Sites Protection</v>
          </cell>
          <cell r="U68" t="str">
            <v>حماية المواقع الثقافية</v>
          </cell>
          <cell r="V68" t="str">
            <v>Al Ain</v>
          </cell>
          <cell r="W68" t="str">
            <v/>
          </cell>
          <cell r="X68" t="str">
            <v>4511300</v>
          </cell>
          <cell r="Y68" t="str">
            <v>Content &amp; Care_Culture Sites Protection_Assistant &amp; Technical Staff</v>
          </cell>
          <cell r="Z68" t="str">
            <v>Assistant and Technical Staff</v>
          </cell>
          <cell r="AA68" t="str">
            <v>7A</v>
          </cell>
        </row>
        <row r="69">
          <cell r="A69">
            <v>143</v>
          </cell>
          <cell r="B69">
            <v>143</v>
          </cell>
          <cell r="C69" t="str">
            <v>A</v>
          </cell>
          <cell r="D69" t="str">
            <v>Jaber Saleh Al Merri</v>
          </cell>
          <cell r="E69" t="str">
            <v>جابر صالح المري</v>
          </cell>
          <cell r="F69">
            <v>34958</v>
          </cell>
          <cell r="G69" t="str">
            <v>41000353</v>
          </cell>
          <cell r="H69" t="str">
            <v>Historic Environment Department Director</v>
          </cell>
          <cell r="I69" t="str">
            <v>مدير إدارة البيئة التاريخية</v>
          </cell>
          <cell r="J69" t="str">
            <v>On-Chart</v>
          </cell>
          <cell r="K69" t="str">
            <v>DCT Payroll</v>
          </cell>
          <cell r="L69" t="str">
            <v>A1</v>
          </cell>
          <cell r="M69" t="str">
            <v>Department of Culture and Tourism</v>
          </cell>
          <cell r="N69" t="str">
            <v>Culture</v>
          </cell>
          <cell r="O69" t="str">
            <v>الثقافة</v>
          </cell>
          <cell r="P69" t="str">
            <v>Historic Environment</v>
          </cell>
          <cell r="Q69" t="str">
            <v>البيئة التاريخية</v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>Al Ain</v>
          </cell>
          <cell r="W69" t="str">
            <v/>
          </cell>
          <cell r="X69" t="str">
            <v>4511300</v>
          </cell>
          <cell r="Y69" t="str">
            <v>Compliance,Governance&amp;Protocol_Policy (Culture &amp;Tourism)_Director</v>
          </cell>
          <cell r="Z69" t="str">
            <v>Director</v>
          </cell>
          <cell r="AA69" t="str">
            <v>1A</v>
          </cell>
        </row>
        <row r="70">
          <cell r="A70">
            <v>145</v>
          </cell>
          <cell r="B70">
            <v>145</v>
          </cell>
          <cell r="C70" t="str">
            <v>A</v>
          </cell>
          <cell r="D70" t="str">
            <v>Kanna Qannon Al Ketbi</v>
          </cell>
          <cell r="E70" t="str">
            <v>كنة قنون الكتبي</v>
          </cell>
          <cell r="F70">
            <v>37778</v>
          </cell>
          <cell r="G70" t="str">
            <v>47700144</v>
          </cell>
          <cell r="H70" t="str">
            <v>Receptionist</v>
          </cell>
          <cell r="I70" t="str">
            <v>موظف إستقبال</v>
          </cell>
          <cell r="J70" t="str">
            <v>On-Chart</v>
          </cell>
          <cell r="K70" t="str">
            <v>DCT Payroll</v>
          </cell>
          <cell r="L70" t="str">
            <v>A1</v>
          </cell>
          <cell r="M70" t="str">
            <v>Department of Culture and Tourism</v>
          </cell>
          <cell r="N70" t="str">
            <v>Support Services</v>
          </cell>
          <cell r="O70" t="str">
            <v>الخدمات المساندة</v>
          </cell>
          <cell r="P70" t="str">
            <v>People &amp; Performance</v>
          </cell>
          <cell r="Q70" t="str">
            <v>إدارة الكوادر البشرية والأداء</v>
          </cell>
          <cell r="R70" t="str">
            <v>Employee Relations</v>
          </cell>
          <cell r="S70" t="str">
            <v>شؤون الموظفين</v>
          </cell>
          <cell r="T70" t="str">
            <v/>
          </cell>
          <cell r="U70" t="str">
            <v/>
          </cell>
          <cell r="V70" t="str">
            <v>Al Ain</v>
          </cell>
          <cell r="W70" t="str">
            <v/>
          </cell>
          <cell r="X70" t="str">
            <v>4510220</v>
          </cell>
          <cell r="Y70" t="str">
            <v>People &amp; Performance _Employee Relations_Professional Assistant</v>
          </cell>
          <cell r="Z70" t="str">
            <v>Professional Assistant</v>
          </cell>
          <cell r="AA70" t="str">
            <v>5A</v>
          </cell>
        </row>
        <row r="71">
          <cell r="A71">
            <v>148</v>
          </cell>
          <cell r="B71">
            <v>148</v>
          </cell>
          <cell r="C71" t="str">
            <v>A</v>
          </cell>
          <cell r="D71" t="str">
            <v>Khaled Mohammed Al Neyadi</v>
          </cell>
          <cell r="E71" t="str">
            <v>خالد محمد النيادي</v>
          </cell>
          <cell r="F71">
            <v>38263</v>
          </cell>
          <cell r="G71" t="str">
            <v>50001135</v>
          </cell>
          <cell r="H71" t="str">
            <v>Muraba’a &amp; Mazyad Forts Unit Head</v>
          </cell>
          <cell r="I71" t="str">
            <v>رئيس وحدة قلعتي المربعة ومزيد</v>
          </cell>
          <cell r="J71" t="str">
            <v>On-Chart</v>
          </cell>
          <cell r="K71" t="str">
            <v>DCT Payroll</v>
          </cell>
          <cell r="L71" t="str">
            <v>A1</v>
          </cell>
          <cell r="M71" t="str">
            <v>Department of Culture and Tourism</v>
          </cell>
          <cell r="N71" t="str">
            <v>Culture</v>
          </cell>
          <cell r="O71" t="str">
            <v>الثقافة</v>
          </cell>
          <cell r="P71" t="str">
            <v>Culture Sites Management</v>
          </cell>
          <cell r="Q71" t="str">
            <v>إدارة المواقع الثقافية</v>
          </cell>
          <cell r="R71" t="str">
            <v>Al Ain Historical Sites</v>
          </cell>
          <cell r="S71" t="str">
            <v>مواقع العين التاريخية</v>
          </cell>
          <cell r="T71" t="str">
            <v>Muraba’a &amp; Mazyad Forts</v>
          </cell>
          <cell r="U71" t="str">
            <v>قلعتي المربعة ومزيد</v>
          </cell>
          <cell r="V71" t="str">
            <v>Al Ain</v>
          </cell>
          <cell r="W71" t="str">
            <v/>
          </cell>
          <cell r="X71" t="str">
            <v>4511250</v>
          </cell>
          <cell r="Y71" t="str">
            <v>Senior Specialization Visitor Services &amp; Protocol</v>
          </cell>
          <cell r="Z71" t="str">
            <v>Unit Head</v>
          </cell>
          <cell r="AA71" t="str">
            <v>3A</v>
          </cell>
        </row>
        <row r="72">
          <cell r="A72">
            <v>154</v>
          </cell>
          <cell r="B72">
            <v>154</v>
          </cell>
          <cell r="C72" t="str">
            <v>A</v>
          </cell>
          <cell r="D72" t="str">
            <v>Maha Mubarak Al Azizi</v>
          </cell>
          <cell r="E72" t="str">
            <v>مها مبارك العزيزي</v>
          </cell>
          <cell r="F72">
            <v>38105</v>
          </cell>
          <cell r="G72" t="str">
            <v>50000372</v>
          </cell>
          <cell r="H72" t="str">
            <v>Payroll Management Senior Accountant</v>
          </cell>
          <cell r="I72" t="str">
            <v>محاسب أول إدارة الرواتب</v>
          </cell>
          <cell r="J72" t="str">
            <v>On-Chart</v>
          </cell>
          <cell r="K72" t="str">
            <v>DCT Payroll</v>
          </cell>
          <cell r="L72" t="str">
            <v>A1</v>
          </cell>
          <cell r="M72" t="str">
            <v>Department of Culture and Tourism</v>
          </cell>
          <cell r="N72" t="str">
            <v>Support Services</v>
          </cell>
          <cell r="O72" t="str">
            <v>الخدمات المساندة</v>
          </cell>
          <cell r="P72" t="str">
            <v>Finance</v>
          </cell>
          <cell r="Q72" t="str">
            <v>إدارة المالية</v>
          </cell>
          <cell r="R72" t="str">
            <v>Payables Operations</v>
          </cell>
          <cell r="S72" t="str">
            <v>عمليات الحسابات الدائنة</v>
          </cell>
          <cell r="T72" t="str">
            <v>Payroll Management</v>
          </cell>
          <cell r="U72" t="str">
            <v>إدارة الرواتب</v>
          </cell>
          <cell r="V72" t="str">
            <v>Al Ain</v>
          </cell>
          <cell r="W72" t="str">
            <v/>
          </cell>
          <cell r="X72" t="str">
            <v>4510210</v>
          </cell>
          <cell r="Y72" t="str">
            <v>Finance_Accountant_Senior Professional</v>
          </cell>
          <cell r="Z72" t="str">
            <v>Senior Professional</v>
          </cell>
          <cell r="AA72" t="str">
            <v>3A</v>
          </cell>
        </row>
        <row r="73">
          <cell r="A73">
            <v>155</v>
          </cell>
          <cell r="B73">
            <v>155</v>
          </cell>
          <cell r="C73" t="str">
            <v>A</v>
          </cell>
          <cell r="D73" t="str">
            <v>Maha Salah Aldeen Kilani</v>
          </cell>
          <cell r="E73" t="str">
            <v>مها صلاح الدين كيلاني</v>
          </cell>
          <cell r="F73">
            <v>39173</v>
          </cell>
          <cell r="G73" t="str">
            <v>50000501</v>
          </cell>
          <cell r="H73" t="str">
            <v>ICH Interpretation Senior Specialist</v>
          </cell>
          <cell r="I73" t="str">
            <v>أخصائي أول تطوير محتوى التراث الثقافي المعنوي</v>
          </cell>
          <cell r="J73" t="str">
            <v>On-Chart</v>
          </cell>
          <cell r="K73" t="str">
            <v>DCT Payroll</v>
          </cell>
          <cell r="L73" t="str">
            <v>A1</v>
          </cell>
          <cell r="M73" t="str">
            <v>Department of Culture and Tourism</v>
          </cell>
          <cell r="N73" t="str">
            <v>Culture</v>
          </cell>
          <cell r="O73" t="str">
            <v>الثقافة</v>
          </cell>
          <cell r="P73" t="str">
            <v>Intangible Cultural Heritage</v>
          </cell>
          <cell r="Q73" t="str">
            <v>التراث الثقافي المعنوي</v>
          </cell>
          <cell r="R73" t="str">
            <v>ICH Interpretation &amp; Public Engagement</v>
          </cell>
          <cell r="S73" t="str">
            <v>تطوير محتوى التراث الثقافي المعنوي والمشاركة المجتمعية</v>
          </cell>
          <cell r="T73" t="str">
            <v>ICH Interpretation</v>
          </cell>
          <cell r="U73" t="str">
            <v>تطوير محتوى التراث الثقافي المعنوي</v>
          </cell>
          <cell r="V73" t="str">
            <v>Abu Dhabi</v>
          </cell>
          <cell r="W73" t="str">
            <v/>
          </cell>
          <cell r="X73" t="str">
            <v>4511600</v>
          </cell>
          <cell r="Y73" t="str">
            <v>Content &amp; Care_World Heritage Sites Planning &amp; Monitoring_Senior Professional</v>
          </cell>
          <cell r="Z73" t="str">
            <v>Senior Professional</v>
          </cell>
          <cell r="AA73" t="str">
            <v>03</v>
          </cell>
        </row>
        <row r="74">
          <cell r="A74">
            <v>159</v>
          </cell>
          <cell r="B74">
            <v>159</v>
          </cell>
          <cell r="C74" t="str">
            <v>A</v>
          </cell>
          <cell r="D74" t="str">
            <v>Marhoun Sulaiman Al Khambashi</v>
          </cell>
          <cell r="E74" t="str">
            <v>مرهون سليمان الخمبشي</v>
          </cell>
          <cell r="F74">
            <v>34359</v>
          </cell>
          <cell r="G74" t="str">
            <v>10005816</v>
          </cell>
          <cell r="H74" t="str">
            <v>Ranger</v>
          </cell>
          <cell r="I74" t="str">
            <v>مراقب المواقع الثقافية</v>
          </cell>
          <cell r="J74" t="str">
            <v>On-Chart</v>
          </cell>
          <cell r="K74" t="str">
            <v>DCT Payroll</v>
          </cell>
          <cell r="L74" t="str">
            <v>A1</v>
          </cell>
          <cell r="M74" t="str">
            <v>Department of Culture and Tourism</v>
          </cell>
          <cell r="N74" t="str">
            <v>Culture</v>
          </cell>
          <cell r="O74" t="str">
            <v>الثقافة</v>
          </cell>
          <cell r="P74" t="str">
            <v>Historic Environment</v>
          </cell>
          <cell r="Q74" t="str">
            <v>البيئة التاريخية</v>
          </cell>
          <cell r="R74" t="str">
            <v>Historic Buildings &amp; Landscapes</v>
          </cell>
          <cell r="S74" t="str">
            <v>المباني والمسطحات التاريخية</v>
          </cell>
          <cell r="T74" t="str">
            <v>Culture Sites Protection</v>
          </cell>
          <cell r="U74" t="str">
            <v>حماية المواقع الثقافية</v>
          </cell>
          <cell r="V74" t="str">
            <v>Al Ain</v>
          </cell>
          <cell r="W74" t="str">
            <v/>
          </cell>
          <cell r="X74" t="str">
            <v>4511300</v>
          </cell>
          <cell r="Y74" t="str">
            <v>Content &amp; Care_Culture Sites Protection_Assistant &amp; Technical Staff</v>
          </cell>
          <cell r="Z74" t="str">
            <v>Assistant and Technical Staff</v>
          </cell>
          <cell r="AA74" t="str">
            <v>7A</v>
          </cell>
        </row>
        <row r="75">
          <cell r="A75">
            <v>160</v>
          </cell>
          <cell r="B75">
            <v>160</v>
          </cell>
          <cell r="C75" t="str">
            <v>A</v>
          </cell>
          <cell r="D75" t="str">
            <v>Mariam Matar AL Falahi</v>
          </cell>
          <cell r="E75" t="str">
            <v>مريم مطر الفلاحي</v>
          </cell>
          <cell r="F75">
            <v>38504</v>
          </cell>
          <cell r="G75" t="str">
            <v>10005294</v>
          </cell>
          <cell r="H75" t="str">
            <v>Programming Senior Specialist</v>
          </cell>
          <cell r="I75" t="str">
            <v>أخصائي أول البرامج</v>
          </cell>
          <cell r="J75" t="str">
            <v>On-Chart</v>
          </cell>
          <cell r="K75" t="str">
            <v>DCT Payroll</v>
          </cell>
          <cell r="L75" t="str">
            <v>A1</v>
          </cell>
          <cell r="M75" t="str">
            <v>Department of Culture and Tourism</v>
          </cell>
          <cell r="N75" t="str">
            <v>Culture</v>
          </cell>
          <cell r="O75" t="str">
            <v>الثقافة</v>
          </cell>
          <cell r="P75" t="str">
            <v>Culture Sites Management</v>
          </cell>
          <cell r="Q75" t="str">
            <v>إدارة المواقع الثقافية</v>
          </cell>
          <cell r="R75" t="str">
            <v>Programming &amp; Public Engagement</v>
          </cell>
          <cell r="S75" t="str">
            <v>البرامج والمشاركة المجتمعية</v>
          </cell>
          <cell r="T75" t="str">
            <v>Programming</v>
          </cell>
          <cell r="U75" t="str">
            <v>البرامج</v>
          </cell>
          <cell r="V75" t="str">
            <v>Al Ain</v>
          </cell>
          <cell r="W75" t="str">
            <v/>
          </cell>
          <cell r="X75" t="str">
            <v>4511250</v>
          </cell>
          <cell r="Y75" t="str">
            <v>Compliance,Governance&amp;Protocol_Policy (Culture/Tourism _Senior Professional</v>
          </cell>
          <cell r="Z75" t="str">
            <v>Senior Professional</v>
          </cell>
          <cell r="AA75" t="str">
            <v>3A</v>
          </cell>
        </row>
        <row r="76">
          <cell r="A76">
            <v>182</v>
          </cell>
          <cell r="B76">
            <v>182</v>
          </cell>
          <cell r="C76" t="str">
            <v>A</v>
          </cell>
          <cell r="D76" t="str">
            <v>Muna Sulaiman Bazkeer</v>
          </cell>
          <cell r="E76" t="str">
            <v>منى سليمان بازكير</v>
          </cell>
          <cell r="F76">
            <v>37972</v>
          </cell>
          <cell r="G76" t="str">
            <v>50004678</v>
          </cell>
          <cell r="H76" t="str">
            <v>Exhibitions Registrar</v>
          </cell>
          <cell r="I76" t="str">
            <v>مسجل معارض</v>
          </cell>
          <cell r="J76" t="str">
            <v>On-Chart</v>
          </cell>
          <cell r="K76" t="str">
            <v>DCT Payroll</v>
          </cell>
          <cell r="L76" t="str">
            <v>A1</v>
          </cell>
          <cell r="M76" t="str">
            <v>Department of Culture and Tourism</v>
          </cell>
          <cell r="N76" t="str">
            <v>Culture</v>
          </cell>
          <cell r="O76" t="str">
            <v>الثقافة</v>
          </cell>
          <cell r="P76" t="str">
            <v>Culture Sites Management</v>
          </cell>
          <cell r="Q76" t="str">
            <v>إدارة المواقع الثقافية</v>
          </cell>
          <cell r="R76" t="str">
            <v>Collections Section– Al Ain</v>
          </cell>
          <cell r="S76" t="str">
            <v>رئيس قسم  – منطقة العين</v>
          </cell>
          <cell r="T76" t="str">
            <v>Collections Registration</v>
          </cell>
          <cell r="U76" t="str">
            <v>تسجيل المجموعات</v>
          </cell>
          <cell r="V76" t="str">
            <v>Al Ain</v>
          </cell>
          <cell r="W76" t="str">
            <v/>
          </cell>
          <cell r="X76" t="str">
            <v>4511250</v>
          </cell>
          <cell r="Y76" t="str">
            <v>Compliance,Governance&amp;Protocol_Inspection _Unit Head</v>
          </cell>
          <cell r="Z76" t="str">
            <v>Unit Head</v>
          </cell>
          <cell r="AA76" t="str">
            <v>3A</v>
          </cell>
        </row>
        <row r="77">
          <cell r="A77">
            <v>183</v>
          </cell>
          <cell r="B77">
            <v>183</v>
          </cell>
          <cell r="C77" t="str">
            <v>A</v>
          </cell>
          <cell r="D77" t="str">
            <v>Mustafa Sayed Mohamed</v>
          </cell>
          <cell r="E77" t="str">
            <v>مصطفى سيد محمد</v>
          </cell>
          <cell r="F77">
            <v>39173</v>
          </cell>
          <cell r="G77" t="str">
            <v>47700182</v>
          </cell>
          <cell r="H77" t="str">
            <v>Historic Environment Senior Administrator</v>
          </cell>
          <cell r="I77" t="str">
            <v>إداري أول البيئة التاريخية</v>
          </cell>
          <cell r="J77" t="str">
            <v>On-Chart</v>
          </cell>
          <cell r="K77" t="str">
            <v>DCT Payroll</v>
          </cell>
          <cell r="L77" t="str">
            <v>A1</v>
          </cell>
          <cell r="M77" t="str">
            <v>Department of Culture and Tourism</v>
          </cell>
          <cell r="N77" t="str">
            <v>Culture</v>
          </cell>
          <cell r="O77" t="str">
            <v>الثقافة</v>
          </cell>
          <cell r="P77" t="str">
            <v>Historic Environment</v>
          </cell>
          <cell r="Q77" t="str">
            <v>البيئة التاريخية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>Al Ain</v>
          </cell>
          <cell r="W77" t="str">
            <v/>
          </cell>
          <cell r="X77" t="str">
            <v>4511300</v>
          </cell>
          <cell r="Y77" t="str">
            <v>Compliance,Governance&amp;Protocol_Policy (Culture/Tourism _Senior Professional</v>
          </cell>
          <cell r="Z77" t="str">
            <v>Senior Professional</v>
          </cell>
          <cell r="AA77" t="str">
            <v>03</v>
          </cell>
        </row>
        <row r="78">
          <cell r="A78">
            <v>185</v>
          </cell>
          <cell r="B78">
            <v>185</v>
          </cell>
          <cell r="C78" t="str">
            <v>A</v>
          </cell>
          <cell r="D78" t="str">
            <v>Naeem Mohamed Al Hashem</v>
          </cell>
          <cell r="E78" t="str">
            <v>نعيم محمد الهاشم</v>
          </cell>
          <cell r="F78">
            <v>38661</v>
          </cell>
          <cell r="G78" t="str">
            <v>47700184</v>
          </cell>
          <cell r="H78" t="str">
            <v>Library Assistant</v>
          </cell>
          <cell r="I78" t="str">
            <v>مساعد شؤون المكتبة</v>
          </cell>
          <cell r="J78" t="str">
            <v>On-Chart</v>
          </cell>
          <cell r="K78" t="str">
            <v>DCT Payroll</v>
          </cell>
          <cell r="L78" t="str">
            <v>A1</v>
          </cell>
          <cell r="M78" t="str">
            <v>Department of Culture and Tourism</v>
          </cell>
          <cell r="N78" t="str">
            <v>Culture</v>
          </cell>
          <cell r="O78" t="str">
            <v>الثقافة</v>
          </cell>
          <cell r="P78" t="str">
            <v>Library Management</v>
          </cell>
          <cell r="Q78" t="str">
            <v>إدارة المكتبات</v>
          </cell>
          <cell r="R78" t="str">
            <v>Branches Library</v>
          </cell>
          <cell r="S78" t="str">
            <v>فروع المكتبات</v>
          </cell>
          <cell r="T78" t="str">
            <v>Al Bahia Library</v>
          </cell>
          <cell r="U78" t="str">
            <v>مكتبة الباهية</v>
          </cell>
          <cell r="V78" t="str">
            <v>Abu Dhabi</v>
          </cell>
          <cell r="W78" t="str">
            <v/>
          </cell>
          <cell r="X78" t="str">
            <v>4516100</v>
          </cell>
          <cell r="Y78" t="str">
            <v>Operations_Library Operational  Management _Professional Assistant</v>
          </cell>
          <cell r="Z78" t="str">
            <v>Professional Assistant</v>
          </cell>
          <cell r="AA78" t="str">
            <v>5A</v>
          </cell>
        </row>
        <row r="79">
          <cell r="A79">
            <v>188</v>
          </cell>
          <cell r="B79">
            <v>188</v>
          </cell>
          <cell r="C79" t="str">
            <v>A</v>
          </cell>
          <cell r="D79" t="str">
            <v>Nezar Sayedabdulla Al Moosawi</v>
          </cell>
          <cell r="E79" t="str">
            <v>نزار سيد الموسوي</v>
          </cell>
          <cell r="F79">
            <v>38334</v>
          </cell>
          <cell r="G79" t="str">
            <v>50001086</v>
          </cell>
          <cell r="H79" t="str">
            <v>Library Services Delivery Unit Head</v>
          </cell>
          <cell r="I79" t="str">
            <v>رئيس وحدة تقديم الخدمات المكتبية</v>
          </cell>
          <cell r="J79" t="str">
            <v>On-Chart</v>
          </cell>
          <cell r="K79" t="str">
            <v>ALC Direct Hires</v>
          </cell>
          <cell r="L79" t="str">
            <v>AL1</v>
          </cell>
          <cell r="M79" t="str">
            <v>Abu Dhabi Arabic Language Centre</v>
          </cell>
          <cell r="N79" t="str">
            <v>Abu Dhabi Arabic Language Centre</v>
          </cell>
          <cell r="O79" t="str">
            <v>مركز أبوظبي للغة العربية</v>
          </cell>
          <cell r="P79" t="str">
            <v>Specialized Library</v>
          </cell>
          <cell r="Q79" t="str">
            <v>المكتبات المتخصصة</v>
          </cell>
          <cell r="R79" t="str">
            <v>Library Services - ALC</v>
          </cell>
          <cell r="S79" t="str">
            <v>الخدمات المكتبية</v>
          </cell>
          <cell r="T79" t="str">
            <v>Library Services Delivery</v>
          </cell>
          <cell r="U79" t="str">
            <v>تقديم الخدمات المكتبية</v>
          </cell>
          <cell r="V79" t="str">
            <v>Abu Dhabi</v>
          </cell>
          <cell r="W79" t="str">
            <v/>
          </cell>
          <cell r="X79" t="str">
            <v>4519202</v>
          </cell>
          <cell r="Y79" t="str">
            <v>Operations_Library Operational Management_Unit Head</v>
          </cell>
          <cell r="Z79" t="str">
            <v>Unit Head</v>
          </cell>
          <cell r="AA79" t="str">
            <v>3A</v>
          </cell>
        </row>
        <row r="80">
          <cell r="A80">
            <v>189</v>
          </cell>
          <cell r="B80">
            <v>189</v>
          </cell>
          <cell r="C80" t="str">
            <v>A</v>
          </cell>
          <cell r="D80" t="str">
            <v>Noora Saeed Al Ali</v>
          </cell>
          <cell r="E80" t="str">
            <v>نورة سعيد آل علي</v>
          </cell>
          <cell r="F80">
            <v>38257</v>
          </cell>
          <cell r="G80" t="str">
            <v>10007163</v>
          </cell>
          <cell r="H80" t="str">
            <v>Accounts Receivables Unit Head</v>
          </cell>
          <cell r="I80" t="str">
            <v>رئيس وحدة الحسابات المستحقة</v>
          </cell>
          <cell r="J80" t="str">
            <v>On-Chart</v>
          </cell>
          <cell r="K80" t="str">
            <v>DCT Payroll</v>
          </cell>
          <cell r="L80" t="str">
            <v>A1</v>
          </cell>
          <cell r="M80" t="str">
            <v>Department of Culture and Tourism</v>
          </cell>
          <cell r="N80" t="str">
            <v>Support Services</v>
          </cell>
          <cell r="O80" t="str">
            <v>الخدمات المساندة</v>
          </cell>
          <cell r="P80" t="str">
            <v>Finance</v>
          </cell>
          <cell r="Q80" t="str">
            <v>إدارة المالية</v>
          </cell>
          <cell r="R80" t="str">
            <v>Receivables Operations</v>
          </cell>
          <cell r="S80" t="str">
            <v>عمليات الحسابات المستحقة</v>
          </cell>
          <cell r="T80" t="str">
            <v>Accounts Receivables</v>
          </cell>
          <cell r="U80" t="str">
            <v>حسابات مستحقة</v>
          </cell>
          <cell r="V80" t="str">
            <v>Abu Dhabi</v>
          </cell>
          <cell r="W80" t="str">
            <v/>
          </cell>
          <cell r="X80" t="str">
            <v>4510210</v>
          </cell>
          <cell r="Y80" t="str">
            <v>Finance_Finance Operations _Unit Head</v>
          </cell>
          <cell r="Z80" t="str">
            <v>Unit Head</v>
          </cell>
          <cell r="AA80" t="str">
            <v>3A</v>
          </cell>
        </row>
        <row r="81">
          <cell r="A81">
            <v>194</v>
          </cell>
          <cell r="B81">
            <v>194</v>
          </cell>
          <cell r="C81" t="str">
            <v>A</v>
          </cell>
          <cell r="D81" t="str">
            <v>Ruwaya Alradda AL Dhaheri</v>
          </cell>
          <cell r="E81" t="str">
            <v>روية الرضة الظاهري</v>
          </cell>
          <cell r="F81">
            <v>38504</v>
          </cell>
          <cell r="G81" t="str">
            <v>10005326</v>
          </cell>
          <cell r="H81" t="str">
            <v>Interpretation Senior Specialist</v>
          </cell>
          <cell r="I81" t="str">
            <v>أخصائي أول الإرشاد الثقافي</v>
          </cell>
          <cell r="J81" t="str">
            <v>On-Chart</v>
          </cell>
          <cell r="K81" t="str">
            <v>DCT Payroll</v>
          </cell>
          <cell r="L81" t="str">
            <v>A1</v>
          </cell>
          <cell r="M81" t="str">
            <v>Department of Culture and Tourism</v>
          </cell>
          <cell r="N81" t="str">
            <v>Culture</v>
          </cell>
          <cell r="O81" t="str">
            <v>الثقافة</v>
          </cell>
          <cell r="P81" t="str">
            <v>Education &amp; Outreach</v>
          </cell>
          <cell r="Q81" t="str">
            <v>التعليم والتوعية الثقافية</v>
          </cell>
          <cell r="R81" t="str">
            <v>Interpretation - IH &amp; Historic Sites</v>
          </cell>
          <cell r="S81" t="str">
            <v>الإرشاد الثقافي - التراث المعنوي والمواقع التاريخية</v>
          </cell>
          <cell r="T81" t="str">
            <v>Interpretation (Al Ain)</v>
          </cell>
          <cell r="U81" t="str">
            <v>الإرشاد الثقافي (العين)</v>
          </cell>
          <cell r="V81" t="str">
            <v>Al Ain</v>
          </cell>
          <cell r="W81" t="str">
            <v/>
          </cell>
          <cell r="X81" t="str">
            <v>4511800</v>
          </cell>
          <cell r="Y81" t="str">
            <v>Interpretation &amp; Engagement_Outreach &amp; Cultural Engagement _Senior Professional</v>
          </cell>
          <cell r="Z81" t="str">
            <v>Senior Professional</v>
          </cell>
          <cell r="AA81" t="str">
            <v>3A</v>
          </cell>
        </row>
        <row r="82">
          <cell r="A82">
            <v>195</v>
          </cell>
          <cell r="B82">
            <v>195</v>
          </cell>
          <cell r="C82" t="str">
            <v>A</v>
          </cell>
          <cell r="D82" t="str">
            <v>Sa'deh Seif Addeen Abd Elraoof</v>
          </cell>
          <cell r="E82" t="str">
            <v>سعادة سيف الدين عبد الرؤؤف</v>
          </cell>
          <cell r="F82">
            <v>39173</v>
          </cell>
          <cell r="G82" t="str">
            <v>47700194</v>
          </cell>
          <cell r="H82" t="str">
            <v>General Services Specialist</v>
          </cell>
          <cell r="I82" t="str">
            <v>أخصائي خدمات عامة</v>
          </cell>
          <cell r="J82" t="str">
            <v>On-Chart</v>
          </cell>
          <cell r="K82" t="str">
            <v>DCT Payroll</v>
          </cell>
          <cell r="L82" t="str">
            <v>A1</v>
          </cell>
          <cell r="M82" t="str">
            <v>Department of Culture and Tourism</v>
          </cell>
          <cell r="N82" t="str">
            <v>Support Services</v>
          </cell>
          <cell r="O82" t="str">
            <v>الخدمات المساندة</v>
          </cell>
          <cell r="P82" t="str">
            <v>People &amp; Performance</v>
          </cell>
          <cell r="Q82" t="str">
            <v>إدارة الكوادر البشرية والأداء</v>
          </cell>
          <cell r="R82" t="str">
            <v>Rewards &amp; Policy</v>
          </cell>
          <cell r="S82" t="str">
            <v>المكافآت والسياسات</v>
          </cell>
          <cell r="T82" t="str">
            <v>General Services</v>
          </cell>
          <cell r="U82" t="str">
            <v>الخدمات العامة</v>
          </cell>
          <cell r="V82" t="str">
            <v>Abu Dhabi</v>
          </cell>
          <cell r="W82" t="str">
            <v/>
          </cell>
          <cell r="X82" t="str">
            <v>4510220</v>
          </cell>
          <cell r="Y82" t="str">
            <v>People &amp; Performance _Rewards Policy &amp; Recognition _Professional</v>
          </cell>
          <cell r="Z82" t="str">
            <v>Professional</v>
          </cell>
          <cell r="AA82" t="str">
            <v>4A</v>
          </cell>
        </row>
        <row r="83">
          <cell r="A83">
            <v>196</v>
          </cell>
          <cell r="B83">
            <v>196</v>
          </cell>
          <cell r="C83" t="str">
            <v>A</v>
          </cell>
          <cell r="D83" t="str">
            <v>Saeed Ghuloom Al Khemeiri</v>
          </cell>
          <cell r="E83" t="str">
            <v>سعيد غلوم الخميري</v>
          </cell>
          <cell r="F83">
            <v>31852</v>
          </cell>
          <cell r="G83" t="str">
            <v>47700195</v>
          </cell>
          <cell r="H83" t="str">
            <v>Government Relations Specialist- Abu Dhabi</v>
          </cell>
          <cell r="I83" t="str">
            <v>أخصائي العلاقات الحكومية - أبوظبي</v>
          </cell>
          <cell r="J83" t="str">
            <v>On-Chart</v>
          </cell>
          <cell r="K83" t="str">
            <v>DCT Payroll</v>
          </cell>
          <cell r="L83" t="str">
            <v>A1</v>
          </cell>
          <cell r="M83" t="str">
            <v>Department of Culture and Tourism</v>
          </cell>
          <cell r="N83" t="str">
            <v>Support Services</v>
          </cell>
          <cell r="O83" t="str">
            <v>الخدمات المساندة</v>
          </cell>
          <cell r="P83" t="str">
            <v>People &amp; Performance</v>
          </cell>
          <cell r="Q83" t="str">
            <v>إدارة الكوادر البشرية والأداء</v>
          </cell>
          <cell r="R83" t="str">
            <v>Employee Relations</v>
          </cell>
          <cell r="S83" t="str">
            <v>شؤون الموظفين</v>
          </cell>
          <cell r="T83" t="str">
            <v>Government Relations</v>
          </cell>
          <cell r="U83" t="str">
            <v>العلاقات الحكومية</v>
          </cell>
          <cell r="V83" t="str">
            <v>Abu Dhabi</v>
          </cell>
          <cell r="W83" t="str">
            <v/>
          </cell>
          <cell r="X83" t="str">
            <v>4510220</v>
          </cell>
          <cell r="Y83" t="str">
            <v>People &amp; Performance _Employee Relations _Professional</v>
          </cell>
          <cell r="Z83" t="str">
            <v>Professional</v>
          </cell>
          <cell r="AA83" t="str">
            <v>4A</v>
          </cell>
        </row>
        <row r="84">
          <cell r="A84">
            <v>197</v>
          </cell>
          <cell r="B84">
            <v>197</v>
          </cell>
          <cell r="C84" t="str">
            <v>A</v>
          </cell>
          <cell r="D84" t="str">
            <v>Saeed Ghumail Al Nuaimi</v>
          </cell>
          <cell r="E84" t="str">
            <v>سعيد غميل النعيمي</v>
          </cell>
          <cell r="F84">
            <v>37992</v>
          </cell>
          <cell r="G84" t="str">
            <v>47700196</v>
          </cell>
          <cell r="H84" t="str">
            <v>Store &amp; Inventory Unit Head</v>
          </cell>
          <cell r="I84" t="str">
            <v>رئيس وحدة المستودعات والمخازن</v>
          </cell>
          <cell r="J84" t="str">
            <v>On-Chart</v>
          </cell>
          <cell r="K84" t="str">
            <v>DCT Payroll</v>
          </cell>
          <cell r="L84" t="str">
            <v>A1</v>
          </cell>
          <cell r="M84" t="str">
            <v>Department of Culture and Tourism</v>
          </cell>
          <cell r="N84" t="str">
            <v>Support Services</v>
          </cell>
          <cell r="O84" t="str">
            <v>الخدمات المساندة</v>
          </cell>
          <cell r="P84" t="str">
            <v>Supply Management</v>
          </cell>
          <cell r="Q84" t="str">
            <v>إدارة الإمداد</v>
          </cell>
          <cell r="R84" t="str">
            <v>Facilities Management</v>
          </cell>
          <cell r="S84" t="str">
            <v>إدارة المرافق</v>
          </cell>
          <cell r="T84" t="str">
            <v/>
          </cell>
          <cell r="U84" t="str">
            <v/>
          </cell>
          <cell r="V84" t="str">
            <v>Al Ain</v>
          </cell>
          <cell r="W84" t="str">
            <v/>
          </cell>
          <cell r="X84" t="str">
            <v>4510240</v>
          </cell>
          <cell r="Y84" t="str">
            <v>Procurement_Procurement General _Unit Head</v>
          </cell>
          <cell r="Z84" t="str">
            <v>Unit Head</v>
          </cell>
          <cell r="AA84" t="str">
            <v>3A</v>
          </cell>
        </row>
        <row r="85">
          <cell r="A85">
            <v>200</v>
          </cell>
          <cell r="B85">
            <v>200</v>
          </cell>
          <cell r="C85" t="str">
            <v>A</v>
          </cell>
          <cell r="D85" t="str">
            <v>Saeeda Amer Al Ameri</v>
          </cell>
          <cell r="E85" t="str">
            <v>سعيدة عامر العامري</v>
          </cell>
          <cell r="F85">
            <v>37801</v>
          </cell>
          <cell r="G85" t="str">
            <v>10009055</v>
          </cell>
          <cell r="H85" t="str">
            <v>Performing Arts Programmes Senior Specialist</v>
          </cell>
          <cell r="I85" t="str">
            <v>أخصائي أول برامج فنون الأداء</v>
          </cell>
          <cell r="J85" t="str">
            <v>On-Chart</v>
          </cell>
          <cell r="K85" t="str">
            <v>DCT Payroll</v>
          </cell>
          <cell r="L85" t="str">
            <v>A1</v>
          </cell>
          <cell r="M85" t="str">
            <v>Department of Culture and Tourism</v>
          </cell>
          <cell r="N85" t="str">
            <v>Culture</v>
          </cell>
          <cell r="O85" t="str">
            <v>الثقافة</v>
          </cell>
          <cell r="P85" t="str">
            <v>Culture Sites Management</v>
          </cell>
          <cell r="Q85" t="str">
            <v>إدارة المواقع الثقافية</v>
          </cell>
          <cell r="R85" t="str">
            <v>Cultural Foundation</v>
          </cell>
          <cell r="S85" t="str">
            <v>المجمع الثقافي</v>
          </cell>
          <cell r="T85" t="str">
            <v>Performing Arts</v>
          </cell>
          <cell r="U85" t="str">
            <v>فنون الأداء</v>
          </cell>
          <cell r="V85" t="str">
            <v>Abu Dhabi</v>
          </cell>
          <cell r="W85" t="str">
            <v/>
          </cell>
          <cell r="X85" t="str">
            <v>4511250</v>
          </cell>
          <cell r="Y85" t="str">
            <v>Senior Specialization Festivals &amp; Events</v>
          </cell>
          <cell r="Z85" t="str">
            <v>Senior Professional</v>
          </cell>
          <cell r="AA85" t="str">
            <v>3A</v>
          </cell>
        </row>
        <row r="86">
          <cell r="A86">
            <v>202</v>
          </cell>
          <cell r="B86">
            <v>202</v>
          </cell>
          <cell r="C86" t="str">
            <v>A</v>
          </cell>
          <cell r="D86" t="str">
            <v>Salama Ahmed Al Romaithi</v>
          </cell>
          <cell r="E86" t="str">
            <v>سلامة أحمد الرميثي</v>
          </cell>
          <cell r="F86">
            <v>38148</v>
          </cell>
          <cell r="G86" t="str">
            <v>47700201</v>
          </cell>
          <cell r="H86" t="str">
            <v>Library Officer</v>
          </cell>
          <cell r="I86" t="str">
            <v>ضابط شؤون المكتبة</v>
          </cell>
          <cell r="J86" t="str">
            <v>On-Chart</v>
          </cell>
          <cell r="K86" t="str">
            <v>DCT Payroll</v>
          </cell>
          <cell r="L86" t="str">
            <v>A1</v>
          </cell>
          <cell r="M86" t="str">
            <v>Department of Culture and Tourism</v>
          </cell>
          <cell r="N86" t="str">
            <v>Culture</v>
          </cell>
          <cell r="O86" t="str">
            <v>الثقافة</v>
          </cell>
          <cell r="P86" t="str">
            <v>Library Management</v>
          </cell>
          <cell r="Q86" t="str">
            <v>إدارة المكتبات</v>
          </cell>
          <cell r="R86" t="str">
            <v>Branches Library</v>
          </cell>
          <cell r="S86" t="str">
            <v>فروع المكتبات</v>
          </cell>
          <cell r="T86" t="str">
            <v>Al Bahia Library</v>
          </cell>
          <cell r="U86" t="str">
            <v>مكتبة الباهية</v>
          </cell>
          <cell r="V86" t="str">
            <v>Abu Dhabi</v>
          </cell>
          <cell r="W86" t="str">
            <v/>
          </cell>
          <cell r="X86" t="str">
            <v>4516100</v>
          </cell>
          <cell r="Y86" t="str">
            <v>Interpretation &amp; Engagement_Library Service Delivery (Librarian)_Professional</v>
          </cell>
          <cell r="Z86" t="str">
            <v>Professional</v>
          </cell>
          <cell r="AA86" t="str">
            <v>4A</v>
          </cell>
        </row>
        <row r="87">
          <cell r="A87">
            <v>205</v>
          </cell>
          <cell r="B87">
            <v>205</v>
          </cell>
          <cell r="C87" t="str">
            <v>A</v>
          </cell>
          <cell r="D87" t="str">
            <v>Samia Saeed Alameri</v>
          </cell>
          <cell r="E87" t="str">
            <v>سامية سعيد العامري</v>
          </cell>
          <cell r="F87">
            <v>34578</v>
          </cell>
          <cell r="G87" t="str">
            <v>10005473</v>
          </cell>
          <cell r="H87" t="str">
            <v>Internal Communications &amp; Corporate Social Responsibility Section Head</v>
          </cell>
          <cell r="I87" t="str">
            <v>رئيس قسم الاتصال الداخلي والمسؤولية المجتمعية المؤسسية</v>
          </cell>
          <cell r="J87" t="str">
            <v>On-Chart</v>
          </cell>
          <cell r="K87" t="str">
            <v>DCT Payroll</v>
          </cell>
          <cell r="L87" t="str">
            <v>A1</v>
          </cell>
          <cell r="M87" t="str">
            <v>Department of Culture and Tourism</v>
          </cell>
          <cell r="N87" t="str">
            <v>Support Services</v>
          </cell>
          <cell r="O87" t="str">
            <v>الخدمات المساندة</v>
          </cell>
          <cell r="P87" t="str">
            <v>People &amp; Performance</v>
          </cell>
          <cell r="Q87" t="str">
            <v>إدارة الكوادر البشرية والأداء</v>
          </cell>
          <cell r="R87" t="str">
            <v>Internal Communications</v>
          </cell>
          <cell r="S87" t="str">
            <v>الاتصال الداخلي</v>
          </cell>
          <cell r="T87" t="str">
            <v/>
          </cell>
          <cell r="U87" t="str">
            <v/>
          </cell>
          <cell r="V87" t="str">
            <v>Abu Dhabi</v>
          </cell>
          <cell r="W87" t="str">
            <v/>
          </cell>
          <cell r="X87" t="str">
            <v>4510220</v>
          </cell>
          <cell r="Y87" t="str">
            <v>Comms &amp; Marketing _Marketing &amp; Communications (All Areas)_Section Head</v>
          </cell>
          <cell r="Z87" t="str">
            <v>Section Manager</v>
          </cell>
          <cell r="AA87" t="str">
            <v>2A</v>
          </cell>
        </row>
        <row r="88">
          <cell r="A88">
            <v>210</v>
          </cell>
          <cell r="B88">
            <v>210</v>
          </cell>
          <cell r="C88" t="str">
            <v>A</v>
          </cell>
          <cell r="D88" t="str">
            <v>Shaikha Ghanem Al Ameri</v>
          </cell>
          <cell r="E88" t="str">
            <v>شيخة غانم العامري</v>
          </cell>
          <cell r="F88">
            <v>38391</v>
          </cell>
          <cell r="G88" t="str">
            <v>10007167</v>
          </cell>
          <cell r="H88" t="str">
            <v>Treasury Unit Head</v>
          </cell>
          <cell r="I88" t="str">
            <v>رئيس وحدة الخزانة</v>
          </cell>
          <cell r="J88" t="str">
            <v>On-Chart</v>
          </cell>
          <cell r="K88" t="str">
            <v>DCT Payroll</v>
          </cell>
          <cell r="L88" t="str">
            <v>A1</v>
          </cell>
          <cell r="M88" t="str">
            <v>Department of Culture and Tourism</v>
          </cell>
          <cell r="N88" t="str">
            <v>Support Services</v>
          </cell>
          <cell r="O88" t="str">
            <v>الخدمات المساندة</v>
          </cell>
          <cell r="P88" t="str">
            <v>Finance</v>
          </cell>
          <cell r="Q88" t="str">
            <v>إدارة المالية</v>
          </cell>
          <cell r="R88" t="str">
            <v>Finance Operations</v>
          </cell>
          <cell r="S88" t="str">
            <v>العمليات المالية</v>
          </cell>
          <cell r="T88" t="str">
            <v>Treasury</v>
          </cell>
          <cell r="U88" t="str">
            <v>خزينة</v>
          </cell>
          <cell r="V88" t="str">
            <v>Abu Dhabi</v>
          </cell>
          <cell r="W88" t="str">
            <v/>
          </cell>
          <cell r="X88" t="str">
            <v>4510210</v>
          </cell>
          <cell r="Y88" t="str">
            <v>Finance_Treasury _Unit Head</v>
          </cell>
          <cell r="Z88" t="str">
            <v>Unit Head</v>
          </cell>
          <cell r="AA88" t="str">
            <v>3A</v>
          </cell>
        </row>
        <row r="89">
          <cell r="A89">
            <v>213</v>
          </cell>
          <cell r="B89">
            <v>213</v>
          </cell>
          <cell r="C89" t="str">
            <v>A</v>
          </cell>
          <cell r="D89" t="str">
            <v>Shamsa Sultan Alhameli</v>
          </cell>
          <cell r="E89" t="str">
            <v>شمسة سلطان الهاملي</v>
          </cell>
          <cell r="F89">
            <v>37808</v>
          </cell>
          <cell r="G89" t="str">
            <v>47700212</v>
          </cell>
          <cell r="H89" t="str">
            <v>Corporate Social Responsibility Senior Specialist</v>
          </cell>
          <cell r="I89" t="str">
            <v>أخصائي أول المسؤولية الاجتماعية المؤسسية</v>
          </cell>
          <cell r="J89" t="str">
            <v>On-Chart</v>
          </cell>
          <cell r="K89" t="str">
            <v>DCT Payroll</v>
          </cell>
          <cell r="L89" t="str">
            <v>A1</v>
          </cell>
          <cell r="M89" t="str">
            <v>Department of Culture and Tourism</v>
          </cell>
          <cell r="N89" t="str">
            <v>Support Services</v>
          </cell>
          <cell r="O89" t="str">
            <v>الخدمات المساندة</v>
          </cell>
          <cell r="P89" t="str">
            <v>People &amp; Performance</v>
          </cell>
          <cell r="Q89" t="str">
            <v>إدارة الكوادر البشرية والأداء</v>
          </cell>
          <cell r="R89" t="str">
            <v>Internal Communications</v>
          </cell>
          <cell r="S89" t="str">
            <v>الاتصال الداخلي</v>
          </cell>
          <cell r="T89" t="str">
            <v>Corporate Social Responsibility</v>
          </cell>
          <cell r="U89" t="str">
            <v>المسؤولية الاجتماعية المؤسسية</v>
          </cell>
          <cell r="V89" t="str">
            <v>Abu Dhabi</v>
          </cell>
          <cell r="W89" t="str">
            <v/>
          </cell>
          <cell r="X89" t="str">
            <v>4510220</v>
          </cell>
          <cell r="Y89" t="str">
            <v>Comms &amp; Marketing _Marketing &amp; Communications (All areas)_Senior Professional</v>
          </cell>
          <cell r="Z89" t="str">
            <v>Senior Professional</v>
          </cell>
          <cell r="AA89" t="str">
            <v>3A</v>
          </cell>
        </row>
        <row r="90">
          <cell r="A90">
            <v>214</v>
          </cell>
          <cell r="B90">
            <v>214</v>
          </cell>
          <cell r="C90" t="str">
            <v>A</v>
          </cell>
          <cell r="D90" t="str">
            <v>Suhaila Abdullah Al Hosani</v>
          </cell>
          <cell r="E90" t="str">
            <v>سهيلة عبدالله الحوسني</v>
          </cell>
          <cell r="F90">
            <v>38148</v>
          </cell>
          <cell r="G90" t="str">
            <v>50001897</v>
          </cell>
          <cell r="H90" t="str">
            <v>Cataloguing Senior Specialist</v>
          </cell>
          <cell r="I90" t="str">
            <v>أخصائي أول الفهرسة</v>
          </cell>
          <cell r="J90" t="str">
            <v>On-Chart</v>
          </cell>
          <cell r="K90" t="str">
            <v>DCT Payroll</v>
          </cell>
          <cell r="L90" t="str">
            <v>A1</v>
          </cell>
          <cell r="M90" t="str">
            <v>Department of Culture and Tourism</v>
          </cell>
          <cell r="N90" t="str">
            <v>Culture</v>
          </cell>
          <cell r="O90" t="str">
            <v>الثقافة</v>
          </cell>
          <cell r="P90" t="str">
            <v>Library Management</v>
          </cell>
          <cell r="Q90" t="str">
            <v>إدارة المكتبات</v>
          </cell>
          <cell r="R90" t="str">
            <v>Technical Services</v>
          </cell>
          <cell r="S90" t="str">
            <v>الخدمات الفنية</v>
          </cell>
          <cell r="T90" t="str">
            <v>Cataloguing</v>
          </cell>
          <cell r="U90" t="str">
            <v>الفهرسة</v>
          </cell>
          <cell r="V90" t="str">
            <v>Abu Dhabi</v>
          </cell>
          <cell r="W90" t="str">
            <v/>
          </cell>
          <cell r="X90" t="str">
            <v>4516100</v>
          </cell>
          <cell r="Y90" t="str">
            <v>Operations_Library Operational Management_Senior Professional</v>
          </cell>
          <cell r="Z90" t="str">
            <v>Senior Professional</v>
          </cell>
          <cell r="AA90" t="str">
            <v>3C</v>
          </cell>
        </row>
        <row r="91">
          <cell r="A91">
            <v>215</v>
          </cell>
          <cell r="B91">
            <v>215</v>
          </cell>
          <cell r="C91" t="str">
            <v>A</v>
          </cell>
          <cell r="D91" t="str">
            <v>Sultan Obaid AL Dhaheri</v>
          </cell>
          <cell r="E91" t="str">
            <v>سلطان عبيد الظاهري</v>
          </cell>
          <cell r="F91">
            <v>36592</v>
          </cell>
          <cell r="G91" t="str">
            <v>47700214</v>
          </cell>
          <cell r="H91" t="str">
            <v>Ranger</v>
          </cell>
          <cell r="I91" t="str">
            <v>مراقب المواقع الثقافية</v>
          </cell>
          <cell r="J91" t="str">
            <v>On-Chart</v>
          </cell>
          <cell r="K91" t="str">
            <v>DCT Payroll</v>
          </cell>
          <cell r="L91" t="str">
            <v>A1</v>
          </cell>
          <cell r="M91" t="str">
            <v>Department of Culture and Tourism</v>
          </cell>
          <cell r="N91" t="str">
            <v>Culture</v>
          </cell>
          <cell r="O91" t="str">
            <v>الثقافة</v>
          </cell>
          <cell r="P91" t="str">
            <v>Historic Environment</v>
          </cell>
          <cell r="Q91" t="str">
            <v>البيئة التاريخية</v>
          </cell>
          <cell r="R91" t="str">
            <v>Historic Buildings &amp; Landscapes</v>
          </cell>
          <cell r="S91" t="str">
            <v>المباني والمسطحات التاريخية</v>
          </cell>
          <cell r="T91" t="str">
            <v>Culture Sites Protection</v>
          </cell>
          <cell r="U91" t="str">
            <v>حماية المواقع الثقافية</v>
          </cell>
          <cell r="V91" t="str">
            <v>Al Ain</v>
          </cell>
          <cell r="W91" t="str">
            <v/>
          </cell>
          <cell r="X91" t="str">
            <v>4511300</v>
          </cell>
          <cell r="Y91" t="str">
            <v>Content &amp; Care_Culture Sites Protection_Assistant &amp; Technical Staff</v>
          </cell>
          <cell r="Z91" t="str">
            <v>Assistant and Technical Staff</v>
          </cell>
          <cell r="AA91" t="str">
            <v>7A</v>
          </cell>
        </row>
        <row r="92">
          <cell r="A92">
            <v>218</v>
          </cell>
          <cell r="B92">
            <v>218</v>
          </cell>
          <cell r="C92" t="str">
            <v>A</v>
          </cell>
          <cell r="D92" t="str">
            <v>Wasef Shahada Zaghbar</v>
          </cell>
          <cell r="E92" t="str">
            <v>واصف شحاده زغبر</v>
          </cell>
          <cell r="F92">
            <v>35075</v>
          </cell>
          <cell r="G92" t="str">
            <v>10010026</v>
          </cell>
          <cell r="H92" t="str">
            <v>Publishing Distribution Operations Unit Head</v>
          </cell>
          <cell r="I92" t="str">
            <v>رئيس وحدة عمليات التوزيع - النشر</v>
          </cell>
          <cell r="J92" t="str">
            <v>On-Chart</v>
          </cell>
          <cell r="K92" t="str">
            <v>ALC Direct Hires</v>
          </cell>
          <cell r="L92" t="str">
            <v>AL1</v>
          </cell>
          <cell r="M92" t="str">
            <v>Abu Dhabi Arabic Language Centre</v>
          </cell>
          <cell r="N92" t="str">
            <v>Abu Dhabi Arabic Language Centre</v>
          </cell>
          <cell r="O92" t="str">
            <v>مركز أبوظبي للغة العربية</v>
          </cell>
          <cell r="P92" t="str">
            <v>Book Fairs &amp; Events</v>
          </cell>
          <cell r="Q92" t="str">
            <v>الفعاليات ومعارض الكتب</v>
          </cell>
          <cell r="R92" t="str">
            <v>-</v>
          </cell>
          <cell r="S92" t="str">
            <v>-</v>
          </cell>
          <cell r="T92" t="str">
            <v>Publishing Distribution Operations - ALC</v>
          </cell>
          <cell r="U92" t="str">
            <v>عمليات التوزيع (النشر)</v>
          </cell>
          <cell r="V92" t="str">
            <v>Abu Dhabi</v>
          </cell>
          <cell r="W92" t="str">
            <v/>
          </cell>
          <cell r="X92" t="str">
            <v>4519200</v>
          </cell>
          <cell r="Y92" t="str">
            <v>Interpretation &amp; Engagement_Arabic Language Examination _Unit Head</v>
          </cell>
          <cell r="Z92" t="str">
            <v>Unit Head</v>
          </cell>
          <cell r="AA92" t="str">
            <v>2A</v>
          </cell>
        </row>
        <row r="93">
          <cell r="A93">
            <v>219</v>
          </cell>
          <cell r="B93">
            <v>219</v>
          </cell>
          <cell r="C93" t="str">
            <v>A</v>
          </cell>
          <cell r="D93" t="str">
            <v>Zowaina Mohammed AL Maamari</v>
          </cell>
          <cell r="E93" t="str">
            <v>زوينه محمد المعمري</v>
          </cell>
          <cell r="F93">
            <v>38504</v>
          </cell>
          <cell r="G93" t="str">
            <v>50004681</v>
          </cell>
          <cell r="H93" t="str">
            <v>Senior Exhibitions Registrar</v>
          </cell>
          <cell r="I93" t="str">
            <v>مسجل أول معارض</v>
          </cell>
          <cell r="J93" t="str">
            <v>On-Chart</v>
          </cell>
          <cell r="K93" t="str">
            <v>DCT Payroll</v>
          </cell>
          <cell r="L93" t="str">
            <v>A1</v>
          </cell>
          <cell r="M93" t="str">
            <v>Department of Culture and Tourism</v>
          </cell>
          <cell r="N93" t="str">
            <v>Culture</v>
          </cell>
          <cell r="O93" t="str">
            <v>الثقافة</v>
          </cell>
          <cell r="P93" t="str">
            <v>Culture Sites Management</v>
          </cell>
          <cell r="Q93" t="str">
            <v>إدارة المواقع الثقافية</v>
          </cell>
          <cell r="R93" t="str">
            <v>Collections Section– Al Ain</v>
          </cell>
          <cell r="S93" t="str">
            <v>رئيس قسم  – منطقة العين</v>
          </cell>
          <cell r="T93" t="str">
            <v/>
          </cell>
          <cell r="U93" t="str">
            <v/>
          </cell>
          <cell r="V93" t="str">
            <v>Al Ain</v>
          </cell>
          <cell r="W93" t="str">
            <v/>
          </cell>
          <cell r="X93" t="str">
            <v>4511250</v>
          </cell>
          <cell r="Y93" t="str">
            <v>Compliance,Governance&amp;Protocol_Policy (Culture/Tourism _Senior Professional</v>
          </cell>
          <cell r="Z93" t="str">
            <v>Senior Professional</v>
          </cell>
          <cell r="AA93" t="str">
            <v>3A</v>
          </cell>
        </row>
        <row r="94">
          <cell r="A94">
            <v>222</v>
          </cell>
          <cell r="B94">
            <v>222</v>
          </cell>
          <cell r="C94" t="str">
            <v>A</v>
          </cell>
          <cell r="D94" t="str">
            <v>Raid Y Obeidi</v>
          </cell>
          <cell r="E94" t="str">
            <v>رائد يونس عبيدي</v>
          </cell>
          <cell r="F94">
            <v>39203</v>
          </cell>
          <cell r="G94" t="str">
            <v>10006407</v>
          </cell>
          <cell r="H94" t="str">
            <v>Al Dhafra Marketing Lead</v>
          </cell>
          <cell r="I94" t="str">
            <v>أخصائي رئيسي  تسويق منطقة الظفرة</v>
          </cell>
          <cell r="J94" t="str">
            <v>On-Chart</v>
          </cell>
          <cell r="K94" t="str">
            <v>DCT Payroll</v>
          </cell>
          <cell r="L94" t="str">
            <v>A1</v>
          </cell>
          <cell r="M94" t="str">
            <v>Department of Culture and Tourism</v>
          </cell>
          <cell r="N94" t="str">
            <v>Tourism</v>
          </cell>
          <cell r="O94" t="str">
            <v>السياحة</v>
          </cell>
          <cell r="P94" t="str">
            <v>Destinations Management Department</v>
          </cell>
          <cell r="Q94" t="str">
            <v>إدارة الوجهات</v>
          </cell>
          <cell r="R94" t="str">
            <v>Al Dhafra Destination Management Section</v>
          </cell>
          <cell r="S94" t="str">
            <v>رئيس قسم إدارة وجهة منطقة الظفرة</v>
          </cell>
          <cell r="T94" t="str">
            <v/>
          </cell>
          <cell r="U94" t="str">
            <v/>
          </cell>
          <cell r="V94" t="str">
            <v>Abu Dhabi</v>
          </cell>
          <cell r="W94" t="str">
            <v/>
          </cell>
          <cell r="X94" t="str">
            <v>4515700</v>
          </cell>
          <cell r="Y94" t="str">
            <v>Commercial _Travel Trade &amp; Tourism  Market Development _Unit Head</v>
          </cell>
          <cell r="Z94" t="str">
            <v>Unit Head</v>
          </cell>
          <cell r="AA94" t="str">
            <v>3A</v>
          </cell>
        </row>
        <row r="95">
          <cell r="A95">
            <v>227</v>
          </cell>
          <cell r="B95">
            <v>227</v>
          </cell>
          <cell r="C95" t="str">
            <v>A</v>
          </cell>
          <cell r="D95" t="str">
            <v>Ali AbdulRahman Al Meqbali</v>
          </cell>
          <cell r="E95" t="str">
            <v>علي عبدالرحمن المقبالي</v>
          </cell>
          <cell r="F95">
            <v>39264</v>
          </cell>
          <cell r="G95" t="str">
            <v>10006392</v>
          </cell>
          <cell r="H95" t="str">
            <v>Archaeological Research Unit Head (Al Ain)</v>
          </cell>
          <cell r="I95" t="str">
            <v>رئيس وحدة البحوث الأثرية (العين)</v>
          </cell>
          <cell r="J95" t="str">
            <v>On-Chart</v>
          </cell>
          <cell r="K95" t="str">
            <v>DCT Payroll</v>
          </cell>
          <cell r="L95" t="str">
            <v>A1</v>
          </cell>
          <cell r="M95" t="str">
            <v>Department of Culture and Tourism</v>
          </cell>
          <cell r="N95" t="str">
            <v>Culture</v>
          </cell>
          <cell r="O95" t="str">
            <v>الثقافة</v>
          </cell>
          <cell r="P95" t="str">
            <v>Historic Environment</v>
          </cell>
          <cell r="Q95" t="str">
            <v>البيئة التاريخية</v>
          </cell>
          <cell r="R95" t="str">
            <v>Archaeology &amp; Paleontology</v>
          </cell>
          <cell r="S95" t="str">
            <v>علم الآثار</v>
          </cell>
          <cell r="T95" t="str">
            <v>Archaeological Research (Al Ain)</v>
          </cell>
          <cell r="U95" t="str">
            <v>البحوث الأثرية (العين)</v>
          </cell>
          <cell r="V95" t="str">
            <v>Al Ain</v>
          </cell>
          <cell r="W95" t="str">
            <v/>
          </cell>
          <cell r="X95" t="str">
            <v>4511300</v>
          </cell>
          <cell r="Y95" t="str">
            <v>Compliance,Governance&amp;Protocol_Policy  (Culture &amp; Tourism)_Unit Head</v>
          </cell>
          <cell r="Z95" t="str">
            <v>Unit Head</v>
          </cell>
          <cell r="AA95" t="str">
            <v>3A</v>
          </cell>
        </row>
        <row r="96">
          <cell r="A96">
            <v>228</v>
          </cell>
          <cell r="B96">
            <v>228</v>
          </cell>
          <cell r="C96" t="str">
            <v>A</v>
          </cell>
          <cell r="D96" t="str">
            <v>Hamdan Rashed Al Rashdi</v>
          </cell>
          <cell r="E96" t="str">
            <v>حمدان راشد الراشدي</v>
          </cell>
          <cell r="F96">
            <v>39264</v>
          </cell>
          <cell r="G96" t="str">
            <v>10005942</v>
          </cell>
          <cell r="H96" t="str">
            <v>Historic Buildings &amp; Landscapes Unit Head - Al Dhafra &amp; Abu Dhabi</v>
          </cell>
          <cell r="I96" t="str">
            <v>رئيس وحدة المباني و المسطحات التاريخية - الظفرة وأبوظبي</v>
          </cell>
          <cell r="J96" t="str">
            <v>On-Chart</v>
          </cell>
          <cell r="K96" t="str">
            <v>DCT Payroll</v>
          </cell>
          <cell r="L96" t="str">
            <v>A1</v>
          </cell>
          <cell r="M96" t="str">
            <v>Department of Culture and Tourism</v>
          </cell>
          <cell r="N96" t="str">
            <v>Culture</v>
          </cell>
          <cell r="O96" t="str">
            <v>الثقافة</v>
          </cell>
          <cell r="P96" t="str">
            <v>Historic Environment</v>
          </cell>
          <cell r="Q96" t="str">
            <v>البيئة التاريخية</v>
          </cell>
          <cell r="R96" t="str">
            <v>Historic Buildings &amp; Landscapes</v>
          </cell>
          <cell r="S96" t="str">
            <v>المباني والمسطحات التاريخية</v>
          </cell>
          <cell r="T96" t="str">
            <v>Historic Buildings &amp; Landscape – Al Dhafra &amp; Abu Dhabi</v>
          </cell>
          <cell r="U96" t="str">
            <v>المباني والمسطحات التاريخية – الظفرة وأبوظبي</v>
          </cell>
          <cell r="V96" t="str">
            <v>Al Ain</v>
          </cell>
          <cell r="W96" t="str">
            <v/>
          </cell>
          <cell r="X96" t="str">
            <v>4511300</v>
          </cell>
          <cell r="Y96" t="str">
            <v>Compliance,Governance&amp;Protocol_Policy  (Culture &amp; Tourism)_Unit Head</v>
          </cell>
          <cell r="Z96" t="str">
            <v>Unit Head</v>
          </cell>
          <cell r="AA96" t="str">
            <v>3A</v>
          </cell>
        </row>
        <row r="97">
          <cell r="A97">
            <v>229</v>
          </cell>
          <cell r="B97">
            <v>229</v>
          </cell>
          <cell r="C97" t="str">
            <v>A</v>
          </cell>
          <cell r="D97" t="str">
            <v>Rita Aoun</v>
          </cell>
          <cell r="E97" t="str">
            <v>ريتا  عون</v>
          </cell>
          <cell r="F97">
            <v>39264</v>
          </cell>
          <cell r="G97" t="str">
            <v>47700228</v>
          </cell>
          <cell r="H97" t="str">
            <v>Culture Sector Executive Director</v>
          </cell>
          <cell r="I97" t="str">
            <v>المدير التنفيذي لقطاع الثقافة</v>
          </cell>
          <cell r="J97" t="str">
            <v>On-Chart</v>
          </cell>
          <cell r="K97" t="str">
            <v>DCT Payroll</v>
          </cell>
          <cell r="L97" t="str">
            <v>A1</v>
          </cell>
          <cell r="M97" t="str">
            <v>Department of Culture and Tourism</v>
          </cell>
          <cell r="N97" t="str">
            <v>Culture</v>
          </cell>
          <cell r="O97" t="str">
            <v>الثقافة</v>
          </cell>
          <cell r="P97" t="str">
            <v>Office of the Culture Executive Director</v>
          </cell>
          <cell r="Q97" t="str">
            <v>مكتب المدير التنفيذي لقطاع الثقافة</v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>Abu Dhabi</v>
          </cell>
          <cell r="W97" t="str">
            <v/>
          </cell>
          <cell r="X97" t="str">
            <v>4511010</v>
          </cell>
          <cell r="Y97" t="str">
            <v>Executive Management _Culture Sector Development &amp; Marketing_Executive Director</v>
          </cell>
          <cell r="Z97" t="str">
            <v>Executive Director</v>
          </cell>
          <cell r="AA97" t="str">
            <v>1A</v>
          </cell>
        </row>
        <row r="98">
          <cell r="A98">
            <v>230</v>
          </cell>
          <cell r="B98">
            <v>230</v>
          </cell>
          <cell r="C98" t="str">
            <v>A</v>
          </cell>
          <cell r="D98" t="str">
            <v>Mahasin Abdel Rahim Wagee Alla</v>
          </cell>
          <cell r="E98" t="str">
            <v>محاسن عبدالرحيم وقيع الله</v>
          </cell>
          <cell r="F98">
            <v>39265</v>
          </cell>
          <cell r="G98" t="str">
            <v>47700229</v>
          </cell>
          <cell r="H98" t="str">
            <v>Researcher</v>
          </cell>
          <cell r="I98" t="str">
            <v>باحث</v>
          </cell>
          <cell r="J98" t="str">
            <v>On-Chart</v>
          </cell>
          <cell r="K98" t="str">
            <v>DCT Payroll</v>
          </cell>
          <cell r="L98" t="str">
            <v>A1</v>
          </cell>
          <cell r="M98" t="str">
            <v>Department of Culture and Tourism</v>
          </cell>
          <cell r="N98" t="str">
            <v>Culture</v>
          </cell>
          <cell r="O98" t="str">
            <v>الثقافة</v>
          </cell>
          <cell r="P98" t="str">
            <v>Intangible Cultural Heritage</v>
          </cell>
          <cell r="Q98" t="str">
            <v>التراث الثقافي المعنوي</v>
          </cell>
          <cell r="R98" t="str">
            <v>ICH Research &amp; Documentation</v>
          </cell>
          <cell r="S98" t="str">
            <v>بحوث وتوثيق التراث الثقافي المعنوي</v>
          </cell>
          <cell r="T98" t="str">
            <v>ICH Research</v>
          </cell>
          <cell r="U98" t="str">
            <v>بحوث التراث الثقافي المعنوي</v>
          </cell>
          <cell r="V98" t="str">
            <v>Abu Dhabi</v>
          </cell>
          <cell r="W98" t="str">
            <v/>
          </cell>
          <cell r="X98" t="str">
            <v>4511600</v>
          </cell>
          <cell r="Y98" t="str">
            <v>Content &amp; Care_World Heritage Sites Planning &amp; Monitoring _Professional</v>
          </cell>
          <cell r="Z98" t="str">
            <v>Professional</v>
          </cell>
          <cell r="AA98" t="str">
            <v>04</v>
          </cell>
        </row>
        <row r="99">
          <cell r="A99">
            <v>233</v>
          </cell>
          <cell r="B99">
            <v>233</v>
          </cell>
          <cell r="C99" t="str">
            <v>A</v>
          </cell>
          <cell r="D99" t="str">
            <v>Salma Abdulla Al Ameri</v>
          </cell>
          <cell r="E99" t="str">
            <v>سلمى عبدالله العامري</v>
          </cell>
          <cell r="F99">
            <v>39292</v>
          </cell>
          <cell r="G99" t="str">
            <v>10005079</v>
          </cell>
          <cell r="H99" t="str">
            <v>Facilities Management Unit Head - Al Ain</v>
          </cell>
          <cell r="I99" t="str">
            <v>رئيس وحدة إدارة المرافق - العين</v>
          </cell>
          <cell r="J99" t="str">
            <v>On-Chart</v>
          </cell>
          <cell r="K99" t="str">
            <v>DCT Payroll</v>
          </cell>
          <cell r="L99" t="str">
            <v>A1</v>
          </cell>
          <cell r="M99" t="str">
            <v>Department of Culture and Tourism</v>
          </cell>
          <cell r="N99" t="str">
            <v>Support Services</v>
          </cell>
          <cell r="O99" t="str">
            <v>الخدمات المساندة</v>
          </cell>
          <cell r="P99" t="str">
            <v>Supply Management</v>
          </cell>
          <cell r="Q99" t="str">
            <v>إدارة الإمداد</v>
          </cell>
          <cell r="R99" t="str">
            <v>Facilities Management</v>
          </cell>
          <cell r="S99" t="str">
            <v>إدارة المرافق</v>
          </cell>
          <cell r="T99" t="str">
            <v/>
          </cell>
          <cell r="U99" t="str">
            <v/>
          </cell>
          <cell r="V99" t="str">
            <v>Al Ain</v>
          </cell>
          <cell r="W99" t="str">
            <v/>
          </cell>
          <cell r="X99" t="str">
            <v>4510240</v>
          </cell>
          <cell r="Y99" t="str">
            <v>Procurement_Procurement General _Unit Head</v>
          </cell>
          <cell r="Z99" t="str">
            <v>Unit Head</v>
          </cell>
          <cell r="AA99" t="str">
            <v>3A</v>
          </cell>
        </row>
        <row r="100">
          <cell r="A100">
            <v>234</v>
          </cell>
          <cell r="B100">
            <v>234</v>
          </cell>
          <cell r="C100" t="str">
            <v>A</v>
          </cell>
          <cell r="D100" t="str">
            <v>Tareq Juma Al Baloushi</v>
          </cell>
          <cell r="E100" t="str">
            <v>طارق جمعة البلوشي</v>
          </cell>
          <cell r="F100">
            <v>39292</v>
          </cell>
          <cell r="G100" t="str">
            <v>10006593</v>
          </cell>
          <cell r="H100" t="str">
            <v>Visitor Experience Supervisor</v>
          </cell>
          <cell r="I100" t="str">
            <v>مشرف تجربة الزوار</v>
          </cell>
          <cell r="J100" t="str">
            <v>On-Chart</v>
          </cell>
          <cell r="K100" t="str">
            <v>DCT Payroll</v>
          </cell>
          <cell r="L100" t="str">
            <v>A1</v>
          </cell>
          <cell r="M100" t="str">
            <v>Department of Culture and Tourism</v>
          </cell>
          <cell r="N100" t="str">
            <v>Culture</v>
          </cell>
          <cell r="O100" t="str">
            <v>الثقافة</v>
          </cell>
          <cell r="P100" t="str">
            <v>Culture Sites Management</v>
          </cell>
          <cell r="Q100" t="str">
            <v>إدارة المواقع الثقافية</v>
          </cell>
          <cell r="R100" t="str">
            <v>Al Ain Historical Sites</v>
          </cell>
          <cell r="S100" t="str">
            <v>مواقع العين التاريخية</v>
          </cell>
          <cell r="T100" t="str">
            <v>Al Jahili Fort</v>
          </cell>
          <cell r="U100" t="str">
            <v>قلعة الجاهلي</v>
          </cell>
          <cell r="V100" t="str">
            <v>Al Ain</v>
          </cell>
          <cell r="W100" t="str">
            <v/>
          </cell>
          <cell r="X100" t="str">
            <v>4511250</v>
          </cell>
          <cell r="Y100" t="str">
            <v>Compliance,Governance&amp;Protocol_Policy  (Culture &amp; Tourism)_Unit Head</v>
          </cell>
          <cell r="Z100" t="str">
            <v>Unit Head</v>
          </cell>
          <cell r="AA100" t="str">
            <v>3A</v>
          </cell>
        </row>
        <row r="101">
          <cell r="A101">
            <v>236</v>
          </cell>
          <cell r="B101">
            <v>236</v>
          </cell>
          <cell r="C101" t="str">
            <v>A</v>
          </cell>
          <cell r="D101" t="str">
            <v>Seham Abdulla Al Zarouni</v>
          </cell>
          <cell r="E101" t="str">
            <v>سهام عبدالله الزرعوني</v>
          </cell>
          <cell r="F101">
            <v>39295</v>
          </cell>
          <cell r="G101" t="str">
            <v>10005303</v>
          </cell>
          <cell r="H101" t="str">
            <v>Outreach Senior Specialist</v>
          </cell>
          <cell r="I101" t="str">
            <v>أخصائي أول التوعية الثقافية</v>
          </cell>
          <cell r="J101" t="str">
            <v>On-Chart</v>
          </cell>
          <cell r="K101" t="str">
            <v>DCT Payroll</v>
          </cell>
          <cell r="L101" t="str">
            <v>A1</v>
          </cell>
          <cell r="M101" t="str">
            <v>Department of Culture and Tourism</v>
          </cell>
          <cell r="N101" t="str">
            <v>Culture</v>
          </cell>
          <cell r="O101" t="str">
            <v>الثقافة</v>
          </cell>
          <cell r="P101" t="str">
            <v>Education &amp; Outreach</v>
          </cell>
          <cell r="Q101" t="str">
            <v>التعليم والتوعية الثقافية</v>
          </cell>
          <cell r="R101" t="str">
            <v>Outreach</v>
          </cell>
          <cell r="S101" t="str">
            <v>التوعية الثقافية</v>
          </cell>
          <cell r="T101" t="str">
            <v>Outreach - Schools</v>
          </cell>
          <cell r="U101" t="str">
            <v>التوعية الثقافية - المدارس</v>
          </cell>
          <cell r="V101" t="str">
            <v>Al Ain</v>
          </cell>
          <cell r="W101" t="str">
            <v/>
          </cell>
          <cell r="X101" t="str">
            <v>4511800</v>
          </cell>
          <cell r="Y101" t="str">
            <v>Interpretation &amp; Engagement_Outreach &amp; Cultural Engagement _Senior Professional</v>
          </cell>
          <cell r="Z101" t="str">
            <v>Senior Professional</v>
          </cell>
          <cell r="AA101" t="str">
            <v>3A</v>
          </cell>
        </row>
        <row r="102">
          <cell r="A102">
            <v>238</v>
          </cell>
          <cell r="B102">
            <v>238</v>
          </cell>
          <cell r="C102" t="str">
            <v>A</v>
          </cell>
          <cell r="D102" t="str">
            <v>Sumaya Khalfan Al Mehrezi</v>
          </cell>
          <cell r="E102" t="str">
            <v>سمية خلفان المحرزي</v>
          </cell>
          <cell r="F102">
            <v>39296</v>
          </cell>
          <cell r="G102" t="str">
            <v>10006737</v>
          </cell>
          <cell r="H102" t="str">
            <v>Marketing &amp; Communications Senior Specialist</v>
          </cell>
          <cell r="I102" t="str">
            <v>أخصائي أول التسويق والاتصال</v>
          </cell>
          <cell r="J102" t="str">
            <v>On-Chart</v>
          </cell>
          <cell r="K102" t="str">
            <v>DCT Payroll</v>
          </cell>
          <cell r="L102" t="str">
            <v>A1</v>
          </cell>
          <cell r="M102" t="str">
            <v>Department of Culture and Tourism</v>
          </cell>
          <cell r="N102" t="str">
            <v>Culture</v>
          </cell>
          <cell r="O102" t="str">
            <v>الثقافة</v>
          </cell>
          <cell r="P102" t="str">
            <v>Culture Sector Marketing</v>
          </cell>
          <cell r="Q102" t="str">
            <v>التسويق لقطاع الثقافة</v>
          </cell>
          <cell r="R102" t="str">
            <v>-</v>
          </cell>
          <cell r="S102" t="str">
            <v>-</v>
          </cell>
          <cell r="T102" t="str">
            <v>Marketing &amp; Communications – Al Ain &amp; Al Dhafra Culture Sites</v>
          </cell>
          <cell r="U102" t="str">
            <v>التسويق والاتصال – المواقع الثقافية (العين والظفرة)</v>
          </cell>
          <cell r="V102" t="str">
            <v>Al Ain</v>
          </cell>
          <cell r="W102" t="str">
            <v/>
          </cell>
          <cell r="X102" t="str">
            <v>4511550</v>
          </cell>
          <cell r="Y102" t="str">
            <v>Compliance,Governance&amp;Protocol_Policy (Culture/Tourism _Senior Professional</v>
          </cell>
          <cell r="Z102" t="str">
            <v>Senior Professional</v>
          </cell>
          <cell r="AA102" t="str">
            <v>3A</v>
          </cell>
        </row>
        <row r="103">
          <cell r="A103">
            <v>240</v>
          </cell>
          <cell r="B103">
            <v>240</v>
          </cell>
          <cell r="C103" t="str">
            <v>A</v>
          </cell>
          <cell r="D103" t="str">
            <v>Hend Hamad Al Dhaheri</v>
          </cell>
          <cell r="E103" t="str">
            <v>هند حمد الظاهري</v>
          </cell>
          <cell r="F103">
            <v>39313</v>
          </cell>
          <cell r="G103" t="str">
            <v>50000641</v>
          </cell>
          <cell r="H103" t="str">
            <v>Outreach Senior Specialist</v>
          </cell>
          <cell r="I103" t="str">
            <v>رئيس وحدة التوعية الثقافية</v>
          </cell>
          <cell r="J103" t="str">
            <v>On-Chart</v>
          </cell>
          <cell r="K103" t="str">
            <v>DCT Payroll</v>
          </cell>
          <cell r="L103" t="str">
            <v>A1</v>
          </cell>
          <cell r="M103" t="str">
            <v>Department of Culture and Tourism</v>
          </cell>
          <cell r="N103" t="str">
            <v>Culture</v>
          </cell>
          <cell r="O103" t="str">
            <v>الثقافة</v>
          </cell>
          <cell r="P103" t="str">
            <v>Education &amp; Outreach</v>
          </cell>
          <cell r="Q103" t="str">
            <v>التعليم والتوعية الثقافية</v>
          </cell>
          <cell r="R103" t="str">
            <v>Outreach</v>
          </cell>
          <cell r="S103" t="str">
            <v>التوعية الثقافية</v>
          </cell>
          <cell r="T103" t="str">
            <v>Outreach</v>
          </cell>
          <cell r="U103" t="str">
            <v>التوعية الثقافية</v>
          </cell>
          <cell r="V103" t="str">
            <v>Al Ain</v>
          </cell>
          <cell r="W103" t="str">
            <v/>
          </cell>
          <cell r="X103" t="str">
            <v>4511800</v>
          </cell>
          <cell r="Y103" t="str">
            <v>Interpretation &amp; Engagement_Outreach &amp; Cultural Engagement _Unit Head</v>
          </cell>
          <cell r="Z103" t="str">
            <v>Unit Head</v>
          </cell>
          <cell r="AA103" t="str">
            <v>3A</v>
          </cell>
        </row>
        <row r="104">
          <cell r="A104">
            <v>247</v>
          </cell>
          <cell r="B104">
            <v>247</v>
          </cell>
          <cell r="C104" t="str">
            <v>A</v>
          </cell>
          <cell r="D104" t="str">
            <v>Peter David Sheehan</v>
          </cell>
          <cell r="E104" t="str">
            <v>بيتر ديفد  شيهان</v>
          </cell>
          <cell r="F104">
            <v>39352</v>
          </cell>
          <cell r="G104" t="str">
            <v>47700246</v>
          </cell>
          <cell r="H104" t="str">
            <v>Historic Buildings &amp; Landscapes Section Head</v>
          </cell>
          <cell r="I104" t="str">
            <v>رئيس قسم المباني والمسطحات التاريخية</v>
          </cell>
          <cell r="J104" t="str">
            <v>On-Chart</v>
          </cell>
          <cell r="K104" t="str">
            <v>DCT Payroll</v>
          </cell>
          <cell r="L104" t="str">
            <v>A1</v>
          </cell>
          <cell r="M104" t="str">
            <v>Department of Culture and Tourism</v>
          </cell>
          <cell r="N104" t="str">
            <v>Culture</v>
          </cell>
          <cell r="O104" t="str">
            <v>الثقافة</v>
          </cell>
          <cell r="P104" t="str">
            <v>Historic Environment</v>
          </cell>
          <cell r="Q104" t="str">
            <v>البيئة التاريخية</v>
          </cell>
          <cell r="R104" t="str">
            <v>Historic Buildings &amp; Landscapes</v>
          </cell>
          <cell r="S104" t="str">
            <v>المباني والمسطحات التاريخية</v>
          </cell>
          <cell r="T104" t="str">
            <v/>
          </cell>
          <cell r="U104" t="str">
            <v/>
          </cell>
          <cell r="V104" t="str">
            <v>Al Ain</v>
          </cell>
          <cell r="W104" t="str">
            <v/>
          </cell>
          <cell r="X104" t="str">
            <v>4511300</v>
          </cell>
          <cell r="Y104" t="str">
            <v>Compliance,Governance&amp;Protocol_Policy (Culture &amp; Tourism)_Section Head</v>
          </cell>
          <cell r="Z104" t="str">
            <v>Section Manager</v>
          </cell>
          <cell r="AA104" t="str">
            <v>01</v>
          </cell>
        </row>
        <row r="105">
          <cell r="A105">
            <v>249</v>
          </cell>
          <cell r="B105">
            <v>249</v>
          </cell>
          <cell r="C105" t="str">
            <v>A</v>
          </cell>
          <cell r="D105" t="str">
            <v>Shatha Abu Baker Al Himiri</v>
          </cell>
          <cell r="E105" t="str">
            <v>شذى ابوبكر الحميري</v>
          </cell>
          <cell r="F105">
            <v>39357</v>
          </cell>
          <cell r="G105" t="str">
            <v>50004169</v>
          </cell>
          <cell r="H105" t="str">
            <v>Senior Inspector</v>
          </cell>
          <cell r="I105" t="str">
            <v>مفتش أول</v>
          </cell>
          <cell r="J105" t="str">
            <v>On-Chart</v>
          </cell>
          <cell r="K105" t="str">
            <v>DCT Payroll</v>
          </cell>
          <cell r="L105" t="str">
            <v>A1</v>
          </cell>
          <cell r="M105" t="str">
            <v>Department of Culture and Tourism</v>
          </cell>
          <cell r="N105" t="str">
            <v>Tourism</v>
          </cell>
          <cell r="O105" t="str">
            <v>السياحة</v>
          </cell>
          <cell r="P105" t="str">
            <v>Licensing &amp; Regulatory Compliance</v>
          </cell>
          <cell r="Q105" t="str">
            <v>الرقابة والترخيص</v>
          </cell>
          <cell r="R105" t="str">
            <v>Abu Dhabi Inspection</v>
          </cell>
          <cell r="S105" t="str">
            <v>التفتيش</v>
          </cell>
          <cell r="T105" t="str">
            <v>Abu Dhabi Inspection (Night Events)</v>
          </cell>
          <cell r="U105" t="str">
            <v>( التفتيش لأبوظبي (الفعاليات الليلية</v>
          </cell>
          <cell r="V105" t="str">
            <v>Abu Dhabi</v>
          </cell>
          <cell r="W105" t="str">
            <v/>
          </cell>
          <cell r="X105" t="str">
            <v>4510170</v>
          </cell>
          <cell r="Y105" t="str">
            <v>Compliance,Governance&amp;Protocol_Licensing &amp; Regulatory Compliance _Senior Professional</v>
          </cell>
          <cell r="Z105" t="str">
            <v>Senior Professional</v>
          </cell>
          <cell r="AA105" t="str">
            <v>3A</v>
          </cell>
        </row>
        <row r="106">
          <cell r="A106">
            <v>250</v>
          </cell>
          <cell r="B106">
            <v>250</v>
          </cell>
          <cell r="C106" t="str">
            <v>A</v>
          </cell>
          <cell r="D106" t="str">
            <v>Meera Ahmed Al Hosani</v>
          </cell>
          <cell r="E106" t="str">
            <v>ميره احمد الحوسني</v>
          </cell>
          <cell r="F106">
            <v>39387</v>
          </cell>
          <cell r="G106" t="str">
            <v>50001140</v>
          </cell>
          <cell r="H106" t="str">
            <v>Industry Professional Development Unit Head</v>
          </cell>
          <cell r="I106" t="str">
            <v>رئيس وحدة التطوير المهني للقطاع</v>
          </cell>
          <cell r="J106" t="str">
            <v>On-Chart</v>
          </cell>
          <cell r="K106" t="str">
            <v>DCT Payroll</v>
          </cell>
          <cell r="L106" t="str">
            <v>A1</v>
          </cell>
          <cell r="M106" t="str">
            <v>Department of Culture and Tourism</v>
          </cell>
          <cell r="N106" t="str">
            <v>Tourism</v>
          </cell>
          <cell r="O106" t="str">
            <v>السياحة</v>
          </cell>
          <cell r="P106" t="str">
            <v>Emiratization &amp; Capability Development Office</v>
          </cell>
          <cell r="Q106" t="str">
            <v>مكتب التوطين وتطوير القدرات</v>
          </cell>
          <cell r="R106" t="str">
            <v>Sector Emiratization &amp; Capability Development Section</v>
          </cell>
          <cell r="S106" t="str">
            <v/>
          </cell>
          <cell r="T106" t="str">
            <v>Industry Professional Development</v>
          </cell>
          <cell r="U106" t="str">
            <v/>
          </cell>
          <cell r="V106" t="str">
            <v>Abu Dhabi</v>
          </cell>
          <cell r="W106" t="str">
            <v/>
          </cell>
          <cell r="X106" t="str">
            <v>4515020</v>
          </cell>
          <cell r="Y106" t="str">
            <v>Commercial _Travel Trade &amp; Tourism  Market Development _Unit Head</v>
          </cell>
          <cell r="Z106" t="str">
            <v>Unit Head</v>
          </cell>
          <cell r="AA106" t="str">
            <v>3A</v>
          </cell>
        </row>
        <row r="107">
          <cell r="A107">
            <v>257</v>
          </cell>
          <cell r="B107">
            <v>257</v>
          </cell>
          <cell r="C107" t="str">
            <v>A</v>
          </cell>
          <cell r="D107" t="str">
            <v>Aysha Khamis Al Dhahiri</v>
          </cell>
          <cell r="E107" t="str">
            <v>عائشة خميس الظاهري</v>
          </cell>
          <cell r="F107">
            <v>39428</v>
          </cell>
          <cell r="G107" t="str">
            <v>10011670</v>
          </cell>
          <cell r="H107" t="str">
            <v>Research Lead</v>
          </cell>
          <cell r="I107" t="str">
            <v>باحث رئيسي</v>
          </cell>
          <cell r="J107" t="str">
            <v>On-Chart</v>
          </cell>
          <cell r="K107" t="str">
            <v>DCT Payroll</v>
          </cell>
          <cell r="L107" t="str">
            <v>A1</v>
          </cell>
          <cell r="M107" t="str">
            <v>Department of Culture and Tourism</v>
          </cell>
          <cell r="N107" t="str">
            <v>Culture</v>
          </cell>
          <cell r="O107" t="str">
            <v>الثقافة</v>
          </cell>
          <cell r="P107" t="str">
            <v>Scientific, Curatorial and Collection Department</v>
          </cell>
          <cell r="Q107" t="str">
            <v>إدارة البحث العلمي والمقتنيات</v>
          </cell>
          <cell r="R107" t="str">
            <v>Publishing &amp; Digitization</v>
          </cell>
          <cell r="S107" t="str">
            <v>النشر ورقمنة المحتوى</v>
          </cell>
          <cell r="T107" t="str">
            <v/>
          </cell>
          <cell r="U107" t="str">
            <v/>
          </cell>
          <cell r="V107" t="str">
            <v>Al Ain</v>
          </cell>
          <cell r="W107" t="str">
            <v/>
          </cell>
          <cell r="X107" t="str">
            <v>4511600</v>
          </cell>
          <cell r="Y107" t="str">
            <v>Content &amp; Care_World Heritage Sites Planning &amp; Monitoring_Senior Professional</v>
          </cell>
          <cell r="Z107" t="str">
            <v>Unit Head</v>
          </cell>
          <cell r="AA107" t="str">
            <v>3A</v>
          </cell>
        </row>
        <row r="108">
          <cell r="A108">
            <v>262</v>
          </cell>
          <cell r="B108">
            <v>262</v>
          </cell>
          <cell r="C108" t="str">
            <v>A</v>
          </cell>
          <cell r="D108" t="str">
            <v>Ali Mohamed Al Shamisi</v>
          </cell>
          <cell r="E108" t="str">
            <v>علي محمد الشامسي</v>
          </cell>
          <cell r="F108">
            <v>39449</v>
          </cell>
          <cell r="G108" t="str">
            <v>47700261</v>
          </cell>
          <cell r="H108" t="str">
            <v>Visitor Experience Coordinator</v>
          </cell>
          <cell r="I108" t="str">
            <v>منسق تجربة الزوار</v>
          </cell>
          <cell r="J108" t="str">
            <v>Temporary</v>
          </cell>
          <cell r="K108" t="str">
            <v>DCT Payroll</v>
          </cell>
          <cell r="L108" t="str">
            <v>A1</v>
          </cell>
          <cell r="M108" t="str">
            <v>Department of Culture and Tourism</v>
          </cell>
          <cell r="N108" t="str">
            <v>Culture</v>
          </cell>
          <cell r="O108" t="str">
            <v>الثقافة</v>
          </cell>
          <cell r="P108" t="str">
            <v>Culture Sites Management</v>
          </cell>
          <cell r="Q108" t="str">
            <v>إدارة المواقع الثقافية</v>
          </cell>
          <cell r="R108" t="str">
            <v>Al Ain Culture Sites</v>
          </cell>
          <cell r="S108" t="str">
            <v>مواقع العين الثقافية</v>
          </cell>
          <cell r="T108" t="str">
            <v/>
          </cell>
          <cell r="U108" t="str">
            <v/>
          </cell>
          <cell r="V108" t="str">
            <v>Al Ain</v>
          </cell>
          <cell r="W108" t="str">
            <v/>
          </cell>
          <cell r="X108" t="str">
            <v>4511250</v>
          </cell>
          <cell r="Y108" t="str">
            <v>Content &amp; Care_Culture Sites Protection_Assistant &amp; Technical Staff</v>
          </cell>
          <cell r="Z108" t="str">
            <v>Assistant and Technical Staff</v>
          </cell>
          <cell r="AA108" t="str">
            <v>7B</v>
          </cell>
        </row>
        <row r="109">
          <cell r="A109">
            <v>263</v>
          </cell>
          <cell r="B109">
            <v>263</v>
          </cell>
          <cell r="C109" t="str">
            <v>A</v>
          </cell>
          <cell r="D109" t="str">
            <v>Shamsa Saif Al- Dhaheri</v>
          </cell>
          <cell r="E109" t="str">
            <v>شمسة سيف الظاهري</v>
          </cell>
          <cell r="F109">
            <v>39449</v>
          </cell>
          <cell r="G109" t="str">
            <v>50004092</v>
          </cell>
          <cell r="H109" t="str">
            <v>Associate Collections Registrar</v>
          </cell>
          <cell r="I109" t="str">
            <v>معاون أخصائي تسجيل المقتنيات</v>
          </cell>
          <cell r="J109" t="str">
            <v>On-Chart</v>
          </cell>
          <cell r="K109" t="str">
            <v>DCT Payroll</v>
          </cell>
          <cell r="L109" t="str">
            <v>A1</v>
          </cell>
          <cell r="M109" t="str">
            <v>Department of Culture and Tourism</v>
          </cell>
          <cell r="N109" t="str">
            <v>Culture</v>
          </cell>
          <cell r="O109" t="str">
            <v>الثقافة</v>
          </cell>
          <cell r="P109" t="str">
            <v>Culture Sites Management</v>
          </cell>
          <cell r="Q109" t="str">
            <v>إدارة المواقع الثقافية</v>
          </cell>
          <cell r="R109" t="str">
            <v>Collections Section– Al Ain</v>
          </cell>
          <cell r="S109" t="str">
            <v>رئيس قسم  – منطقة العين</v>
          </cell>
          <cell r="T109" t="str">
            <v>Collections Registration</v>
          </cell>
          <cell r="U109" t="str">
            <v>تسجيل المجموعات</v>
          </cell>
          <cell r="V109" t="str">
            <v>Al Ain</v>
          </cell>
          <cell r="W109" t="str">
            <v/>
          </cell>
          <cell r="X109" t="str">
            <v>4511250</v>
          </cell>
          <cell r="Y109" t="str">
            <v>Admin &amp; Support_ Administration Coordination &amp; Support
(All Areas)_Professional Assistant</v>
          </cell>
          <cell r="Z109" t="str">
            <v>Professional Assistant</v>
          </cell>
          <cell r="AA109" t="str">
            <v>4A</v>
          </cell>
        </row>
        <row r="110">
          <cell r="A110">
            <v>267</v>
          </cell>
          <cell r="B110">
            <v>267</v>
          </cell>
          <cell r="C110" t="str">
            <v>A</v>
          </cell>
          <cell r="D110" t="str">
            <v>Nabeel Mahmoud Al Zarouni</v>
          </cell>
          <cell r="E110" t="str">
            <v>نبيل محمود الزرعوني</v>
          </cell>
          <cell r="F110">
            <v>39467</v>
          </cell>
          <cell r="G110" t="str">
            <v>50002322</v>
          </cell>
          <cell r="H110" t="str">
            <v>International Operations (UK &amp; Americas) Regional Head</v>
          </cell>
          <cell r="I110" t="str">
            <v>رئيس القسم الاقليمي العمليات الدولية منطقة (المملكة المتحدة والأمريكيتين)</v>
          </cell>
          <cell r="J110" t="str">
            <v>On-Chart</v>
          </cell>
          <cell r="K110" t="str">
            <v>DCT Payroll</v>
          </cell>
          <cell r="L110" t="str">
            <v>A1</v>
          </cell>
          <cell r="M110" t="str">
            <v>Department of Culture and Tourism</v>
          </cell>
          <cell r="N110" t="str">
            <v>Tourism</v>
          </cell>
          <cell r="O110" t="str">
            <v>السياحة</v>
          </cell>
          <cell r="P110" t="str">
            <v>International Operations</v>
          </cell>
          <cell r="Q110" t="str">
            <v>العمليات الدولية</v>
          </cell>
          <cell r="R110" t="str">
            <v>UK &amp; Americas</v>
          </cell>
          <cell r="S110" t="str">
            <v>منطقة المملكة المتحدة  والأمريكيتين</v>
          </cell>
          <cell r="T110" t="str">
            <v/>
          </cell>
          <cell r="U110" t="str">
            <v/>
          </cell>
          <cell r="V110" t="str">
            <v>Abu Dhabi</v>
          </cell>
          <cell r="W110" t="str">
            <v/>
          </cell>
          <cell r="X110" t="str">
            <v>4515100</v>
          </cell>
          <cell r="Y110" t="str">
            <v>Design_Tourism Journey Design &amp; Development  (Tourism)_Section Head</v>
          </cell>
          <cell r="Z110" t="str">
            <v>Section Manager</v>
          </cell>
          <cell r="AA110" t="str">
            <v>2A</v>
          </cell>
        </row>
        <row r="111">
          <cell r="A111">
            <v>268</v>
          </cell>
          <cell r="B111">
            <v>268</v>
          </cell>
          <cell r="C111" t="str">
            <v>A</v>
          </cell>
          <cell r="D111" t="str">
            <v>Kinda Nabil Suleiman</v>
          </cell>
          <cell r="E111" t="str">
            <v>كندا نبيل سليمان</v>
          </cell>
          <cell r="F111">
            <v>39474</v>
          </cell>
          <cell r="G111" t="str">
            <v>10008976</v>
          </cell>
          <cell r="H111" t="str">
            <v>Culture Summit Programming Lead</v>
          </cell>
          <cell r="I111" t="str">
            <v>أخصائي رئيسي، برنامج القمة الثقافية</v>
          </cell>
          <cell r="J111" t="str">
            <v>On-Chart</v>
          </cell>
          <cell r="K111" t="str">
            <v>DCT Payroll</v>
          </cell>
          <cell r="L111" t="str">
            <v>A1</v>
          </cell>
          <cell r="M111" t="str">
            <v>Department of Culture and Tourism</v>
          </cell>
          <cell r="N111" t="str">
            <v>Culture</v>
          </cell>
          <cell r="O111" t="str">
            <v>الثقافة</v>
          </cell>
          <cell r="P111" t="str">
            <v>Culture Programming</v>
          </cell>
          <cell r="Q111" t="str">
            <v>البرامج الثقافية</v>
          </cell>
          <cell r="R111" t="str">
            <v>Culture Summit</v>
          </cell>
          <cell r="S111" t="str">
            <v>القمة الثقافية</v>
          </cell>
          <cell r="T111" t="str">
            <v/>
          </cell>
          <cell r="U111" t="str">
            <v/>
          </cell>
          <cell r="V111" t="str">
            <v>Abu Dhabi</v>
          </cell>
          <cell r="W111" t="str">
            <v/>
          </cell>
          <cell r="X111" t="str">
            <v>4511700</v>
          </cell>
          <cell r="Y111" t="str">
            <v>Compliance,Governance&amp;Protocol_Policy  (Culture &amp; Tourism)_Unit Head</v>
          </cell>
          <cell r="Z111" t="str">
            <v>Unit Head</v>
          </cell>
          <cell r="AA111" t="str">
            <v>3A</v>
          </cell>
        </row>
        <row r="112">
          <cell r="A112">
            <v>272</v>
          </cell>
          <cell r="B112">
            <v>272</v>
          </cell>
          <cell r="C112" t="str">
            <v>A</v>
          </cell>
          <cell r="D112" t="str">
            <v>Nayef Ibrahim Al Hosani</v>
          </cell>
          <cell r="E112" t="str">
            <v>نايف ابراهيم الحوسني</v>
          </cell>
          <cell r="F112">
            <v>39509</v>
          </cell>
          <cell r="G112" t="str">
            <v>10005810</v>
          </cell>
          <cell r="H112" t="str">
            <v>General Services Unit Head</v>
          </cell>
          <cell r="I112" t="str">
            <v>رئيس وحدة الخدمات العامة</v>
          </cell>
          <cell r="J112" t="str">
            <v>On-Chart</v>
          </cell>
          <cell r="K112" t="str">
            <v>DCT Payroll</v>
          </cell>
          <cell r="L112" t="str">
            <v>A1</v>
          </cell>
          <cell r="M112" t="str">
            <v>Department of Culture and Tourism</v>
          </cell>
          <cell r="N112" t="str">
            <v>Support Services</v>
          </cell>
          <cell r="O112" t="str">
            <v>الخدمات المساندة</v>
          </cell>
          <cell r="P112" t="str">
            <v>People &amp; Performance</v>
          </cell>
          <cell r="Q112" t="str">
            <v>إدارة الكوادر البشرية والأداء</v>
          </cell>
          <cell r="R112" t="str">
            <v>Rewards &amp; Policy</v>
          </cell>
          <cell r="S112" t="str">
            <v>المكافآت والسياسات</v>
          </cell>
          <cell r="T112" t="str">
            <v/>
          </cell>
          <cell r="U112" t="str">
            <v/>
          </cell>
          <cell r="V112" t="str">
            <v>Abu Dhabi</v>
          </cell>
          <cell r="W112" t="str">
            <v/>
          </cell>
          <cell r="X112" t="str">
            <v>4510220</v>
          </cell>
          <cell r="Y112" t="str">
            <v>People &amp; Performance _Rewards Policy &amp; Recognition _Unit Head</v>
          </cell>
          <cell r="Z112" t="str">
            <v>Unit Head</v>
          </cell>
          <cell r="AA112" t="str">
            <v>3A</v>
          </cell>
        </row>
        <row r="113">
          <cell r="A113">
            <v>278</v>
          </cell>
          <cell r="B113">
            <v>278</v>
          </cell>
          <cell r="C113" t="str">
            <v>A</v>
          </cell>
          <cell r="D113" t="str">
            <v>Sultan Ali Al Mansoori</v>
          </cell>
          <cell r="E113" t="str">
            <v>سلطان علي المنصوري</v>
          </cell>
          <cell r="F113">
            <v>39539</v>
          </cell>
          <cell r="G113" t="str">
            <v>50002050</v>
          </cell>
          <cell r="H113" t="str">
            <v>International Operations (Europe) Regional Head</v>
          </cell>
          <cell r="I113" t="str">
            <v>رئيس القسم الإقليمي العمليات الدولية (منطقة أوروبا)</v>
          </cell>
          <cell r="J113" t="str">
            <v>On-Chart</v>
          </cell>
          <cell r="K113" t="str">
            <v>DCT Payroll</v>
          </cell>
          <cell r="L113" t="str">
            <v>A1</v>
          </cell>
          <cell r="M113" t="str">
            <v>Department of Culture and Tourism</v>
          </cell>
          <cell r="N113" t="str">
            <v>Tourism</v>
          </cell>
          <cell r="O113" t="str">
            <v>السياحة</v>
          </cell>
          <cell r="P113" t="str">
            <v>International Operations</v>
          </cell>
          <cell r="Q113" t="str">
            <v>العمليات الدولية</v>
          </cell>
          <cell r="R113" t="str">
            <v>Europe</v>
          </cell>
          <cell r="S113" t="str">
            <v>منطقة أوروبا</v>
          </cell>
          <cell r="T113" t="str">
            <v/>
          </cell>
          <cell r="U113" t="str">
            <v/>
          </cell>
          <cell r="V113" t="str">
            <v>Abu Dhabi</v>
          </cell>
          <cell r="W113" t="str">
            <v/>
          </cell>
          <cell r="X113" t="str">
            <v>4515100</v>
          </cell>
          <cell r="Y113" t="str">
            <v>Design_Tourism Journey Design &amp; Development  (Tourism)_Section Head</v>
          </cell>
          <cell r="Z113" t="str">
            <v>Section Manager</v>
          </cell>
          <cell r="AA113" t="str">
            <v>2C</v>
          </cell>
        </row>
        <row r="114">
          <cell r="A114">
            <v>284</v>
          </cell>
          <cell r="B114">
            <v>284</v>
          </cell>
          <cell r="C114" t="str">
            <v>A</v>
          </cell>
          <cell r="D114" t="str">
            <v>Abdel Aziz Gomaa Elhadad</v>
          </cell>
          <cell r="E114" t="str">
            <v>عبدالعزيز جمعه الحداد</v>
          </cell>
          <cell r="F114">
            <v>39600</v>
          </cell>
          <cell r="G114" t="str">
            <v>10007444</v>
          </cell>
          <cell r="H114" t="str">
            <v>ICH Activations &amp; Operations  Unit Head</v>
          </cell>
          <cell r="I114" t="str">
            <v>رئيس وحدة أنشطة وعمليات التراث الثقافي المعنوي</v>
          </cell>
          <cell r="J114" t="str">
            <v>On-Chart</v>
          </cell>
          <cell r="K114" t="str">
            <v>DCT Payroll</v>
          </cell>
          <cell r="L114" t="str">
            <v>A1</v>
          </cell>
          <cell r="M114" t="str">
            <v>Department of Culture and Tourism</v>
          </cell>
          <cell r="N114" t="str">
            <v>Culture</v>
          </cell>
          <cell r="O114" t="str">
            <v>الثقافة</v>
          </cell>
          <cell r="P114" t="str">
            <v>Intangible Cultural Heritage</v>
          </cell>
          <cell r="Q114" t="str">
            <v>التراث الثقافي المعنوي</v>
          </cell>
          <cell r="R114" t="str">
            <v>ICH Interpretation &amp; Public Engagement</v>
          </cell>
          <cell r="S114" t="str">
            <v>تطوير محتوى التراث الثقافي المعنوي والمشاركة المجتمعية</v>
          </cell>
          <cell r="T114" t="str">
            <v>ICH Activations &amp; Operations</v>
          </cell>
          <cell r="U114" t="str">
            <v>أنشطة وعمليات التراث الثقافي المعنوي</v>
          </cell>
          <cell r="V114" t="str">
            <v>Abu Dhabi</v>
          </cell>
          <cell r="W114" t="str">
            <v/>
          </cell>
          <cell r="X114" t="str">
            <v>4511600</v>
          </cell>
          <cell r="Y114" t="str">
            <v>Content &amp; Care_World Heritage Planning &amp; Monitoring _Unit Head</v>
          </cell>
          <cell r="Z114" t="str">
            <v>Unit Head</v>
          </cell>
          <cell r="AA114" t="str">
            <v>3A</v>
          </cell>
        </row>
        <row r="115">
          <cell r="A115">
            <v>286</v>
          </cell>
          <cell r="B115">
            <v>286</v>
          </cell>
          <cell r="C115" t="str">
            <v>A</v>
          </cell>
          <cell r="D115" t="str">
            <v>Muna Mohamed Al Hashmi</v>
          </cell>
          <cell r="E115" t="str">
            <v>منى محمد الهاشمي</v>
          </cell>
          <cell r="F115">
            <v>39600</v>
          </cell>
          <cell r="G115" t="str">
            <v>10005290</v>
          </cell>
          <cell r="H115" t="str">
            <v>Industry Professional Development Senior Specialist</v>
          </cell>
          <cell r="I115" t="str">
            <v>أخصائي أول التطوير المهني للقطاع</v>
          </cell>
          <cell r="J115" t="str">
            <v>On-Chart</v>
          </cell>
          <cell r="K115" t="str">
            <v>DCT Payroll</v>
          </cell>
          <cell r="L115" t="str">
            <v>A1</v>
          </cell>
          <cell r="M115" t="str">
            <v>Department of Culture and Tourism</v>
          </cell>
          <cell r="N115" t="str">
            <v>Tourism</v>
          </cell>
          <cell r="O115" t="str">
            <v>السياحة</v>
          </cell>
          <cell r="P115" t="str">
            <v>Emiratization &amp; Capability Development Office</v>
          </cell>
          <cell r="Q115" t="str">
            <v>مكتب التوطين وتطوير القدرات</v>
          </cell>
          <cell r="R115" t="str">
            <v>Sector Emiratization &amp; Capability Development Section</v>
          </cell>
          <cell r="S115" t="str">
            <v/>
          </cell>
          <cell r="T115" t="str">
            <v>Industry Professional Development</v>
          </cell>
          <cell r="U115" t="str">
            <v/>
          </cell>
          <cell r="V115" t="str">
            <v>Abu Dhabi</v>
          </cell>
          <cell r="W115" t="str">
            <v/>
          </cell>
          <cell r="X115" t="str">
            <v>4515020</v>
          </cell>
          <cell r="Y115" t="str">
            <v>Information Technology_People &amp; Performance Systems Specialist_Professional</v>
          </cell>
          <cell r="Z115" t="str">
            <v>Senior Professional</v>
          </cell>
          <cell r="AA115" t="str">
            <v>3C</v>
          </cell>
        </row>
        <row r="116">
          <cell r="A116">
            <v>287</v>
          </cell>
          <cell r="B116">
            <v>287</v>
          </cell>
          <cell r="C116" t="str">
            <v>A</v>
          </cell>
          <cell r="D116" t="str">
            <v>Noha Moussa</v>
          </cell>
          <cell r="E116" t="str">
            <v>نها  موسى</v>
          </cell>
          <cell r="F116">
            <v>39601</v>
          </cell>
          <cell r="G116" t="str">
            <v>10005988</v>
          </cell>
          <cell r="H116" t="str">
            <v>Technical Manager</v>
          </cell>
          <cell r="I116" t="str">
            <v>مدير تقني</v>
          </cell>
          <cell r="J116" t="str">
            <v>On-Chart</v>
          </cell>
          <cell r="K116" t="str">
            <v>DCT Payroll</v>
          </cell>
          <cell r="L116" t="str">
            <v>A1</v>
          </cell>
          <cell r="M116" t="str">
            <v>Department of Culture and Tourism</v>
          </cell>
          <cell r="N116" t="str">
            <v>Project Management &amp; Engineering</v>
          </cell>
          <cell r="O116" t="str">
            <v>مكتب وكيل الدائرة</v>
          </cell>
          <cell r="P116" t="str">
            <v>Project Management &amp; Engineering</v>
          </cell>
          <cell r="Q116" t="str">
            <v>هندسة وإدارة المشاريع</v>
          </cell>
          <cell r="R116" t="str">
            <v>Technical Management Section</v>
          </cell>
          <cell r="S116" t="str">
            <v/>
          </cell>
          <cell r="T116" t="str">
            <v/>
          </cell>
          <cell r="U116" t="str">
            <v/>
          </cell>
          <cell r="V116" t="str">
            <v>Abu Dhabi</v>
          </cell>
          <cell r="W116" t="str">
            <v/>
          </cell>
          <cell r="X116" t="str">
            <v>4510150</v>
          </cell>
          <cell r="Y116" t="str">
            <v>Technical Safety &amp; Security_Engineering Design &amp; Development _Senior Professional</v>
          </cell>
          <cell r="Z116" t="str">
            <v>Senior Professional</v>
          </cell>
          <cell r="AA116" t="str">
            <v>3A</v>
          </cell>
        </row>
        <row r="117">
          <cell r="A117">
            <v>291</v>
          </cell>
          <cell r="B117">
            <v>291</v>
          </cell>
          <cell r="C117" t="str">
            <v>A</v>
          </cell>
          <cell r="D117" t="str">
            <v>Fatema Mohamed Alawi</v>
          </cell>
          <cell r="E117" t="str">
            <v>فاطمة محمد العلوي</v>
          </cell>
          <cell r="F117">
            <v>39621</v>
          </cell>
          <cell r="G117" t="str">
            <v>10011252</v>
          </cell>
          <cell r="H117" t="str">
            <v>Employee Relations Specialist</v>
          </cell>
          <cell r="I117" t="str">
            <v>أخصائي شؤون الموظفين</v>
          </cell>
          <cell r="J117" t="str">
            <v>On-Chart</v>
          </cell>
          <cell r="K117" t="str">
            <v>DCT Payroll</v>
          </cell>
          <cell r="L117" t="str">
            <v>A1</v>
          </cell>
          <cell r="M117" t="str">
            <v>Department of Culture and Tourism</v>
          </cell>
          <cell r="N117" t="str">
            <v>Support Services</v>
          </cell>
          <cell r="O117" t="str">
            <v>الخدمات المساندة</v>
          </cell>
          <cell r="P117" t="str">
            <v>People &amp; Performance</v>
          </cell>
          <cell r="Q117" t="str">
            <v>إدارة الكوادر البشرية والأداء</v>
          </cell>
          <cell r="R117" t="str">
            <v>Employee Relations</v>
          </cell>
          <cell r="S117" t="str">
            <v>شؤون الموظفين</v>
          </cell>
          <cell r="T117" t="str">
            <v>Employee Experience</v>
          </cell>
          <cell r="U117" t="str">
            <v>تجربة الموظفين</v>
          </cell>
          <cell r="V117" t="str">
            <v>Abu Dhabi</v>
          </cell>
          <cell r="W117" t="str">
            <v/>
          </cell>
          <cell r="X117" t="str">
            <v>4510220</v>
          </cell>
          <cell r="Y117" t="str">
            <v>People &amp; Performance _Employee Experience _Professional</v>
          </cell>
          <cell r="Z117" t="str">
            <v>Professional</v>
          </cell>
          <cell r="AA117" t="str">
            <v>4A</v>
          </cell>
        </row>
        <row r="118">
          <cell r="A118">
            <v>298</v>
          </cell>
          <cell r="B118">
            <v>298</v>
          </cell>
          <cell r="C118" t="str">
            <v>A</v>
          </cell>
          <cell r="D118" t="str">
            <v>Ali Ahmed Al Suwaidi</v>
          </cell>
          <cell r="E118" t="str">
            <v>علي أحمد السويدي</v>
          </cell>
          <cell r="F118">
            <v>39663</v>
          </cell>
          <cell r="G118" t="str">
            <v>47700296</v>
          </cell>
          <cell r="H118" t="str">
            <v>Business Development &amp; Sales Officer- Publishing</v>
          </cell>
          <cell r="I118" t="str">
            <v>ضابط تطوير الأعمال والمبيعات - النشر</v>
          </cell>
          <cell r="J118" t="str">
            <v>On-Chart</v>
          </cell>
          <cell r="K118" t="str">
            <v>ALC Direct Hires</v>
          </cell>
          <cell r="L118" t="str">
            <v>AL1</v>
          </cell>
          <cell r="M118" t="str">
            <v>Abu Dhabi Arabic Language Centre</v>
          </cell>
          <cell r="N118" t="str">
            <v>Abu Dhabi Arabic Language Centre</v>
          </cell>
          <cell r="O118" t="str">
            <v>مركز أبوظبي للغة العربية</v>
          </cell>
          <cell r="P118" t="str">
            <v>Book Fairs &amp; Events</v>
          </cell>
          <cell r="Q118" t="str">
            <v>الفعاليات ومعارض الكتب</v>
          </cell>
          <cell r="R118" t="str">
            <v>Commercial &amp; Business Development - ALC</v>
          </cell>
          <cell r="S118" t="str">
            <v>التنمية التجارية وتطوير الأعمال</v>
          </cell>
          <cell r="T118" t="str">
            <v>Business Development &amp; Sales – Publishing</v>
          </cell>
          <cell r="U118" t="str">
            <v>تطوير الأعمال  والمبيعات - النشر</v>
          </cell>
          <cell r="V118" t="str">
            <v>Abu Dhabi</v>
          </cell>
          <cell r="W118" t="str">
            <v/>
          </cell>
          <cell r="X118" t="str">
            <v>4519200</v>
          </cell>
          <cell r="Y118" t="str">
            <v>Interpretation &amp; Engagement_Arabic Language Examination _Professional</v>
          </cell>
          <cell r="Z118" t="str">
            <v>Professional</v>
          </cell>
          <cell r="AA118" t="str">
            <v>4A</v>
          </cell>
        </row>
        <row r="119">
          <cell r="A119">
            <v>302</v>
          </cell>
          <cell r="B119">
            <v>302</v>
          </cell>
          <cell r="C119" t="str">
            <v>A</v>
          </cell>
          <cell r="D119" t="str">
            <v>Mohammed Abdulla Al Harmoodi</v>
          </cell>
          <cell r="E119" t="str">
            <v>محمد عبدالله الهرمودي</v>
          </cell>
          <cell r="F119">
            <v>39691</v>
          </cell>
          <cell r="G119" t="str">
            <v>47700300</v>
          </cell>
          <cell r="H119" t="str">
            <v>Historic Environment Support Manager</v>
          </cell>
          <cell r="I119" t="str">
            <v>مدير دعم البيئة التاريخية</v>
          </cell>
          <cell r="J119" t="str">
            <v>On-Chart</v>
          </cell>
          <cell r="K119" t="str">
            <v>DCT Payroll</v>
          </cell>
          <cell r="L119" t="str">
            <v>A1</v>
          </cell>
          <cell r="M119" t="str">
            <v>Department of Culture and Tourism</v>
          </cell>
          <cell r="N119" t="str">
            <v>Culture</v>
          </cell>
          <cell r="O119" t="str">
            <v>الثقافة</v>
          </cell>
          <cell r="P119" t="str">
            <v>Historic Environment</v>
          </cell>
          <cell r="Q119" t="str">
            <v>البيئة التاريخية</v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>Al Ain</v>
          </cell>
          <cell r="W119" t="str">
            <v/>
          </cell>
          <cell r="X119" t="str">
            <v>4511300</v>
          </cell>
          <cell r="Y119" t="str">
            <v>Compliance,Governance&amp;Protocol_Policy  (Culture &amp; Tourism)_Unit Head</v>
          </cell>
          <cell r="Z119" t="str">
            <v>Unit Head</v>
          </cell>
          <cell r="AA119" t="str">
            <v>2A</v>
          </cell>
        </row>
        <row r="120">
          <cell r="A120">
            <v>310</v>
          </cell>
          <cell r="B120">
            <v>310</v>
          </cell>
          <cell r="C120" t="str">
            <v>A</v>
          </cell>
          <cell r="D120" t="str">
            <v>Mansour Saeed Al Ketbi</v>
          </cell>
          <cell r="E120" t="str">
            <v>منصور سعيد الكتبي</v>
          </cell>
          <cell r="F120">
            <v>39740</v>
          </cell>
          <cell r="G120" t="str">
            <v>10005044</v>
          </cell>
          <cell r="H120" t="str">
            <v>Visitor Experience Specialist</v>
          </cell>
          <cell r="I120" t="str">
            <v>أخصائي تجربة الزوار</v>
          </cell>
          <cell r="J120" t="str">
            <v>On-Chart</v>
          </cell>
          <cell r="K120" t="str">
            <v>DCT Payroll</v>
          </cell>
          <cell r="L120" t="str">
            <v>A1</v>
          </cell>
          <cell r="M120" t="str">
            <v>Department of Culture and Tourism</v>
          </cell>
          <cell r="N120" t="str">
            <v>Culture</v>
          </cell>
          <cell r="O120" t="str">
            <v>الثقافة</v>
          </cell>
          <cell r="P120" t="str">
            <v>Culture Sites Management</v>
          </cell>
          <cell r="Q120" t="str">
            <v>إدارة المواقع الثقافية</v>
          </cell>
          <cell r="R120" t="str">
            <v>Al Ain Historical Sites</v>
          </cell>
          <cell r="S120" t="str">
            <v>مواقع العين التاريخية</v>
          </cell>
          <cell r="T120" t="str">
            <v>Al Ain Palace Museum</v>
          </cell>
          <cell r="U120" t="str">
            <v>متحف قصر العين</v>
          </cell>
          <cell r="V120" t="str">
            <v>Abu Dhabi</v>
          </cell>
          <cell r="W120" t="str">
            <v/>
          </cell>
          <cell r="X120" t="str">
            <v>4511250</v>
          </cell>
          <cell r="Y120" t="str">
            <v>Compliance,Governance&amp;Protocol_Policy (Culture/Tourism _Senior Professional</v>
          </cell>
          <cell r="Z120" t="str">
            <v>Professional</v>
          </cell>
          <cell r="AA120" t="str">
            <v>4A</v>
          </cell>
        </row>
        <row r="121">
          <cell r="A121">
            <v>313</v>
          </cell>
          <cell r="B121">
            <v>313</v>
          </cell>
          <cell r="C121" t="str">
            <v>A</v>
          </cell>
          <cell r="D121" t="str">
            <v>Ahmed Mohamed Ghareeb</v>
          </cell>
          <cell r="E121" t="str">
            <v>احمد محمد غريب</v>
          </cell>
          <cell r="F121">
            <v>39755</v>
          </cell>
          <cell r="G121" t="str">
            <v>47700311</v>
          </cell>
          <cell r="H121" t="str">
            <v>Ranger</v>
          </cell>
          <cell r="I121" t="str">
            <v>مراقب المواقع الثقافية</v>
          </cell>
          <cell r="J121" t="str">
            <v>On-Chart</v>
          </cell>
          <cell r="K121" t="str">
            <v>DCT Payroll</v>
          </cell>
          <cell r="L121" t="str">
            <v>A1</v>
          </cell>
          <cell r="M121" t="str">
            <v>Department of Culture and Tourism</v>
          </cell>
          <cell r="N121" t="str">
            <v>Culture</v>
          </cell>
          <cell r="O121" t="str">
            <v>الثقافة</v>
          </cell>
          <cell r="P121" t="str">
            <v>Historic Environment</v>
          </cell>
          <cell r="Q121" t="str">
            <v>البيئة التاريخية</v>
          </cell>
          <cell r="R121" t="str">
            <v>Historic Buildings &amp; Landscapes</v>
          </cell>
          <cell r="S121" t="str">
            <v>المباني والمسطحات التاريخية</v>
          </cell>
          <cell r="T121" t="str">
            <v>Culture Sites Protection</v>
          </cell>
          <cell r="U121" t="str">
            <v>حماية المواقع الثقافية</v>
          </cell>
          <cell r="V121" t="str">
            <v>Al Ain</v>
          </cell>
          <cell r="W121" t="str">
            <v/>
          </cell>
          <cell r="X121" t="str">
            <v>4511300</v>
          </cell>
          <cell r="Y121" t="str">
            <v>Content &amp; Care_Culture Sites Protection_Assistant &amp; Technical Staff</v>
          </cell>
          <cell r="Z121" t="str">
            <v>Jr. Professional Assistant</v>
          </cell>
          <cell r="AA121" t="str">
            <v>6A</v>
          </cell>
        </row>
        <row r="122">
          <cell r="A122">
            <v>314</v>
          </cell>
          <cell r="B122">
            <v>314</v>
          </cell>
          <cell r="C122" t="str">
            <v>A</v>
          </cell>
          <cell r="D122" t="str">
            <v>Musa Ali Tanbouz</v>
          </cell>
          <cell r="E122" t="str">
            <v>موسى علي طنبوز</v>
          </cell>
          <cell r="F122">
            <v>39777</v>
          </cell>
          <cell r="G122" t="str">
            <v>50003016</v>
          </cell>
          <cell r="H122" t="str">
            <v>Content Editor</v>
          </cell>
          <cell r="I122" t="str">
            <v>محرر المحتوى</v>
          </cell>
          <cell r="J122" t="str">
            <v>On-Chart</v>
          </cell>
          <cell r="K122" t="str">
            <v>DCT Payroll</v>
          </cell>
          <cell r="L122" t="str">
            <v>A1</v>
          </cell>
          <cell r="M122" t="str">
            <v>Department of Culture and Tourism</v>
          </cell>
          <cell r="N122" t="str">
            <v>Culture</v>
          </cell>
          <cell r="O122" t="str">
            <v>الثقافة</v>
          </cell>
          <cell r="P122" t="str">
            <v>Culture Sector Marketing</v>
          </cell>
          <cell r="Q122" t="str">
            <v>التسويق لقطاع الثقافة</v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>Abu Dhabi</v>
          </cell>
          <cell r="W122" t="str">
            <v/>
          </cell>
          <cell r="X122" t="str">
            <v>4511550</v>
          </cell>
          <cell r="Y122" t="str">
            <v>Compliance,Governance&amp;Protocol_Policy (Culture/Tourism) _Professional</v>
          </cell>
          <cell r="Z122" t="str">
            <v>Professional</v>
          </cell>
          <cell r="AA122" t="str">
            <v>4A</v>
          </cell>
        </row>
        <row r="123">
          <cell r="A123">
            <v>316</v>
          </cell>
          <cell r="B123">
            <v>316</v>
          </cell>
          <cell r="C123" t="str">
            <v>A</v>
          </cell>
          <cell r="D123" t="str">
            <v>Mohamed Helal Al Kaabi</v>
          </cell>
          <cell r="E123" t="str">
            <v>محمد هلال الكعبي</v>
          </cell>
          <cell r="F123">
            <v>39796</v>
          </cell>
          <cell r="G123" t="str">
            <v>10006632</v>
          </cell>
          <cell r="H123" t="str">
            <v>Al Dhafra Destination Management Section Head</v>
          </cell>
          <cell r="I123" t="str">
            <v>رئيس قسم إدارة وجهة منطقة الظفرة</v>
          </cell>
          <cell r="J123" t="str">
            <v>On-Chart</v>
          </cell>
          <cell r="K123" t="str">
            <v>DCT Payroll</v>
          </cell>
          <cell r="L123" t="str">
            <v>A1</v>
          </cell>
          <cell r="M123" t="str">
            <v>Department of Culture and Tourism</v>
          </cell>
          <cell r="N123" t="str">
            <v>Tourism</v>
          </cell>
          <cell r="O123" t="str">
            <v>السياحة</v>
          </cell>
          <cell r="P123" t="str">
            <v>Destinations Management Department</v>
          </cell>
          <cell r="Q123" t="str">
            <v>إدارة الوجهات</v>
          </cell>
          <cell r="R123" t="str">
            <v>Al Dhafra Destination Management Section</v>
          </cell>
          <cell r="S123" t="str">
            <v>رئيس قسم إدارة وجهة منطقة الظفرة</v>
          </cell>
          <cell r="T123" t="str">
            <v/>
          </cell>
          <cell r="U123" t="str">
            <v/>
          </cell>
          <cell r="V123" t="str">
            <v>Abu Dhabi</v>
          </cell>
          <cell r="W123" t="str">
            <v/>
          </cell>
          <cell r="X123" t="str">
            <v>4515700</v>
          </cell>
          <cell r="Y123" t="str">
            <v>Commercial _Travel Trade &amp; Tourism Market Development _Section Head</v>
          </cell>
          <cell r="Z123" t="str">
            <v>Section Manager</v>
          </cell>
          <cell r="AA123" t="str">
            <v>2A</v>
          </cell>
        </row>
        <row r="124">
          <cell r="A124">
            <v>318</v>
          </cell>
          <cell r="B124">
            <v>318</v>
          </cell>
          <cell r="C124" t="str">
            <v>A</v>
          </cell>
          <cell r="D124" t="str">
            <v>Saeed Ali Al Fazari</v>
          </cell>
          <cell r="E124" t="str">
            <v>سعيد علي الفزاري</v>
          </cell>
          <cell r="F124">
            <v>39796</v>
          </cell>
          <cell r="G124" t="str">
            <v>50001340</v>
          </cell>
          <cell r="H124" t="str">
            <v>Strategic Affairs Executive Director</v>
          </cell>
          <cell r="I124" t="str">
            <v>المدير التنفيذي لقطاع الشؤون الاستراتيجية</v>
          </cell>
          <cell r="J124" t="str">
            <v>On-Chart</v>
          </cell>
          <cell r="K124" t="str">
            <v>DCT Payroll</v>
          </cell>
          <cell r="L124" t="str">
            <v>A1</v>
          </cell>
          <cell r="M124" t="str">
            <v>Department of Culture and Tourism</v>
          </cell>
          <cell r="N124" t="str">
            <v>Strategic Affairs</v>
          </cell>
          <cell r="O124" t="str">
            <v>الشؤون الاستراتيجية</v>
          </cell>
          <cell r="P124" t="str">
            <v>Office of Strategic Affairs Executive Director</v>
          </cell>
          <cell r="Q124" t="str">
            <v>مكتب المدير التنفيذي لقطاع الشؤون الاستراتيجية</v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>Abu Dhabi</v>
          </cell>
          <cell r="W124" t="str">
            <v/>
          </cell>
          <cell r="X124" t="str">
            <v>4512300</v>
          </cell>
          <cell r="Y124" t="str">
            <v>Executive Management _Strategic Affairs _Executive Director</v>
          </cell>
          <cell r="Z124" t="str">
            <v>Executive Director</v>
          </cell>
          <cell r="AA124" t="str">
            <v>ED - A</v>
          </cell>
        </row>
        <row r="125">
          <cell r="A125">
            <v>321</v>
          </cell>
          <cell r="B125">
            <v>321</v>
          </cell>
          <cell r="C125" t="str">
            <v>A</v>
          </cell>
          <cell r="D125" t="str">
            <v>Hana'a Khaled Abdul Hadi</v>
          </cell>
          <cell r="E125" t="str">
            <v>هناء خالد عبدالهادي</v>
          </cell>
          <cell r="F125">
            <v>39838</v>
          </cell>
          <cell r="G125" t="str">
            <v>10005807</v>
          </cell>
          <cell r="H125" t="str">
            <v>Licensing &amp; Regulatory Compliance Senior Officer</v>
          </cell>
          <cell r="I125" t="str">
            <v>ضابط أول الرقابة والترخيص</v>
          </cell>
          <cell r="J125" t="str">
            <v>On-Chart</v>
          </cell>
          <cell r="K125" t="str">
            <v>DCT Payroll</v>
          </cell>
          <cell r="L125" t="str">
            <v>A1</v>
          </cell>
          <cell r="M125" t="str">
            <v>Department of Culture and Tourism</v>
          </cell>
          <cell r="N125" t="str">
            <v>Tourism</v>
          </cell>
          <cell r="O125" t="str">
            <v>السياحة</v>
          </cell>
          <cell r="P125" t="str">
            <v>Licensing &amp; Regulatory Compliance</v>
          </cell>
          <cell r="Q125" t="str">
            <v>الرقابة والترخيص</v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>Abu Dhabi</v>
          </cell>
          <cell r="W125" t="str">
            <v/>
          </cell>
          <cell r="X125" t="str">
            <v>4510170</v>
          </cell>
          <cell r="Y125" t="str">
            <v>Compliance,Governance&amp;Protocol_Licensing &amp; Regulatory Compliance _Senior Professional</v>
          </cell>
          <cell r="Z125" t="str">
            <v>Senior Professional</v>
          </cell>
          <cell r="AA125" t="str">
            <v>3B</v>
          </cell>
        </row>
        <row r="126">
          <cell r="A126">
            <v>328</v>
          </cell>
          <cell r="B126">
            <v>328</v>
          </cell>
          <cell r="C126" t="str">
            <v>A</v>
          </cell>
          <cell r="D126" t="str">
            <v>Mohamed Ahmed Al Kuwaiti</v>
          </cell>
          <cell r="E126" t="str">
            <v>محمد أحمد الكويتي</v>
          </cell>
          <cell r="F126">
            <v>39859</v>
          </cell>
          <cell r="G126" t="str">
            <v>10005283</v>
          </cell>
          <cell r="H126" t="str">
            <v>Abu Dhabi Inspection Unit Head</v>
          </cell>
          <cell r="I126" t="str">
            <v>رئيس وحدة التفتيش لأبوظبي</v>
          </cell>
          <cell r="J126" t="str">
            <v>On-Chart</v>
          </cell>
          <cell r="K126" t="str">
            <v>DCT Payroll</v>
          </cell>
          <cell r="L126" t="str">
            <v>A1</v>
          </cell>
          <cell r="M126" t="str">
            <v>Department of Culture and Tourism</v>
          </cell>
          <cell r="N126" t="str">
            <v>Tourism</v>
          </cell>
          <cell r="O126" t="str">
            <v>السياحة</v>
          </cell>
          <cell r="P126" t="str">
            <v>Licensing &amp; Regulatory Compliance</v>
          </cell>
          <cell r="Q126" t="str">
            <v>الرقابة والترخيص</v>
          </cell>
          <cell r="R126" t="str">
            <v>Abu Dhabi Inspection</v>
          </cell>
          <cell r="S126" t="str">
            <v>التفتيش</v>
          </cell>
          <cell r="T126" t="str">
            <v>Abu Dhabi Inspection</v>
          </cell>
          <cell r="U126" t="str">
            <v>التفتيش (أبوظبي)</v>
          </cell>
          <cell r="V126" t="str">
            <v>Abu Dhabi</v>
          </cell>
          <cell r="W126" t="str">
            <v/>
          </cell>
          <cell r="X126" t="str">
            <v>4510170</v>
          </cell>
          <cell r="Y126" t="str">
            <v>Compliance,Governance&amp;Protocol_Licensing &amp; Regulatory Compliance_Unit Head</v>
          </cell>
          <cell r="Z126" t="str">
            <v>Unit Head</v>
          </cell>
          <cell r="AA126" t="str">
            <v>3A</v>
          </cell>
        </row>
        <row r="127">
          <cell r="A127">
            <v>329</v>
          </cell>
          <cell r="B127">
            <v>329</v>
          </cell>
          <cell r="C127" t="str">
            <v>A</v>
          </cell>
          <cell r="D127" t="str">
            <v>Sara Abdulla Al Aslai</v>
          </cell>
          <cell r="E127" t="str">
            <v>سارة عبدالله الأصلي</v>
          </cell>
          <cell r="F127">
            <v>39859</v>
          </cell>
          <cell r="G127" t="str">
            <v>50002389</v>
          </cell>
          <cell r="H127" t="str">
            <v>Visitors Information Center Section Head</v>
          </cell>
          <cell r="I127" t="str">
            <v>رئيس قسم مركز معلومات الزوار</v>
          </cell>
          <cell r="J127" t="str">
            <v>On-Chart</v>
          </cell>
          <cell r="K127" t="str">
            <v>DCT Payroll</v>
          </cell>
          <cell r="L127" t="str">
            <v>A1</v>
          </cell>
          <cell r="M127" t="str">
            <v>Department of Culture and Tourism</v>
          </cell>
          <cell r="N127" t="str">
            <v>Tourism</v>
          </cell>
          <cell r="O127" t="str">
            <v>السياحة</v>
          </cell>
          <cell r="P127" t="str">
            <v>Visitors Experience</v>
          </cell>
          <cell r="Q127" t="str">
            <v>تجربة الزوار</v>
          </cell>
          <cell r="R127" t="str">
            <v>Visitors Information Center</v>
          </cell>
          <cell r="S127" t="str">
            <v>مركز معلومات الزوار</v>
          </cell>
          <cell r="T127" t="str">
            <v/>
          </cell>
          <cell r="U127" t="str">
            <v/>
          </cell>
          <cell r="V127" t="str">
            <v>Abu Dhabi</v>
          </cell>
          <cell r="W127" t="str">
            <v/>
          </cell>
          <cell r="X127" t="str">
            <v>4515300</v>
          </cell>
          <cell r="Y127" t="str">
            <v>Digital_Digital Experience Development (Tourism &amp; Marketing, Visitor Experience)_Section Head</v>
          </cell>
          <cell r="Z127" t="str">
            <v>Section Manager</v>
          </cell>
          <cell r="AA127" t="str">
            <v>2B</v>
          </cell>
        </row>
        <row r="128">
          <cell r="A128">
            <v>330</v>
          </cell>
          <cell r="B128">
            <v>330</v>
          </cell>
          <cell r="C128" t="str">
            <v>A</v>
          </cell>
          <cell r="D128" t="str">
            <v>Husain Obaid Al Mehairbi</v>
          </cell>
          <cell r="E128" t="str">
            <v>حسين عبيد المحيربي</v>
          </cell>
          <cell r="F128">
            <v>39873</v>
          </cell>
          <cell r="G128" t="str">
            <v>47700066</v>
          </cell>
          <cell r="H128" t="str">
            <v>Abu Dhabi Inspection Unit Head</v>
          </cell>
          <cell r="I128" t="str">
            <v>رئيس وحدة التفتيش لأبوظبي</v>
          </cell>
          <cell r="J128" t="str">
            <v>On-Chart</v>
          </cell>
          <cell r="K128" t="str">
            <v>DCT Payroll</v>
          </cell>
          <cell r="L128" t="str">
            <v>A1</v>
          </cell>
          <cell r="M128" t="str">
            <v>Department of Culture and Tourism</v>
          </cell>
          <cell r="N128" t="str">
            <v>Tourism</v>
          </cell>
          <cell r="O128" t="str">
            <v>السياحة</v>
          </cell>
          <cell r="P128" t="str">
            <v>Licensing &amp; Regulatory Compliance</v>
          </cell>
          <cell r="Q128" t="str">
            <v>الرقابة والترخيص</v>
          </cell>
          <cell r="R128" t="str">
            <v>Abu Dhabi Inspection</v>
          </cell>
          <cell r="S128" t="str">
            <v>التفتيش</v>
          </cell>
          <cell r="T128" t="str">
            <v>Abu Dhabi Inspection</v>
          </cell>
          <cell r="U128" t="str">
            <v>التفتيش لأبوظبي</v>
          </cell>
          <cell r="V128" t="str">
            <v>Abu Dhabi</v>
          </cell>
          <cell r="W128" t="str">
            <v/>
          </cell>
          <cell r="X128" t="str">
            <v>4510170</v>
          </cell>
          <cell r="Y128" t="str">
            <v>Compliance,Governance&amp;Protocol_Licensing &amp; Regulatory Compliance_Unit Head</v>
          </cell>
          <cell r="Z128" t="str">
            <v>Unit Head</v>
          </cell>
          <cell r="AA128" t="str">
            <v>3A</v>
          </cell>
        </row>
        <row r="129">
          <cell r="A129">
            <v>338</v>
          </cell>
          <cell r="B129">
            <v>338</v>
          </cell>
          <cell r="C129" t="str">
            <v>A</v>
          </cell>
          <cell r="D129" t="str">
            <v>Huda Salem Al Musaabi</v>
          </cell>
          <cell r="E129" t="str">
            <v>هدى سالم المصعبي</v>
          </cell>
          <cell r="F129">
            <v>39929</v>
          </cell>
          <cell r="G129" t="str">
            <v>10005404</v>
          </cell>
          <cell r="H129" t="str">
            <v>Marketing &amp; Communications Senior Specialist</v>
          </cell>
          <cell r="I129" t="str">
            <v>أخصائي أول التسويق والاتصال</v>
          </cell>
          <cell r="J129" t="str">
            <v>On-Chart</v>
          </cell>
          <cell r="K129" t="str">
            <v>DCT Payroll</v>
          </cell>
          <cell r="L129" t="str">
            <v>A1</v>
          </cell>
          <cell r="M129" t="str">
            <v>Department of Culture and Tourism</v>
          </cell>
          <cell r="N129" t="str">
            <v>Culture</v>
          </cell>
          <cell r="O129" t="str">
            <v>الثقافة</v>
          </cell>
          <cell r="P129" t="str">
            <v>Culture Sector Marketing</v>
          </cell>
          <cell r="Q129" t="str">
            <v>التسويق لقطاع الثقافة</v>
          </cell>
          <cell r="R129" t="str">
            <v>-</v>
          </cell>
          <cell r="S129" t="str">
            <v>-</v>
          </cell>
          <cell r="T129" t="str">
            <v>Marketing &amp; Communications – Al Ain &amp; Al Dhafra Culture Sites</v>
          </cell>
          <cell r="U129" t="str">
            <v>التسويق والاتصال – المواقع الثقافية (العين والظفرة)</v>
          </cell>
          <cell r="V129" t="str">
            <v>Al Ain</v>
          </cell>
          <cell r="W129" t="str">
            <v/>
          </cell>
          <cell r="X129" t="str">
            <v>4511550</v>
          </cell>
          <cell r="Y129" t="str">
            <v>Compliance,Governance&amp;Protocol_Policy (Culture/Tourism _Senior Professional</v>
          </cell>
          <cell r="Z129" t="str">
            <v>Senior Professional</v>
          </cell>
          <cell r="AA129" t="str">
            <v>3A</v>
          </cell>
        </row>
        <row r="130">
          <cell r="A130">
            <v>340</v>
          </cell>
          <cell r="B130">
            <v>340</v>
          </cell>
          <cell r="C130" t="str">
            <v>A</v>
          </cell>
          <cell r="D130" t="str">
            <v>Waleed Awad Omar</v>
          </cell>
          <cell r="E130" t="str">
            <v>وليد عوض عمر</v>
          </cell>
          <cell r="F130">
            <v>39943</v>
          </cell>
          <cell r="G130" t="str">
            <v>47700338</v>
          </cell>
          <cell r="H130" t="str">
            <v>Culture Sites Protection Unit Head</v>
          </cell>
          <cell r="I130" t="str">
            <v>رئيس وحدة حماية المواقع الثقافية</v>
          </cell>
          <cell r="J130" t="str">
            <v>On-Chart</v>
          </cell>
          <cell r="K130" t="str">
            <v>DCT Payroll</v>
          </cell>
          <cell r="L130" t="str">
            <v>A1</v>
          </cell>
          <cell r="M130" t="str">
            <v>Department of Culture and Tourism</v>
          </cell>
          <cell r="N130" t="str">
            <v>Culture</v>
          </cell>
          <cell r="O130" t="str">
            <v>الثقافة</v>
          </cell>
          <cell r="P130" t="str">
            <v>Historic Environment</v>
          </cell>
          <cell r="Q130" t="str">
            <v>البيئة التاريخية</v>
          </cell>
          <cell r="R130" t="str">
            <v>Historic Buildings &amp; Landscapes</v>
          </cell>
          <cell r="S130" t="str">
            <v>المباني والمسطحات التاريخية</v>
          </cell>
          <cell r="T130" t="str">
            <v>Culture Sites Protection</v>
          </cell>
          <cell r="U130" t="str">
            <v>حماية المواقع الثقافية</v>
          </cell>
          <cell r="V130" t="str">
            <v>Al Ain</v>
          </cell>
          <cell r="W130" t="str">
            <v/>
          </cell>
          <cell r="X130" t="str">
            <v>4511300</v>
          </cell>
          <cell r="Y130" t="str">
            <v>Compliance,Governance&amp;Protocol_Policy  (Culture &amp; Tourism)_Unit Head</v>
          </cell>
          <cell r="Z130" t="str">
            <v>Unit Head</v>
          </cell>
          <cell r="AA130" t="str">
            <v>3A</v>
          </cell>
        </row>
        <row r="131">
          <cell r="A131">
            <v>342</v>
          </cell>
          <cell r="B131">
            <v>342</v>
          </cell>
          <cell r="C131" t="str">
            <v>A</v>
          </cell>
          <cell r="D131" t="str">
            <v>Imad Batran</v>
          </cell>
          <cell r="E131" t="str">
            <v>عماد  بطران</v>
          </cell>
          <cell r="F131">
            <v>39944</v>
          </cell>
          <cell r="G131" t="str">
            <v>10006403</v>
          </cell>
          <cell r="H131" t="str">
            <v>Senior Museographer Project Specialist</v>
          </cell>
          <cell r="I131" t="str">
            <v>أخصائي أول مشاريع معارض فنية</v>
          </cell>
          <cell r="J131" t="str">
            <v>On-Chart</v>
          </cell>
          <cell r="K131" t="str">
            <v>MSS Direct Hires</v>
          </cell>
          <cell r="L131" t="str">
            <v>M1</v>
          </cell>
          <cell r="M131" t="str">
            <v>Louvre Abu Dhabi</v>
          </cell>
          <cell r="N131" t="str">
            <v>Louvre Abu Dhabi</v>
          </cell>
          <cell r="O131" t="str">
            <v>متحف اللوفر أبوظبي</v>
          </cell>
          <cell r="P131" t="str">
            <v>Scientific, Curatorial &amp; Collection Management</v>
          </cell>
          <cell r="Q131" t="str">
            <v>إدارة المقتنيات العلمية والتنظيمية</v>
          </cell>
          <cell r="R131" t="str">
            <v>Museography &amp; Collection Management</v>
          </cell>
          <cell r="S131" t="str">
            <v>إدارة المجموعات</v>
          </cell>
          <cell r="T131" t="str">
            <v>Museographic Exhibitions</v>
          </cell>
          <cell r="U131" t="str">
            <v/>
          </cell>
          <cell r="V131" t="str">
            <v>Abu Dhabi</v>
          </cell>
          <cell r="W131" t="str">
            <v/>
          </cell>
          <cell r="X131" t="str">
            <v>4510122</v>
          </cell>
          <cell r="Y131" t="str">
            <v>Content &amp; Care_Museography  Management _Senior Professional</v>
          </cell>
          <cell r="Z131" t="str">
            <v>Senior Professional</v>
          </cell>
          <cell r="AA131" t="str">
            <v>3A</v>
          </cell>
        </row>
        <row r="132">
          <cell r="A132">
            <v>343</v>
          </cell>
          <cell r="B132">
            <v>343</v>
          </cell>
          <cell r="C132" t="str">
            <v>A</v>
          </cell>
          <cell r="D132" t="str">
            <v>Mariam Sultan Al Dhaheri</v>
          </cell>
          <cell r="E132" t="str">
            <v>مريم سلطان الظاهري</v>
          </cell>
          <cell r="F132">
            <v>39579</v>
          </cell>
          <cell r="G132" t="str">
            <v>10011662</v>
          </cell>
          <cell r="H132" t="str">
            <v>Programmes Development Unit Head</v>
          </cell>
          <cell r="I132" t="str">
            <v>رئيس وحدة تطوير البرامج</v>
          </cell>
          <cell r="J132" t="str">
            <v>On-Chart</v>
          </cell>
          <cell r="K132" t="str">
            <v>DCT Payroll</v>
          </cell>
          <cell r="L132" t="str">
            <v>A1</v>
          </cell>
          <cell r="M132" t="str">
            <v>Department of Culture and Tourism</v>
          </cell>
          <cell r="N132" t="str">
            <v>Culture</v>
          </cell>
          <cell r="O132" t="str">
            <v>الثقافة</v>
          </cell>
          <cell r="P132" t="str">
            <v>Culture Festivals &amp; Platforms</v>
          </cell>
          <cell r="Q132" t="str">
            <v>المهرجانات والمنصات الثقافية</v>
          </cell>
          <cell r="R132" t="str">
            <v>Programmes Development</v>
          </cell>
          <cell r="S132" t="str">
            <v>تطوير البرامج</v>
          </cell>
          <cell r="T132" t="str">
            <v/>
          </cell>
          <cell r="U132" t="str">
            <v/>
          </cell>
          <cell r="V132" t="str">
            <v>Abu Dhabi</v>
          </cell>
          <cell r="W132" t="str">
            <v/>
          </cell>
          <cell r="X132" t="str">
            <v>4511750</v>
          </cell>
          <cell r="Y132" t="str">
            <v/>
          </cell>
          <cell r="Z132" t="str">
            <v>Unit Head</v>
          </cell>
          <cell r="AA132" t="str">
            <v>3A</v>
          </cell>
        </row>
        <row r="133">
          <cell r="A133">
            <v>344</v>
          </cell>
          <cell r="B133">
            <v>344</v>
          </cell>
          <cell r="C133" t="str">
            <v>A</v>
          </cell>
          <cell r="D133" t="str">
            <v>Reem Mohamed Hafez</v>
          </cell>
          <cell r="E133" t="str">
            <v>ريم محمد حافظ</v>
          </cell>
          <cell r="F133">
            <v>39950</v>
          </cell>
          <cell r="G133" t="str">
            <v>10006563</v>
          </cell>
          <cell r="H133" t="str">
            <v>Correspondence and Admin Affairs Senior Specialist</v>
          </cell>
          <cell r="I133" t="str">
            <v>أخصائي أول المراسلات والشؤون الإدارية</v>
          </cell>
          <cell r="J133" t="str">
            <v>On-Chart</v>
          </cell>
          <cell r="K133" t="str">
            <v>DCT Payroll</v>
          </cell>
          <cell r="L133" t="str">
            <v>A1</v>
          </cell>
          <cell r="M133" t="str">
            <v>Department of Culture and Tourism</v>
          </cell>
          <cell r="N133" t="str">
            <v>Executive Affairs</v>
          </cell>
          <cell r="O133" t="str">
            <v>مكتب رئيس الدائرة</v>
          </cell>
          <cell r="P133" t="str">
            <v>Executive Affairs</v>
          </cell>
          <cell r="Q133" t="str">
            <v>الشؤون التنفيذية</v>
          </cell>
          <cell r="R133" t="str">
            <v>Executive Operations</v>
          </cell>
          <cell r="S133" t="str">
            <v>العمليات التنفيذية</v>
          </cell>
          <cell r="T133" t="str">
            <v>Correspondence and Admin Affairs</v>
          </cell>
          <cell r="U133" t="str">
            <v>المراسلات و الشؤون الإدارية</v>
          </cell>
          <cell r="V133" t="str">
            <v>Abu Dhabi</v>
          </cell>
          <cell r="W133" t="str">
            <v/>
          </cell>
          <cell r="X133" t="str">
            <v>4510011</v>
          </cell>
          <cell r="Y133" t="str">
            <v>Stakeholder &amp; Partner Relations_International &amp; Institutional Affairs _Senior Professional</v>
          </cell>
          <cell r="Z133" t="str">
            <v>Senior Professional</v>
          </cell>
          <cell r="AA133" t="str">
            <v>3A</v>
          </cell>
        </row>
        <row r="134">
          <cell r="A134">
            <v>346</v>
          </cell>
          <cell r="B134">
            <v>346</v>
          </cell>
          <cell r="C134" t="str">
            <v>A</v>
          </cell>
          <cell r="D134" t="str">
            <v>Fatme Omairat</v>
          </cell>
          <cell r="E134" t="str">
            <v>فاطمه  عميرات</v>
          </cell>
          <cell r="F134">
            <v>39965</v>
          </cell>
          <cell r="G134" t="str">
            <v>10006335</v>
          </cell>
          <cell r="H134" t="str">
            <v>Learning &amp; Development Specialist</v>
          </cell>
          <cell r="I134" t="str">
            <v>أخصائي التعليم والتطوير</v>
          </cell>
          <cell r="J134" t="str">
            <v>On-Chart</v>
          </cell>
          <cell r="K134" t="str">
            <v>DCT Payroll</v>
          </cell>
          <cell r="L134" t="str">
            <v>A1</v>
          </cell>
          <cell r="M134" t="str">
            <v>Department of Culture and Tourism</v>
          </cell>
          <cell r="N134" t="str">
            <v>Support Services</v>
          </cell>
          <cell r="O134" t="str">
            <v>الخدمات المساندة</v>
          </cell>
          <cell r="P134" t="str">
            <v>People &amp; Performance</v>
          </cell>
          <cell r="Q134" t="str">
            <v>إدارة الكوادر البشرية والأداء</v>
          </cell>
          <cell r="R134" t="str">
            <v>Talent Development</v>
          </cell>
          <cell r="S134" t="str">
            <v>تطوير المواهب</v>
          </cell>
          <cell r="T134" t="str">
            <v>Learning &amp; Development</v>
          </cell>
          <cell r="U134" t="str">
            <v>التعليم والتطوير</v>
          </cell>
          <cell r="V134" t="str">
            <v>Abu Dhabi</v>
          </cell>
          <cell r="W134" t="str">
            <v/>
          </cell>
          <cell r="X134" t="str">
            <v>4510220</v>
          </cell>
          <cell r="Y134" t="str">
            <v>People &amp; Performance _Learning, Talent &amp; Capability Development _Professional</v>
          </cell>
          <cell r="Z134" t="str">
            <v>Professional</v>
          </cell>
          <cell r="AA134" t="str">
            <v>4A</v>
          </cell>
        </row>
        <row r="135">
          <cell r="A135">
            <v>347</v>
          </cell>
          <cell r="B135">
            <v>347</v>
          </cell>
          <cell r="C135" t="str">
            <v>A</v>
          </cell>
          <cell r="D135" t="str">
            <v>Safeya Salim Al Hosany</v>
          </cell>
          <cell r="E135" t="str">
            <v>صفية سالم الحوسني</v>
          </cell>
          <cell r="F135">
            <v>39969</v>
          </cell>
          <cell r="G135" t="str">
            <v>10006636</v>
          </cell>
          <cell r="H135" t="str">
            <v>Library Senior Specialist</v>
          </cell>
          <cell r="I135" t="str">
            <v>أخصائي أول شؤون المكتبة</v>
          </cell>
          <cell r="J135" t="str">
            <v>On-Chart</v>
          </cell>
          <cell r="K135" t="str">
            <v>DCT Payroll</v>
          </cell>
          <cell r="L135" t="str">
            <v>A1</v>
          </cell>
          <cell r="M135" t="str">
            <v>Department of Culture and Tourism</v>
          </cell>
          <cell r="N135" t="str">
            <v>Culture</v>
          </cell>
          <cell r="O135" t="str">
            <v>الثقافة</v>
          </cell>
          <cell r="P135" t="str">
            <v>Library Management</v>
          </cell>
          <cell r="Q135" t="str">
            <v>إدارة المكتبات</v>
          </cell>
          <cell r="R135" t="str">
            <v>Branches Library</v>
          </cell>
          <cell r="S135" t="str">
            <v>فروع المكتبات</v>
          </cell>
          <cell r="T135" t="str">
            <v>Al Bahia Library</v>
          </cell>
          <cell r="U135" t="str">
            <v>مكتبة الباهية</v>
          </cell>
          <cell r="V135" t="str">
            <v>Abu Dhabi</v>
          </cell>
          <cell r="W135" t="str">
            <v/>
          </cell>
          <cell r="X135" t="str">
            <v>4516100</v>
          </cell>
          <cell r="Y135" t="str">
            <v>Operations_Library Operational Management_Senior Professional</v>
          </cell>
          <cell r="Z135" t="str">
            <v>Senior Professional</v>
          </cell>
          <cell r="AA135" t="str">
            <v>3A</v>
          </cell>
        </row>
        <row r="136">
          <cell r="A136">
            <v>350</v>
          </cell>
          <cell r="B136">
            <v>350</v>
          </cell>
          <cell r="C136" t="str">
            <v>A</v>
          </cell>
          <cell r="D136" t="str">
            <v>Rahma Saeed Al Kaabi</v>
          </cell>
          <cell r="E136" t="str">
            <v>رحمة سعيد الكعبي</v>
          </cell>
          <cell r="F136">
            <v>39985</v>
          </cell>
          <cell r="G136" t="str">
            <v>50001867</v>
          </cell>
          <cell r="H136" t="str">
            <v>Manuscripts Senior Researcher</v>
          </cell>
          <cell r="I136" t="str">
            <v>باحث أول مخطوطات</v>
          </cell>
          <cell r="J136" t="str">
            <v>On-Chart</v>
          </cell>
          <cell r="K136" t="str">
            <v>DCT Payroll</v>
          </cell>
          <cell r="L136" t="str">
            <v>A1</v>
          </cell>
          <cell r="M136" t="str">
            <v>Department of Culture and Tourism</v>
          </cell>
          <cell r="N136" t="str">
            <v>Culture</v>
          </cell>
          <cell r="O136" t="str">
            <v>الثقافة</v>
          </cell>
          <cell r="P136" t="str">
            <v>Library Management</v>
          </cell>
          <cell r="Q136" t="str">
            <v>إدارة المكتبات</v>
          </cell>
          <cell r="R136" t="str">
            <v>Manuscripts Conservation</v>
          </cell>
          <cell r="S136" t="str">
            <v>حفظ المخطوطات</v>
          </cell>
          <cell r="T136" t="str">
            <v/>
          </cell>
          <cell r="U136" t="str">
            <v/>
          </cell>
          <cell r="V136" t="str">
            <v>Abu Dhabi</v>
          </cell>
          <cell r="W136" t="str">
            <v/>
          </cell>
          <cell r="X136" t="str">
            <v>4516100</v>
          </cell>
          <cell r="Y136" t="str">
            <v>Operations_Library Operational Management_Senior Professional</v>
          </cell>
          <cell r="Z136" t="str">
            <v>Senior Professional</v>
          </cell>
          <cell r="AA136" t="str">
            <v>3A</v>
          </cell>
        </row>
        <row r="137">
          <cell r="A137">
            <v>351</v>
          </cell>
          <cell r="B137">
            <v>351</v>
          </cell>
          <cell r="C137" t="str">
            <v>A</v>
          </cell>
          <cell r="D137" t="str">
            <v>Shaikha Ahmed Al Suwaidi</v>
          </cell>
          <cell r="E137" t="str">
            <v>شيخة أحمد السويدي</v>
          </cell>
          <cell r="F137">
            <v>39985</v>
          </cell>
          <cell r="G137" t="str">
            <v>50002403</v>
          </cell>
          <cell r="H137" t="str">
            <v>Revenue Assurance Section Head</v>
          </cell>
          <cell r="I137" t="str">
            <v>رئيس قسم تدقيق العائدات</v>
          </cell>
          <cell r="J137" t="str">
            <v>On-Chart</v>
          </cell>
          <cell r="K137" t="str">
            <v>DCT Payroll</v>
          </cell>
          <cell r="L137" t="str">
            <v>A1</v>
          </cell>
          <cell r="M137" t="str">
            <v>Department of Culture and Tourism</v>
          </cell>
          <cell r="N137" t="str">
            <v>Tourism</v>
          </cell>
          <cell r="O137" t="str">
            <v>السياحة</v>
          </cell>
          <cell r="P137" t="str">
            <v>Licensing &amp; Regulatory Compliance</v>
          </cell>
          <cell r="Q137" t="str">
            <v>الرقابة والترخيص</v>
          </cell>
          <cell r="R137" t="str">
            <v>Revenue Assurance</v>
          </cell>
          <cell r="S137" t="str">
            <v>تدقيق العائدات</v>
          </cell>
          <cell r="T137" t="str">
            <v/>
          </cell>
          <cell r="U137" t="str">
            <v/>
          </cell>
          <cell r="V137" t="str">
            <v>Abu Dhabi</v>
          </cell>
          <cell r="W137" t="str">
            <v/>
          </cell>
          <cell r="X137" t="str">
            <v>4510170</v>
          </cell>
          <cell r="Y137" t="str">
            <v>Compliance,Governance&amp;Protocol_Licensing Services &amp; Regulatory Compliance _Section Head</v>
          </cell>
          <cell r="Z137" t="str">
            <v>Section Manager</v>
          </cell>
          <cell r="AA137" t="str">
            <v>2A</v>
          </cell>
        </row>
        <row r="138">
          <cell r="A138">
            <v>356</v>
          </cell>
          <cell r="B138">
            <v>356</v>
          </cell>
          <cell r="C138" t="str">
            <v>A</v>
          </cell>
          <cell r="D138" t="str">
            <v>Mazyad Mansour Al Nasrawi</v>
          </cell>
          <cell r="E138" t="str">
            <v>مزيد منصور النصراوي</v>
          </cell>
          <cell r="F138">
            <v>39995</v>
          </cell>
          <cell r="G138" t="str">
            <v>50003720</v>
          </cell>
          <cell r="H138" t="str">
            <v>Advisor</v>
          </cell>
          <cell r="I138" t="str">
            <v>مستشار</v>
          </cell>
          <cell r="J138" t="str">
            <v>On-Chart</v>
          </cell>
          <cell r="K138" t="str">
            <v>DCT Payroll</v>
          </cell>
          <cell r="L138" t="str">
            <v>A1</v>
          </cell>
          <cell r="M138" t="str">
            <v>Department of Culture and Tourism</v>
          </cell>
          <cell r="N138" t="str">
            <v>Culture</v>
          </cell>
          <cell r="O138" t="str">
            <v>الثقافة</v>
          </cell>
          <cell r="P138" t="str">
            <v>Intangible Cultural Heritage</v>
          </cell>
          <cell r="Q138" t="str">
            <v>التراث الثقافي المعنوي</v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>Abu Dhabi</v>
          </cell>
          <cell r="W138" t="str">
            <v/>
          </cell>
          <cell r="X138" t="str">
            <v>4511600</v>
          </cell>
          <cell r="Y138" t="str">
            <v>Content &amp; Care_World Heritage Sites Management_Section Head</v>
          </cell>
          <cell r="Z138" t="str">
            <v>Director</v>
          </cell>
          <cell r="AA138" t="str">
            <v>2A</v>
          </cell>
        </row>
        <row r="139">
          <cell r="A139">
            <v>357</v>
          </cell>
          <cell r="B139">
            <v>357</v>
          </cell>
          <cell r="C139" t="str">
            <v>A</v>
          </cell>
          <cell r="D139" t="str">
            <v>Dr. Musa Salem Al Hawari</v>
          </cell>
          <cell r="E139" t="str">
            <v>موسى سالم الهواري</v>
          </cell>
          <cell r="F139">
            <v>39995</v>
          </cell>
          <cell r="G139" t="str">
            <v>47700355</v>
          </cell>
          <cell r="H139" t="str">
            <v>Interpretation Section Head - Intangible Heritage &amp; Historic Sites</v>
          </cell>
          <cell r="I139" t="str">
            <v>رئيس قسم الإرشاد الثقافي - التراث المعنوي والمواقع التاريخية</v>
          </cell>
          <cell r="J139" t="str">
            <v>On-Chart</v>
          </cell>
          <cell r="K139" t="str">
            <v>DCT Payroll</v>
          </cell>
          <cell r="L139" t="str">
            <v>A1</v>
          </cell>
          <cell r="M139" t="str">
            <v>Department of Culture and Tourism</v>
          </cell>
          <cell r="N139" t="str">
            <v>Culture</v>
          </cell>
          <cell r="O139" t="str">
            <v>الثقافة</v>
          </cell>
          <cell r="P139" t="str">
            <v>Education &amp; Outreach</v>
          </cell>
          <cell r="Q139" t="str">
            <v>التعليم والتوعية الثقافية</v>
          </cell>
          <cell r="R139" t="str">
            <v>Interpretation - IH &amp; Historic Sites</v>
          </cell>
          <cell r="S139" t="str">
            <v>الإرشاد الثقافي - التراث المعنوي والمواقع التاريخية</v>
          </cell>
          <cell r="T139" t="str">
            <v/>
          </cell>
          <cell r="U139" t="str">
            <v/>
          </cell>
          <cell r="V139" t="str">
            <v>Abu Dhabi</v>
          </cell>
          <cell r="W139" t="str">
            <v/>
          </cell>
          <cell r="X139" t="str">
            <v>4511800</v>
          </cell>
          <cell r="Y139" t="str">
            <v>Interpretation &amp; Engagement_Outreach &amp; Cultural Engagement_Section Manager</v>
          </cell>
          <cell r="Z139" t="str">
            <v>Section Manager</v>
          </cell>
          <cell r="AA139" t="str">
            <v>2A</v>
          </cell>
        </row>
        <row r="140">
          <cell r="A140">
            <v>359</v>
          </cell>
          <cell r="B140">
            <v>359</v>
          </cell>
          <cell r="C140" t="str">
            <v>A</v>
          </cell>
          <cell r="D140" t="str">
            <v>Rashed Obaid Al Mansouri</v>
          </cell>
          <cell r="E140" t="str">
            <v>راشد عبيد المنصوري</v>
          </cell>
          <cell r="F140">
            <v>39995</v>
          </cell>
          <cell r="G140" t="str">
            <v>47700357</v>
          </cell>
          <cell r="H140" t="str">
            <v>Gifts &amp; Exchange Technician</v>
          </cell>
          <cell r="I140" t="str">
            <v>فني التبادل والهدايا</v>
          </cell>
          <cell r="J140" t="str">
            <v>On-Chart</v>
          </cell>
          <cell r="K140" t="str">
            <v>DCT Payroll</v>
          </cell>
          <cell r="L140" t="str">
            <v>A1</v>
          </cell>
          <cell r="M140" t="str">
            <v>Department of Culture and Tourism</v>
          </cell>
          <cell r="N140" t="str">
            <v>Culture</v>
          </cell>
          <cell r="O140" t="str">
            <v>الثقافة</v>
          </cell>
          <cell r="P140" t="str">
            <v>Library Management</v>
          </cell>
          <cell r="Q140" t="str">
            <v>إدارة المكتبات</v>
          </cell>
          <cell r="R140" t="str">
            <v>Technical Services</v>
          </cell>
          <cell r="S140" t="str">
            <v>الخدمات الفنية</v>
          </cell>
          <cell r="T140" t="str">
            <v>Gifts &amp; Exchange</v>
          </cell>
          <cell r="U140" t="str">
            <v>التبادل والهدايا</v>
          </cell>
          <cell r="V140" t="str">
            <v>Abu Dhabi</v>
          </cell>
          <cell r="W140" t="str">
            <v/>
          </cell>
          <cell r="X140" t="str">
            <v>4516100</v>
          </cell>
          <cell r="Y140" t="str">
            <v>Interpretation &amp; Engagement_Library Service Delivery (Librarian)_Professional</v>
          </cell>
          <cell r="Z140" t="str">
            <v>Professional</v>
          </cell>
          <cell r="AA140" t="str">
            <v>4B</v>
          </cell>
        </row>
        <row r="141">
          <cell r="A141">
            <v>360</v>
          </cell>
          <cell r="B141">
            <v>360</v>
          </cell>
          <cell r="C141" t="str">
            <v>A</v>
          </cell>
          <cell r="D141" t="str">
            <v>Khaled Abdulla Al Hosani</v>
          </cell>
          <cell r="E141" t="str">
            <v>خالد عبدالله الحوسني</v>
          </cell>
          <cell r="F141">
            <v>39999</v>
          </cell>
          <cell r="G141" t="str">
            <v>50002186</v>
          </cell>
          <cell r="H141" t="str">
            <v>Inspector</v>
          </cell>
          <cell r="I141" t="str">
            <v>مفتش</v>
          </cell>
          <cell r="J141" t="str">
            <v>On-Chart</v>
          </cell>
          <cell r="K141" t="str">
            <v>DCT Payroll</v>
          </cell>
          <cell r="L141" t="str">
            <v>A1</v>
          </cell>
          <cell r="M141" t="str">
            <v>Department of Culture and Tourism</v>
          </cell>
          <cell r="N141" t="str">
            <v>Tourism</v>
          </cell>
          <cell r="O141" t="str">
            <v>السياحة</v>
          </cell>
          <cell r="P141" t="str">
            <v>Licensing &amp; Regulatory Compliance</v>
          </cell>
          <cell r="Q141" t="str">
            <v>الرقابة والترخيص</v>
          </cell>
          <cell r="R141" t="str">
            <v>Abu Dhabi Inspection</v>
          </cell>
          <cell r="S141" t="str">
            <v>التفتيش</v>
          </cell>
          <cell r="T141" t="str">
            <v>Inspection Unit (Day Events)</v>
          </cell>
          <cell r="U141" t="str">
            <v>(التفتيش لأبوظبي (الفعاليات النهارية</v>
          </cell>
          <cell r="V141" t="str">
            <v>Abu Dhabi</v>
          </cell>
          <cell r="W141" t="str">
            <v/>
          </cell>
          <cell r="X141" t="str">
            <v>4510170</v>
          </cell>
          <cell r="Y141" t="str">
            <v>Compliance,Governance&amp;Protocol_Licensing &amp; Regulatory Compliance- (Follow-up and Reporting) _Professional Assistant</v>
          </cell>
          <cell r="Z141" t="str">
            <v>Professional</v>
          </cell>
          <cell r="AA141" t="str">
            <v>4A</v>
          </cell>
        </row>
        <row r="142">
          <cell r="A142">
            <v>362</v>
          </cell>
          <cell r="B142">
            <v>362</v>
          </cell>
          <cell r="C142" t="str">
            <v>A</v>
          </cell>
          <cell r="D142" t="str">
            <v>Saoud Ahmed Al Shehhi</v>
          </cell>
          <cell r="E142" t="str">
            <v>سعود أحمد الشحي</v>
          </cell>
          <cell r="F142">
            <v>40014</v>
          </cell>
          <cell r="G142" t="str">
            <v>10004966</v>
          </cell>
          <cell r="H142" t="str">
            <v>Government Relations Unit Head</v>
          </cell>
          <cell r="I142" t="str">
            <v>رئيس وحدة العلاقات الحكومية</v>
          </cell>
          <cell r="J142" t="str">
            <v>On-Chart</v>
          </cell>
          <cell r="K142" t="str">
            <v>DCT Payroll</v>
          </cell>
          <cell r="L142" t="str">
            <v>A1</v>
          </cell>
          <cell r="M142" t="str">
            <v>Department of Culture and Tourism</v>
          </cell>
          <cell r="N142" t="str">
            <v>Support Services</v>
          </cell>
          <cell r="O142" t="str">
            <v>الخدمات المساندة</v>
          </cell>
          <cell r="P142" t="str">
            <v>People &amp; Performance</v>
          </cell>
          <cell r="Q142" t="str">
            <v>إدارة الكوادر البشرية والأداء</v>
          </cell>
          <cell r="R142" t="str">
            <v>Employee Relations</v>
          </cell>
          <cell r="S142" t="str">
            <v>شؤون الموظفين</v>
          </cell>
          <cell r="T142" t="str">
            <v>Government Relations</v>
          </cell>
          <cell r="U142" t="str">
            <v>العلاقات الحكومية</v>
          </cell>
          <cell r="V142" t="str">
            <v>Abu Dhabi</v>
          </cell>
          <cell r="W142" t="str">
            <v/>
          </cell>
          <cell r="X142" t="str">
            <v>4510220</v>
          </cell>
          <cell r="Y142" t="str">
            <v>People &amp; Performance _Employee Relations _Unit Head</v>
          </cell>
          <cell r="Z142" t="str">
            <v>Unit Head</v>
          </cell>
          <cell r="AA142" t="str">
            <v>3A</v>
          </cell>
        </row>
        <row r="143">
          <cell r="A143">
            <v>371</v>
          </cell>
          <cell r="B143">
            <v>371</v>
          </cell>
          <cell r="C143" t="str">
            <v>A</v>
          </cell>
          <cell r="D143" t="str">
            <v>Yosra El Hassan</v>
          </cell>
          <cell r="E143" t="str">
            <v>يسرا  الحسن</v>
          </cell>
          <cell r="F143">
            <v>40049</v>
          </cell>
          <cell r="G143" t="str">
            <v>50001456</v>
          </cell>
          <cell r="H143" t="str">
            <v>Business Support Unit Head</v>
          </cell>
          <cell r="I143" t="str">
            <v>رئيس وحدة دعم الأعمال</v>
          </cell>
          <cell r="J143" t="str">
            <v>On-Chart</v>
          </cell>
          <cell r="K143" t="str">
            <v>DCT Payroll</v>
          </cell>
          <cell r="L143" t="str">
            <v>A1</v>
          </cell>
          <cell r="M143" t="str">
            <v>Department of Culture and Tourism</v>
          </cell>
          <cell r="N143" t="str">
            <v>Culture</v>
          </cell>
          <cell r="O143" t="str">
            <v>الثقافة</v>
          </cell>
          <cell r="P143" t="str">
            <v>Culture Sites Management</v>
          </cell>
          <cell r="Q143" t="str">
            <v>إدارة المواقع الثقافية</v>
          </cell>
          <cell r="R143" t="str">
            <v>Business Support</v>
          </cell>
          <cell r="S143" t="str">
            <v>دعم الأعمال</v>
          </cell>
          <cell r="T143" t="str">
            <v>Business Support</v>
          </cell>
          <cell r="U143" t="str">
            <v>دعم الأعمال</v>
          </cell>
          <cell r="V143" t="str">
            <v>Abu Dhabi</v>
          </cell>
          <cell r="W143" t="str">
            <v/>
          </cell>
          <cell r="X143" t="str">
            <v>4511250</v>
          </cell>
          <cell r="Y143" t="str">
            <v>Compliance,Governance&amp;Protocol_Policy  (Culture &amp; Tourism)_Unit Head</v>
          </cell>
          <cell r="Z143" t="str">
            <v>Unit Head</v>
          </cell>
          <cell r="AA143" t="str">
            <v>3A</v>
          </cell>
        </row>
        <row r="144">
          <cell r="A144">
            <v>373</v>
          </cell>
          <cell r="B144">
            <v>373</v>
          </cell>
          <cell r="C144" t="str">
            <v>A</v>
          </cell>
          <cell r="D144" t="str">
            <v>Ahmed Abdulla Al Mahri</v>
          </cell>
          <cell r="E144" t="str">
            <v>أحمد عبدالله المهري</v>
          </cell>
          <cell r="F144">
            <v>40055</v>
          </cell>
          <cell r="G144" t="str">
            <v>47700371</v>
          </cell>
          <cell r="H144" t="str">
            <v>Library Officer</v>
          </cell>
          <cell r="I144" t="str">
            <v>ضابط شؤون المكتبة</v>
          </cell>
          <cell r="J144" t="str">
            <v>On-Chart</v>
          </cell>
          <cell r="K144" t="str">
            <v>DCT Payroll</v>
          </cell>
          <cell r="L144" t="str">
            <v>A1</v>
          </cell>
          <cell r="M144" t="str">
            <v>Department of Culture and Tourism</v>
          </cell>
          <cell r="N144" t="str">
            <v>Culture</v>
          </cell>
          <cell r="O144" t="str">
            <v>الثقافة</v>
          </cell>
          <cell r="P144" t="str">
            <v>Library Management</v>
          </cell>
          <cell r="Q144" t="str">
            <v>إدارة المكتبات</v>
          </cell>
          <cell r="R144" t="str">
            <v>Branches Library</v>
          </cell>
          <cell r="S144" t="str">
            <v>فروع المكتبات</v>
          </cell>
          <cell r="T144" t="str">
            <v>Al Wathba Library</v>
          </cell>
          <cell r="U144" t="str">
            <v>مكتبة الوثبة</v>
          </cell>
          <cell r="V144" t="str">
            <v>Abu Dhabi</v>
          </cell>
          <cell r="W144" t="str">
            <v/>
          </cell>
          <cell r="X144" t="str">
            <v>4516100</v>
          </cell>
          <cell r="Y144" t="str">
            <v>Interpretation &amp; Engagement_Library Service Delivery (Librarian)_Professional</v>
          </cell>
          <cell r="Z144" t="str">
            <v>Professional</v>
          </cell>
          <cell r="AA144" t="str">
            <v>4A</v>
          </cell>
        </row>
        <row r="145">
          <cell r="A145">
            <v>374</v>
          </cell>
          <cell r="B145">
            <v>374</v>
          </cell>
          <cell r="C145" t="str">
            <v>A</v>
          </cell>
          <cell r="D145" t="str">
            <v>Mariam Shtait Al Dhaheri</v>
          </cell>
          <cell r="E145" t="str">
            <v>مريم شطيط الظاهري</v>
          </cell>
          <cell r="F145">
            <v>40055</v>
          </cell>
          <cell r="G145" t="str">
            <v>10005984</v>
          </cell>
          <cell r="H145" t="str">
            <v>Nominations Section Head</v>
          </cell>
          <cell r="I145" t="str">
            <v>رئيس قسم الترشيحات</v>
          </cell>
          <cell r="J145" t="str">
            <v>On-Chart</v>
          </cell>
          <cell r="K145" t="str">
            <v>ALC Direct Hires</v>
          </cell>
          <cell r="L145" t="str">
            <v>AL1</v>
          </cell>
          <cell r="M145" t="str">
            <v>Abu Dhabi Arabic Language Centre</v>
          </cell>
          <cell r="N145" t="str">
            <v>Abu Dhabi Arabic Language Centre</v>
          </cell>
          <cell r="O145" t="str">
            <v>مركز أبوظبي للغة العربية</v>
          </cell>
          <cell r="P145" t="str">
            <v>Literature Awards</v>
          </cell>
          <cell r="Q145" t="str">
            <v>الجوائز الأدبية</v>
          </cell>
          <cell r="R145" t="str">
            <v>Nominations - ALC</v>
          </cell>
          <cell r="S145" t="str">
            <v>الترشيحات</v>
          </cell>
          <cell r="T145" t="str">
            <v/>
          </cell>
          <cell r="U145" t="str">
            <v/>
          </cell>
          <cell r="V145" t="str">
            <v>Abu Dhabi</v>
          </cell>
          <cell r="W145" t="str">
            <v/>
          </cell>
          <cell r="X145" t="str">
            <v>4519201</v>
          </cell>
          <cell r="Y145" t="str">
            <v>Interpretation &amp; Engagement_Literature Award Nominations_Section Manager</v>
          </cell>
          <cell r="Z145" t="str">
            <v>Section Manager</v>
          </cell>
          <cell r="AA145" t="str">
            <v>2A</v>
          </cell>
        </row>
        <row r="146">
          <cell r="A146">
            <v>378</v>
          </cell>
          <cell r="B146">
            <v>378</v>
          </cell>
          <cell r="C146" t="str">
            <v>A</v>
          </cell>
          <cell r="D146" t="str">
            <v>Muna Khalil Al Khoori</v>
          </cell>
          <cell r="E146" t="str">
            <v>منى خليل خوري</v>
          </cell>
          <cell r="F146">
            <v>40058</v>
          </cell>
          <cell r="G146" t="str">
            <v>47700376</v>
          </cell>
          <cell r="H146" t="str">
            <v>Learning &amp; Development Unit Head</v>
          </cell>
          <cell r="I146" t="str">
            <v>رئيس وحدة التعليم والتطوير</v>
          </cell>
          <cell r="J146" t="str">
            <v>On-Chart</v>
          </cell>
          <cell r="K146" t="str">
            <v>DCT Payroll</v>
          </cell>
          <cell r="L146" t="str">
            <v>A1</v>
          </cell>
          <cell r="M146" t="str">
            <v>Department of Culture and Tourism</v>
          </cell>
          <cell r="N146" t="str">
            <v>Support Services</v>
          </cell>
          <cell r="O146" t="str">
            <v>الخدمات المساندة</v>
          </cell>
          <cell r="P146" t="str">
            <v>People &amp; Performance</v>
          </cell>
          <cell r="Q146" t="str">
            <v>إدارة الكوادر البشرية والأداء</v>
          </cell>
          <cell r="R146" t="str">
            <v>Talent Development</v>
          </cell>
          <cell r="S146" t="str">
            <v>تطوير المواهب</v>
          </cell>
          <cell r="T146" t="str">
            <v>Learning &amp; Development</v>
          </cell>
          <cell r="U146" t="str">
            <v>التعليم والتطوير</v>
          </cell>
          <cell r="V146" t="str">
            <v>Abu Dhabi</v>
          </cell>
          <cell r="W146" t="str">
            <v/>
          </cell>
          <cell r="X146" t="str">
            <v>4510220</v>
          </cell>
          <cell r="Y146" t="str">
            <v>People &amp; Performance _Learning, Talent &amp; Capability Development _Unit Head</v>
          </cell>
          <cell r="Z146" t="str">
            <v>Unit Head</v>
          </cell>
          <cell r="AA146" t="str">
            <v>3A</v>
          </cell>
        </row>
        <row r="147">
          <cell r="A147">
            <v>379</v>
          </cell>
          <cell r="B147">
            <v>379</v>
          </cell>
          <cell r="C147" t="str">
            <v>A</v>
          </cell>
          <cell r="D147" t="str">
            <v>Abdalla Abdelghani Banihammad</v>
          </cell>
          <cell r="E147" t="str">
            <v>عبدالله عبدالغني بني حماد</v>
          </cell>
          <cell r="F147">
            <v>40062</v>
          </cell>
          <cell r="G147" t="str">
            <v>10008864</v>
          </cell>
          <cell r="H147" t="str">
            <v>Inspector</v>
          </cell>
          <cell r="I147" t="str">
            <v>مفتش</v>
          </cell>
          <cell r="J147" t="str">
            <v>On-Chart</v>
          </cell>
          <cell r="K147" t="str">
            <v>DCT Payroll</v>
          </cell>
          <cell r="L147" t="str">
            <v>A1</v>
          </cell>
          <cell r="M147" t="str">
            <v>Department of Culture and Tourism</v>
          </cell>
          <cell r="N147" t="str">
            <v>Tourism</v>
          </cell>
          <cell r="O147" t="str">
            <v>السياحة</v>
          </cell>
          <cell r="P147" t="str">
            <v>Licensing &amp; Regulatory Compliance</v>
          </cell>
          <cell r="Q147" t="str">
            <v>الرقابة والترخيص</v>
          </cell>
          <cell r="R147" t="str">
            <v>Abu Dhabi Inspection</v>
          </cell>
          <cell r="S147" t="str">
            <v>التفتيش</v>
          </cell>
          <cell r="T147" t="str">
            <v>Abu Dhabi Inspection (Night Events)</v>
          </cell>
          <cell r="U147" t="str">
            <v>( التفتيش لأبوظبي (الفعاليات الليلية</v>
          </cell>
          <cell r="V147" t="str">
            <v>Abu Dhabi</v>
          </cell>
          <cell r="W147" t="str">
            <v/>
          </cell>
          <cell r="X147" t="str">
            <v>4510170</v>
          </cell>
          <cell r="Y147" t="str">
            <v>Compliance,Governance&amp;Protocol_Licensing &amp; Regulatory Compliance- (Follow-up and Reporting) _Professional Assistant</v>
          </cell>
          <cell r="Z147" t="str">
            <v>Professional</v>
          </cell>
          <cell r="AA147" t="str">
            <v>4B</v>
          </cell>
        </row>
        <row r="148">
          <cell r="A148">
            <v>380</v>
          </cell>
          <cell r="B148">
            <v>380</v>
          </cell>
          <cell r="C148" t="str">
            <v>A</v>
          </cell>
          <cell r="D148" t="str">
            <v>Abdul Rahman Rashed Al Nuaimi</v>
          </cell>
          <cell r="E148" t="str">
            <v>عبد الرحمن راشد النعيمي</v>
          </cell>
          <cell r="F148">
            <v>40062</v>
          </cell>
          <cell r="G148" t="str">
            <v>10006591</v>
          </cell>
          <cell r="H148" t="str">
            <v>World Heritage Sites Management Section Head</v>
          </cell>
          <cell r="I148" t="str">
            <v>رئيس قسم مواقع التراث العالمي</v>
          </cell>
          <cell r="J148" t="str">
            <v>On-Chart</v>
          </cell>
          <cell r="K148" t="str">
            <v>DCT Payroll</v>
          </cell>
          <cell r="L148" t="str">
            <v>A1</v>
          </cell>
          <cell r="M148" t="str">
            <v>Department of Culture and Tourism</v>
          </cell>
          <cell r="N148" t="str">
            <v>Culture</v>
          </cell>
          <cell r="O148" t="str">
            <v>الثقافة</v>
          </cell>
          <cell r="P148" t="str">
            <v>Historic Environment</v>
          </cell>
          <cell r="Q148" t="str">
            <v>البيئة التاريخية</v>
          </cell>
          <cell r="R148" t="str">
            <v>World Heritage Sites Management</v>
          </cell>
          <cell r="S148" t="str">
            <v>إدارة مواقع التراث العالمي</v>
          </cell>
          <cell r="T148" t="str">
            <v/>
          </cell>
          <cell r="U148" t="str">
            <v/>
          </cell>
          <cell r="V148" t="str">
            <v>Al Ain</v>
          </cell>
          <cell r="W148" t="str">
            <v/>
          </cell>
          <cell r="X148" t="str">
            <v>4511300</v>
          </cell>
          <cell r="Y148" t="str">
            <v>Compliance,Governance&amp;Protocol_Policy (Culture &amp; Tourism)_Section Head</v>
          </cell>
          <cell r="Z148" t="str">
            <v>Section Manager</v>
          </cell>
          <cell r="AA148" t="str">
            <v>2A</v>
          </cell>
        </row>
        <row r="149">
          <cell r="A149">
            <v>381</v>
          </cell>
          <cell r="B149">
            <v>381</v>
          </cell>
          <cell r="C149" t="str">
            <v>A</v>
          </cell>
          <cell r="D149" t="str">
            <v>Abdulla Khalfan Al Kaabi</v>
          </cell>
          <cell r="E149" t="str">
            <v>عبدالله خلفان الكعبي</v>
          </cell>
          <cell r="F149">
            <v>40062</v>
          </cell>
          <cell r="G149" t="str">
            <v>50002868</v>
          </cell>
          <cell r="H149" t="str">
            <v>Development Control &amp; Documentation Section Head</v>
          </cell>
          <cell r="I149" t="str">
            <v>رئيس قسم التوثيق ورقابة التطوير</v>
          </cell>
          <cell r="J149" t="str">
            <v>On-Chart</v>
          </cell>
          <cell r="K149" t="str">
            <v>DCT Payroll</v>
          </cell>
          <cell r="L149" t="str">
            <v>A1</v>
          </cell>
          <cell r="M149" t="str">
            <v>Department of Culture and Tourism</v>
          </cell>
          <cell r="N149" t="str">
            <v>Culture</v>
          </cell>
          <cell r="O149" t="str">
            <v>الثقافة</v>
          </cell>
          <cell r="P149" t="str">
            <v>Historic Environment</v>
          </cell>
          <cell r="Q149" t="str">
            <v>البيئة التاريخية</v>
          </cell>
          <cell r="R149" t="str">
            <v>Development Control &amp; Documentation</v>
          </cell>
          <cell r="S149" t="str">
            <v>التوثيق ورقابة التطوير</v>
          </cell>
          <cell r="T149" t="str">
            <v/>
          </cell>
          <cell r="U149" t="str">
            <v/>
          </cell>
          <cell r="V149" t="str">
            <v>Al Ain</v>
          </cell>
          <cell r="W149" t="str">
            <v/>
          </cell>
          <cell r="X149" t="str">
            <v>4511300</v>
          </cell>
          <cell r="Y149" t="str">
            <v>Compliance,Governance&amp;Protocol_Policy (Culture &amp; Tourism)_Section Head</v>
          </cell>
          <cell r="Z149" t="str">
            <v>Section Manager</v>
          </cell>
          <cell r="AA149" t="str">
            <v>2B</v>
          </cell>
        </row>
        <row r="150">
          <cell r="A150">
            <v>382</v>
          </cell>
          <cell r="B150">
            <v>382</v>
          </cell>
          <cell r="C150" t="str">
            <v>A</v>
          </cell>
          <cell r="D150" t="str">
            <v>Ali Khameis Hefaity</v>
          </cell>
          <cell r="E150" t="str">
            <v>علي خميس حفيتي</v>
          </cell>
          <cell r="F150">
            <v>40062</v>
          </cell>
          <cell r="G150" t="str">
            <v>10005777</v>
          </cell>
          <cell r="H150" t="str">
            <v>Library Officer</v>
          </cell>
          <cell r="I150" t="str">
            <v>ضابط شؤون المكتبة</v>
          </cell>
          <cell r="J150" t="str">
            <v>On-Chart</v>
          </cell>
          <cell r="K150" t="str">
            <v>DCT Payroll</v>
          </cell>
          <cell r="L150" t="str">
            <v>A1</v>
          </cell>
          <cell r="M150" t="str">
            <v>Department of Culture and Tourism</v>
          </cell>
          <cell r="N150" t="str">
            <v>Culture</v>
          </cell>
          <cell r="O150" t="str">
            <v>الثقافة</v>
          </cell>
          <cell r="P150" t="str">
            <v>Library Management</v>
          </cell>
          <cell r="Q150" t="str">
            <v>إدارة المكتبات</v>
          </cell>
          <cell r="R150" t="str">
            <v>Branches Library</v>
          </cell>
          <cell r="S150" t="str">
            <v>فروع المكتبات</v>
          </cell>
          <cell r="T150" t="str">
            <v>Sheikh Khalifa Library</v>
          </cell>
          <cell r="U150" t="str">
            <v>مكتبة الشيخ خليفة</v>
          </cell>
          <cell r="V150" t="str">
            <v>Abu Dhabi</v>
          </cell>
          <cell r="W150" t="str">
            <v/>
          </cell>
          <cell r="X150" t="str">
            <v>4516100</v>
          </cell>
          <cell r="Y150" t="str">
            <v>Interpretation &amp; Engagement_Library Service Delivery (Librarian)_Professional</v>
          </cell>
          <cell r="Z150" t="str">
            <v>Professional</v>
          </cell>
          <cell r="AA150" t="str">
            <v>4A</v>
          </cell>
        </row>
        <row r="151">
          <cell r="A151">
            <v>383</v>
          </cell>
          <cell r="B151">
            <v>383</v>
          </cell>
          <cell r="C151" t="str">
            <v>A</v>
          </cell>
          <cell r="D151" t="str">
            <v>Ayesha Yousuf Al Zaabi</v>
          </cell>
          <cell r="E151" t="str">
            <v>عائشة يوسف الزعابي</v>
          </cell>
          <cell r="F151">
            <v>40062</v>
          </cell>
          <cell r="G151" t="str">
            <v>47700381</v>
          </cell>
          <cell r="H151" t="str">
            <v>Cataloguing Senior Specialist</v>
          </cell>
          <cell r="I151" t="str">
            <v>أخصائي أول الفهرسة</v>
          </cell>
          <cell r="J151" t="str">
            <v>On-Chart</v>
          </cell>
          <cell r="K151" t="str">
            <v>DCT Payroll</v>
          </cell>
          <cell r="L151" t="str">
            <v>A1</v>
          </cell>
          <cell r="M151" t="str">
            <v>Department of Culture and Tourism</v>
          </cell>
          <cell r="N151" t="str">
            <v>Culture</v>
          </cell>
          <cell r="O151" t="str">
            <v>الثقافة</v>
          </cell>
          <cell r="P151" t="str">
            <v>Library Management</v>
          </cell>
          <cell r="Q151" t="str">
            <v>إدارة المكتبات</v>
          </cell>
          <cell r="R151" t="str">
            <v>Technical Services</v>
          </cell>
          <cell r="S151" t="str">
            <v>الخدمات الفنية</v>
          </cell>
          <cell r="T151" t="str">
            <v>Cataloguing</v>
          </cell>
          <cell r="U151" t="str">
            <v>الفهرسة</v>
          </cell>
          <cell r="V151" t="str">
            <v>Abu Dhabi</v>
          </cell>
          <cell r="W151" t="str">
            <v/>
          </cell>
          <cell r="X151" t="str">
            <v>4516100</v>
          </cell>
          <cell r="Y151" t="str">
            <v>Operations_Library Operational Management_Senior Professional</v>
          </cell>
          <cell r="Z151" t="str">
            <v>Senior Professional</v>
          </cell>
          <cell r="AA151" t="str">
            <v>3A</v>
          </cell>
        </row>
        <row r="152">
          <cell r="A152">
            <v>387</v>
          </cell>
          <cell r="B152">
            <v>387</v>
          </cell>
          <cell r="C152" t="str">
            <v>A</v>
          </cell>
          <cell r="D152" t="str">
            <v>Seham Abdulla Al Hosani</v>
          </cell>
          <cell r="E152" t="str">
            <v>سهام عبدالله الحوسني</v>
          </cell>
          <cell r="F152">
            <v>40066</v>
          </cell>
          <cell r="G152" t="str">
            <v>10009469</v>
          </cell>
          <cell r="H152" t="str">
            <v>E-Publishing Section Head</v>
          </cell>
          <cell r="I152" t="str">
            <v>رئيس قسم النشر الإلكتروني</v>
          </cell>
          <cell r="J152" t="str">
            <v>On-Chart</v>
          </cell>
          <cell r="K152" t="str">
            <v>ALC Direct Hires</v>
          </cell>
          <cell r="L152" t="str">
            <v>AL1</v>
          </cell>
          <cell r="M152" t="str">
            <v>Abu Dhabi Arabic Language Centre</v>
          </cell>
          <cell r="N152" t="str">
            <v>Abu Dhabi Arabic Language Centre</v>
          </cell>
          <cell r="O152" t="str">
            <v>مركز أبوظبي للغة العربية</v>
          </cell>
          <cell r="P152" t="str">
            <v>Creative Content</v>
          </cell>
          <cell r="Q152" t="str">
            <v>المحتوى الإبداعي</v>
          </cell>
          <cell r="R152" t="str">
            <v>E-Publishing</v>
          </cell>
          <cell r="S152" t="str">
            <v>النشر الإلكتروني</v>
          </cell>
          <cell r="T152" t="str">
            <v/>
          </cell>
          <cell r="U152" t="str">
            <v/>
          </cell>
          <cell r="V152" t="str">
            <v>Abu Dhabi</v>
          </cell>
          <cell r="W152" t="str">
            <v/>
          </cell>
          <cell r="X152" t="str">
            <v>4519199</v>
          </cell>
          <cell r="Y152" t="str">
            <v>Interpretation &amp; Engagement_Arabic Language Learning &amp; Specialized Programmes _Section Manager</v>
          </cell>
          <cell r="Z152" t="str">
            <v>Section Manager</v>
          </cell>
          <cell r="AA152" t="str">
            <v>2A</v>
          </cell>
        </row>
        <row r="153">
          <cell r="A153">
            <v>388</v>
          </cell>
          <cell r="B153">
            <v>388</v>
          </cell>
          <cell r="C153" t="str">
            <v>A</v>
          </cell>
          <cell r="D153" t="str">
            <v>Khalifa Ali Al Nuaimi</v>
          </cell>
          <cell r="E153" t="str">
            <v>خليفة علي النعيمي</v>
          </cell>
          <cell r="F153">
            <v>40079</v>
          </cell>
          <cell r="G153" t="str">
            <v>47700386</v>
          </cell>
          <cell r="H153" t="str">
            <v>Senior Projects Manager</v>
          </cell>
          <cell r="I153" t="str">
            <v>مدير مشاريع أول</v>
          </cell>
          <cell r="J153" t="str">
            <v>On-Chart</v>
          </cell>
          <cell r="K153" t="str">
            <v>DCT Payroll</v>
          </cell>
          <cell r="L153" t="str">
            <v>A1</v>
          </cell>
          <cell r="M153" t="str">
            <v>Department of Culture and Tourism</v>
          </cell>
          <cell r="N153" t="str">
            <v>Support Services</v>
          </cell>
          <cell r="O153" t="str">
            <v>الخدمات المساندة</v>
          </cell>
          <cell r="P153" t="str">
            <v>People &amp; Performance</v>
          </cell>
          <cell r="Q153" t="str">
            <v>إدارة الكوادر البشرية والأداء</v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>Abu Dhabi</v>
          </cell>
          <cell r="W153" t="str">
            <v/>
          </cell>
          <cell r="X153" t="str">
            <v>4510220</v>
          </cell>
          <cell r="Y153" t="str">
            <v>People &amp; Performance _HR
Advisor_Section Head</v>
          </cell>
          <cell r="Z153" t="str">
            <v>Section Manager</v>
          </cell>
          <cell r="AA153" t="str">
            <v>2A</v>
          </cell>
        </row>
        <row r="154">
          <cell r="A154">
            <v>391</v>
          </cell>
          <cell r="B154">
            <v>391</v>
          </cell>
          <cell r="C154" t="str">
            <v>A</v>
          </cell>
          <cell r="D154" t="str">
            <v>Hind AbdulRedha AlKhoori</v>
          </cell>
          <cell r="E154" t="str">
            <v>هند عبدالرضا الخوري</v>
          </cell>
          <cell r="F154">
            <v>40087</v>
          </cell>
          <cell r="G154" t="str">
            <v>50000711</v>
          </cell>
          <cell r="H154" t="str">
            <v>Marketing &amp; Communications Department Director</v>
          </cell>
          <cell r="I154" t="str">
            <v>مدير إدارة التسويق والاتصال</v>
          </cell>
          <cell r="J154" t="str">
            <v>On-Chart</v>
          </cell>
          <cell r="K154" t="str">
            <v>MSS Direct Hires</v>
          </cell>
          <cell r="L154" t="str">
            <v>M1</v>
          </cell>
          <cell r="M154" t="str">
            <v>Department of Culture and Tourism</v>
          </cell>
          <cell r="N154" t="str">
            <v>Zayed National Museum</v>
          </cell>
          <cell r="O154" t="str">
            <v>متحف زايد الوطني</v>
          </cell>
          <cell r="P154" t="str">
            <v>Marketing &amp; Communication</v>
          </cell>
          <cell r="Q154" t="str">
            <v>التسويق والاتصال</v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V154" t="str">
            <v>Abu Dhabi</v>
          </cell>
          <cell r="W154" t="str">
            <v/>
          </cell>
          <cell r="X154" t="str">
            <v>4510185</v>
          </cell>
          <cell r="Y154" t="str">
            <v>Comms &amp; Marketing _Marketing &amp; Communications _Director SP</v>
          </cell>
          <cell r="Z154" t="str">
            <v>Director</v>
          </cell>
          <cell r="AA154" t="str">
            <v>1A</v>
          </cell>
        </row>
        <row r="155">
          <cell r="A155">
            <v>393</v>
          </cell>
          <cell r="B155">
            <v>393</v>
          </cell>
          <cell r="C155" t="str">
            <v>A</v>
          </cell>
          <cell r="D155" t="str">
            <v>Musab Ibrahim Abdalla</v>
          </cell>
          <cell r="E155" t="str">
            <v>مصعب ابراهيم عبدالله</v>
          </cell>
          <cell r="F155">
            <v>40087</v>
          </cell>
          <cell r="G155" t="str">
            <v>50000997</v>
          </cell>
          <cell r="H155" t="str">
            <v>Technical Support Officer</v>
          </cell>
          <cell r="I155" t="str">
            <v>ضابط الدعم الفني</v>
          </cell>
          <cell r="J155" t="str">
            <v>On-Chart</v>
          </cell>
          <cell r="K155" t="str">
            <v>ALC Direct Hires</v>
          </cell>
          <cell r="L155" t="str">
            <v>AL1</v>
          </cell>
          <cell r="M155" t="str">
            <v>Abu Dhabi Arabic Language Centre</v>
          </cell>
          <cell r="N155" t="str">
            <v>Abu Dhabi Arabic Language Centre</v>
          </cell>
          <cell r="O155" t="str">
            <v>مركز أبوظبي للغة العربية</v>
          </cell>
          <cell r="P155" t="str">
            <v>Creative Content</v>
          </cell>
          <cell r="Q155" t="str">
            <v>المحتوى الإبداعي</v>
          </cell>
          <cell r="R155" t="str">
            <v>E-Publishing</v>
          </cell>
          <cell r="S155" t="str">
            <v>النشر الإلكتروني</v>
          </cell>
          <cell r="T155" t="str">
            <v/>
          </cell>
          <cell r="U155" t="str">
            <v/>
          </cell>
          <cell r="V155" t="str">
            <v>Abu Dhabi</v>
          </cell>
          <cell r="W155" t="str">
            <v/>
          </cell>
          <cell r="X155" t="str">
            <v>4519199</v>
          </cell>
          <cell r="Y155" t="str">
            <v>Interpretation &amp; Engagement_Arabic Language Research &amp; Studies_Professional</v>
          </cell>
          <cell r="Z155" t="str">
            <v>Professional</v>
          </cell>
          <cell r="AA155" t="str">
            <v>4A</v>
          </cell>
        </row>
        <row r="156">
          <cell r="A156">
            <v>394</v>
          </cell>
          <cell r="B156">
            <v>394</v>
          </cell>
          <cell r="C156" t="str">
            <v>A</v>
          </cell>
          <cell r="D156" t="str">
            <v>Obaid Rashed Al Ketbi</v>
          </cell>
          <cell r="E156" t="str">
            <v>عبيد راشد الكتبي</v>
          </cell>
          <cell r="F156">
            <v>40090</v>
          </cell>
          <cell r="G156" t="str">
            <v>41000050</v>
          </cell>
          <cell r="H156" t="str">
            <v>In Destination Operations Officer</v>
          </cell>
          <cell r="I156" t="str">
            <v>ضابط عمليات المكتب الداخلي</v>
          </cell>
          <cell r="J156" t="str">
            <v>On-Chart</v>
          </cell>
          <cell r="K156" t="str">
            <v>DCT Payroll</v>
          </cell>
          <cell r="L156" t="str">
            <v>A1</v>
          </cell>
          <cell r="M156" t="str">
            <v>Department of Culture and Tourism</v>
          </cell>
          <cell r="N156" t="str">
            <v>Tourism</v>
          </cell>
          <cell r="O156" t="str">
            <v>السياحة</v>
          </cell>
          <cell r="P156" t="str">
            <v>Visitors Experience</v>
          </cell>
          <cell r="Q156" t="str">
            <v>تجربة الزوار</v>
          </cell>
          <cell r="R156" t="str">
            <v>Visitors Information Center</v>
          </cell>
          <cell r="S156" t="str">
            <v>مركز معلومات الزوار</v>
          </cell>
          <cell r="T156" t="str">
            <v>Visitors Information Center</v>
          </cell>
          <cell r="U156" t="str">
            <v>مركز معلومات الزوار</v>
          </cell>
          <cell r="V156" t="str">
            <v>Abu Dhabi</v>
          </cell>
          <cell r="W156" t="str">
            <v/>
          </cell>
          <cell r="X156" t="str">
            <v>4515300</v>
          </cell>
          <cell r="Y156" t="str">
            <v>Design_Visitor Experience Design _Professional</v>
          </cell>
          <cell r="Z156" t="str">
            <v>Professional</v>
          </cell>
          <cell r="AA156" t="str">
            <v>4A</v>
          </cell>
        </row>
        <row r="157">
          <cell r="A157">
            <v>408</v>
          </cell>
          <cell r="B157">
            <v>408</v>
          </cell>
          <cell r="C157" t="str">
            <v>A</v>
          </cell>
          <cell r="D157" t="str">
            <v>Moza Ali Al Sulaitany</v>
          </cell>
          <cell r="E157" t="str">
            <v>موزة علي السليطني</v>
          </cell>
          <cell r="F157">
            <v>40111</v>
          </cell>
          <cell r="G157" t="str">
            <v>47700406</v>
          </cell>
          <cell r="H157" t="str">
            <v>Gifts &amp; Exchange Technician</v>
          </cell>
          <cell r="I157" t="str">
            <v>فني التبادل والهدايا</v>
          </cell>
          <cell r="J157" t="str">
            <v>On-Chart</v>
          </cell>
          <cell r="K157" t="str">
            <v>DCT Payroll</v>
          </cell>
          <cell r="L157" t="str">
            <v>A1</v>
          </cell>
          <cell r="M157" t="str">
            <v>Department of Culture and Tourism</v>
          </cell>
          <cell r="N157" t="str">
            <v>Culture</v>
          </cell>
          <cell r="O157" t="str">
            <v>الثقافة</v>
          </cell>
          <cell r="P157" t="str">
            <v>Library Management</v>
          </cell>
          <cell r="Q157" t="str">
            <v>إدارة المكتبات</v>
          </cell>
          <cell r="R157" t="str">
            <v>Technical Services</v>
          </cell>
          <cell r="S157" t="str">
            <v>الخدمات الفنية</v>
          </cell>
          <cell r="T157" t="str">
            <v>Gifts &amp; Exchange</v>
          </cell>
          <cell r="U157" t="str">
            <v>التبادل والهدايا</v>
          </cell>
          <cell r="V157" t="str">
            <v>Abu Dhabi</v>
          </cell>
          <cell r="W157" t="str">
            <v/>
          </cell>
          <cell r="X157" t="str">
            <v>4516100</v>
          </cell>
          <cell r="Y157" t="str">
            <v>Operations_Library Operational  Management _Professional Assistant</v>
          </cell>
          <cell r="Z157" t="str">
            <v>Professional Assistant</v>
          </cell>
          <cell r="AA157" t="str">
            <v>5A</v>
          </cell>
        </row>
        <row r="158">
          <cell r="A158">
            <v>409</v>
          </cell>
          <cell r="B158">
            <v>409</v>
          </cell>
          <cell r="C158" t="str">
            <v>A</v>
          </cell>
          <cell r="D158" t="str">
            <v>Salama Nasser Al Shamsi</v>
          </cell>
          <cell r="E158" t="str">
            <v>سلامه ناصر الشامسي</v>
          </cell>
          <cell r="F158">
            <v>40112</v>
          </cell>
          <cell r="G158" t="str">
            <v>50002087</v>
          </cell>
          <cell r="H158" t="str">
            <v>Culture Sites Management Department Director</v>
          </cell>
          <cell r="I158" t="str">
            <v>مدير إدارة المواقع الثقافية</v>
          </cell>
          <cell r="J158" t="str">
            <v>On-Chart</v>
          </cell>
          <cell r="K158" t="str">
            <v>DCT Payroll</v>
          </cell>
          <cell r="L158" t="str">
            <v>A1</v>
          </cell>
          <cell r="M158" t="str">
            <v>Department of Culture and Tourism</v>
          </cell>
          <cell r="N158" t="str">
            <v>Culture</v>
          </cell>
          <cell r="O158" t="str">
            <v>الثقافة</v>
          </cell>
          <cell r="P158" t="str">
            <v>Culture Sites Management</v>
          </cell>
          <cell r="Q158" t="str">
            <v>إدارة المواقع الثقافية</v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>Abu Dhabi</v>
          </cell>
          <cell r="W158" t="str">
            <v/>
          </cell>
          <cell r="X158" t="str">
            <v>4511250</v>
          </cell>
          <cell r="Y158" t="str">
            <v>Commercial _Culture Festivals &amp; Platforms Department Director</v>
          </cell>
          <cell r="Z158" t="str">
            <v>Director</v>
          </cell>
          <cell r="AA158" t="str">
            <v>1A</v>
          </cell>
        </row>
        <row r="159">
          <cell r="A159">
            <v>416</v>
          </cell>
          <cell r="B159">
            <v>416</v>
          </cell>
          <cell r="C159" t="str">
            <v>A</v>
          </cell>
          <cell r="D159" t="str">
            <v>Thany A. Abualqaraya</v>
          </cell>
          <cell r="E159" t="str">
            <v>تهاني عبدالعزيز أبو القرايا</v>
          </cell>
          <cell r="F159">
            <v>40121</v>
          </cell>
          <cell r="G159" t="str">
            <v>50000984</v>
          </cell>
          <cell r="H159" t="str">
            <v>Translation Programmes Section Head</v>
          </cell>
          <cell r="I159" t="str">
            <v>رئيس قسم برامج الترجمة</v>
          </cell>
          <cell r="J159" t="str">
            <v>On-Chart</v>
          </cell>
          <cell r="K159" t="str">
            <v>ALC Direct Hires</v>
          </cell>
          <cell r="L159" t="str">
            <v>AL1</v>
          </cell>
          <cell r="M159" t="str">
            <v>Abu Dhabi Arabic Language Centre</v>
          </cell>
          <cell r="N159" t="str">
            <v>Abu Dhabi Arabic Language Centre</v>
          </cell>
          <cell r="O159" t="str">
            <v>مركز أبوظبي للغة العربية</v>
          </cell>
          <cell r="P159" t="str">
            <v>Creative Content</v>
          </cell>
          <cell r="Q159" t="str">
            <v>المحتوى الإبداعي</v>
          </cell>
          <cell r="R159" t="str">
            <v>Translation Programmes</v>
          </cell>
          <cell r="S159" t="str">
            <v>برامج الترجمة</v>
          </cell>
          <cell r="T159" t="str">
            <v/>
          </cell>
          <cell r="U159" t="str">
            <v/>
          </cell>
          <cell r="V159" t="str">
            <v>Abu Dhabi</v>
          </cell>
          <cell r="W159" t="str">
            <v/>
          </cell>
          <cell r="X159" t="str">
            <v>4519199</v>
          </cell>
          <cell r="Y159" t="str">
            <v>Interpretation &amp; Engagement_Arabic Language Learning &amp; Specialized Programmes _Section Manager</v>
          </cell>
          <cell r="Z159" t="str">
            <v>Section Manager</v>
          </cell>
          <cell r="AA159" t="str">
            <v>2A</v>
          </cell>
        </row>
        <row r="160">
          <cell r="A160">
            <v>424</v>
          </cell>
          <cell r="B160">
            <v>424</v>
          </cell>
          <cell r="C160" t="str">
            <v>A</v>
          </cell>
          <cell r="D160" t="str">
            <v>Doina Gordeev</v>
          </cell>
          <cell r="E160" t="str">
            <v>دوينا  جورديف</v>
          </cell>
          <cell r="F160">
            <v>40144</v>
          </cell>
          <cell r="G160" t="str">
            <v>50001460</v>
          </cell>
          <cell r="H160" t="str">
            <v>Business Support Unit Head</v>
          </cell>
          <cell r="I160" t="str">
            <v>رئيس وحدة دعم الأعمال</v>
          </cell>
          <cell r="J160" t="str">
            <v>On-Chart</v>
          </cell>
          <cell r="K160" t="str">
            <v>DCT Payroll</v>
          </cell>
          <cell r="L160" t="str">
            <v>A1</v>
          </cell>
          <cell r="M160" t="str">
            <v>Department of Culture and Tourism</v>
          </cell>
          <cell r="N160" t="str">
            <v>Culture</v>
          </cell>
          <cell r="O160" t="str">
            <v>الثقافة</v>
          </cell>
          <cell r="P160" t="str">
            <v>Culture Sites Management</v>
          </cell>
          <cell r="Q160" t="str">
            <v>إدارة المواقع الثقافية</v>
          </cell>
          <cell r="R160" t="str">
            <v>Business Support</v>
          </cell>
          <cell r="S160" t="str">
            <v>دعم الأعمال</v>
          </cell>
          <cell r="T160" t="str">
            <v>Business Support</v>
          </cell>
          <cell r="U160" t="str">
            <v>دعم الأعمال</v>
          </cell>
          <cell r="V160" t="str">
            <v>Abu Dhabi</v>
          </cell>
          <cell r="W160" t="str">
            <v/>
          </cell>
          <cell r="X160" t="str">
            <v>4511250</v>
          </cell>
          <cell r="Y160" t="str">
            <v>Compliance,Governance&amp;Protocol_Policy  (Culture &amp; Tourism)_Unit Head</v>
          </cell>
          <cell r="Z160" t="str">
            <v>Unit Head</v>
          </cell>
          <cell r="AA160" t="str">
            <v>3A</v>
          </cell>
        </row>
        <row r="161">
          <cell r="A161">
            <v>425</v>
          </cell>
          <cell r="B161">
            <v>425</v>
          </cell>
          <cell r="C161" t="str">
            <v>A</v>
          </cell>
          <cell r="D161" t="str">
            <v>Huda Salem Al Badi</v>
          </cell>
          <cell r="E161" t="str">
            <v>هدى سالم البادي</v>
          </cell>
          <cell r="F161">
            <v>40151</v>
          </cell>
          <cell r="G161" t="str">
            <v>47700423</v>
          </cell>
          <cell r="H161" t="str">
            <v>Sales Coordinator</v>
          </cell>
          <cell r="I161" t="str">
            <v>منسق مبيعات</v>
          </cell>
          <cell r="J161" t="str">
            <v>On-Chart</v>
          </cell>
          <cell r="K161" t="str">
            <v>ALC Direct Hires</v>
          </cell>
          <cell r="L161" t="str">
            <v>AL1</v>
          </cell>
          <cell r="M161" t="str">
            <v>Abu Dhabi Arabic Language Centre</v>
          </cell>
          <cell r="N161" t="str">
            <v>Abu Dhabi Arabic Language Centre</v>
          </cell>
          <cell r="O161" t="str">
            <v>مركز أبوظبي للغة العربية</v>
          </cell>
          <cell r="P161" t="str">
            <v>Book Fairs &amp; Events</v>
          </cell>
          <cell r="Q161" t="str">
            <v>الفعاليات ومعارض الكتب</v>
          </cell>
          <cell r="R161" t="str">
            <v>Commercial &amp; Business Development - ALC</v>
          </cell>
          <cell r="S161" t="str">
            <v>التنمية التجارية وتطوير الأعمال</v>
          </cell>
          <cell r="T161" t="str">
            <v>Business Development &amp; Sales – Publishing</v>
          </cell>
          <cell r="U161" t="str">
            <v>تطوير الأعمال  والمبيعات - النشر</v>
          </cell>
          <cell r="V161" t="str">
            <v>Al Ain</v>
          </cell>
          <cell r="W161" t="str">
            <v/>
          </cell>
          <cell r="X161" t="str">
            <v>4519200</v>
          </cell>
          <cell r="Y161" t="str">
            <v>Interpretation &amp; Engagement_Arabic Language Forum &amp; Events _Professional</v>
          </cell>
          <cell r="Z161" t="str">
            <v>Professional Assistant</v>
          </cell>
          <cell r="AA161" t="str">
            <v>5A</v>
          </cell>
        </row>
        <row r="162">
          <cell r="A162">
            <v>426</v>
          </cell>
          <cell r="B162">
            <v>426</v>
          </cell>
          <cell r="C162" t="str">
            <v>A</v>
          </cell>
          <cell r="D162" t="str">
            <v>Mariam Mohammed Al Jenaibi</v>
          </cell>
          <cell r="E162" t="str">
            <v>مريم محمد الجنيبي</v>
          </cell>
          <cell r="F162">
            <v>40151</v>
          </cell>
          <cell r="G162" t="str">
            <v>47700424</v>
          </cell>
          <cell r="H162" t="str">
            <v>Sales Coordinator</v>
          </cell>
          <cell r="I162" t="str">
            <v>منسق مبيعات</v>
          </cell>
          <cell r="J162" t="str">
            <v>On-Chart</v>
          </cell>
          <cell r="K162" t="str">
            <v>ALC Direct Hires</v>
          </cell>
          <cell r="L162" t="str">
            <v>AL1</v>
          </cell>
          <cell r="M162" t="str">
            <v>Abu Dhabi Arabic Language Centre</v>
          </cell>
          <cell r="N162" t="str">
            <v>Abu Dhabi Arabic Language Centre</v>
          </cell>
          <cell r="O162" t="str">
            <v>مركز أبوظبي للغة العربية</v>
          </cell>
          <cell r="P162" t="str">
            <v>Book Fairs &amp; Events</v>
          </cell>
          <cell r="Q162" t="str">
            <v>الفعاليات ومعارض الكتب</v>
          </cell>
          <cell r="R162" t="str">
            <v>Commercial &amp; Business Development - ALC</v>
          </cell>
          <cell r="S162" t="str">
            <v>التنمية التجارية وتطوير الأعمال</v>
          </cell>
          <cell r="T162" t="str">
            <v>Business Development &amp; Sales – Publishing</v>
          </cell>
          <cell r="U162" t="str">
            <v>تطوير الأعمال  والمبيعات - النشر</v>
          </cell>
          <cell r="V162" t="str">
            <v>Abu Dhabi</v>
          </cell>
          <cell r="W162" t="str">
            <v/>
          </cell>
          <cell r="X162" t="str">
            <v>4519200</v>
          </cell>
          <cell r="Y162" t="str">
            <v>Interpretation &amp; Engagement_Arabic Language Forum &amp; Events _Professional</v>
          </cell>
          <cell r="Z162" t="str">
            <v>Professional Assistant</v>
          </cell>
          <cell r="AA162" t="str">
            <v>5A</v>
          </cell>
        </row>
        <row r="163">
          <cell r="A163">
            <v>429</v>
          </cell>
          <cell r="B163">
            <v>429</v>
          </cell>
          <cell r="C163" t="str">
            <v>A</v>
          </cell>
          <cell r="D163" t="str">
            <v>Naser Mohamed Al Khaja</v>
          </cell>
          <cell r="E163" t="str">
            <v>ناصر محمد الخاجه</v>
          </cell>
          <cell r="F163">
            <v>40154</v>
          </cell>
          <cell r="G163" t="str">
            <v>50003218</v>
          </cell>
          <cell r="H163" t="str">
            <v>Project Manager</v>
          </cell>
          <cell r="I163" t="str">
            <v>مدير مشاريع</v>
          </cell>
          <cell r="J163" t="str">
            <v>On-Chart</v>
          </cell>
          <cell r="K163" t="str">
            <v>ALC Direct Hires</v>
          </cell>
          <cell r="L163" t="str">
            <v>AL1</v>
          </cell>
          <cell r="M163" t="str">
            <v>Abu Dhabi Arabic Language Centre</v>
          </cell>
          <cell r="N163" t="str">
            <v>Abu Dhabi Arabic Language Centre</v>
          </cell>
          <cell r="O163" t="str">
            <v>مركز أبوظبي للغة العربية</v>
          </cell>
          <cell r="P163" t="str">
            <v>ALC Executive Director’s Office</v>
          </cell>
          <cell r="Q163" t="str">
            <v>مكتب المدير التنفيذي لمركز أبوظبي للغة العربية</v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>Abu Dhabi</v>
          </cell>
          <cell r="W163" t="str">
            <v/>
          </cell>
          <cell r="X163" t="str">
            <v>4510195</v>
          </cell>
          <cell r="Y163" t="str">
            <v>Interpretation &amp; Engagement_Arabic Language Research &amp; Studies _Unit Head</v>
          </cell>
          <cell r="Z163" t="str">
            <v>Unit Head</v>
          </cell>
          <cell r="AA163" t="str">
            <v>3A</v>
          </cell>
        </row>
        <row r="164">
          <cell r="A164">
            <v>433</v>
          </cell>
          <cell r="B164">
            <v>433</v>
          </cell>
          <cell r="C164" t="str">
            <v>A</v>
          </cell>
          <cell r="D164" t="str">
            <v>Deena Yousof Abubaker</v>
          </cell>
          <cell r="E164" t="str">
            <v>دينا يوسف أبو بكر</v>
          </cell>
          <cell r="F164">
            <v>40167</v>
          </cell>
          <cell r="G164" t="str">
            <v>10005287</v>
          </cell>
          <cell r="H164" t="str">
            <v>General Sports Senior Specialist</v>
          </cell>
          <cell r="I164" t="str">
            <v>اخصائي أول الرياضة العامة</v>
          </cell>
          <cell r="J164" t="str">
            <v>On-Chart</v>
          </cell>
          <cell r="K164" t="str">
            <v>DCT Payroll</v>
          </cell>
          <cell r="L164" t="str">
            <v>A1</v>
          </cell>
          <cell r="M164" t="str">
            <v>Department of Culture and Tourism</v>
          </cell>
          <cell r="N164" t="str">
            <v>Tourism</v>
          </cell>
          <cell r="O164" t="str">
            <v>السياحة</v>
          </cell>
          <cell r="P164" t="str">
            <v>Abu Dhabi Events Bureau</v>
          </cell>
          <cell r="Q164" t="str">
            <v>مكتب أبوظبي للفعاليات</v>
          </cell>
          <cell r="R164" t="str">
            <v>Sports Engagement</v>
          </cell>
          <cell r="S164" t="str">
            <v>الرياضة العامة</v>
          </cell>
          <cell r="T164" t="str">
            <v>General Sports</v>
          </cell>
          <cell r="U164" t="str">
            <v>الرياضة العامة</v>
          </cell>
          <cell r="V164" t="str">
            <v>Abu Dhabi</v>
          </cell>
          <cell r="W164" t="str">
            <v/>
          </cell>
          <cell r="X164" t="str">
            <v>4515500</v>
          </cell>
          <cell r="Y164" t="str">
            <v>Commercial _Conventions, Exhibitions, Events,Festivals Development &amp; Sales  _Senior Professional</v>
          </cell>
          <cell r="Z164" t="str">
            <v>Senior Professional</v>
          </cell>
          <cell r="AA164" t="str">
            <v>3A</v>
          </cell>
        </row>
        <row r="165">
          <cell r="A165">
            <v>434</v>
          </cell>
          <cell r="B165">
            <v>434</v>
          </cell>
          <cell r="C165" t="str">
            <v>A</v>
          </cell>
          <cell r="D165" t="str">
            <v>Mohammed Malloh Al Qahtani</v>
          </cell>
          <cell r="E165" t="str">
            <v>محمد ملوح القحطاني</v>
          </cell>
          <cell r="F165">
            <v>40167</v>
          </cell>
          <cell r="G165" t="str">
            <v>50002912</v>
          </cell>
          <cell r="H165" t="str">
            <v>Finance Operations Section Head</v>
          </cell>
          <cell r="I165" t="str">
            <v>رئيس قسم العمليات المالية</v>
          </cell>
          <cell r="J165" t="str">
            <v>On-Chart</v>
          </cell>
          <cell r="K165" t="str">
            <v>MSS Direct Hires</v>
          </cell>
          <cell r="L165" t="str">
            <v>M1</v>
          </cell>
          <cell r="M165" t="str">
            <v>Department of Culture and Tourism</v>
          </cell>
          <cell r="N165" t="str">
            <v>Museums Shared Services</v>
          </cell>
          <cell r="O165" t="str">
            <v>الخدمات المشتركة للمتاحف</v>
          </cell>
          <cell r="P165" t="str">
            <v>Finance - MSS</v>
          </cell>
          <cell r="Q165" t="str">
            <v>الإدارة المالية - الخدمات المشتركة للمتاحف</v>
          </cell>
          <cell r="R165" t="str">
            <v>Finance Operation Section - MSS</v>
          </cell>
          <cell r="S165" t="str">
            <v>قسم العمليات المالية</v>
          </cell>
          <cell r="T165" t="str">
            <v/>
          </cell>
          <cell r="U165" t="str">
            <v/>
          </cell>
          <cell r="V165" t="str">
            <v>Abu Dhabi</v>
          </cell>
          <cell r="W165" t="str">
            <v/>
          </cell>
          <cell r="X165" t="str">
            <v>4514120</v>
          </cell>
          <cell r="Y165" t="str">
            <v>Middle Management Finance</v>
          </cell>
          <cell r="Z165" t="str">
            <v>Section Manager</v>
          </cell>
          <cell r="AA165" t="str">
            <v>2C</v>
          </cell>
        </row>
        <row r="166">
          <cell r="A166">
            <v>435</v>
          </cell>
          <cell r="B166">
            <v>435</v>
          </cell>
          <cell r="C166" t="str">
            <v>A</v>
          </cell>
          <cell r="D166" t="str">
            <v>Mubarak Hazeem Al Mazrouei</v>
          </cell>
          <cell r="E166" t="str">
            <v>مبارك هزيم المزروعي</v>
          </cell>
          <cell r="F166">
            <v>40168</v>
          </cell>
          <cell r="G166" t="str">
            <v>47700433</v>
          </cell>
          <cell r="H166" t="str">
            <v>Ranger</v>
          </cell>
          <cell r="I166" t="str">
            <v>مراقب المواقع الثقافية</v>
          </cell>
          <cell r="J166" t="str">
            <v>On-Chart</v>
          </cell>
          <cell r="K166" t="str">
            <v>DCT Payroll</v>
          </cell>
          <cell r="L166" t="str">
            <v>A1</v>
          </cell>
          <cell r="M166" t="str">
            <v>Department of Culture and Tourism</v>
          </cell>
          <cell r="N166" t="str">
            <v>Culture</v>
          </cell>
          <cell r="O166" t="str">
            <v>الثقافة</v>
          </cell>
          <cell r="P166" t="str">
            <v>Historic Environment</v>
          </cell>
          <cell r="Q166" t="str">
            <v>البيئة التاريخية</v>
          </cell>
          <cell r="R166" t="str">
            <v>Historic Buildings &amp; Landscapes</v>
          </cell>
          <cell r="S166" t="str">
            <v>المباني والمسطحات التاريخية</v>
          </cell>
          <cell r="T166" t="str">
            <v>Culture Sites Protection</v>
          </cell>
          <cell r="U166" t="str">
            <v>حماية المواقع الثقافية</v>
          </cell>
          <cell r="V166" t="str">
            <v>Al Ain</v>
          </cell>
          <cell r="W166" t="str">
            <v/>
          </cell>
          <cell r="X166" t="str">
            <v>4511300</v>
          </cell>
          <cell r="Y166" t="str">
            <v>Content &amp; Care_Culture Sites Protection_Assistant &amp; Technical Staff</v>
          </cell>
          <cell r="Z166" t="str">
            <v>Jr. Professional Assistant</v>
          </cell>
          <cell r="AA166" t="str">
            <v>6A</v>
          </cell>
        </row>
        <row r="167">
          <cell r="A167">
            <v>436</v>
          </cell>
          <cell r="B167">
            <v>436</v>
          </cell>
          <cell r="C167" t="str">
            <v>A</v>
          </cell>
          <cell r="D167" t="str">
            <v>Mohammed Alsaqqa</v>
          </cell>
          <cell r="E167" t="str">
            <v>محمد  السقا</v>
          </cell>
          <cell r="F167">
            <v>40175</v>
          </cell>
          <cell r="G167" t="str">
            <v>47700434</v>
          </cell>
          <cell r="H167" t="str">
            <v>Visitor Experience Specialist</v>
          </cell>
          <cell r="I167" t="str">
            <v>أخصائي تجربة الزوار</v>
          </cell>
          <cell r="J167" t="str">
            <v>On-Chart</v>
          </cell>
          <cell r="K167" t="str">
            <v>DCT Payroll</v>
          </cell>
          <cell r="L167" t="str">
            <v>A1</v>
          </cell>
          <cell r="M167" t="str">
            <v>Department of Culture and Tourism</v>
          </cell>
          <cell r="N167" t="str">
            <v>Culture</v>
          </cell>
          <cell r="O167" t="str">
            <v>الثقافة</v>
          </cell>
          <cell r="P167" t="str">
            <v>Culture Sites Management</v>
          </cell>
          <cell r="Q167" t="str">
            <v>إدارة المواقع الثقافية</v>
          </cell>
          <cell r="R167" t="str">
            <v>Manarat Al Saadiyat</v>
          </cell>
          <cell r="S167" t="str">
            <v>منارة السعديات</v>
          </cell>
          <cell r="T167" t="str">
            <v>Visitor Experience</v>
          </cell>
          <cell r="U167" t="str">
            <v>تجربة الزوار</v>
          </cell>
          <cell r="V167" t="str">
            <v>Abu Dhabi</v>
          </cell>
          <cell r="W167" t="str">
            <v/>
          </cell>
          <cell r="X167" t="str">
            <v>4511250</v>
          </cell>
          <cell r="Y167" t="str">
            <v>Compliance,Governance&amp;Protocol_Policy (Culture/Tourism _Senior Professional</v>
          </cell>
          <cell r="Z167" t="str">
            <v>Professional</v>
          </cell>
          <cell r="AA167" t="str">
            <v>4A</v>
          </cell>
        </row>
        <row r="168">
          <cell r="A168">
            <v>443</v>
          </cell>
          <cell r="B168">
            <v>443</v>
          </cell>
          <cell r="C168" t="str">
            <v>A</v>
          </cell>
          <cell r="D168" t="str">
            <v>Salem Na'el Salamah</v>
          </cell>
          <cell r="E168" t="str">
            <v>سالم نائل سلامة</v>
          </cell>
          <cell r="F168">
            <v>40191</v>
          </cell>
          <cell r="G168" t="str">
            <v>50003804</v>
          </cell>
          <cell r="H168" t="str">
            <v>Product Manager</v>
          </cell>
          <cell r="I168" t="str">
            <v>مدير المنتج</v>
          </cell>
          <cell r="J168" t="str">
            <v>On-Chart</v>
          </cell>
          <cell r="K168" t="str">
            <v>ALC Direct Hires</v>
          </cell>
          <cell r="L168" t="str">
            <v>AL1</v>
          </cell>
          <cell r="M168" t="str">
            <v>Abu Dhabi Arabic Language Centre</v>
          </cell>
          <cell r="N168" t="str">
            <v>Abu Dhabi Arabic Language Centre</v>
          </cell>
          <cell r="O168" t="str">
            <v>مركز أبوظبي للغة العربية</v>
          </cell>
          <cell r="P168" t="str">
            <v>Strategic Planning Office - ALC</v>
          </cell>
          <cell r="Q168" t="str">
            <v>مكتب التخطيط الاستراتيجي</v>
          </cell>
          <cell r="R168" t="str">
            <v>Process &amp; Project Management</v>
          </cell>
          <cell r="S168" t="str">
            <v>إدارة المشاريع والعميات</v>
          </cell>
          <cell r="T168" t="str">
            <v/>
          </cell>
          <cell r="U168" t="str">
            <v/>
          </cell>
          <cell r="V168" t="str">
            <v>Abu Dhabi</v>
          </cell>
          <cell r="W168" t="str">
            <v/>
          </cell>
          <cell r="X168" t="str">
            <v>4519203</v>
          </cell>
          <cell r="Y168" t="str">
            <v>Middle Management Project Management</v>
          </cell>
          <cell r="Z168" t="str">
            <v>Section Manager</v>
          </cell>
          <cell r="AA168" t="str">
            <v>3A</v>
          </cell>
        </row>
        <row r="169">
          <cell r="A169">
            <v>444</v>
          </cell>
          <cell r="B169">
            <v>444</v>
          </cell>
          <cell r="C169" t="str">
            <v>A</v>
          </cell>
          <cell r="D169" t="str">
            <v>May Al Mohr</v>
          </cell>
          <cell r="E169" t="str">
            <v>مي  المهر</v>
          </cell>
          <cell r="F169">
            <v>40199</v>
          </cell>
          <cell r="G169" t="str">
            <v>10005126</v>
          </cell>
          <cell r="H169" t="str">
            <v>Internal Communications Senior Specialist</v>
          </cell>
          <cell r="I169" t="str">
            <v>أخصائي أول الاتصال الداخلي</v>
          </cell>
          <cell r="J169" t="str">
            <v>On-Chart</v>
          </cell>
          <cell r="K169" t="str">
            <v>DCT Payroll</v>
          </cell>
          <cell r="L169" t="str">
            <v>A1</v>
          </cell>
          <cell r="M169" t="str">
            <v>Department of Culture and Tourism</v>
          </cell>
          <cell r="N169" t="str">
            <v>Support Services</v>
          </cell>
          <cell r="O169" t="str">
            <v>الخدمات المساندة</v>
          </cell>
          <cell r="P169" t="str">
            <v>People &amp; Performance</v>
          </cell>
          <cell r="Q169" t="str">
            <v>إدارة الكوادر البشرية والأداء</v>
          </cell>
          <cell r="R169" t="str">
            <v>Internal Communications</v>
          </cell>
          <cell r="S169" t="str">
            <v>الاتصال الداخلي</v>
          </cell>
          <cell r="T169" t="str">
            <v>Internal Communications</v>
          </cell>
          <cell r="U169" t="str">
            <v>الاتصال الداخلي</v>
          </cell>
          <cell r="V169" t="str">
            <v>Abu Dhabi</v>
          </cell>
          <cell r="W169" t="str">
            <v/>
          </cell>
          <cell r="X169" t="str">
            <v>4510220</v>
          </cell>
          <cell r="Y169" t="str">
            <v>Comms &amp; Marketing _Marketing &amp; Communications (All areas)_Senior Professional</v>
          </cell>
          <cell r="Z169" t="str">
            <v>Senior Professional</v>
          </cell>
          <cell r="AA169" t="str">
            <v>03</v>
          </cell>
        </row>
        <row r="170">
          <cell r="A170">
            <v>452</v>
          </cell>
          <cell r="B170">
            <v>452</v>
          </cell>
          <cell r="C170" t="str">
            <v>A</v>
          </cell>
          <cell r="D170" t="str">
            <v>Ali Salim Al Mansoori</v>
          </cell>
          <cell r="E170" t="str">
            <v>علي سالم المنصوري</v>
          </cell>
          <cell r="F170">
            <v>40230</v>
          </cell>
          <cell r="G170" t="str">
            <v>10005109</v>
          </cell>
          <cell r="H170" t="str">
            <v>FAM Trips Senior Executive</v>
          </cell>
          <cell r="I170" t="str">
            <v>تنفيذي أول الرحلات الترفيهية</v>
          </cell>
          <cell r="J170" t="str">
            <v>On-Chart</v>
          </cell>
          <cell r="K170" t="str">
            <v>DCT Payroll</v>
          </cell>
          <cell r="L170" t="str">
            <v>A1</v>
          </cell>
          <cell r="M170" t="str">
            <v>Department of Culture and Tourism</v>
          </cell>
          <cell r="N170" t="str">
            <v>Tourism</v>
          </cell>
          <cell r="O170" t="str">
            <v>السياحة</v>
          </cell>
          <cell r="P170" t="str">
            <v>International Operations</v>
          </cell>
          <cell r="Q170" t="str">
            <v>العمليات الدولية</v>
          </cell>
          <cell r="R170" t="str">
            <v>FAM Trips &amp; Educational Programs</v>
          </cell>
          <cell r="S170" t="str">
            <v>الرحلات الترفيهية والبرامج التعليمية</v>
          </cell>
          <cell r="T170" t="str">
            <v>FAM Trips</v>
          </cell>
          <cell r="U170" t="str">
            <v>الرحلات الترفيهية</v>
          </cell>
          <cell r="V170" t="str">
            <v>Abu Dhabi</v>
          </cell>
          <cell r="W170" t="str">
            <v/>
          </cell>
          <cell r="X170" t="str">
            <v>4515100</v>
          </cell>
          <cell r="Y170" t="str">
            <v>Compliance,Governance&amp;Protocol_Policy (Culture/Tourism _Senior Professional</v>
          </cell>
          <cell r="Z170" t="str">
            <v>Senior Professional</v>
          </cell>
          <cell r="AA170" t="str">
            <v>3A</v>
          </cell>
        </row>
        <row r="171">
          <cell r="A171">
            <v>454</v>
          </cell>
          <cell r="B171">
            <v>454</v>
          </cell>
          <cell r="C171" t="str">
            <v>A</v>
          </cell>
          <cell r="D171" t="str">
            <v>Nadyah Ahmed Alzeyoudi</v>
          </cell>
          <cell r="E171" t="str">
            <v>نادية أحمد الزيودي</v>
          </cell>
          <cell r="F171">
            <v>40237</v>
          </cell>
          <cell r="G171" t="str">
            <v>10005439</v>
          </cell>
          <cell r="H171" t="str">
            <v>Collections Acquisition Specialist</v>
          </cell>
          <cell r="I171" t="str">
            <v>أخصائي استحواذ المجموعات</v>
          </cell>
          <cell r="J171" t="str">
            <v>On-Chart</v>
          </cell>
          <cell r="K171" t="str">
            <v>ALC Direct Hires</v>
          </cell>
          <cell r="L171" t="str">
            <v>AL1</v>
          </cell>
          <cell r="M171" t="str">
            <v>Abu Dhabi Arabic Language Centre</v>
          </cell>
          <cell r="N171" t="str">
            <v>Abu Dhabi Arabic Language Centre</v>
          </cell>
          <cell r="O171" t="str">
            <v>مركز أبوظبي للغة العربية</v>
          </cell>
          <cell r="P171" t="str">
            <v>Specialized Library</v>
          </cell>
          <cell r="Q171" t="str">
            <v>المكتبات المتخصصة</v>
          </cell>
          <cell r="R171" t="str">
            <v>Library Services - ALC</v>
          </cell>
          <cell r="S171" t="str">
            <v>الخدمات المكتبية</v>
          </cell>
          <cell r="T171" t="str">
            <v>Community Outreach &amp; Cultural Engagement</v>
          </cell>
          <cell r="U171" t="str">
            <v>المشاركة الثقافية والتوعية المجتمعية</v>
          </cell>
          <cell r="V171" t="str">
            <v>Abu Dhabi</v>
          </cell>
          <cell r="W171" t="str">
            <v/>
          </cell>
          <cell r="X171" t="str">
            <v>4519202</v>
          </cell>
          <cell r="Y171" t="str">
            <v>Operations_Library Operational Management_Senior Professional</v>
          </cell>
          <cell r="Z171" t="str">
            <v>Senior Professional</v>
          </cell>
          <cell r="AA171" t="str">
            <v>3A</v>
          </cell>
        </row>
        <row r="172">
          <cell r="A172">
            <v>455</v>
          </cell>
          <cell r="B172">
            <v>455</v>
          </cell>
          <cell r="C172" t="str">
            <v>A</v>
          </cell>
          <cell r="D172" t="str">
            <v>Naseer Shamma Ali</v>
          </cell>
          <cell r="E172" t="str">
            <v>نصير شما علي</v>
          </cell>
          <cell r="F172">
            <v>40238</v>
          </cell>
          <cell r="G172" t="str">
            <v>47700453</v>
          </cell>
          <cell r="H172" t="str">
            <v>Bait Al Oud Manager</v>
          </cell>
          <cell r="I172" t="str">
            <v>مدير بيت العود</v>
          </cell>
          <cell r="J172" t="str">
            <v>On-Chart</v>
          </cell>
          <cell r="K172" t="str">
            <v>DCT Payroll</v>
          </cell>
          <cell r="L172" t="str">
            <v>A1</v>
          </cell>
          <cell r="M172" t="str">
            <v>Department of Culture and Tourism</v>
          </cell>
          <cell r="N172" t="str">
            <v>Culture</v>
          </cell>
          <cell r="O172" t="str">
            <v>الثقافة</v>
          </cell>
          <cell r="P172" t="str">
            <v>Culture Sites Management</v>
          </cell>
          <cell r="Q172" t="str">
            <v>إدارة المواقع الثقافية</v>
          </cell>
          <cell r="R172" t="str">
            <v>Bait Al Oud</v>
          </cell>
          <cell r="S172" t="str">
            <v>بيت العود</v>
          </cell>
          <cell r="T172" t="str">
            <v/>
          </cell>
          <cell r="U172" t="str">
            <v/>
          </cell>
          <cell r="V172" t="str">
            <v>Abu Dhabi</v>
          </cell>
          <cell r="W172" t="str">
            <v/>
          </cell>
          <cell r="X172" t="str">
            <v>4511250</v>
          </cell>
          <cell r="Y172" t="str">
            <v>Compliance,Governance&amp;Protocol_Policy  (Culture &amp; Tourism)_Unit Head</v>
          </cell>
          <cell r="Z172" t="str">
            <v>Unit Head</v>
          </cell>
          <cell r="AA172" t="str">
            <v>04</v>
          </cell>
        </row>
        <row r="173">
          <cell r="A173">
            <v>458</v>
          </cell>
          <cell r="B173">
            <v>458</v>
          </cell>
          <cell r="C173" t="str">
            <v>A</v>
          </cell>
          <cell r="D173" t="str">
            <v>Afra Mohamed Alhajeri</v>
          </cell>
          <cell r="E173" t="str">
            <v>عفراء محمد الهاجري</v>
          </cell>
          <cell r="F173">
            <v>40245</v>
          </cell>
          <cell r="G173" t="str">
            <v>10003149</v>
          </cell>
          <cell r="H173" t="str">
            <v>Programmes Management Lead</v>
          </cell>
          <cell r="I173" t="str">
            <v>أخصائي رئيسي إدارة البرامج</v>
          </cell>
          <cell r="J173" t="str">
            <v>On-Chart</v>
          </cell>
          <cell r="K173" t="str">
            <v>ALC Direct Hires</v>
          </cell>
          <cell r="L173" t="str">
            <v>AL1</v>
          </cell>
          <cell r="M173" t="str">
            <v>Abu Dhabi Arabic Language Centre</v>
          </cell>
          <cell r="N173" t="str">
            <v>Abu Dhabi Arabic Language Centre</v>
          </cell>
          <cell r="O173" t="str">
            <v>مركز أبوظبي للغة العربية</v>
          </cell>
          <cell r="P173" t="str">
            <v>Creative Content</v>
          </cell>
          <cell r="Q173" t="str">
            <v>المحتوى الإبداعي</v>
          </cell>
          <cell r="R173" t="str">
            <v>Research - ALC</v>
          </cell>
          <cell r="S173" t="str">
            <v>البحوث</v>
          </cell>
          <cell r="T173" t="str">
            <v/>
          </cell>
          <cell r="U173" t="str">
            <v/>
          </cell>
          <cell r="V173" t="str">
            <v>Abu Dhabi</v>
          </cell>
          <cell r="W173" t="str">
            <v/>
          </cell>
          <cell r="X173" t="str">
            <v>4519199</v>
          </cell>
          <cell r="Y173" t="str">
            <v>Interpretation &amp; Engagement_Arabic Language Research &amp; Studies _Unit Head</v>
          </cell>
          <cell r="Z173" t="str">
            <v>Unit Head</v>
          </cell>
          <cell r="AA173" t="str">
            <v>3A</v>
          </cell>
        </row>
        <row r="174">
          <cell r="A174">
            <v>463</v>
          </cell>
          <cell r="B174">
            <v>463</v>
          </cell>
          <cell r="C174" t="str">
            <v>A</v>
          </cell>
          <cell r="D174" t="str">
            <v>Shaikha Eissa Al Zaabi</v>
          </cell>
          <cell r="E174" t="str">
            <v>شيخة عيسى الزعابي</v>
          </cell>
          <cell r="F174">
            <v>40252</v>
          </cell>
          <cell r="G174" t="str">
            <v>50001016</v>
          </cell>
          <cell r="H174" t="str">
            <v>Arts &amp; Literature After-School Programmes Section Head</v>
          </cell>
          <cell r="I174" t="str">
            <v>رئيس قسم الأنشطة اللاصفية للفنون والأدب العربي</v>
          </cell>
          <cell r="J174" t="str">
            <v>On-Chart</v>
          </cell>
          <cell r="K174" t="str">
            <v>ALC Direct Hires</v>
          </cell>
          <cell r="L174" t="str">
            <v>AL1</v>
          </cell>
          <cell r="M174" t="str">
            <v>Abu Dhabi Arabic Language Centre</v>
          </cell>
          <cell r="N174" t="str">
            <v>Abu Dhabi Arabic Language Centre</v>
          </cell>
          <cell r="O174" t="str">
            <v>مركز أبوظبي للغة العربية</v>
          </cell>
          <cell r="P174" t="str">
            <v>Arabic Language Education &amp; Research</v>
          </cell>
          <cell r="Q174" t="str">
            <v>التعليم وبحوث اللغة العربية</v>
          </cell>
          <cell r="R174" t="str">
            <v>Arts &amp; Literature After-School Programmes</v>
          </cell>
          <cell r="S174" t="str">
            <v>الأنشطة اللاصفية للفنون والأدب العربي</v>
          </cell>
          <cell r="T174" t="str">
            <v/>
          </cell>
          <cell r="U174" t="str">
            <v/>
          </cell>
          <cell r="V174" t="str">
            <v>Abu Dhabi</v>
          </cell>
          <cell r="W174" t="str">
            <v/>
          </cell>
          <cell r="X174" t="str">
            <v>4519197</v>
          </cell>
          <cell r="Y174" t="str">
            <v>Interpretation &amp; Engagement_Arabic Language Examination _Unit Head</v>
          </cell>
          <cell r="Z174" t="str">
            <v>Section Manager</v>
          </cell>
          <cell r="AA174" t="str">
            <v>2A</v>
          </cell>
        </row>
        <row r="175">
          <cell r="A175">
            <v>464</v>
          </cell>
          <cell r="B175">
            <v>464</v>
          </cell>
          <cell r="C175" t="str">
            <v>A</v>
          </cell>
          <cell r="D175" t="str">
            <v>Iman Musbah Al Breiki</v>
          </cell>
          <cell r="E175" t="str">
            <v>ايمان مصبح البريكي</v>
          </cell>
          <cell r="F175">
            <v>40258</v>
          </cell>
          <cell r="G175" t="str">
            <v>47700462</v>
          </cell>
          <cell r="H175" t="str">
            <v>Cataloguing Senior Specialist</v>
          </cell>
          <cell r="I175" t="str">
            <v>أخصائي أول الفهرسة</v>
          </cell>
          <cell r="J175" t="str">
            <v>On-Chart</v>
          </cell>
          <cell r="K175" t="str">
            <v>DCT Payroll</v>
          </cell>
          <cell r="L175" t="str">
            <v>A1</v>
          </cell>
          <cell r="M175" t="str">
            <v>Department of Culture and Tourism</v>
          </cell>
          <cell r="N175" t="str">
            <v>Culture</v>
          </cell>
          <cell r="O175" t="str">
            <v>الثقافة</v>
          </cell>
          <cell r="P175" t="str">
            <v>Library Management</v>
          </cell>
          <cell r="Q175" t="str">
            <v>إدارة المكتبات</v>
          </cell>
          <cell r="R175" t="str">
            <v>Technical Services</v>
          </cell>
          <cell r="S175" t="str">
            <v>الخدمات الفنية</v>
          </cell>
          <cell r="T175" t="str">
            <v>Cataloguing</v>
          </cell>
          <cell r="U175" t="str">
            <v>الفهرسة</v>
          </cell>
          <cell r="V175" t="str">
            <v>Abu Dhabi</v>
          </cell>
          <cell r="W175" t="str">
            <v/>
          </cell>
          <cell r="X175" t="str">
            <v>4516100</v>
          </cell>
          <cell r="Y175" t="str">
            <v>Operations_Library Operational Management_Senior Professional</v>
          </cell>
          <cell r="Z175" t="str">
            <v>Senior Professional</v>
          </cell>
          <cell r="AA175" t="str">
            <v>3A</v>
          </cell>
        </row>
        <row r="176">
          <cell r="A176">
            <v>467</v>
          </cell>
          <cell r="B176">
            <v>467</v>
          </cell>
          <cell r="C176" t="str">
            <v>A</v>
          </cell>
          <cell r="D176" t="str">
            <v>Ilham Zain Al Zubaidi</v>
          </cell>
          <cell r="E176" t="str">
            <v>الهام زين الزبيدي</v>
          </cell>
          <cell r="F176">
            <v>40272</v>
          </cell>
          <cell r="G176" t="str">
            <v>47700465</v>
          </cell>
          <cell r="H176" t="str">
            <v>Business Development &amp; Sales – Publishing Specialist</v>
          </cell>
          <cell r="I176" t="str">
            <v>أخصائي تطوير الأعمال والمبيعات – النشر</v>
          </cell>
          <cell r="J176" t="str">
            <v>On-Chart</v>
          </cell>
          <cell r="K176" t="str">
            <v>ALC Direct Hires</v>
          </cell>
          <cell r="L176" t="str">
            <v>AL1</v>
          </cell>
          <cell r="M176" t="str">
            <v>Abu Dhabi Arabic Language Centre</v>
          </cell>
          <cell r="N176" t="str">
            <v>Abu Dhabi Arabic Language Centre</v>
          </cell>
          <cell r="O176" t="str">
            <v>مركز أبوظبي للغة العربية</v>
          </cell>
          <cell r="P176" t="str">
            <v>Book Fairs &amp; Events</v>
          </cell>
          <cell r="Q176" t="str">
            <v>الفعاليات ومعارض الكتب</v>
          </cell>
          <cell r="R176" t="str">
            <v>Commercial &amp; Business Development - ALC</v>
          </cell>
          <cell r="S176" t="str">
            <v>التنمية التجارية وتطوير الأعمال</v>
          </cell>
          <cell r="T176" t="str">
            <v>Business Development &amp; Sales – Publishing</v>
          </cell>
          <cell r="U176" t="str">
            <v>تطوير الأعمال  والمبيعات - النشر</v>
          </cell>
          <cell r="V176" t="str">
            <v>Abu Dhabi</v>
          </cell>
          <cell r="W176" t="str">
            <v/>
          </cell>
          <cell r="X176" t="str">
            <v>4519200</v>
          </cell>
          <cell r="Y176" t="str">
            <v>Senior Specialization Commercial</v>
          </cell>
          <cell r="Z176" t="str">
            <v>Senior Professional</v>
          </cell>
          <cell r="AA176" t="str">
            <v>3A</v>
          </cell>
        </row>
        <row r="177">
          <cell r="A177">
            <v>468</v>
          </cell>
          <cell r="B177">
            <v>468</v>
          </cell>
          <cell r="C177" t="str">
            <v>A</v>
          </cell>
          <cell r="D177" t="str">
            <v>Mariam Sultan Al Zaabi</v>
          </cell>
          <cell r="E177" t="str">
            <v>مريم سلطان الزعابي</v>
          </cell>
          <cell r="F177">
            <v>40272</v>
          </cell>
          <cell r="G177" t="str">
            <v>10007157</v>
          </cell>
          <cell r="H177" t="str">
            <v>Acquisition Lead</v>
          </cell>
          <cell r="I177" t="str">
            <v>أخصائي رئيسي تزويد</v>
          </cell>
          <cell r="J177" t="str">
            <v>On-Chart</v>
          </cell>
          <cell r="K177" t="str">
            <v>DCT Payroll</v>
          </cell>
          <cell r="L177" t="str">
            <v>A1</v>
          </cell>
          <cell r="M177" t="str">
            <v>Department of Culture and Tourism</v>
          </cell>
          <cell r="N177" t="str">
            <v>Culture</v>
          </cell>
          <cell r="O177" t="str">
            <v>الثقافة</v>
          </cell>
          <cell r="P177" t="str">
            <v>Library Management</v>
          </cell>
          <cell r="Q177" t="str">
            <v>إدارة المكتبات</v>
          </cell>
          <cell r="R177" t="str">
            <v>Technical Services</v>
          </cell>
          <cell r="S177" t="str">
            <v>الخدمات الفنية</v>
          </cell>
          <cell r="T177" t="str">
            <v>Acquisition</v>
          </cell>
          <cell r="U177" t="str">
            <v>التزويد</v>
          </cell>
          <cell r="V177" t="str">
            <v>Abu Dhabi</v>
          </cell>
          <cell r="W177" t="str">
            <v/>
          </cell>
          <cell r="X177" t="str">
            <v>4516100</v>
          </cell>
          <cell r="Y177" t="str">
            <v>Operations_Library Operational Management_Unit Head</v>
          </cell>
          <cell r="Z177" t="str">
            <v>Unit Head</v>
          </cell>
          <cell r="AA177" t="str">
            <v>3A</v>
          </cell>
        </row>
        <row r="178">
          <cell r="A178">
            <v>469</v>
          </cell>
          <cell r="B178">
            <v>469</v>
          </cell>
          <cell r="C178" t="str">
            <v>A</v>
          </cell>
          <cell r="D178" t="str">
            <v>Fatima Mohamed Al Mehairbi</v>
          </cell>
          <cell r="E178" t="str">
            <v>فاطمة محمد المحيربي</v>
          </cell>
          <cell r="F178">
            <v>40279</v>
          </cell>
          <cell r="G178" t="str">
            <v>10007183</v>
          </cell>
          <cell r="H178" t="str">
            <v>Acquisition Senior Specialist</v>
          </cell>
          <cell r="I178" t="str">
            <v>أخصائي أول تزويد</v>
          </cell>
          <cell r="J178" t="str">
            <v>On-Chart</v>
          </cell>
          <cell r="K178" t="str">
            <v>DCT Payroll</v>
          </cell>
          <cell r="L178" t="str">
            <v>A1</v>
          </cell>
          <cell r="M178" t="str">
            <v>Department of Culture and Tourism</v>
          </cell>
          <cell r="N178" t="str">
            <v>Culture</v>
          </cell>
          <cell r="O178" t="str">
            <v>الثقافة</v>
          </cell>
          <cell r="P178" t="str">
            <v>Library Management</v>
          </cell>
          <cell r="Q178" t="str">
            <v>إدارة المكتبات</v>
          </cell>
          <cell r="R178" t="str">
            <v>Technical Services</v>
          </cell>
          <cell r="S178" t="str">
            <v>الخدمات الفنية</v>
          </cell>
          <cell r="T178" t="str">
            <v>Acquisition</v>
          </cell>
          <cell r="U178" t="str">
            <v>التزويد</v>
          </cell>
          <cell r="V178" t="str">
            <v>Abu Dhabi</v>
          </cell>
          <cell r="W178" t="str">
            <v/>
          </cell>
          <cell r="X178" t="str">
            <v>4516100</v>
          </cell>
          <cell r="Y178" t="str">
            <v>Operations_Library Operational Management_Senior Professional</v>
          </cell>
          <cell r="Z178" t="str">
            <v>Senior Professional</v>
          </cell>
          <cell r="AA178" t="str">
            <v>3B</v>
          </cell>
        </row>
        <row r="179">
          <cell r="A179">
            <v>474</v>
          </cell>
          <cell r="B179">
            <v>474</v>
          </cell>
          <cell r="C179" t="str">
            <v>A</v>
          </cell>
          <cell r="D179" t="str">
            <v>Hamda Hammad AL Mansoori</v>
          </cell>
          <cell r="E179" t="str">
            <v>حمده حماد المنصوري</v>
          </cell>
          <cell r="F179">
            <v>40296</v>
          </cell>
          <cell r="G179" t="str">
            <v>47700472</v>
          </cell>
          <cell r="H179" t="str">
            <v>Gifts &amp; Exchange Senior Specialist</v>
          </cell>
          <cell r="I179" t="str">
            <v>أخصائي أول التبادل والهدايا</v>
          </cell>
          <cell r="J179" t="str">
            <v>On-Chart</v>
          </cell>
          <cell r="K179" t="str">
            <v>DCT Payroll</v>
          </cell>
          <cell r="L179" t="str">
            <v>A1</v>
          </cell>
          <cell r="M179" t="str">
            <v>Department of Culture and Tourism</v>
          </cell>
          <cell r="N179" t="str">
            <v>Culture</v>
          </cell>
          <cell r="O179" t="str">
            <v>الثقافة</v>
          </cell>
          <cell r="P179" t="str">
            <v>Library Management</v>
          </cell>
          <cell r="Q179" t="str">
            <v>إدارة المكتبات</v>
          </cell>
          <cell r="R179" t="str">
            <v>Technical Services</v>
          </cell>
          <cell r="S179" t="str">
            <v>الخدمات الفنية</v>
          </cell>
          <cell r="T179" t="str">
            <v>Gifts &amp; Exchange</v>
          </cell>
          <cell r="U179" t="str">
            <v>التبادل والهدايا</v>
          </cell>
          <cell r="V179" t="str">
            <v>Abu Dhabi</v>
          </cell>
          <cell r="W179" t="str">
            <v/>
          </cell>
          <cell r="X179" t="str">
            <v>4516100</v>
          </cell>
          <cell r="Y179" t="str">
            <v>Operations_Library Operational Management_Senior Professional</v>
          </cell>
          <cell r="Z179" t="str">
            <v>Senior Professional</v>
          </cell>
          <cell r="AA179" t="str">
            <v>3A</v>
          </cell>
        </row>
        <row r="180">
          <cell r="A180">
            <v>477</v>
          </cell>
          <cell r="B180">
            <v>477</v>
          </cell>
          <cell r="C180" t="str">
            <v>A</v>
          </cell>
          <cell r="D180" t="str">
            <v>Ahmed Sebran Al Qubaisi</v>
          </cell>
          <cell r="E180" t="str">
            <v>احمد سبران القبيسي</v>
          </cell>
          <cell r="F180">
            <v>40300</v>
          </cell>
          <cell r="G180" t="str">
            <v>10006690</v>
          </cell>
          <cell r="H180" t="str">
            <v>Al Dhafra Regional Affairs &amp; Stakeholders Management Senior Specialist</v>
          </cell>
          <cell r="I180" t="str">
            <v>أخصائي أول الشراكات وشؤون منطقة الظفرة</v>
          </cell>
          <cell r="J180" t="str">
            <v>On-Chart</v>
          </cell>
          <cell r="K180" t="str">
            <v>DCT Payroll</v>
          </cell>
          <cell r="L180" t="str">
            <v>A1</v>
          </cell>
          <cell r="M180" t="str">
            <v>Department of Culture and Tourism</v>
          </cell>
          <cell r="N180" t="str">
            <v>Support Services</v>
          </cell>
          <cell r="O180" t="str">
            <v>الخدمات المساندة</v>
          </cell>
          <cell r="P180" t="str">
            <v>Supply Management</v>
          </cell>
          <cell r="Q180" t="str">
            <v>إدارة الإمداد</v>
          </cell>
          <cell r="R180" t="str">
            <v>Facilities Management</v>
          </cell>
          <cell r="S180" t="str">
            <v>إدارة المرافق</v>
          </cell>
          <cell r="T180" t="str">
            <v>Facilities Management (Abu Dhabi)</v>
          </cell>
          <cell r="U180" t="str">
            <v>إدارة المرافق - أبوظبي</v>
          </cell>
          <cell r="V180" t="str">
            <v>Abu Dhabi</v>
          </cell>
          <cell r="W180" t="str">
            <v/>
          </cell>
          <cell r="X180" t="str">
            <v>4510240</v>
          </cell>
          <cell r="Y180" t="str">
            <v>Procurement_Procurement General_Senior Professional</v>
          </cell>
          <cell r="Z180" t="str">
            <v>Senior Professional</v>
          </cell>
          <cell r="AA180" t="str">
            <v>3A</v>
          </cell>
        </row>
        <row r="181">
          <cell r="A181">
            <v>478</v>
          </cell>
          <cell r="B181">
            <v>478</v>
          </cell>
          <cell r="C181" t="str">
            <v>A</v>
          </cell>
          <cell r="D181" t="str">
            <v>Fatima Maktoum Al Nuaimi</v>
          </cell>
          <cell r="E181" t="str">
            <v>فاطمة مكتوم النعيمي</v>
          </cell>
          <cell r="F181">
            <v>40300</v>
          </cell>
          <cell r="G181" t="str">
            <v>47700476</v>
          </cell>
          <cell r="H181" t="str">
            <v>References &amp; Library Education Senior Specialist</v>
          </cell>
          <cell r="I181" t="str">
            <v>أخصائي أول المراجع والتعليم</v>
          </cell>
          <cell r="J181" t="str">
            <v>On-Chart</v>
          </cell>
          <cell r="K181" t="str">
            <v>DCT Payroll</v>
          </cell>
          <cell r="L181" t="str">
            <v>A1</v>
          </cell>
          <cell r="M181" t="str">
            <v>Department of Culture and Tourism</v>
          </cell>
          <cell r="N181" t="str">
            <v>Culture</v>
          </cell>
          <cell r="O181" t="str">
            <v>الثقافة</v>
          </cell>
          <cell r="P181" t="str">
            <v>Library Management</v>
          </cell>
          <cell r="Q181" t="str">
            <v>إدارة المكتبات</v>
          </cell>
          <cell r="R181" t="str">
            <v>Zayed Central Library - Al Ain</v>
          </cell>
          <cell r="S181" t="str">
            <v>مكتبة زايد المركزية - العين</v>
          </cell>
          <cell r="T181" t="str">
            <v>Reference &amp; Library Education</v>
          </cell>
          <cell r="U181" t="str">
            <v>المراجع والتعليم</v>
          </cell>
          <cell r="V181" t="str">
            <v>Al Ain</v>
          </cell>
          <cell r="W181" t="str">
            <v/>
          </cell>
          <cell r="X181" t="str">
            <v>4516100</v>
          </cell>
          <cell r="Y181" t="str">
            <v>Operations_Library Operational Management_Senior Professional</v>
          </cell>
          <cell r="Z181" t="str">
            <v>Senior Professional</v>
          </cell>
          <cell r="AA181" t="str">
            <v>3A</v>
          </cell>
        </row>
        <row r="182">
          <cell r="A182">
            <v>479</v>
          </cell>
          <cell r="B182">
            <v>479</v>
          </cell>
          <cell r="C182" t="str">
            <v>A</v>
          </cell>
          <cell r="D182" t="str">
            <v>Alhadh Musabbeh Al Kuwaiti</v>
          </cell>
          <cell r="E182" t="str">
            <v>الحظ مصبح الكويتي</v>
          </cell>
          <cell r="F182">
            <v>40307</v>
          </cell>
          <cell r="G182" t="str">
            <v>10005302</v>
          </cell>
          <cell r="H182" t="str">
            <v>Senior Researcher</v>
          </cell>
          <cell r="I182" t="str">
            <v>باحث أول</v>
          </cell>
          <cell r="J182" t="str">
            <v>On-Chart</v>
          </cell>
          <cell r="K182" t="str">
            <v>DCT Payroll</v>
          </cell>
          <cell r="L182" t="str">
            <v>A1</v>
          </cell>
          <cell r="M182" t="str">
            <v>Department of Culture and Tourism</v>
          </cell>
          <cell r="N182" t="str">
            <v>Culture</v>
          </cell>
          <cell r="O182" t="str">
            <v>الثقافة</v>
          </cell>
          <cell r="P182" t="str">
            <v>Intangible Cultural Heritage</v>
          </cell>
          <cell r="Q182" t="str">
            <v>التراث الثقافي المعنوي</v>
          </cell>
          <cell r="R182" t="str">
            <v>ICH Research &amp; Documentation</v>
          </cell>
          <cell r="S182" t="str">
            <v>بحوث وتوثيق التراث الثقافي المعنوي</v>
          </cell>
          <cell r="T182" t="str">
            <v>ICH Research</v>
          </cell>
          <cell r="U182" t="str">
            <v>بحوث التراث الثقافي المعنوي</v>
          </cell>
          <cell r="V182" t="str">
            <v>Al Ain</v>
          </cell>
          <cell r="W182" t="str">
            <v/>
          </cell>
          <cell r="X182" t="str">
            <v>4511600</v>
          </cell>
          <cell r="Y182" t="str">
            <v>Content &amp; Care_World Heritage Sites Planning &amp; Monitoring_Senior Professional</v>
          </cell>
          <cell r="Z182" t="str">
            <v>Senior Professional</v>
          </cell>
          <cell r="AA182" t="str">
            <v>3A</v>
          </cell>
        </row>
        <row r="183">
          <cell r="A183">
            <v>483</v>
          </cell>
          <cell r="B183">
            <v>483</v>
          </cell>
          <cell r="C183" t="str">
            <v>A</v>
          </cell>
          <cell r="D183" t="str">
            <v>Michelle Farrell</v>
          </cell>
          <cell r="E183" t="str">
            <v>ميشيل  فاريل</v>
          </cell>
          <cell r="F183">
            <v>40308</v>
          </cell>
          <cell r="G183" t="str">
            <v>10005058</v>
          </cell>
          <cell r="H183" t="str">
            <v>Patrons &amp; Collectors' Circle Unit Head</v>
          </cell>
          <cell r="I183" t="str">
            <v>رئيس وحدة جامعي المقتنيات والرعاة</v>
          </cell>
          <cell r="J183" t="str">
            <v>On-Chart</v>
          </cell>
          <cell r="K183" t="str">
            <v>DCT Payroll</v>
          </cell>
          <cell r="L183" t="str">
            <v>A1</v>
          </cell>
          <cell r="M183" t="str">
            <v>Department of Culture and Tourism</v>
          </cell>
          <cell r="N183" t="str">
            <v>Culture</v>
          </cell>
          <cell r="O183" t="str">
            <v>الثقافة</v>
          </cell>
          <cell r="P183" t="str">
            <v>Culture Programming</v>
          </cell>
          <cell r="Q183" t="str">
            <v>البرامج الثقافية</v>
          </cell>
          <cell r="R183" t="str">
            <v>Abu Dhabi Art</v>
          </cell>
          <cell r="S183" t="str">
            <v>فن أبوظبي</v>
          </cell>
          <cell r="T183" t="str">
            <v>Patrons &amp; Collector's Circle</v>
          </cell>
          <cell r="U183" t="str">
            <v>جامعي المقتنيات والرعاة</v>
          </cell>
          <cell r="V183" t="str">
            <v>Abu Dhabi</v>
          </cell>
          <cell r="W183" t="str">
            <v/>
          </cell>
          <cell r="X183" t="str">
            <v>4511700</v>
          </cell>
          <cell r="Y183" t="str">
            <v>Senior Specialization Festivals &amp; Events</v>
          </cell>
          <cell r="Z183" t="str">
            <v>Unit Head</v>
          </cell>
          <cell r="AA183" t="str">
            <v>3A</v>
          </cell>
        </row>
        <row r="184">
          <cell r="A184">
            <v>484</v>
          </cell>
          <cell r="B184">
            <v>484</v>
          </cell>
          <cell r="C184" t="str">
            <v>A</v>
          </cell>
          <cell r="D184" t="str">
            <v>Nawal Saif Al Ketbi</v>
          </cell>
          <cell r="E184" t="str">
            <v>نوال سيف الكتبي</v>
          </cell>
          <cell r="F184">
            <v>40309</v>
          </cell>
          <cell r="G184" t="str">
            <v>50004271</v>
          </cell>
          <cell r="H184" t="str">
            <v>Library Senior Specialist</v>
          </cell>
          <cell r="I184" t="str">
            <v>أخصائي أول شؤون المكتبة</v>
          </cell>
          <cell r="J184" t="str">
            <v>On-Chart</v>
          </cell>
          <cell r="K184" t="str">
            <v>DCT Payroll</v>
          </cell>
          <cell r="L184" t="str">
            <v>A1</v>
          </cell>
          <cell r="M184" t="str">
            <v>Department of Culture and Tourism</v>
          </cell>
          <cell r="N184" t="str">
            <v>Culture</v>
          </cell>
          <cell r="O184" t="str">
            <v>الثقافة</v>
          </cell>
          <cell r="P184" t="str">
            <v>Library Management</v>
          </cell>
          <cell r="Q184" t="str">
            <v>إدارة المكتبات</v>
          </cell>
          <cell r="R184" t="str">
            <v>Branches Library</v>
          </cell>
          <cell r="S184" t="str">
            <v>فروع المكتبات</v>
          </cell>
          <cell r="T184" t="str">
            <v>Al Marfaa Library</v>
          </cell>
          <cell r="U184" t="str">
            <v>مكتبة المرفى</v>
          </cell>
          <cell r="V184" t="str">
            <v>Abu Dhabi</v>
          </cell>
          <cell r="W184" t="str">
            <v/>
          </cell>
          <cell r="X184" t="str">
            <v>4516100</v>
          </cell>
          <cell r="Y184" t="str">
            <v>Operations_Library Operational Management_Senior Professional</v>
          </cell>
          <cell r="Z184" t="str">
            <v>Senior Professional</v>
          </cell>
          <cell r="AA184" t="str">
            <v>3A</v>
          </cell>
        </row>
        <row r="185">
          <cell r="A185">
            <v>487</v>
          </cell>
          <cell r="B185">
            <v>487</v>
          </cell>
          <cell r="C185" t="str">
            <v>A</v>
          </cell>
          <cell r="D185" t="str">
            <v>Walid Al Halani</v>
          </cell>
          <cell r="E185" t="str">
            <v>وليد  الحلاني</v>
          </cell>
          <cell r="F185">
            <v>40322</v>
          </cell>
          <cell r="G185" t="str">
            <v>50001202</v>
          </cell>
          <cell r="H185" t="str">
            <v>ICH Interpretation Unit Head</v>
          </cell>
          <cell r="I185" t="str">
            <v>رئيس وحدة تطوير محتوى التراث الثقافي المعنوي</v>
          </cell>
          <cell r="J185" t="str">
            <v>On-Chart</v>
          </cell>
          <cell r="K185" t="str">
            <v>DCT Payroll</v>
          </cell>
          <cell r="L185" t="str">
            <v>A1</v>
          </cell>
          <cell r="M185" t="str">
            <v>Department of Culture and Tourism</v>
          </cell>
          <cell r="N185" t="str">
            <v>Culture</v>
          </cell>
          <cell r="O185" t="str">
            <v>الثقافة</v>
          </cell>
          <cell r="P185" t="str">
            <v>Intangible Cultural Heritage</v>
          </cell>
          <cell r="Q185" t="str">
            <v>التراث الثقافي المعنوي</v>
          </cell>
          <cell r="R185" t="str">
            <v>ICH Interpretation &amp; Public Engagement</v>
          </cell>
          <cell r="S185" t="str">
            <v>تطوير محتوى التراث الثقافي المعنوي والمشاركة المجتمعية</v>
          </cell>
          <cell r="T185" t="str">
            <v>ICH Interpretation</v>
          </cell>
          <cell r="U185" t="str">
            <v>تطوير محتوى التراث الثقافي المعنوي</v>
          </cell>
          <cell r="V185" t="str">
            <v>Abu Dhabi</v>
          </cell>
          <cell r="W185" t="str">
            <v/>
          </cell>
          <cell r="X185" t="str">
            <v>4511600</v>
          </cell>
          <cell r="Y185" t="str">
            <v>Content &amp; Care_World Heritage Planning &amp; Monitoring _Unit Head</v>
          </cell>
          <cell r="Z185" t="str">
            <v>Unit Head</v>
          </cell>
          <cell r="AA185" t="str">
            <v>3A</v>
          </cell>
        </row>
        <row r="186">
          <cell r="A186">
            <v>488</v>
          </cell>
          <cell r="B186">
            <v>488</v>
          </cell>
          <cell r="C186" t="str">
            <v>A</v>
          </cell>
          <cell r="D186" t="str">
            <v>Abdelaziz Humaid AL Shuwaihi</v>
          </cell>
          <cell r="E186" t="str">
            <v>عبدالعزيز حميد الشويهي</v>
          </cell>
          <cell r="F186">
            <v>40328</v>
          </cell>
          <cell r="G186" t="str">
            <v>10007210</v>
          </cell>
          <cell r="H186" t="str">
            <v>Senior Inspector</v>
          </cell>
          <cell r="I186" t="str">
            <v>مفتش أول</v>
          </cell>
          <cell r="J186" t="str">
            <v>On-Chart</v>
          </cell>
          <cell r="K186" t="str">
            <v>DCT Payroll</v>
          </cell>
          <cell r="L186" t="str">
            <v>A1</v>
          </cell>
          <cell r="M186" t="str">
            <v>Department of Culture and Tourism</v>
          </cell>
          <cell r="N186" t="str">
            <v>Tourism</v>
          </cell>
          <cell r="O186" t="str">
            <v>السياحة</v>
          </cell>
          <cell r="P186" t="str">
            <v>Licensing &amp; Regulatory Compliance</v>
          </cell>
          <cell r="Q186" t="str">
            <v>الرقابة والترخيص</v>
          </cell>
          <cell r="R186" t="str">
            <v>Abu Dhabi Inspection</v>
          </cell>
          <cell r="S186" t="str">
            <v>التفتيش</v>
          </cell>
          <cell r="T186" t="str">
            <v>Abu Dhabi Inspection (Special Permits)</v>
          </cell>
          <cell r="U186" t="str">
            <v>التفتيش أبوظبي (التصاريح الخاصة)</v>
          </cell>
          <cell r="V186" t="str">
            <v>Abu Dhabi</v>
          </cell>
          <cell r="W186" t="str">
            <v/>
          </cell>
          <cell r="X186" t="str">
            <v>4510170</v>
          </cell>
          <cell r="Y186" t="str">
            <v>Compliance,Governance&amp;Protocol_Licensing &amp; Regulatory Compliance _Senior Professional</v>
          </cell>
          <cell r="Z186" t="str">
            <v>Senior Professional</v>
          </cell>
          <cell r="AA186" t="str">
            <v>3C</v>
          </cell>
        </row>
        <row r="187">
          <cell r="A187">
            <v>489</v>
          </cell>
          <cell r="B187">
            <v>489</v>
          </cell>
          <cell r="C187" t="str">
            <v>A</v>
          </cell>
          <cell r="D187" t="str">
            <v>Fatima Saad AlMehri</v>
          </cell>
          <cell r="E187" t="str">
            <v>فاطمه سعد المهري</v>
          </cell>
          <cell r="F187">
            <v>40330</v>
          </cell>
          <cell r="G187" t="str">
            <v>50002157</v>
          </cell>
          <cell r="H187" t="str">
            <v>Planning &amp; Operations (India Sub-Content) Executive</v>
          </cell>
          <cell r="I187" t="str">
            <v>تنفيذي التخطيط والعمليات (منطقة الهند والدول المجاورة)</v>
          </cell>
          <cell r="J187" t="str">
            <v>On-Chart</v>
          </cell>
          <cell r="K187" t="str">
            <v>DCT Payroll</v>
          </cell>
          <cell r="L187" t="str">
            <v>A1</v>
          </cell>
          <cell r="M187" t="str">
            <v>Department of Culture and Tourism</v>
          </cell>
          <cell r="N187" t="str">
            <v>Tourism</v>
          </cell>
          <cell r="O187" t="str">
            <v>السياحة</v>
          </cell>
          <cell r="P187" t="str">
            <v>International Operations</v>
          </cell>
          <cell r="Q187" t="str">
            <v>العمليات الدولية</v>
          </cell>
          <cell r="R187" t="str">
            <v>APAC</v>
          </cell>
          <cell r="S187" t="str">
            <v>منطقة آسيا والمحيط الهادئ</v>
          </cell>
          <cell r="T187" t="str">
            <v>India Sub-Content</v>
          </cell>
          <cell r="U187" t="str">
            <v>منطقة الهند والدول المجاورة</v>
          </cell>
          <cell r="V187" t="str">
            <v>Abu Dhabi</v>
          </cell>
          <cell r="W187" t="str">
            <v/>
          </cell>
          <cell r="X187" t="str">
            <v>4515100</v>
          </cell>
          <cell r="Y187" t="str">
            <v>Compliance,Governance&amp;Protocol_Policy (Culture/Tourism) _Professional</v>
          </cell>
          <cell r="Z187" t="str">
            <v>Professional</v>
          </cell>
          <cell r="AA187" t="str">
            <v>4A</v>
          </cell>
        </row>
        <row r="188">
          <cell r="A188">
            <v>490</v>
          </cell>
          <cell r="B188">
            <v>490</v>
          </cell>
          <cell r="C188" t="str">
            <v>A</v>
          </cell>
          <cell r="D188" t="str">
            <v>Maha Hasan Al Aidaroos</v>
          </cell>
          <cell r="E188" t="str">
            <v>مها حسن العيدروس</v>
          </cell>
          <cell r="F188">
            <v>40330</v>
          </cell>
          <cell r="G188" t="str">
            <v>47700488</v>
          </cell>
          <cell r="H188" t="str">
            <v>IT Governance Section Head</v>
          </cell>
          <cell r="I188" t="str">
            <v>رئيس قسم حوكمة تكنولوجيا المعلومات</v>
          </cell>
          <cell r="J188" t="str">
            <v>On-Chart</v>
          </cell>
          <cell r="K188" t="str">
            <v>DCT Payroll</v>
          </cell>
          <cell r="L188" t="str">
            <v>A1</v>
          </cell>
          <cell r="M188" t="str">
            <v>Department of Culture and Tourism</v>
          </cell>
          <cell r="N188" t="str">
            <v>Support Services</v>
          </cell>
          <cell r="O188" t="str">
            <v>الخدمات المساندة</v>
          </cell>
          <cell r="P188" t="str">
            <v>Technology</v>
          </cell>
          <cell r="Q188" t="str">
            <v>التكنولوجيا</v>
          </cell>
          <cell r="R188" t="str">
            <v>IT Governance</v>
          </cell>
          <cell r="S188" t="str">
            <v>حوكمة تكنولوجيا المعلومات</v>
          </cell>
          <cell r="T188" t="str">
            <v/>
          </cell>
          <cell r="U188" t="str">
            <v/>
          </cell>
          <cell r="V188" t="str">
            <v>Abu Dhabi</v>
          </cell>
          <cell r="W188" t="str">
            <v/>
          </cell>
          <cell r="X188" t="str">
            <v>4510250</v>
          </cell>
          <cell r="Y188" t="str">
            <v>Information Technology_Digital &amp; Technology Section Head_Section Head</v>
          </cell>
          <cell r="Z188" t="str">
            <v>Section Manager</v>
          </cell>
          <cell r="AA188" t="str">
            <v>2A</v>
          </cell>
        </row>
        <row r="189">
          <cell r="A189">
            <v>493</v>
          </cell>
          <cell r="B189">
            <v>493</v>
          </cell>
          <cell r="C189" t="str">
            <v>A</v>
          </cell>
          <cell r="D189" t="str">
            <v>Alanood Abdulrahman Al Hammadi</v>
          </cell>
          <cell r="E189" t="str">
            <v>العنود عبدالرحمن الحمادي</v>
          </cell>
          <cell r="F189">
            <v>40336</v>
          </cell>
          <cell r="G189" t="str">
            <v>47700674</v>
          </cell>
          <cell r="H189" t="str">
            <v>Abu Dhabi Art Gallery &amp; Project Unit Head</v>
          </cell>
          <cell r="I189" t="str">
            <v>رئيس وحدة معرض ومشروع فن أبوظبي</v>
          </cell>
          <cell r="J189" t="str">
            <v>On-Chart</v>
          </cell>
          <cell r="K189" t="str">
            <v>DCT Payroll</v>
          </cell>
          <cell r="L189" t="str">
            <v>A1</v>
          </cell>
          <cell r="M189" t="str">
            <v>Department of Culture and Tourism</v>
          </cell>
          <cell r="N189" t="str">
            <v>Culture</v>
          </cell>
          <cell r="O189" t="str">
            <v>الثقافة</v>
          </cell>
          <cell r="P189" t="str">
            <v>Culture Programming</v>
          </cell>
          <cell r="Q189" t="str">
            <v>البرامج الثقافية</v>
          </cell>
          <cell r="R189" t="str">
            <v>Abu Dhabi Art</v>
          </cell>
          <cell r="S189" t="str">
            <v>فن أبوظبي</v>
          </cell>
          <cell r="T189" t="str">
            <v>Abu Dhabi Art Gallery &amp; Project</v>
          </cell>
          <cell r="U189" t="str">
            <v>معرض ومشروع فن أبوظبي</v>
          </cell>
          <cell r="V189" t="str">
            <v>Abu Dhabi</v>
          </cell>
          <cell r="W189" t="str">
            <v/>
          </cell>
          <cell r="X189" t="str">
            <v>4511700</v>
          </cell>
          <cell r="Y189" t="str">
            <v>Compliance,Governance&amp;Protocol_Policy  (Culture &amp; Tourism)_Unit Head</v>
          </cell>
          <cell r="Z189" t="str">
            <v>Unit Head</v>
          </cell>
          <cell r="AA189" t="str">
            <v>3A</v>
          </cell>
        </row>
        <row r="190">
          <cell r="A190">
            <v>495</v>
          </cell>
          <cell r="B190">
            <v>495</v>
          </cell>
          <cell r="C190" t="str">
            <v>A</v>
          </cell>
          <cell r="D190" t="str">
            <v>Sharifa Abdulla Bin Horaiz</v>
          </cell>
          <cell r="E190" t="str">
            <v>شريفة عبدالله بن حريز</v>
          </cell>
          <cell r="F190">
            <v>40336</v>
          </cell>
          <cell r="G190" t="str">
            <v>47700493</v>
          </cell>
          <cell r="H190" t="str">
            <v>Interpretation Section Head - Museums &amp; Exhibitions</v>
          </cell>
          <cell r="I190" t="str">
            <v>رئيس قسم الإرشاد الثقافي - المتاحف والمعارض</v>
          </cell>
          <cell r="J190" t="str">
            <v>On-Chart</v>
          </cell>
          <cell r="K190" t="str">
            <v>DCT Payroll</v>
          </cell>
          <cell r="L190" t="str">
            <v>A1</v>
          </cell>
          <cell r="M190" t="str">
            <v>Department of Culture and Tourism</v>
          </cell>
          <cell r="N190" t="str">
            <v>Culture</v>
          </cell>
          <cell r="O190" t="str">
            <v>الثقافة</v>
          </cell>
          <cell r="P190" t="str">
            <v>Education &amp; Outreach</v>
          </cell>
          <cell r="Q190" t="str">
            <v>التعليم والتوعية الثقافية</v>
          </cell>
          <cell r="R190" t="str">
            <v>Interpretation - Museums &amp; Exhibitions</v>
          </cell>
          <cell r="S190" t="str">
            <v>الإرشاد الثقافي - المتاحف والمعارض</v>
          </cell>
          <cell r="T190" t="str">
            <v/>
          </cell>
          <cell r="U190" t="str">
            <v/>
          </cell>
          <cell r="V190" t="str">
            <v>Abu Dhabi</v>
          </cell>
          <cell r="W190" t="str">
            <v/>
          </cell>
          <cell r="X190" t="str">
            <v>4511800</v>
          </cell>
          <cell r="Y190" t="str">
            <v>Interpretation &amp; Engagement_Outreach &amp; Cultural Engagement_Section Manager</v>
          </cell>
          <cell r="Z190" t="str">
            <v>Section Manager</v>
          </cell>
          <cell r="AA190" t="str">
            <v>2A</v>
          </cell>
        </row>
        <row r="191">
          <cell r="A191">
            <v>496</v>
          </cell>
          <cell r="B191">
            <v>496</v>
          </cell>
          <cell r="C191" t="str">
            <v>A</v>
          </cell>
          <cell r="D191" t="str">
            <v>Anood Khalifa AL Ahmed</v>
          </cell>
          <cell r="E191" t="str">
            <v>عنود خليفه الأحمد</v>
          </cell>
          <cell r="F191">
            <v>40344</v>
          </cell>
          <cell r="G191" t="str">
            <v>50003729</v>
          </cell>
          <cell r="H191" t="str">
            <v>International Operations (China &amp; Southeast Asia) Unit Head</v>
          </cell>
          <cell r="I191" t="str">
            <v>رئيس وحدة  العمليات الدولية  (منطقة الصين وجنوب شرق آسيا)</v>
          </cell>
          <cell r="J191" t="str">
            <v>On-Chart</v>
          </cell>
          <cell r="K191" t="str">
            <v>DCT Payroll</v>
          </cell>
          <cell r="L191" t="str">
            <v>A1</v>
          </cell>
          <cell r="M191" t="str">
            <v>Department of Culture and Tourism</v>
          </cell>
          <cell r="N191" t="str">
            <v>Tourism</v>
          </cell>
          <cell r="O191" t="str">
            <v>السياحة</v>
          </cell>
          <cell r="P191" t="str">
            <v>International Operations</v>
          </cell>
          <cell r="Q191" t="str">
            <v>العمليات الدولية</v>
          </cell>
          <cell r="R191" t="str">
            <v>APAC</v>
          </cell>
          <cell r="S191" t="str">
            <v>منطقة آسيا والمحيط الهادئ</v>
          </cell>
          <cell r="T191" t="str">
            <v>China &amp; Southeast Asia</v>
          </cell>
          <cell r="U191" t="str">
            <v>منطقة الصين وجنوب شرق آسيا</v>
          </cell>
          <cell r="V191" t="str">
            <v>Abu Dhabi</v>
          </cell>
          <cell r="W191" t="str">
            <v/>
          </cell>
          <cell r="X191" t="str">
            <v>4515100</v>
          </cell>
          <cell r="Y191" t="str">
            <v>Compliance,Governance&amp;Protocol_Policy  (Culture &amp; Tourism)_Unit Head</v>
          </cell>
          <cell r="Z191" t="str">
            <v>Unit Head</v>
          </cell>
          <cell r="AA191" t="str">
            <v>3A</v>
          </cell>
        </row>
        <row r="192">
          <cell r="A192">
            <v>499</v>
          </cell>
          <cell r="B192">
            <v>499</v>
          </cell>
          <cell r="C192" t="str">
            <v>A</v>
          </cell>
          <cell r="D192" t="str">
            <v>James Matthews</v>
          </cell>
          <cell r="E192" t="str">
            <v>جيمس  ماثيوس</v>
          </cell>
          <cell r="F192">
            <v>40357</v>
          </cell>
          <cell r="G192" t="str">
            <v>50001704</v>
          </cell>
          <cell r="H192" t="str">
            <v>Community Engagement Section Head</v>
          </cell>
          <cell r="I192" t="str">
            <v>رئيس قسم المشاركة المجتمعية</v>
          </cell>
          <cell r="J192" t="str">
            <v>On-Chart</v>
          </cell>
          <cell r="K192" t="str">
            <v>DCT Payroll</v>
          </cell>
          <cell r="L192" t="str">
            <v>A1</v>
          </cell>
          <cell r="M192" t="str">
            <v>Department of Culture and Tourism</v>
          </cell>
          <cell r="N192" t="str">
            <v>Culture</v>
          </cell>
          <cell r="O192" t="str">
            <v>الثقافة</v>
          </cell>
          <cell r="P192" t="str">
            <v>Education &amp; Outreach</v>
          </cell>
          <cell r="Q192" t="str">
            <v>التعليم والتوعية الثقافية</v>
          </cell>
          <cell r="R192" t="str">
            <v>Community Engagement</v>
          </cell>
          <cell r="S192" t="str">
            <v>المشاركة المجتمعية</v>
          </cell>
          <cell r="T192" t="str">
            <v/>
          </cell>
          <cell r="U192" t="str">
            <v/>
          </cell>
          <cell r="V192" t="str">
            <v>Abu Dhabi</v>
          </cell>
          <cell r="W192" t="str">
            <v/>
          </cell>
          <cell r="X192" t="str">
            <v>4511800</v>
          </cell>
          <cell r="Y192" t="str">
            <v>Interpretation &amp; Engagement_Outreach &amp; Cultural Engagement_Section Manager</v>
          </cell>
          <cell r="Z192" t="str">
            <v>Section Manager</v>
          </cell>
          <cell r="AA192" t="str">
            <v>2B</v>
          </cell>
        </row>
        <row r="193">
          <cell r="A193">
            <v>501</v>
          </cell>
          <cell r="B193">
            <v>501</v>
          </cell>
          <cell r="C193" t="str">
            <v>A</v>
          </cell>
          <cell r="D193" t="str">
            <v>Amel Chabbi</v>
          </cell>
          <cell r="E193" t="str">
            <v>أمل  شابي</v>
          </cell>
          <cell r="F193">
            <v>40363</v>
          </cell>
          <cell r="G193" t="str">
            <v>10006347</v>
          </cell>
          <cell r="H193" t="str">
            <v>Conservation Section Head</v>
          </cell>
          <cell r="I193" t="str">
            <v>رئيس قسم الترميم</v>
          </cell>
          <cell r="J193" t="str">
            <v>On-Chart</v>
          </cell>
          <cell r="K193" t="str">
            <v>DCT Payroll</v>
          </cell>
          <cell r="L193" t="str">
            <v>A1</v>
          </cell>
          <cell r="M193" t="str">
            <v>Department of Culture and Tourism</v>
          </cell>
          <cell r="N193" t="str">
            <v>Culture</v>
          </cell>
          <cell r="O193" t="str">
            <v>الثقافة</v>
          </cell>
          <cell r="P193" t="str">
            <v>Historic Environment</v>
          </cell>
          <cell r="Q193" t="str">
            <v>البيئة التاريخية</v>
          </cell>
          <cell r="R193" t="str">
            <v>Conservation</v>
          </cell>
          <cell r="S193" t="str">
            <v>الترميم</v>
          </cell>
          <cell r="T193" t="str">
            <v/>
          </cell>
          <cell r="U193" t="str">
            <v/>
          </cell>
          <cell r="V193" t="str">
            <v>Abu Dhabi</v>
          </cell>
          <cell r="W193" t="str">
            <v/>
          </cell>
          <cell r="X193" t="str">
            <v>4511300</v>
          </cell>
          <cell r="Y193" t="str">
            <v>Compliance,Governance&amp;Protocol_Policy (Culture &amp; Tourism)_Section Head</v>
          </cell>
          <cell r="Z193" t="str">
            <v>Section Manager</v>
          </cell>
          <cell r="AA193" t="str">
            <v>2A</v>
          </cell>
        </row>
        <row r="194">
          <cell r="A194">
            <v>503</v>
          </cell>
          <cell r="B194">
            <v>503</v>
          </cell>
          <cell r="C194" t="str">
            <v>A</v>
          </cell>
          <cell r="D194" t="str">
            <v>Mariam Ibrahim Al Hashimi</v>
          </cell>
          <cell r="E194" t="str">
            <v>مريم ابراهيم الهاشمي</v>
          </cell>
          <cell r="F194">
            <v>40370</v>
          </cell>
          <cell r="G194" t="str">
            <v>10005159</v>
          </cell>
          <cell r="H194" t="str">
            <v>Media Relations Senior Executive</v>
          </cell>
          <cell r="I194" t="str">
            <v>تنفيذي أول العلاقات الإعلامية</v>
          </cell>
          <cell r="J194" t="str">
            <v>Temporary</v>
          </cell>
          <cell r="K194" t="str">
            <v>DCT Payroll</v>
          </cell>
          <cell r="L194" t="str">
            <v>A1</v>
          </cell>
          <cell r="M194" t="str">
            <v>Department of Culture and Tourism</v>
          </cell>
          <cell r="N194" t="str">
            <v>Strategic Marketing &amp; Communication</v>
          </cell>
          <cell r="O194" t="str">
            <v>التسويق والاتصال الاستراتيجي</v>
          </cell>
          <cell r="P194" t="str">
            <v>Strategic Communications</v>
          </cell>
          <cell r="Q194" t="str">
            <v>الاتصال الاستراتيجي</v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>Abu Dhabi</v>
          </cell>
          <cell r="W194" t="str">
            <v/>
          </cell>
          <cell r="X194" t="str">
            <v>4513120</v>
          </cell>
          <cell r="Y194" t="str">
            <v>Comms &amp; Marketing _Marketing &amp; Communications (All areas)_Senior Professional</v>
          </cell>
          <cell r="Z194" t="str">
            <v>Senior Professional</v>
          </cell>
          <cell r="AA194" t="str">
            <v>3A</v>
          </cell>
        </row>
        <row r="195">
          <cell r="A195">
            <v>508</v>
          </cell>
          <cell r="B195">
            <v>508</v>
          </cell>
          <cell r="C195" t="str">
            <v>A</v>
          </cell>
          <cell r="D195" t="str">
            <v>Omar Salem Al Kaabi</v>
          </cell>
          <cell r="E195" t="str">
            <v>عمر سالم الكعبي</v>
          </cell>
          <cell r="F195">
            <v>40387</v>
          </cell>
          <cell r="G195" t="str">
            <v>50004005</v>
          </cell>
          <cell r="H195" t="str">
            <v>Al Ain Museum Director</v>
          </cell>
          <cell r="I195" t="str">
            <v>مدير متحف العين</v>
          </cell>
          <cell r="J195" t="str">
            <v>On-Chart</v>
          </cell>
          <cell r="K195" t="str">
            <v>DCT Payroll</v>
          </cell>
          <cell r="L195" t="str">
            <v>A1</v>
          </cell>
          <cell r="M195" t="str">
            <v>Department of Culture and Tourism</v>
          </cell>
          <cell r="N195" t="str">
            <v>Culture</v>
          </cell>
          <cell r="O195" t="str">
            <v>الثقافة</v>
          </cell>
          <cell r="P195" t="str">
            <v>Culture Sites Management</v>
          </cell>
          <cell r="Q195" t="str">
            <v>إدارة المواقع الثقافية</v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>Abu Dhabi</v>
          </cell>
          <cell r="W195" t="str">
            <v/>
          </cell>
          <cell r="X195" t="str">
            <v>4511250</v>
          </cell>
          <cell r="Y195" t="str">
            <v>Commercial _Culture Festivals &amp; Platforms Department Director</v>
          </cell>
          <cell r="Z195" t="str">
            <v>Director</v>
          </cell>
          <cell r="AA195" t="str">
            <v>1A</v>
          </cell>
        </row>
        <row r="196">
          <cell r="A196">
            <v>511</v>
          </cell>
          <cell r="B196">
            <v>511</v>
          </cell>
          <cell r="C196" t="str">
            <v>A</v>
          </cell>
          <cell r="D196" t="str">
            <v>Firas Bardan</v>
          </cell>
          <cell r="E196" t="str">
            <v>فراس  بردان</v>
          </cell>
          <cell r="F196">
            <v>40392</v>
          </cell>
          <cell r="G196" t="str">
            <v>47700240</v>
          </cell>
          <cell r="H196" t="str">
            <v>Creative Section Head</v>
          </cell>
          <cell r="I196" t="str">
            <v>رئيس قسم الإبداع</v>
          </cell>
          <cell r="J196" t="str">
            <v>On-Chart</v>
          </cell>
          <cell r="K196" t="str">
            <v>DCT Payroll</v>
          </cell>
          <cell r="L196" t="str">
            <v>A1</v>
          </cell>
          <cell r="M196" t="str">
            <v>Department of Culture and Tourism</v>
          </cell>
          <cell r="N196" t="str">
            <v>Culture</v>
          </cell>
          <cell r="O196" t="str">
            <v>الثقافة</v>
          </cell>
          <cell r="P196" t="str">
            <v>Culture Sector Marketing</v>
          </cell>
          <cell r="Q196" t="str">
            <v>التسويق لقطاع الثقافة</v>
          </cell>
          <cell r="R196" t="str">
            <v>Creative</v>
          </cell>
          <cell r="S196" t="str">
            <v>الإبداع</v>
          </cell>
          <cell r="T196" t="str">
            <v/>
          </cell>
          <cell r="U196" t="str">
            <v/>
          </cell>
          <cell r="V196" t="str">
            <v>Abu Dhabi</v>
          </cell>
          <cell r="W196" t="str">
            <v/>
          </cell>
          <cell r="X196" t="str">
            <v>4511550</v>
          </cell>
          <cell r="Y196" t="str">
            <v>Compliance,Governance&amp;Protocol_Policy (Culture &amp; Tourism)_Section Head</v>
          </cell>
          <cell r="Z196" t="str">
            <v>Section Manager</v>
          </cell>
          <cell r="AA196" t="str">
            <v>2A</v>
          </cell>
        </row>
        <row r="197">
          <cell r="A197">
            <v>512</v>
          </cell>
          <cell r="B197">
            <v>512</v>
          </cell>
          <cell r="C197" t="str">
            <v>A</v>
          </cell>
          <cell r="D197" t="str">
            <v>Hafsa Mohamed Al Buseedi</v>
          </cell>
          <cell r="E197" t="str">
            <v>حفصة محمد البوسعيدي</v>
          </cell>
          <cell r="F197">
            <v>40398</v>
          </cell>
          <cell r="G197" t="str">
            <v>47700510</v>
          </cell>
          <cell r="H197" t="str">
            <v>Internal Communications Coordinator</v>
          </cell>
          <cell r="I197" t="str">
            <v>منسق التواصل الداخلي</v>
          </cell>
          <cell r="J197" t="str">
            <v>On-Chart</v>
          </cell>
          <cell r="K197" t="str">
            <v>ALC Direct Hires</v>
          </cell>
          <cell r="L197" t="str">
            <v>AL1</v>
          </cell>
          <cell r="M197" t="str">
            <v>Abu Dhabi Arabic Language Centre</v>
          </cell>
          <cell r="N197" t="str">
            <v>Abu Dhabi Arabic Language Centre</v>
          </cell>
          <cell r="O197" t="str">
            <v>مركز أبوظبي للغة العربية</v>
          </cell>
          <cell r="P197" t="str">
            <v>-</v>
          </cell>
          <cell r="Q197" t="str">
            <v>-</v>
          </cell>
          <cell r="R197" t="str">
            <v>Corporate Communication Office</v>
          </cell>
          <cell r="S197" t="str">
            <v>مكتب الاتصال المؤسسي</v>
          </cell>
          <cell r="T197" t="str">
            <v/>
          </cell>
          <cell r="U197" t="str">
            <v/>
          </cell>
          <cell r="V197" t="str">
            <v>Abu Dhabi</v>
          </cell>
          <cell r="W197" t="str">
            <v/>
          </cell>
          <cell r="X197" t="str">
            <v>4519197</v>
          </cell>
          <cell r="Y197" t="str">
            <v>Interpretation &amp; Engagement_Arabic Language Research &amp; Studies_Professional</v>
          </cell>
          <cell r="Z197" t="str">
            <v>Professional Assistant</v>
          </cell>
          <cell r="AA197" t="str">
            <v>6A</v>
          </cell>
        </row>
        <row r="198">
          <cell r="A198">
            <v>516</v>
          </cell>
          <cell r="B198">
            <v>516</v>
          </cell>
          <cell r="C198" t="str">
            <v>A</v>
          </cell>
          <cell r="D198" t="str">
            <v>Fatima Mansoor Al Tamimi</v>
          </cell>
          <cell r="E198" t="str">
            <v>فاطمه منصور التميمي</v>
          </cell>
          <cell r="F198">
            <v>40399</v>
          </cell>
          <cell r="G198" t="str">
            <v>50000667</v>
          </cell>
          <cell r="H198" t="str">
            <v>Conservation Unit Head</v>
          </cell>
          <cell r="I198" t="str">
            <v>رئيس وحدة حفظ التحف</v>
          </cell>
          <cell r="J198" t="str">
            <v>On-Chart</v>
          </cell>
          <cell r="K198" t="str">
            <v>MSS Direct Hires</v>
          </cell>
          <cell r="L198" t="str">
            <v>M1</v>
          </cell>
          <cell r="M198" t="str">
            <v>Department of Culture and Tourism</v>
          </cell>
          <cell r="N198" t="str">
            <v>Zayed National Museum</v>
          </cell>
          <cell r="O198" t="str">
            <v>متحف زايد الوطني</v>
          </cell>
          <cell r="P198" t="str">
            <v>Curatorial &amp; Collection Management</v>
          </cell>
          <cell r="Q198" t="str">
            <v>أمناء المتحف وإدارة المقتنيات</v>
          </cell>
          <cell r="R198" t="str">
            <v>Collections Managment &amp; Conservation</v>
          </cell>
          <cell r="S198" t="str">
            <v>إدارة وحفظ المقتنيات</v>
          </cell>
          <cell r="T198" t="str">
            <v>Conservation</v>
          </cell>
          <cell r="U198" t="str">
            <v>حفظ المقتنيات</v>
          </cell>
          <cell r="V198" t="str">
            <v>Abu Dhabi</v>
          </cell>
          <cell r="W198" t="str">
            <v/>
          </cell>
          <cell r="X198" t="str">
            <v>4510181</v>
          </cell>
          <cell r="Y198" t="str">
            <v>Content &amp; Care_Curatorial  Management_Senior Professional</v>
          </cell>
          <cell r="Z198" t="str">
            <v>Unit Head</v>
          </cell>
          <cell r="AA198" t="str">
            <v>3A</v>
          </cell>
        </row>
        <row r="199">
          <cell r="A199">
            <v>518</v>
          </cell>
          <cell r="B199">
            <v>518</v>
          </cell>
          <cell r="C199" t="str">
            <v>A</v>
          </cell>
          <cell r="D199" t="str">
            <v>Noura Hareb Al Mansoori</v>
          </cell>
          <cell r="E199" t="str">
            <v>نورة حارب المنصوري</v>
          </cell>
          <cell r="F199">
            <v>40400</v>
          </cell>
          <cell r="G199" t="str">
            <v>50000590</v>
          </cell>
          <cell r="H199" t="str">
            <v>Marketing Section Head</v>
          </cell>
          <cell r="I199" t="str">
            <v>رئيس قسم التسويق</v>
          </cell>
          <cell r="J199" t="str">
            <v>On-Chart</v>
          </cell>
          <cell r="K199" t="str">
            <v>MSS Direct Hires</v>
          </cell>
          <cell r="L199" t="str">
            <v>M1</v>
          </cell>
          <cell r="M199" t="str">
            <v>Department of Culture and Tourism</v>
          </cell>
          <cell r="N199" t="str">
            <v>Zayed National Museum</v>
          </cell>
          <cell r="O199" t="str">
            <v>متحف زايد الوطني</v>
          </cell>
          <cell r="P199" t="str">
            <v>Marketing &amp; Communication</v>
          </cell>
          <cell r="Q199" t="str">
            <v>التسويق والاتصال</v>
          </cell>
          <cell r="R199" t="str">
            <v>Marketing</v>
          </cell>
          <cell r="S199" t="str">
            <v>التسويق</v>
          </cell>
          <cell r="T199" t="str">
            <v/>
          </cell>
          <cell r="U199" t="str">
            <v/>
          </cell>
          <cell r="V199" t="str">
            <v>Abu Dhabi</v>
          </cell>
          <cell r="W199" t="str">
            <v/>
          </cell>
          <cell r="X199" t="str">
            <v>4510185</v>
          </cell>
          <cell r="Y199" t="str">
            <v>Comms &amp; Marketing _Marketing &amp; Communications (All Areas)_Section Head</v>
          </cell>
          <cell r="Z199" t="str">
            <v>Section Manager</v>
          </cell>
          <cell r="AA199" t="str">
            <v>2A</v>
          </cell>
        </row>
        <row r="200">
          <cell r="A200">
            <v>519</v>
          </cell>
          <cell r="B200">
            <v>519</v>
          </cell>
          <cell r="C200" t="str">
            <v>A</v>
          </cell>
          <cell r="D200" t="str">
            <v>Khadija Abdulla Al Hamoumi</v>
          </cell>
          <cell r="E200" t="str">
            <v>خديجة عبدالله الحمومي</v>
          </cell>
          <cell r="F200">
            <v>40406</v>
          </cell>
          <cell r="G200" t="str">
            <v>47700517</v>
          </cell>
          <cell r="H200" t="str">
            <v>Visitor Experience Specialist</v>
          </cell>
          <cell r="I200" t="str">
            <v>أخصائي تجربة الزوار</v>
          </cell>
          <cell r="J200" t="str">
            <v>On-Chart</v>
          </cell>
          <cell r="K200" t="str">
            <v>DCT Payroll</v>
          </cell>
          <cell r="L200" t="str">
            <v>A1</v>
          </cell>
          <cell r="M200" t="str">
            <v>Department of Culture and Tourism</v>
          </cell>
          <cell r="N200" t="str">
            <v>Culture</v>
          </cell>
          <cell r="O200" t="str">
            <v>الثقافة</v>
          </cell>
          <cell r="P200" t="str">
            <v>Culture Sites Management</v>
          </cell>
          <cell r="Q200" t="str">
            <v>إدارة المواقع الثقافية</v>
          </cell>
          <cell r="R200" t="str">
            <v>Manarat Al Saadiyat</v>
          </cell>
          <cell r="S200" t="str">
            <v>منارة السعديات</v>
          </cell>
          <cell r="T200" t="str">
            <v>Visitor Experience</v>
          </cell>
          <cell r="U200" t="str">
            <v>تجربة الزوار</v>
          </cell>
          <cell r="V200" t="str">
            <v>Abu Dhabi</v>
          </cell>
          <cell r="W200" t="str">
            <v/>
          </cell>
          <cell r="X200" t="str">
            <v>4511250</v>
          </cell>
          <cell r="Y200" t="str">
            <v>Compliance,Governance&amp;Protocol_Policy (Culture/Tourism _Senior Professional</v>
          </cell>
          <cell r="Z200" t="str">
            <v>Professional</v>
          </cell>
          <cell r="AA200" t="str">
            <v>4A</v>
          </cell>
        </row>
        <row r="201">
          <cell r="A201">
            <v>520</v>
          </cell>
          <cell r="B201">
            <v>520</v>
          </cell>
          <cell r="C201" t="str">
            <v>A</v>
          </cell>
          <cell r="D201" t="str">
            <v>Amal Yaaqoub Al Ali</v>
          </cell>
          <cell r="E201" t="str">
            <v>أمل يعقوب آل علي</v>
          </cell>
          <cell r="F201">
            <v>40412</v>
          </cell>
          <cell r="G201" t="str">
            <v>47700518</v>
          </cell>
          <cell r="H201" t="str">
            <v>Call Centre Assistant</v>
          </cell>
          <cell r="I201" t="str">
            <v>مساعد مركز الاتصال</v>
          </cell>
          <cell r="J201" t="str">
            <v>On-Chart</v>
          </cell>
          <cell r="K201" t="str">
            <v>DCT Payroll</v>
          </cell>
          <cell r="L201" t="str">
            <v>A1</v>
          </cell>
          <cell r="M201" t="str">
            <v>Department of Culture and Tourism</v>
          </cell>
          <cell r="N201" t="str">
            <v>Support Services</v>
          </cell>
          <cell r="O201" t="str">
            <v>الخدمات المساندة</v>
          </cell>
          <cell r="P201" t="str">
            <v>People &amp; Performance</v>
          </cell>
          <cell r="Q201" t="str">
            <v>إدارة الكوادر البشرية والأداء</v>
          </cell>
          <cell r="R201" t="str">
            <v>Employee Relations</v>
          </cell>
          <cell r="S201" t="str">
            <v>شؤون الموظفين</v>
          </cell>
          <cell r="T201" t="str">
            <v>Call Center</v>
          </cell>
          <cell r="U201" t="str">
            <v>مركز الإتصال</v>
          </cell>
          <cell r="V201" t="str">
            <v>Abu Dhabi</v>
          </cell>
          <cell r="W201" t="str">
            <v/>
          </cell>
          <cell r="X201" t="str">
            <v>4510220</v>
          </cell>
          <cell r="Y201" t="str">
            <v>People &amp; Performance _Employee Relations_Professional Assistant</v>
          </cell>
          <cell r="Z201" t="str">
            <v>Professional Assistant</v>
          </cell>
          <cell r="AA201" t="str">
            <v>5A</v>
          </cell>
        </row>
        <row r="202">
          <cell r="A202">
            <v>525</v>
          </cell>
          <cell r="B202">
            <v>525</v>
          </cell>
          <cell r="C202" t="str">
            <v>A</v>
          </cell>
          <cell r="D202" t="str">
            <v>Abubaker Mohammed Al Hashemi</v>
          </cell>
          <cell r="E202" t="str">
            <v>أبوبكر محمد الهاشمي</v>
          </cell>
          <cell r="F202">
            <v>40434</v>
          </cell>
          <cell r="G202" t="str">
            <v>50002854</v>
          </cell>
          <cell r="H202" t="str">
            <v>Executive Operations Section Head</v>
          </cell>
          <cell r="I202" t="str">
            <v>رئيس قسم العمليات التنفيذية</v>
          </cell>
          <cell r="J202" t="str">
            <v>On-Chart</v>
          </cell>
          <cell r="K202" t="str">
            <v>DCT Payroll</v>
          </cell>
          <cell r="L202" t="str">
            <v>A1</v>
          </cell>
          <cell r="M202" t="str">
            <v>Department of Culture and Tourism</v>
          </cell>
          <cell r="N202" t="str">
            <v>Executive Affairs</v>
          </cell>
          <cell r="O202" t="str">
            <v>مكتب رئيس الدائرة</v>
          </cell>
          <cell r="P202" t="str">
            <v>Executive Affairs</v>
          </cell>
          <cell r="Q202" t="str">
            <v>الشؤون التنفيذية</v>
          </cell>
          <cell r="R202" t="str">
            <v>Executive Operations</v>
          </cell>
          <cell r="S202" t="str">
            <v>العمليات التنفيذية</v>
          </cell>
          <cell r="T202" t="str">
            <v/>
          </cell>
          <cell r="U202" t="str">
            <v/>
          </cell>
          <cell r="V202" t="str">
            <v>Abu Dhabi</v>
          </cell>
          <cell r="W202" t="str">
            <v/>
          </cell>
          <cell r="X202" t="str">
            <v>4510011</v>
          </cell>
          <cell r="Y202" t="str">
            <v>Stakeholder &amp; Partner Relations_International &amp; Institutional Affairs _Section Head</v>
          </cell>
          <cell r="Z202" t="str">
            <v>Section Manager</v>
          </cell>
          <cell r="AA202" t="str">
            <v>2A</v>
          </cell>
        </row>
        <row r="203">
          <cell r="A203">
            <v>528</v>
          </cell>
          <cell r="B203">
            <v>528</v>
          </cell>
          <cell r="C203" t="str">
            <v>A</v>
          </cell>
          <cell r="D203" t="str">
            <v>Abdulla Mohamed Al Jneibi</v>
          </cell>
          <cell r="E203" t="str">
            <v>عبدالله محمد الجنيبي</v>
          </cell>
          <cell r="F203">
            <v>40454</v>
          </cell>
          <cell r="G203" t="str">
            <v>47700116</v>
          </cell>
          <cell r="H203" t="str">
            <v>Library Officer</v>
          </cell>
          <cell r="I203" t="str">
            <v>ضابط شؤون المكتبة</v>
          </cell>
          <cell r="J203" t="str">
            <v>On-Chart</v>
          </cell>
          <cell r="K203" t="str">
            <v>DCT Payroll</v>
          </cell>
          <cell r="L203" t="str">
            <v>A1</v>
          </cell>
          <cell r="M203" t="str">
            <v>Department of Culture and Tourism</v>
          </cell>
          <cell r="N203" t="str">
            <v>Culture</v>
          </cell>
          <cell r="O203" t="str">
            <v>الثقافة</v>
          </cell>
          <cell r="P203" t="str">
            <v>Library Management</v>
          </cell>
          <cell r="Q203" t="str">
            <v>إدارة المكتبات</v>
          </cell>
          <cell r="R203" t="str">
            <v>Branches Library</v>
          </cell>
          <cell r="S203" t="str">
            <v>فروع المكتبات</v>
          </cell>
          <cell r="T203" t="str">
            <v>Al Wathba Library</v>
          </cell>
          <cell r="U203" t="str">
            <v>مكتبة الوثبة</v>
          </cell>
          <cell r="V203" t="str">
            <v>Abu Dhabi</v>
          </cell>
          <cell r="W203" t="str">
            <v/>
          </cell>
          <cell r="X203" t="str">
            <v>4516100</v>
          </cell>
          <cell r="Y203" t="str">
            <v>Interpretation &amp; Engagement_Library Service Delivery (Librarian)_Professional</v>
          </cell>
          <cell r="Z203" t="str">
            <v>Professional</v>
          </cell>
          <cell r="AA203" t="str">
            <v>4A</v>
          </cell>
        </row>
        <row r="204">
          <cell r="A204">
            <v>533</v>
          </cell>
          <cell r="B204">
            <v>533</v>
          </cell>
          <cell r="C204" t="str">
            <v>A</v>
          </cell>
          <cell r="D204" t="str">
            <v>Muataz Eweidat</v>
          </cell>
          <cell r="E204" t="str">
            <v>معتز محمود عويضات</v>
          </cell>
          <cell r="F204">
            <v>40461</v>
          </cell>
          <cell r="G204" t="str">
            <v>50000985</v>
          </cell>
          <cell r="H204" t="str">
            <v>Translation Funds &amp; Support Specialist</v>
          </cell>
          <cell r="I204" t="str">
            <v>أخصائي دعم وتمويل الترجمة</v>
          </cell>
          <cell r="J204" t="str">
            <v>On-Chart</v>
          </cell>
          <cell r="K204" t="str">
            <v>ALC Direct Hires</v>
          </cell>
          <cell r="L204" t="str">
            <v>AL1</v>
          </cell>
          <cell r="M204" t="str">
            <v>Abu Dhabi Arabic Language Centre</v>
          </cell>
          <cell r="N204" t="str">
            <v>Abu Dhabi Arabic Language Centre</v>
          </cell>
          <cell r="O204" t="str">
            <v>مركز أبوظبي للغة العربية</v>
          </cell>
          <cell r="P204" t="str">
            <v>Creative Content</v>
          </cell>
          <cell r="Q204" t="str">
            <v>المحتوى الإبداعي</v>
          </cell>
          <cell r="R204" t="str">
            <v>Translation Programmes</v>
          </cell>
          <cell r="S204" t="str">
            <v>برامج الترجمة</v>
          </cell>
          <cell r="T204" t="str">
            <v/>
          </cell>
          <cell r="U204" t="str">
            <v/>
          </cell>
          <cell r="V204" t="str">
            <v>Abu Dhabi</v>
          </cell>
          <cell r="W204" t="str">
            <v/>
          </cell>
          <cell r="X204" t="str">
            <v>4519199</v>
          </cell>
          <cell r="Y204" t="str">
            <v>Interpretation &amp; Engagement_Arabic Language Research &amp; Studies_Senior Professional</v>
          </cell>
          <cell r="Z204" t="str">
            <v>Senior Professional</v>
          </cell>
          <cell r="AA204" t="str">
            <v>3B</v>
          </cell>
        </row>
        <row r="205">
          <cell r="A205">
            <v>535</v>
          </cell>
          <cell r="B205">
            <v>535</v>
          </cell>
          <cell r="C205" t="str">
            <v>A</v>
          </cell>
          <cell r="D205" t="str">
            <v>Hamad Jasem Al Hosani</v>
          </cell>
          <cell r="E205" t="str">
            <v>حمد جاسم الحوسني</v>
          </cell>
          <cell r="F205">
            <v>40468</v>
          </cell>
          <cell r="G205" t="str">
            <v>50002481</v>
          </cell>
          <cell r="H205" t="str">
            <v>International &amp; Institutional Affairs Section Head</v>
          </cell>
          <cell r="I205" t="str">
            <v>رئيس قسم الشؤون الدولية والمؤسسية</v>
          </cell>
          <cell r="J205" t="str">
            <v>On-Chart</v>
          </cell>
          <cell r="K205" t="str">
            <v>MSS Direct Hires</v>
          </cell>
          <cell r="L205" t="str">
            <v>M1</v>
          </cell>
          <cell r="M205" t="str">
            <v>Louvre Abu Dhabi</v>
          </cell>
          <cell r="N205" t="str">
            <v>Louvre Abu Dhabi</v>
          </cell>
          <cell r="O205" t="str">
            <v>متحف اللوفر أبوظبي</v>
          </cell>
          <cell r="P205" t="str">
            <v>External Affairs, Outreach and Cultural Engagement</v>
          </cell>
          <cell r="Q205" t="str">
            <v>إدارة الشؤون الخارجية والتواصل، المشاركة الثقافية</v>
          </cell>
          <cell r="R205" t="str">
            <v>International &amp; Institutional Affairs</v>
          </cell>
          <cell r="S205" t="str">
            <v/>
          </cell>
          <cell r="T205" t="str">
            <v/>
          </cell>
          <cell r="U205" t="str">
            <v/>
          </cell>
          <cell r="V205" t="str">
            <v>Abu Dhabi</v>
          </cell>
          <cell r="W205" t="str">
            <v/>
          </cell>
          <cell r="X205" t="str">
            <v>4510120</v>
          </cell>
          <cell r="Y205" t="str">
            <v>Interpretation &amp; Engagement_Outreach &amp; Cultural Engagement_Section Manager</v>
          </cell>
          <cell r="Z205" t="str">
            <v>Section Manager</v>
          </cell>
          <cell r="AA205" t="str">
            <v>2A</v>
          </cell>
        </row>
        <row r="206">
          <cell r="A206">
            <v>537</v>
          </cell>
          <cell r="B206">
            <v>537</v>
          </cell>
          <cell r="C206" t="str">
            <v>A</v>
          </cell>
          <cell r="D206" t="str">
            <v>Fatima Saif Omar</v>
          </cell>
          <cell r="E206" t="str">
            <v>فاطمة سيف عمر</v>
          </cell>
          <cell r="F206">
            <v>40469</v>
          </cell>
          <cell r="G206" t="str">
            <v>47700206</v>
          </cell>
          <cell r="H206" t="str">
            <v>Al Marsam Al Hor Unit Head</v>
          </cell>
          <cell r="I206" t="str">
            <v>رئيس وحدة المرسم الحر</v>
          </cell>
          <cell r="J206" t="str">
            <v>On-Chart</v>
          </cell>
          <cell r="K206" t="str">
            <v>DCT Payroll</v>
          </cell>
          <cell r="L206" t="str">
            <v>A1</v>
          </cell>
          <cell r="M206" t="str">
            <v>Department of Culture and Tourism</v>
          </cell>
          <cell r="N206" t="str">
            <v>Culture</v>
          </cell>
          <cell r="O206" t="str">
            <v>الثقافة</v>
          </cell>
          <cell r="P206" t="str">
            <v>Culture Sites Management</v>
          </cell>
          <cell r="Q206" t="str">
            <v>إدارة المواقع الثقافية</v>
          </cell>
          <cell r="R206" t="str">
            <v>Cultural Foundation</v>
          </cell>
          <cell r="S206" t="str">
            <v>المجمع الثقافي</v>
          </cell>
          <cell r="T206" t="str">
            <v>Al Marsam Al Hor</v>
          </cell>
          <cell r="U206" t="str">
            <v>المرسم الحر</v>
          </cell>
          <cell r="V206" t="str">
            <v>Abu Dhabi</v>
          </cell>
          <cell r="W206" t="str">
            <v/>
          </cell>
          <cell r="X206" t="str">
            <v>4511250</v>
          </cell>
          <cell r="Y206" t="str">
            <v>Compliance,Governance&amp;Protocol_Policy  (Culture &amp; Tourism)_Unit Head</v>
          </cell>
          <cell r="Z206" t="str">
            <v>Unit Head</v>
          </cell>
          <cell r="AA206" t="str">
            <v>3A</v>
          </cell>
        </row>
        <row r="207">
          <cell r="A207">
            <v>538</v>
          </cell>
          <cell r="B207">
            <v>538</v>
          </cell>
          <cell r="C207" t="str">
            <v>A</v>
          </cell>
          <cell r="D207" t="str">
            <v>Ayesha Ali Al Ali</v>
          </cell>
          <cell r="E207" t="str">
            <v>عائشة علي آل علي</v>
          </cell>
          <cell r="F207">
            <v>40475</v>
          </cell>
          <cell r="G207" t="str">
            <v>10007307</v>
          </cell>
          <cell r="H207" t="str">
            <v>Senior Inspector</v>
          </cell>
          <cell r="I207" t="str">
            <v>مفتش أول</v>
          </cell>
          <cell r="J207" t="str">
            <v>On-Chart</v>
          </cell>
          <cell r="K207" t="str">
            <v>DCT Payroll</v>
          </cell>
          <cell r="L207" t="str">
            <v>A1</v>
          </cell>
          <cell r="M207" t="str">
            <v>Department of Culture and Tourism</v>
          </cell>
          <cell r="N207" t="str">
            <v>Tourism</v>
          </cell>
          <cell r="O207" t="str">
            <v>السياحة</v>
          </cell>
          <cell r="P207" t="str">
            <v>Licensing &amp; Regulatory Compliance</v>
          </cell>
          <cell r="Q207" t="str">
            <v>الرقابة والترخيص</v>
          </cell>
          <cell r="R207" t="str">
            <v>Abu Dhabi Inspection</v>
          </cell>
          <cell r="S207" t="str">
            <v>التفتيش</v>
          </cell>
          <cell r="T207" t="str">
            <v>Abu Dhabi Inspection</v>
          </cell>
          <cell r="U207" t="str">
            <v>التفتيش (أبوظبي)</v>
          </cell>
          <cell r="V207" t="str">
            <v>Abu Dhabi</v>
          </cell>
          <cell r="W207" t="str">
            <v/>
          </cell>
          <cell r="X207" t="str">
            <v>4510170</v>
          </cell>
          <cell r="Y207" t="str">
            <v>Compliance,Governance&amp;Protocol_Licensing &amp; Regulatory Compliance _Senior Professional</v>
          </cell>
          <cell r="Z207" t="str">
            <v>Senior Professional</v>
          </cell>
          <cell r="AA207" t="str">
            <v>3A</v>
          </cell>
        </row>
        <row r="208">
          <cell r="A208">
            <v>539</v>
          </cell>
          <cell r="B208">
            <v>539</v>
          </cell>
          <cell r="C208" t="str">
            <v>A</v>
          </cell>
          <cell r="D208" t="str">
            <v>Jacquelyn Sit Siew Ling</v>
          </cell>
          <cell r="E208" t="str">
            <v>جاكلين سيت سيو</v>
          </cell>
          <cell r="F208">
            <v>40475</v>
          </cell>
          <cell r="G208" t="str">
            <v>10005102</v>
          </cell>
          <cell r="H208" t="str">
            <v>Media Partnerships Lead</v>
          </cell>
          <cell r="I208" t="str">
            <v>أخصائي رئيسي شراكات الاعلام</v>
          </cell>
          <cell r="J208" t="str">
            <v>On-Chart</v>
          </cell>
          <cell r="K208" t="str">
            <v>DCT Payroll</v>
          </cell>
          <cell r="L208" t="str">
            <v>A1</v>
          </cell>
          <cell r="M208" t="str">
            <v>Department of Culture and Tourism</v>
          </cell>
          <cell r="N208" t="str">
            <v>Strategic Marketing &amp; Communication</v>
          </cell>
          <cell r="O208" t="str">
            <v>التسويق والاتصال الاستراتيجي</v>
          </cell>
          <cell r="P208" t="str">
            <v>Planning, Strategy &amp; Operations</v>
          </cell>
          <cell r="Q208" t="str">
            <v>التخطيط والاستراتيجية والعمليات</v>
          </cell>
          <cell r="R208" t="str">
            <v>Media &amp; Partnerships</v>
          </cell>
          <cell r="S208" t="str">
            <v>الإعلام والشراكات</v>
          </cell>
          <cell r="T208" t="str">
            <v>Media Planning</v>
          </cell>
          <cell r="U208" t="str">
            <v>التخطيط الإعلامي</v>
          </cell>
          <cell r="V208" t="str">
            <v>Abu Dhabi</v>
          </cell>
          <cell r="W208" t="str">
            <v/>
          </cell>
          <cell r="X208" t="str">
            <v>4513130</v>
          </cell>
          <cell r="Y208" t="str">
            <v>Strategy, Planning, Project Mgt_Operational Planning &amp; Project Management_Unit Head</v>
          </cell>
          <cell r="Z208" t="str">
            <v>Unit Head</v>
          </cell>
          <cell r="AA208" t="str">
            <v>3A</v>
          </cell>
        </row>
        <row r="209">
          <cell r="A209">
            <v>552</v>
          </cell>
          <cell r="B209">
            <v>552</v>
          </cell>
          <cell r="C209" t="str">
            <v>A</v>
          </cell>
          <cell r="D209" t="str">
            <v>Abdulla Mohamed Al Hameli</v>
          </cell>
          <cell r="E209" t="str">
            <v>عبدالله محمد الهاملي</v>
          </cell>
          <cell r="F209">
            <v>40552</v>
          </cell>
          <cell r="G209" t="str">
            <v>50001425</v>
          </cell>
          <cell r="H209" t="str">
            <v>In Destination Operations Officer</v>
          </cell>
          <cell r="I209" t="str">
            <v>ضابط عمليات المكتب الداخلي</v>
          </cell>
          <cell r="J209" t="str">
            <v>On-Chart</v>
          </cell>
          <cell r="K209" t="str">
            <v>DCT Payroll</v>
          </cell>
          <cell r="L209" t="str">
            <v>A1</v>
          </cell>
          <cell r="M209" t="str">
            <v>Department of Culture and Tourism</v>
          </cell>
          <cell r="N209" t="str">
            <v>Tourism</v>
          </cell>
          <cell r="O209" t="str">
            <v>السياحة</v>
          </cell>
          <cell r="P209" t="str">
            <v>Visitors Experience</v>
          </cell>
          <cell r="Q209" t="str">
            <v>تجربة الزوار</v>
          </cell>
          <cell r="R209" t="str">
            <v>Visitors Information Center</v>
          </cell>
          <cell r="S209" t="str">
            <v>مركز معلومات الزوار</v>
          </cell>
          <cell r="T209" t="str">
            <v>Visitors Information Center</v>
          </cell>
          <cell r="U209" t="str">
            <v>مركز معلومات الزوار</v>
          </cell>
          <cell r="V209" t="str">
            <v>Abu Dhabi</v>
          </cell>
          <cell r="W209" t="str">
            <v/>
          </cell>
          <cell r="X209" t="str">
            <v>4515300</v>
          </cell>
          <cell r="Y209" t="str">
            <v>Design_Visitor Experience Design _Professional</v>
          </cell>
          <cell r="Z209" t="str">
            <v>Professional</v>
          </cell>
          <cell r="AA209" t="str">
            <v>4B</v>
          </cell>
        </row>
        <row r="210">
          <cell r="A210">
            <v>555</v>
          </cell>
          <cell r="B210">
            <v>555</v>
          </cell>
          <cell r="C210" t="str">
            <v>A</v>
          </cell>
          <cell r="D210" t="str">
            <v>Hani R. Jaber</v>
          </cell>
          <cell r="E210" t="str">
            <v>هاني رسمي جابر</v>
          </cell>
          <cell r="F210">
            <v>40575</v>
          </cell>
          <cell r="G210" t="str">
            <v>10008893</v>
          </cell>
          <cell r="H210" t="str">
            <v>Corporate Excellence Lead</v>
          </cell>
          <cell r="I210" t="str">
            <v>أخصائي رئيسي التميز المؤسسي</v>
          </cell>
          <cell r="J210" t="str">
            <v>On-Chart</v>
          </cell>
          <cell r="K210" t="str">
            <v>DCT Payroll</v>
          </cell>
          <cell r="L210" t="str">
            <v>A1</v>
          </cell>
          <cell r="M210" t="str">
            <v>Department of Culture and Tourism</v>
          </cell>
          <cell r="N210" t="str">
            <v>Strategic Affairs</v>
          </cell>
          <cell r="O210" t="str">
            <v>الشؤون الاستراتيجية</v>
          </cell>
          <cell r="P210" t="str">
            <v>Business Excellence &amp; Continuity</v>
          </cell>
          <cell r="Q210" t="str">
            <v>التميز المؤسسي واستمرارية الأعمال</v>
          </cell>
          <cell r="R210" t="str">
            <v>Corporate Excellence &amp; Foresight Planning</v>
          </cell>
          <cell r="S210" t="str">
            <v>التميز المؤسسي واستشراف المستقبل</v>
          </cell>
          <cell r="T210" t="str">
            <v/>
          </cell>
          <cell r="U210" t="str">
            <v/>
          </cell>
          <cell r="V210" t="str">
            <v>Abu Dhabi</v>
          </cell>
          <cell r="W210" t="str">
            <v/>
          </cell>
          <cell r="X210" t="str">
            <v>4512300</v>
          </cell>
          <cell r="Y210" t="str">
            <v>Strategy, Planning, Project Mgt_Business Excellence &amp; Foresight Planning _Senior Professional</v>
          </cell>
          <cell r="Z210" t="str">
            <v>Unit Head</v>
          </cell>
          <cell r="AA210" t="str">
            <v>3A</v>
          </cell>
        </row>
        <row r="211">
          <cell r="A211">
            <v>557</v>
          </cell>
          <cell r="B211">
            <v>557</v>
          </cell>
          <cell r="C211" t="str">
            <v>A</v>
          </cell>
          <cell r="D211" t="str">
            <v>Rahma Yousef Al Senaidi</v>
          </cell>
          <cell r="E211" t="str">
            <v>رحمه يوسف السنيدي</v>
          </cell>
          <cell r="F211">
            <v>40587</v>
          </cell>
          <cell r="G211" t="str">
            <v>47700555</v>
          </cell>
          <cell r="H211" t="str">
            <v>Corporate Social Responsibility Coordinator</v>
          </cell>
          <cell r="I211" t="str">
            <v>منسق المسؤولية الاجتماعية المؤسسية</v>
          </cell>
          <cell r="J211" t="str">
            <v>On-Chart</v>
          </cell>
          <cell r="K211" t="str">
            <v>DCT Payroll</v>
          </cell>
          <cell r="L211" t="str">
            <v>A1</v>
          </cell>
          <cell r="M211" t="str">
            <v>Department of Culture and Tourism</v>
          </cell>
          <cell r="N211" t="str">
            <v>Support Services</v>
          </cell>
          <cell r="O211" t="str">
            <v>الخدمات المساندة</v>
          </cell>
          <cell r="P211" t="str">
            <v>People &amp; Performance</v>
          </cell>
          <cell r="Q211" t="str">
            <v>إدارة الكوادر البشرية والأداء</v>
          </cell>
          <cell r="R211" t="str">
            <v>Internal Communications</v>
          </cell>
          <cell r="S211" t="str">
            <v>الاتصال الداخلي</v>
          </cell>
          <cell r="T211" t="str">
            <v>Corporate Social Responsibility</v>
          </cell>
          <cell r="U211" t="str">
            <v>المسؤولية الاجتماعية المؤسسية</v>
          </cell>
          <cell r="V211" t="str">
            <v>Al Ain</v>
          </cell>
          <cell r="W211" t="str">
            <v/>
          </cell>
          <cell r="X211" t="str">
            <v>4510220</v>
          </cell>
          <cell r="Y211" t="str">
            <v>Comms &amp; Marketing _Marketing &amp; Communications (All)_Professional</v>
          </cell>
          <cell r="Z211" t="str">
            <v>Professional</v>
          </cell>
          <cell r="AA211" t="str">
            <v>4B</v>
          </cell>
        </row>
        <row r="212">
          <cell r="A212">
            <v>559</v>
          </cell>
          <cell r="B212">
            <v>559</v>
          </cell>
          <cell r="C212" t="str">
            <v>A</v>
          </cell>
          <cell r="D212" t="str">
            <v>Mariam Salem Al Shamisi</v>
          </cell>
          <cell r="E212" t="str">
            <v>مريم سالم الشامسي</v>
          </cell>
          <cell r="F212">
            <v>40590</v>
          </cell>
          <cell r="G212" t="str">
            <v>47700557</v>
          </cell>
          <cell r="H212" t="str">
            <v>Visitor Experience Specialist</v>
          </cell>
          <cell r="I212" t="str">
            <v>أخصائي تجربة الزوار</v>
          </cell>
          <cell r="J212" t="str">
            <v>On-Chart</v>
          </cell>
          <cell r="K212" t="str">
            <v>DCT Payroll</v>
          </cell>
          <cell r="L212" t="str">
            <v>A1</v>
          </cell>
          <cell r="M212" t="str">
            <v>Department of Culture and Tourism</v>
          </cell>
          <cell r="N212" t="str">
            <v>Culture</v>
          </cell>
          <cell r="O212" t="str">
            <v>الثقافة</v>
          </cell>
          <cell r="P212" t="str">
            <v>Culture Sites Management</v>
          </cell>
          <cell r="Q212" t="str">
            <v>إدارة المواقع الثقافية</v>
          </cell>
          <cell r="R212" t="str">
            <v>Al Ain Community Centers</v>
          </cell>
          <cell r="S212" t="str">
            <v>مراكز العين المجتمعية</v>
          </cell>
          <cell r="T212" t="str">
            <v>Al Qattara Arts Centre</v>
          </cell>
          <cell r="U212" t="str">
            <v>مركز القطارة للفنون</v>
          </cell>
          <cell r="V212" t="str">
            <v>Al Ain</v>
          </cell>
          <cell r="W212" t="str">
            <v/>
          </cell>
          <cell r="X212" t="str">
            <v>4511250</v>
          </cell>
          <cell r="Y212" t="str">
            <v>Compliance,Governance&amp;Protocol_Policy (Culture/Tourism _Senior Professional</v>
          </cell>
          <cell r="Z212" t="str">
            <v>Professional</v>
          </cell>
          <cell r="AA212" t="str">
            <v>4A</v>
          </cell>
        </row>
        <row r="213">
          <cell r="A213">
            <v>561</v>
          </cell>
          <cell r="B213">
            <v>561</v>
          </cell>
          <cell r="C213" t="str">
            <v>A</v>
          </cell>
          <cell r="D213" t="str">
            <v>Alisher Akhmedov</v>
          </cell>
          <cell r="E213" t="str">
            <v>اليشر  اخمدوف</v>
          </cell>
          <cell r="F213">
            <v>40601</v>
          </cell>
          <cell r="G213" t="str">
            <v>50001462</v>
          </cell>
          <cell r="H213" t="str">
            <v>Visitor Experience Unit Head</v>
          </cell>
          <cell r="I213" t="str">
            <v>رئيس وحدة تجربة الزوار</v>
          </cell>
          <cell r="J213" t="str">
            <v>On-Chart</v>
          </cell>
          <cell r="K213" t="str">
            <v>DCT Payroll</v>
          </cell>
          <cell r="L213" t="str">
            <v>A1</v>
          </cell>
          <cell r="M213" t="str">
            <v>Department of Culture and Tourism</v>
          </cell>
          <cell r="N213" t="str">
            <v>Culture</v>
          </cell>
          <cell r="O213" t="str">
            <v>الثقافة</v>
          </cell>
          <cell r="P213" t="str">
            <v>Culture Sites Management</v>
          </cell>
          <cell r="Q213" t="str">
            <v>إدارة المواقع الثقافية</v>
          </cell>
          <cell r="R213" t="str">
            <v>Manarat Al Saadiyat</v>
          </cell>
          <cell r="S213" t="str">
            <v>منارة السعديات</v>
          </cell>
          <cell r="T213" t="str">
            <v>Visitor Experience</v>
          </cell>
          <cell r="U213" t="str">
            <v>تجربة الزوار</v>
          </cell>
          <cell r="V213" t="str">
            <v>Abu Dhabi</v>
          </cell>
          <cell r="W213" t="str">
            <v/>
          </cell>
          <cell r="X213" t="str">
            <v>4511250</v>
          </cell>
          <cell r="Y213" t="str">
            <v>Compliance,Governance&amp;Protocol_Policy  (Culture &amp; Tourism)_Unit Head</v>
          </cell>
          <cell r="Z213" t="str">
            <v>Unit Head</v>
          </cell>
          <cell r="AA213" t="str">
            <v>3A</v>
          </cell>
        </row>
        <row r="214">
          <cell r="A214">
            <v>562</v>
          </cell>
          <cell r="B214">
            <v>562</v>
          </cell>
          <cell r="C214" t="str">
            <v>A</v>
          </cell>
          <cell r="D214" t="str">
            <v>Amal Belal Al Shehhi</v>
          </cell>
          <cell r="E214" t="str">
            <v>امل بلال الشحي</v>
          </cell>
          <cell r="F214">
            <v>40601</v>
          </cell>
          <cell r="G214" t="str">
            <v>47700560</v>
          </cell>
          <cell r="H214" t="str">
            <v>Visitor Experience Specialist</v>
          </cell>
          <cell r="I214" t="str">
            <v>أخصائي تجربة الزوار</v>
          </cell>
          <cell r="J214" t="str">
            <v>On-Chart</v>
          </cell>
          <cell r="K214" t="str">
            <v>DCT Payroll</v>
          </cell>
          <cell r="L214" t="str">
            <v>A1</v>
          </cell>
          <cell r="M214" t="str">
            <v>Department of Culture and Tourism</v>
          </cell>
          <cell r="N214" t="str">
            <v>Culture</v>
          </cell>
          <cell r="O214" t="str">
            <v>الثقافة</v>
          </cell>
          <cell r="P214" t="str">
            <v>Culture Sites Management</v>
          </cell>
          <cell r="Q214" t="str">
            <v>إدارة المواقع الثقافية</v>
          </cell>
          <cell r="R214" t="str">
            <v>Manarat Al Saadiyat</v>
          </cell>
          <cell r="S214" t="str">
            <v>منارة السعديات</v>
          </cell>
          <cell r="T214" t="str">
            <v>Visitor Experience</v>
          </cell>
          <cell r="U214" t="str">
            <v>تجربة الزوار</v>
          </cell>
          <cell r="V214" t="str">
            <v>Abu Dhabi</v>
          </cell>
          <cell r="W214" t="str">
            <v/>
          </cell>
          <cell r="X214" t="str">
            <v>4511250</v>
          </cell>
          <cell r="Y214" t="str">
            <v>Compliance,Governance&amp;Protocol_Policy (Culture/Tourism _Senior Professional</v>
          </cell>
          <cell r="Z214" t="str">
            <v>Professional</v>
          </cell>
          <cell r="AA214" t="str">
            <v>4A</v>
          </cell>
        </row>
        <row r="215">
          <cell r="A215">
            <v>568</v>
          </cell>
          <cell r="B215">
            <v>568</v>
          </cell>
          <cell r="C215" t="str">
            <v>A</v>
          </cell>
          <cell r="D215" t="str">
            <v>Mohamed Humaid Al Marashda</v>
          </cell>
          <cell r="E215" t="str">
            <v>محمد حميد المراشده</v>
          </cell>
          <cell r="F215">
            <v>40616</v>
          </cell>
          <cell r="G215" t="str">
            <v>47700566</v>
          </cell>
          <cell r="H215" t="str">
            <v>Security Supervisor</v>
          </cell>
          <cell r="I215" t="str">
            <v>مشرف أمن</v>
          </cell>
          <cell r="J215" t="str">
            <v>On-Chart</v>
          </cell>
          <cell r="K215" t="str">
            <v>DCT Payroll</v>
          </cell>
          <cell r="L215" t="str">
            <v>A1</v>
          </cell>
          <cell r="M215" t="str">
            <v>Department of Culture and Tourism</v>
          </cell>
          <cell r="N215" t="str">
            <v>Support Services</v>
          </cell>
          <cell r="O215" t="str">
            <v>الخدمات المساندة</v>
          </cell>
          <cell r="P215" t="str">
            <v>Supply Management</v>
          </cell>
          <cell r="Q215" t="str">
            <v>إدارة الإمداد</v>
          </cell>
          <cell r="R215" t="str">
            <v>Facilities Management</v>
          </cell>
          <cell r="S215" t="str">
            <v>إدارة المرافق</v>
          </cell>
          <cell r="T215" t="str">
            <v>Facilities Management (Abu Dhabi)</v>
          </cell>
          <cell r="U215" t="str">
            <v>إدارة المرافق - أبوظبي</v>
          </cell>
          <cell r="V215" t="str">
            <v>Abu Dhabi</v>
          </cell>
          <cell r="W215" t="str">
            <v/>
          </cell>
          <cell r="X215" t="str">
            <v>4510240</v>
          </cell>
          <cell r="Y215" t="str">
            <v>Procurement_Procurement General_Professional</v>
          </cell>
          <cell r="Z215" t="str">
            <v>Senior Professional</v>
          </cell>
          <cell r="AA215" t="str">
            <v>3C</v>
          </cell>
        </row>
        <row r="216">
          <cell r="A216">
            <v>569</v>
          </cell>
          <cell r="B216">
            <v>569</v>
          </cell>
          <cell r="C216" t="str">
            <v>A</v>
          </cell>
          <cell r="D216" t="str">
            <v>Ousha Saleh Al Ameri</v>
          </cell>
          <cell r="E216" t="str">
            <v>عوشه صالح العامري</v>
          </cell>
          <cell r="F216">
            <v>40637</v>
          </cell>
          <cell r="G216" t="str">
            <v>47700061</v>
          </cell>
          <cell r="H216" t="str">
            <v>Compliance &amp; Quality Monitoring Executive</v>
          </cell>
          <cell r="I216" t="str">
            <v>تنفيذي الامتثال ومراقبة الجودة</v>
          </cell>
          <cell r="J216" t="str">
            <v>On-Chart</v>
          </cell>
          <cell r="K216" t="str">
            <v>DCT Payroll</v>
          </cell>
          <cell r="L216" t="str">
            <v>A1</v>
          </cell>
          <cell r="M216" t="str">
            <v>Department of Culture and Tourism</v>
          </cell>
          <cell r="N216" t="str">
            <v>Tourism</v>
          </cell>
          <cell r="O216" t="str">
            <v>السياحة</v>
          </cell>
          <cell r="P216" t="str">
            <v>Licensing &amp; Regulatory Compliance</v>
          </cell>
          <cell r="Q216" t="str">
            <v>الرقابة والترخيص</v>
          </cell>
          <cell r="R216" t="str">
            <v>Compliance &amp; Quality Monitoring</v>
          </cell>
          <cell r="S216" t="str">
            <v>الامتثال ومراقبة الجودة</v>
          </cell>
          <cell r="T216" t="str">
            <v/>
          </cell>
          <cell r="U216" t="str">
            <v/>
          </cell>
          <cell r="V216" t="str">
            <v>Abu Dhabi</v>
          </cell>
          <cell r="W216" t="str">
            <v/>
          </cell>
          <cell r="X216" t="str">
            <v>4510170</v>
          </cell>
          <cell r="Y216" t="str">
            <v>Compliance,Governance&amp;Protocol_Licensing &amp; Regulatory Compliance- (Follow-up and Reporting) _Professional Assistant</v>
          </cell>
          <cell r="Z216" t="str">
            <v>Professional</v>
          </cell>
          <cell r="AA216" t="str">
            <v>4A</v>
          </cell>
        </row>
        <row r="217">
          <cell r="A217">
            <v>571</v>
          </cell>
          <cell r="B217">
            <v>571</v>
          </cell>
          <cell r="C217" t="str">
            <v>A</v>
          </cell>
          <cell r="D217" t="str">
            <v>Omar Abdulla Al Beshr</v>
          </cell>
          <cell r="E217" t="str">
            <v>عمر عبدالله البشر</v>
          </cell>
          <cell r="F217">
            <v>40650</v>
          </cell>
          <cell r="G217" t="str">
            <v>47700569</v>
          </cell>
          <cell r="H217" t="str">
            <v>Compliance &amp; Quality Monitoring Section Head</v>
          </cell>
          <cell r="I217" t="str">
            <v>رئيس قسم الامتثال ومراقبة الجودة</v>
          </cell>
          <cell r="J217" t="str">
            <v>On-Chart</v>
          </cell>
          <cell r="K217" t="str">
            <v>DCT Payroll</v>
          </cell>
          <cell r="L217" t="str">
            <v>A1</v>
          </cell>
          <cell r="M217" t="str">
            <v>Department of Culture and Tourism</v>
          </cell>
          <cell r="N217" t="str">
            <v>Tourism</v>
          </cell>
          <cell r="O217" t="str">
            <v>السياحة</v>
          </cell>
          <cell r="P217" t="str">
            <v>Licensing &amp; Regulatory Compliance</v>
          </cell>
          <cell r="Q217" t="str">
            <v>الرقابة والترخيص</v>
          </cell>
          <cell r="R217" t="str">
            <v>Compliance &amp; Quality Monitoring</v>
          </cell>
          <cell r="S217" t="str">
            <v>الامتثال ومراقبة الجودة</v>
          </cell>
          <cell r="T217" t="str">
            <v/>
          </cell>
          <cell r="U217" t="str">
            <v/>
          </cell>
          <cell r="V217" t="str">
            <v>Abu Dhabi</v>
          </cell>
          <cell r="W217" t="str">
            <v/>
          </cell>
          <cell r="X217" t="str">
            <v>4510170</v>
          </cell>
          <cell r="Y217" t="str">
            <v>Compliance,Governance&amp;Protocol_Licensing Services &amp; Regulatory Compliance _Section Head</v>
          </cell>
          <cell r="Z217" t="str">
            <v>Section Manager</v>
          </cell>
          <cell r="AA217" t="str">
            <v>2A</v>
          </cell>
        </row>
        <row r="218">
          <cell r="A218">
            <v>575</v>
          </cell>
          <cell r="B218">
            <v>575</v>
          </cell>
          <cell r="C218" t="str">
            <v>A</v>
          </cell>
          <cell r="D218" t="str">
            <v>Amena Saleem Al Jadidi</v>
          </cell>
          <cell r="E218" t="str">
            <v>امنه سليم الجديدي</v>
          </cell>
          <cell r="F218">
            <v>40685</v>
          </cell>
          <cell r="G218" t="str">
            <v>50002004</v>
          </cell>
          <cell r="H218" t="str">
            <v>Digital Product Senior Specialist</v>
          </cell>
          <cell r="I218" t="str">
            <v>أخصائيي أول المنتجات الرقمية</v>
          </cell>
          <cell r="J218" t="str">
            <v>On-Chart</v>
          </cell>
          <cell r="K218" t="str">
            <v>DCT Payroll</v>
          </cell>
          <cell r="L218" t="str">
            <v>A1</v>
          </cell>
          <cell r="M218" t="str">
            <v>Department of Culture and Tourism</v>
          </cell>
          <cell r="N218" t="str">
            <v>Tourism</v>
          </cell>
          <cell r="O218" t="str">
            <v>السياحة</v>
          </cell>
          <cell r="P218" t="str">
            <v>Tourism Sector Management Office</v>
          </cell>
          <cell r="Q218" t="str">
            <v>مكتب إدارة شؤون قطاع السياحة</v>
          </cell>
          <cell r="R218" t="str">
            <v>Tourism PMO Section</v>
          </cell>
          <cell r="S218" t="str">
            <v>قسم  مكتب إدارة مشاريع السياحة</v>
          </cell>
          <cell r="T218" t="str">
            <v>Digital Product Unit</v>
          </cell>
          <cell r="U218" t="str">
            <v>وحدة المنتجات الرقمية</v>
          </cell>
          <cell r="V218" t="str">
            <v>Abu Dhabi</v>
          </cell>
          <cell r="W218" t="str">
            <v/>
          </cell>
          <cell r="X218" t="str">
            <v>4515010</v>
          </cell>
          <cell r="Y218" t="str">
            <v>Compliance,Governance&amp;Protocol_Policy (Culture/Tourism) _Professional</v>
          </cell>
          <cell r="Z218" t="str">
            <v>Professional</v>
          </cell>
          <cell r="AA218" t="str">
            <v>3A</v>
          </cell>
        </row>
        <row r="219">
          <cell r="A219">
            <v>577</v>
          </cell>
          <cell r="B219">
            <v>577</v>
          </cell>
          <cell r="C219" t="str">
            <v>A</v>
          </cell>
          <cell r="D219" t="str">
            <v>Hasan Marei Al Ahbabi</v>
          </cell>
          <cell r="E219" t="str">
            <v>حسن مرعي الاحبابي</v>
          </cell>
          <cell r="F219">
            <v>40692</v>
          </cell>
          <cell r="G219" t="str">
            <v>10007326</v>
          </cell>
          <cell r="H219" t="str">
            <v>Circulation Senior Specialist</v>
          </cell>
          <cell r="I219" t="str">
            <v>أخصائي أول إعارة</v>
          </cell>
          <cell r="J219" t="str">
            <v>On-Chart</v>
          </cell>
          <cell r="K219" t="str">
            <v>DCT Payroll</v>
          </cell>
          <cell r="L219" t="str">
            <v>A1</v>
          </cell>
          <cell r="M219" t="str">
            <v>Department of Culture and Tourism</v>
          </cell>
          <cell r="N219" t="str">
            <v>Culture</v>
          </cell>
          <cell r="O219" t="str">
            <v>الثقافة</v>
          </cell>
          <cell r="P219" t="str">
            <v>Library Management</v>
          </cell>
          <cell r="Q219" t="str">
            <v>إدارة المكتبات</v>
          </cell>
          <cell r="R219" t="str">
            <v>Zayed Central Library - Al Ain</v>
          </cell>
          <cell r="S219" t="str">
            <v>مكتبة زايد المركزية - العين</v>
          </cell>
          <cell r="T219" t="str">
            <v>Circulation Services</v>
          </cell>
          <cell r="U219" t="str">
            <v>خدمات الإعارة</v>
          </cell>
          <cell r="V219" t="str">
            <v>Abu Dhabi</v>
          </cell>
          <cell r="W219" t="str">
            <v/>
          </cell>
          <cell r="X219" t="str">
            <v>4516100</v>
          </cell>
          <cell r="Y219" t="str">
            <v>Operations_Library Operational Management_Senior Professional</v>
          </cell>
          <cell r="Z219" t="str">
            <v>Senior Professional</v>
          </cell>
          <cell r="AA219" t="str">
            <v>3C</v>
          </cell>
        </row>
        <row r="220">
          <cell r="A220">
            <v>578</v>
          </cell>
          <cell r="B220">
            <v>578</v>
          </cell>
          <cell r="C220" t="str">
            <v>A</v>
          </cell>
          <cell r="D220" t="str">
            <v>Hamad Sultan Al Suwaidi</v>
          </cell>
          <cell r="E220" t="str">
            <v>حمد سلطان السويدي</v>
          </cell>
          <cell r="F220">
            <v>40695</v>
          </cell>
          <cell r="G220" t="str">
            <v>47700576</v>
          </cell>
          <cell r="H220" t="str">
            <v>Falconer</v>
          </cell>
          <cell r="I220" t="str">
            <v>صقار</v>
          </cell>
          <cell r="J220" t="str">
            <v>Off-Chart</v>
          </cell>
          <cell r="K220" t="str">
            <v>DCT Payroll</v>
          </cell>
          <cell r="L220" t="str">
            <v>A1</v>
          </cell>
          <cell r="M220" t="str">
            <v>Department of Culture and Tourism</v>
          </cell>
          <cell r="N220" t="str">
            <v>Culture</v>
          </cell>
          <cell r="O220" t="str">
            <v>الثقافة</v>
          </cell>
          <cell r="P220" t="str">
            <v>Intangible Cultural Heritage</v>
          </cell>
          <cell r="Q220" t="str">
            <v>التراث الثقافي المعنوي</v>
          </cell>
          <cell r="R220" t="str">
            <v>ICH Interpretation &amp; Public Engagement</v>
          </cell>
          <cell r="S220" t="str">
            <v>تطوير محتوى التراث الثقافي المعنوي والمشاركة المجتمعية</v>
          </cell>
          <cell r="T220" t="str">
            <v>ICH Activations &amp; Operations</v>
          </cell>
          <cell r="U220" t="str">
            <v>أنشطة وعمليات التراث الثقافي المعنوي</v>
          </cell>
          <cell r="V220" t="str">
            <v>Abu Dhabi</v>
          </cell>
          <cell r="W220" t="str">
            <v/>
          </cell>
          <cell r="X220" t="str">
            <v>4511600</v>
          </cell>
          <cell r="Y220" t="str">
            <v>Content &amp; Care_World Heritage Sites Planning &amp; Monitoring _Professional</v>
          </cell>
          <cell r="Z220" t="str">
            <v>Assistant and Technical Staff</v>
          </cell>
          <cell r="AA220" t="str">
            <v>6A</v>
          </cell>
        </row>
        <row r="221">
          <cell r="A221">
            <v>588</v>
          </cell>
          <cell r="B221">
            <v>588</v>
          </cell>
          <cell r="C221" t="str">
            <v>A</v>
          </cell>
          <cell r="D221" t="str">
            <v>Hamda Matar Al Ketbi</v>
          </cell>
          <cell r="E221" t="str">
            <v>حمدة مطر الكتبي</v>
          </cell>
          <cell r="F221">
            <v>40741</v>
          </cell>
          <cell r="G221" t="str">
            <v>47700586</v>
          </cell>
          <cell r="H221" t="str">
            <v>Library Assistant</v>
          </cell>
          <cell r="I221" t="str">
            <v>مساعد شؤون المكتبة</v>
          </cell>
          <cell r="J221" t="str">
            <v>On-Chart</v>
          </cell>
          <cell r="K221" t="str">
            <v>DCT Payroll</v>
          </cell>
          <cell r="L221" t="str">
            <v>A1</v>
          </cell>
          <cell r="M221" t="str">
            <v>Department of Culture and Tourism</v>
          </cell>
          <cell r="N221" t="str">
            <v>Culture</v>
          </cell>
          <cell r="O221" t="str">
            <v>الثقافة</v>
          </cell>
          <cell r="P221" t="str">
            <v>Library Management</v>
          </cell>
          <cell r="Q221" t="str">
            <v>إدارة المكتبات</v>
          </cell>
          <cell r="R221" t="str">
            <v>Branches Library</v>
          </cell>
          <cell r="S221" t="str">
            <v>فروع المكتبات</v>
          </cell>
          <cell r="T221" t="str">
            <v>Al Bahia Library</v>
          </cell>
          <cell r="U221" t="str">
            <v>مكتبة الباهية</v>
          </cell>
          <cell r="V221" t="str">
            <v>Al Ain</v>
          </cell>
          <cell r="W221" t="str">
            <v/>
          </cell>
          <cell r="X221" t="str">
            <v>4516100</v>
          </cell>
          <cell r="Y221" t="str">
            <v>Operations_Library Operational  Management _Professional Assistant</v>
          </cell>
          <cell r="Z221" t="str">
            <v>Professional Assistant</v>
          </cell>
          <cell r="AA221" t="str">
            <v>5A</v>
          </cell>
        </row>
        <row r="222">
          <cell r="A222">
            <v>590</v>
          </cell>
          <cell r="B222">
            <v>590</v>
          </cell>
          <cell r="C222" t="str">
            <v>A</v>
          </cell>
          <cell r="D222" t="str">
            <v>Otaiba Zayed Al Mazrouei</v>
          </cell>
          <cell r="E222" t="str">
            <v>عتيبه زايد المزروعي</v>
          </cell>
          <cell r="F222">
            <v>40741</v>
          </cell>
          <cell r="G222" t="str">
            <v>47700588</v>
          </cell>
          <cell r="H222" t="str">
            <v>Inspector</v>
          </cell>
          <cell r="I222" t="str">
            <v>مفتش</v>
          </cell>
          <cell r="J222" t="str">
            <v>On-Chart</v>
          </cell>
          <cell r="K222" t="str">
            <v>DCT Payroll</v>
          </cell>
          <cell r="L222" t="str">
            <v>A1</v>
          </cell>
          <cell r="M222" t="str">
            <v>Department of Culture and Tourism</v>
          </cell>
          <cell r="N222" t="str">
            <v>Tourism</v>
          </cell>
          <cell r="O222" t="str">
            <v>السياحة</v>
          </cell>
          <cell r="P222" t="str">
            <v>Licensing &amp; Regulatory Compliance</v>
          </cell>
          <cell r="Q222" t="str">
            <v>الرقابة والترخيص</v>
          </cell>
          <cell r="R222" t="str">
            <v>Al Ain &amp; Al Dhafra Inspection</v>
          </cell>
          <cell r="S222" t="str">
            <v>التفتيش لمنطقتي العين والظفرة</v>
          </cell>
          <cell r="T222" t="str">
            <v>Al Dhafra Inspection</v>
          </cell>
          <cell r="U222" t="str">
            <v>وحدة تفتيش منطقة الظفرة</v>
          </cell>
          <cell r="V222" t="str">
            <v>Abu Dhabi</v>
          </cell>
          <cell r="W222" t="str">
            <v/>
          </cell>
          <cell r="X222" t="str">
            <v>4510170</v>
          </cell>
          <cell r="Y222" t="str">
            <v>Compliance,Governance&amp;Protocol_Licensing &amp; Regulatory Compliance- (Follow-up and Reporting) _Professional Assistant</v>
          </cell>
          <cell r="Z222" t="str">
            <v>Professional</v>
          </cell>
          <cell r="AA222" t="str">
            <v>4A</v>
          </cell>
        </row>
        <row r="223">
          <cell r="A223">
            <v>593</v>
          </cell>
          <cell r="B223">
            <v>593</v>
          </cell>
          <cell r="C223" t="str">
            <v>A</v>
          </cell>
          <cell r="D223" t="str">
            <v>Shamsa Salem Al Shebli</v>
          </cell>
          <cell r="E223" t="str">
            <v>شمسة سالم الشبلي</v>
          </cell>
          <cell r="F223">
            <v>40748</v>
          </cell>
          <cell r="G223" t="str">
            <v>10005149</v>
          </cell>
          <cell r="H223" t="str">
            <v>Accounts Payables Senior Accountant</v>
          </cell>
          <cell r="I223" t="str">
            <v>محاسب أول الحسابات الدائنة</v>
          </cell>
          <cell r="J223" t="str">
            <v>On-Chart</v>
          </cell>
          <cell r="K223" t="str">
            <v>DCT Payroll</v>
          </cell>
          <cell r="L223" t="str">
            <v>A1</v>
          </cell>
          <cell r="M223" t="str">
            <v>Department of Culture and Tourism</v>
          </cell>
          <cell r="N223" t="str">
            <v>Support Services</v>
          </cell>
          <cell r="O223" t="str">
            <v>الخدمات المساندة</v>
          </cell>
          <cell r="P223" t="str">
            <v>Finance</v>
          </cell>
          <cell r="Q223" t="str">
            <v>إدارة المالية</v>
          </cell>
          <cell r="R223" t="str">
            <v>Payables Operations</v>
          </cell>
          <cell r="S223" t="str">
            <v>عمليات الحسابات الدائنة</v>
          </cell>
          <cell r="T223" t="str">
            <v>Accounts Payables</v>
          </cell>
          <cell r="U223" t="str">
            <v>حسابات دائنة</v>
          </cell>
          <cell r="V223" t="str">
            <v>Al Ain</v>
          </cell>
          <cell r="W223" t="str">
            <v/>
          </cell>
          <cell r="X223" t="str">
            <v>4510210</v>
          </cell>
          <cell r="Y223" t="str">
            <v>Finance_Accountant_Senior Professional</v>
          </cell>
          <cell r="Z223" t="str">
            <v>Senior Professional</v>
          </cell>
          <cell r="AA223" t="str">
            <v>3A</v>
          </cell>
        </row>
        <row r="224">
          <cell r="A224">
            <v>595</v>
          </cell>
          <cell r="B224">
            <v>595</v>
          </cell>
          <cell r="C224" t="str">
            <v>A</v>
          </cell>
          <cell r="D224" t="str">
            <v>Abdelrahman Ali Al Naqbi</v>
          </cell>
          <cell r="E224" t="str">
            <v>عبدالرحمن علي النقبي</v>
          </cell>
          <cell r="F224">
            <v>40756</v>
          </cell>
          <cell r="G224" t="str">
            <v>10007103</v>
          </cell>
          <cell r="H224" t="str">
            <v>Foresight Planning Senior Specialist</v>
          </cell>
          <cell r="I224" t="str">
            <v>أخصائي أول استشراف المستقبل</v>
          </cell>
          <cell r="J224" t="str">
            <v>On-Chart</v>
          </cell>
          <cell r="K224" t="str">
            <v>DCT Payroll</v>
          </cell>
          <cell r="L224" t="str">
            <v>A1</v>
          </cell>
          <cell r="M224" t="str">
            <v>Department of Culture and Tourism</v>
          </cell>
          <cell r="N224" t="str">
            <v>Strategic Affairs</v>
          </cell>
          <cell r="O224" t="str">
            <v>الشؤون الاستراتيجية</v>
          </cell>
          <cell r="P224" t="str">
            <v>Business Excellence &amp; Continuity</v>
          </cell>
          <cell r="Q224" t="str">
            <v>التميز المؤسسي واستمرارية الأعمال</v>
          </cell>
          <cell r="R224" t="str">
            <v>Corporate Excellence &amp; Foresight Planning</v>
          </cell>
          <cell r="S224" t="str">
            <v>التميز المؤسسي واستشراف المستقبل</v>
          </cell>
          <cell r="T224" t="str">
            <v>Foresight Planning and Innovation</v>
          </cell>
          <cell r="U224" t="str">
            <v>استشراف المستقبل والابتكار</v>
          </cell>
          <cell r="V224" t="str">
            <v>Abu Dhabi</v>
          </cell>
          <cell r="W224" t="str">
            <v/>
          </cell>
          <cell r="X224" t="str">
            <v>4512300</v>
          </cell>
          <cell r="Y224" t="str">
            <v>Strategy, Planning, Project Mgt_Business Excellence &amp; Foresight Planning _Senior Professional</v>
          </cell>
          <cell r="Z224" t="str">
            <v>Senior Professional</v>
          </cell>
          <cell r="AA224" t="str">
            <v>3A</v>
          </cell>
        </row>
        <row r="225">
          <cell r="A225">
            <v>596</v>
          </cell>
          <cell r="B225">
            <v>596</v>
          </cell>
          <cell r="C225" t="str">
            <v>A</v>
          </cell>
          <cell r="D225" t="str">
            <v>Ayesha Abdul Kareem Al Ameeri</v>
          </cell>
          <cell r="E225" t="str">
            <v>عائشة عبدالكريم اميري</v>
          </cell>
          <cell r="F225">
            <v>40756</v>
          </cell>
          <cell r="G225" t="str">
            <v>10007162</v>
          </cell>
          <cell r="H225" t="str">
            <v>Accounts Payables Unit Head</v>
          </cell>
          <cell r="I225" t="str">
            <v>رئيس وحدة الحسابات الدائنة</v>
          </cell>
          <cell r="J225" t="str">
            <v>On-Chart</v>
          </cell>
          <cell r="K225" t="str">
            <v>DCT Payroll</v>
          </cell>
          <cell r="L225" t="str">
            <v>A1</v>
          </cell>
          <cell r="M225" t="str">
            <v>Department of Culture and Tourism</v>
          </cell>
          <cell r="N225" t="str">
            <v>Support Services</v>
          </cell>
          <cell r="O225" t="str">
            <v>الخدمات المساندة</v>
          </cell>
          <cell r="P225" t="str">
            <v>Finance</v>
          </cell>
          <cell r="Q225" t="str">
            <v>إدارة المالية</v>
          </cell>
          <cell r="R225" t="str">
            <v>Payables Operations</v>
          </cell>
          <cell r="S225" t="str">
            <v>عمليات الحسابات الدائنة</v>
          </cell>
          <cell r="T225" t="str">
            <v>Accounts Payables</v>
          </cell>
          <cell r="U225" t="str">
            <v>حسابات دائنة</v>
          </cell>
          <cell r="V225" t="str">
            <v>Abu Dhabi</v>
          </cell>
          <cell r="W225" t="str">
            <v/>
          </cell>
          <cell r="X225" t="str">
            <v>4510210</v>
          </cell>
          <cell r="Y225" t="str">
            <v>Finance_Finance Operations _Unit Head</v>
          </cell>
          <cell r="Z225" t="str">
            <v>Unit Head</v>
          </cell>
          <cell r="AA225" t="str">
            <v>3A</v>
          </cell>
        </row>
        <row r="226">
          <cell r="A226">
            <v>598</v>
          </cell>
          <cell r="B226">
            <v>598</v>
          </cell>
          <cell r="C226" t="str">
            <v>A</v>
          </cell>
          <cell r="D226" t="str">
            <v>Maisoon Mohamed Al Naqeeb</v>
          </cell>
          <cell r="E226" t="str">
            <v>ميسون محمد النقيب</v>
          </cell>
          <cell r="F226">
            <v>40756</v>
          </cell>
          <cell r="G226" t="str">
            <v>10005401</v>
          </cell>
          <cell r="H226" t="str">
            <v>Talent Development Section Head</v>
          </cell>
          <cell r="I226" t="str">
            <v>رئيس قسم تطوير المواهب</v>
          </cell>
          <cell r="J226" t="str">
            <v>On-Chart</v>
          </cell>
          <cell r="K226" t="str">
            <v>DCT Payroll</v>
          </cell>
          <cell r="L226" t="str">
            <v>A1</v>
          </cell>
          <cell r="M226" t="str">
            <v>Department of Culture and Tourism</v>
          </cell>
          <cell r="N226" t="str">
            <v>Support Services</v>
          </cell>
          <cell r="O226" t="str">
            <v>الخدمات المساندة</v>
          </cell>
          <cell r="P226" t="str">
            <v>People &amp; Performance</v>
          </cell>
          <cell r="Q226" t="str">
            <v>إدارة الكوادر البشرية والأداء</v>
          </cell>
          <cell r="R226" t="str">
            <v>Talent Development</v>
          </cell>
          <cell r="S226" t="str">
            <v>تطوير المواهب</v>
          </cell>
          <cell r="T226" t="str">
            <v/>
          </cell>
          <cell r="U226" t="str">
            <v/>
          </cell>
          <cell r="V226" t="str">
            <v>Abu Dhabi</v>
          </cell>
          <cell r="W226" t="str">
            <v/>
          </cell>
          <cell r="X226" t="str">
            <v>4510220</v>
          </cell>
          <cell r="Y226" t="str">
            <v>People &amp; Performance _Learning, Talent &amp; Capability Development _Section Head</v>
          </cell>
          <cell r="Z226" t="str">
            <v>Section Manager</v>
          </cell>
          <cell r="AA226" t="str">
            <v>2A</v>
          </cell>
        </row>
        <row r="227">
          <cell r="A227">
            <v>599</v>
          </cell>
          <cell r="B227">
            <v>599</v>
          </cell>
          <cell r="C227" t="str">
            <v>A</v>
          </cell>
          <cell r="D227" t="str">
            <v>Ayesha Abdulla Al Memari</v>
          </cell>
          <cell r="E227" t="str">
            <v>عائشة عبدالله المعمري</v>
          </cell>
          <cell r="F227">
            <v>40757</v>
          </cell>
          <cell r="G227" t="str">
            <v>50002909</v>
          </cell>
          <cell r="H227" t="str">
            <v>In Destination Operations Specialist</v>
          </cell>
          <cell r="I227" t="str">
            <v>أخصائي عمليات المكتب الداخلي</v>
          </cell>
          <cell r="J227" t="str">
            <v>On-Chart</v>
          </cell>
          <cell r="K227" t="str">
            <v>DCT Payroll</v>
          </cell>
          <cell r="L227" t="str">
            <v>A1</v>
          </cell>
          <cell r="M227" t="str">
            <v>Department of Culture and Tourism</v>
          </cell>
          <cell r="N227" t="str">
            <v>Tourism</v>
          </cell>
          <cell r="O227" t="str">
            <v>السياحة</v>
          </cell>
          <cell r="P227" t="str">
            <v>Visitors Experience</v>
          </cell>
          <cell r="Q227" t="str">
            <v>تجربة الزوار</v>
          </cell>
          <cell r="R227" t="str">
            <v>Visitors Information Center</v>
          </cell>
          <cell r="S227" t="str">
            <v>مركز معلومات الزوار</v>
          </cell>
          <cell r="T227" t="str">
            <v>Visitors Information Center</v>
          </cell>
          <cell r="U227" t="str">
            <v>مركز معلومات الزوار</v>
          </cell>
          <cell r="V227" t="str">
            <v>Abu Dhabi</v>
          </cell>
          <cell r="W227" t="str">
            <v/>
          </cell>
          <cell r="X227" t="str">
            <v>4515300</v>
          </cell>
          <cell r="Y227" t="str">
            <v>Design_Visitor Experience Design_Senior Professional</v>
          </cell>
          <cell r="Z227" t="str">
            <v>Senior Professional</v>
          </cell>
          <cell r="AA227" t="str">
            <v>3B</v>
          </cell>
        </row>
        <row r="228">
          <cell r="A228">
            <v>600</v>
          </cell>
          <cell r="B228">
            <v>600</v>
          </cell>
          <cell r="C228" t="str">
            <v>A</v>
          </cell>
          <cell r="D228" t="str">
            <v>Badreya Ahmed Abdouli</v>
          </cell>
          <cell r="E228" t="str">
            <v>بدرية أحمد العبدولي</v>
          </cell>
          <cell r="F228">
            <v>40757</v>
          </cell>
          <cell r="G228" t="str">
            <v>47700598</v>
          </cell>
          <cell r="H228" t="str">
            <v>Call Centre Executive</v>
          </cell>
          <cell r="I228" t="str">
            <v>تنفيذي مركز الإتصال</v>
          </cell>
          <cell r="J228" t="str">
            <v>On-Chart</v>
          </cell>
          <cell r="K228" t="str">
            <v>DCT Payroll</v>
          </cell>
          <cell r="L228" t="str">
            <v>A1</v>
          </cell>
          <cell r="M228" t="str">
            <v>Department of Culture and Tourism</v>
          </cell>
          <cell r="N228" t="str">
            <v>Support Services</v>
          </cell>
          <cell r="O228" t="str">
            <v>الخدمات المساندة</v>
          </cell>
          <cell r="P228" t="str">
            <v>People &amp; Performance</v>
          </cell>
          <cell r="Q228" t="str">
            <v>إدارة الكوادر البشرية والأداء</v>
          </cell>
          <cell r="R228" t="str">
            <v>Employee Relations</v>
          </cell>
          <cell r="S228" t="str">
            <v>شؤون الموظفين</v>
          </cell>
          <cell r="T228" t="str">
            <v>Call Center</v>
          </cell>
          <cell r="U228" t="str">
            <v>مركز الإتصال</v>
          </cell>
          <cell r="V228" t="str">
            <v>Al Ain</v>
          </cell>
          <cell r="W228" t="str">
            <v/>
          </cell>
          <cell r="X228" t="str">
            <v>4510220</v>
          </cell>
          <cell r="Y228" t="str">
            <v>People &amp; Performance _Employee Relations_Professional Assistant</v>
          </cell>
          <cell r="Z228" t="str">
            <v>Professional</v>
          </cell>
          <cell r="AA228" t="str">
            <v>4A</v>
          </cell>
        </row>
        <row r="229">
          <cell r="A229">
            <v>601</v>
          </cell>
          <cell r="B229">
            <v>601</v>
          </cell>
          <cell r="C229" t="str">
            <v>A</v>
          </cell>
          <cell r="D229" t="str">
            <v>Shaikha Abdulla Al Mansoori</v>
          </cell>
          <cell r="E229" t="str">
            <v>شيخة عبدالله المنصوري</v>
          </cell>
          <cell r="F229">
            <v>40757</v>
          </cell>
          <cell r="G229" t="str">
            <v>47700599</v>
          </cell>
          <cell r="H229" t="str">
            <v>Senior Document Controller</v>
          </cell>
          <cell r="I229" t="str">
            <v>مراقب المستندات أول</v>
          </cell>
          <cell r="J229" t="str">
            <v>On-Chart</v>
          </cell>
          <cell r="K229" t="str">
            <v>DCT Payroll</v>
          </cell>
          <cell r="L229" t="str">
            <v>A1</v>
          </cell>
          <cell r="M229" t="str">
            <v>Department of Culture and Tourism</v>
          </cell>
          <cell r="N229" t="str">
            <v>Support Services</v>
          </cell>
          <cell r="O229" t="str">
            <v>الخدمات المساندة</v>
          </cell>
          <cell r="P229" t="str">
            <v>People &amp; Performance</v>
          </cell>
          <cell r="Q229" t="str">
            <v>إدارة الكوادر البشرية والأداء</v>
          </cell>
          <cell r="R229" t="str">
            <v>Rewards &amp; Policy</v>
          </cell>
          <cell r="S229" t="str">
            <v>المكافآت والسياسات</v>
          </cell>
          <cell r="T229" t="str">
            <v>General Services</v>
          </cell>
          <cell r="U229" t="str">
            <v>الخدمات العامة</v>
          </cell>
          <cell r="V229" t="str">
            <v>Abu Dhabi</v>
          </cell>
          <cell r="W229" t="str">
            <v/>
          </cell>
          <cell r="X229" t="str">
            <v>4510220</v>
          </cell>
          <cell r="Y229" t="str">
            <v>Comms &amp; Marketing _Marketing &amp; Communications (All)_Professional</v>
          </cell>
          <cell r="Z229" t="str">
            <v>Professional</v>
          </cell>
          <cell r="AA229" t="str">
            <v>4A</v>
          </cell>
        </row>
        <row r="230">
          <cell r="A230">
            <v>603</v>
          </cell>
          <cell r="B230">
            <v>603</v>
          </cell>
          <cell r="C230" t="str">
            <v>A</v>
          </cell>
          <cell r="D230" t="str">
            <v>Saeeda Husain Al Mansoori</v>
          </cell>
          <cell r="E230" t="str">
            <v>سعيدة حسين المنصوري</v>
          </cell>
          <cell r="F230">
            <v>40757</v>
          </cell>
          <cell r="G230" t="str">
            <v>47700601</v>
          </cell>
          <cell r="H230" t="str">
            <v>General Services Specialist</v>
          </cell>
          <cell r="I230" t="str">
            <v>أخصائي خدمات عامة</v>
          </cell>
          <cell r="J230" t="str">
            <v>On-Chart</v>
          </cell>
          <cell r="K230" t="str">
            <v>DCT Payroll</v>
          </cell>
          <cell r="L230" t="str">
            <v>A1</v>
          </cell>
          <cell r="M230" t="str">
            <v>Department of Culture and Tourism</v>
          </cell>
          <cell r="N230" t="str">
            <v>Support Services</v>
          </cell>
          <cell r="O230" t="str">
            <v>الخدمات المساندة</v>
          </cell>
          <cell r="P230" t="str">
            <v>People &amp; Performance</v>
          </cell>
          <cell r="Q230" t="str">
            <v>إدارة الكوادر البشرية والأداء</v>
          </cell>
          <cell r="R230" t="str">
            <v>Rewards &amp; Policy</v>
          </cell>
          <cell r="S230" t="str">
            <v>المكافآت والسياسات</v>
          </cell>
          <cell r="T230" t="str">
            <v>General Services</v>
          </cell>
          <cell r="U230" t="str">
            <v>الخدمات العامة</v>
          </cell>
          <cell r="V230" t="str">
            <v>Abu Dhabi</v>
          </cell>
          <cell r="W230" t="str">
            <v/>
          </cell>
          <cell r="X230" t="str">
            <v>4510220</v>
          </cell>
          <cell r="Y230" t="str">
            <v>People &amp; Performance _Rewards Policy &amp; Recognition _Professional</v>
          </cell>
          <cell r="Z230" t="str">
            <v>Professional</v>
          </cell>
          <cell r="AA230" t="str">
            <v>4B</v>
          </cell>
        </row>
        <row r="231">
          <cell r="A231">
            <v>604</v>
          </cell>
          <cell r="B231">
            <v>604</v>
          </cell>
          <cell r="C231" t="str">
            <v>A</v>
          </cell>
          <cell r="D231" t="str">
            <v>Saif Saeed Al Matroushi</v>
          </cell>
          <cell r="E231" t="str">
            <v>سيف سعيد المطروشي</v>
          </cell>
          <cell r="F231">
            <v>40757</v>
          </cell>
          <cell r="G231" t="str">
            <v>10004982</v>
          </cell>
          <cell r="H231" t="str">
            <v>In Destination Operations Officer</v>
          </cell>
          <cell r="I231" t="str">
            <v>ضابط عمليات المكتب الداخلي</v>
          </cell>
          <cell r="J231" t="str">
            <v>On-Chart</v>
          </cell>
          <cell r="K231" t="str">
            <v>DCT Payroll</v>
          </cell>
          <cell r="L231" t="str">
            <v>A1</v>
          </cell>
          <cell r="M231" t="str">
            <v>Department of Culture and Tourism</v>
          </cell>
          <cell r="N231" t="str">
            <v>Tourism</v>
          </cell>
          <cell r="O231" t="str">
            <v>السياحة</v>
          </cell>
          <cell r="P231" t="str">
            <v>Visitors Experience</v>
          </cell>
          <cell r="Q231" t="str">
            <v>تجربة الزوار</v>
          </cell>
          <cell r="R231" t="str">
            <v>Visitors Information Center</v>
          </cell>
          <cell r="S231" t="str">
            <v>مركز معلومات الزوار</v>
          </cell>
          <cell r="T231" t="str">
            <v>Visitors Information Center</v>
          </cell>
          <cell r="U231" t="str">
            <v>مركز معلومات الزوار</v>
          </cell>
          <cell r="V231" t="str">
            <v>Abu Dhabi</v>
          </cell>
          <cell r="W231" t="str">
            <v/>
          </cell>
          <cell r="X231" t="str">
            <v>4515300</v>
          </cell>
          <cell r="Y231" t="str">
            <v>Design_Visitor Experience Design _Professional</v>
          </cell>
          <cell r="Z231" t="str">
            <v>Professional</v>
          </cell>
          <cell r="AA231" t="str">
            <v>4B</v>
          </cell>
        </row>
        <row r="232">
          <cell r="A232">
            <v>605</v>
          </cell>
          <cell r="B232">
            <v>605</v>
          </cell>
          <cell r="C232" t="str">
            <v>A</v>
          </cell>
          <cell r="D232" t="str">
            <v>Shaheera Eid Al Rashedi</v>
          </cell>
          <cell r="E232" t="str">
            <v>شهيرا عيد الراشدي</v>
          </cell>
          <cell r="F232">
            <v>40757</v>
          </cell>
          <cell r="G232" t="str">
            <v>10007184</v>
          </cell>
          <cell r="H232" t="str">
            <v>Tourism Research Senior Specialist</v>
          </cell>
          <cell r="I232" t="str">
            <v>أخصائي أول بحوث السياحة</v>
          </cell>
          <cell r="J232" t="str">
            <v>On-Chart</v>
          </cell>
          <cell r="K232" t="str">
            <v>DCT Payroll</v>
          </cell>
          <cell r="L232" t="str">
            <v>A1</v>
          </cell>
          <cell r="M232" t="str">
            <v>Department of Culture and Tourism</v>
          </cell>
          <cell r="N232" t="str">
            <v>Strategic Affairs</v>
          </cell>
          <cell r="O232" t="str">
            <v>الشؤون الاستراتيجية</v>
          </cell>
          <cell r="P232" t="str">
            <v>Data &amp; AI Department</v>
          </cell>
          <cell r="Q232" t="str">
            <v>إدارة البيانات والذكاء الاصطناعي</v>
          </cell>
          <cell r="R232" t="str">
            <v>Research</v>
          </cell>
          <cell r="S232" t="str">
            <v>البحوث</v>
          </cell>
          <cell r="T232" t="str">
            <v>Tourism Analysis &amp; Reporting</v>
          </cell>
          <cell r="U232" t="str">
            <v>التحليل والتقارير للسياحة</v>
          </cell>
          <cell r="V232" t="str">
            <v>Abu Dhabi</v>
          </cell>
          <cell r="W232" t="str">
            <v/>
          </cell>
          <cell r="X232" t="str">
            <v>4512200</v>
          </cell>
          <cell r="Y232" t="str">
            <v>Strategy, Planning, Project Mgt_Business &amp; Market Intelligence  Analysis &amp; Planning_Senior Professional</v>
          </cell>
          <cell r="Z232" t="str">
            <v>Senior Professional</v>
          </cell>
          <cell r="AA232" t="str">
            <v>3A</v>
          </cell>
        </row>
        <row r="233">
          <cell r="A233">
            <v>607</v>
          </cell>
          <cell r="B233">
            <v>607</v>
          </cell>
          <cell r="C233" t="str">
            <v>A</v>
          </cell>
          <cell r="D233" t="str">
            <v>Maha Hussain Al Ali</v>
          </cell>
          <cell r="E233" t="str">
            <v>مها حسين آل علي</v>
          </cell>
          <cell r="F233">
            <v>40762</v>
          </cell>
          <cell r="G233" t="str">
            <v>10009243</v>
          </cell>
          <cell r="H233" t="str">
            <v>Al Ain Operations Lead</v>
          </cell>
          <cell r="I233" t="str">
            <v>أخصائي رئيسي عمليات العين</v>
          </cell>
          <cell r="J233" t="str">
            <v>On-Chart</v>
          </cell>
          <cell r="K233" t="str">
            <v>DCT Payroll</v>
          </cell>
          <cell r="L233" t="str">
            <v>A1</v>
          </cell>
          <cell r="M233" t="str">
            <v>Department of Culture and Tourism</v>
          </cell>
          <cell r="N233" t="str">
            <v>Culture</v>
          </cell>
          <cell r="O233" t="str">
            <v>الثقافة</v>
          </cell>
          <cell r="P233" t="str">
            <v>Culture Sites Management</v>
          </cell>
          <cell r="Q233" t="str">
            <v>إدارة المواقع الثقافية</v>
          </cell>
          <cell r="R233" t="str">
            <v>Al Ain Culture Sites</v>
          </cell>
          <cell r="S233" t="str">
            <v>مواقع العين الثقافية</v>
          </cell>
          <cell r="T233" t="str">
            <v/>
          </cell>
          <cell r="U233" t="str">
            <v/>
          </cell>
          <cell r="V233" t="str">
            <v>Al Ain</v>
          </cell>
          <cell r="W233" t="str">
            <v/>
          </cell>
          <cell r="X233" t="str">
            <v>4511250</v>
          </cell>
          <cell r="Y233" t="str">
            <v>Compliance,Governance&amp;Protocol_Policy (Culture/Tourism _Senior Professional</v>
          </cell>
          <cell r="Z233" t="str">
            <v>Senior Professional</v>
          </cell>
          <cell r="AA233" t="str">
            <v>3A</v>
          </cell>
        </row>
        <row r="234">
          <cell r="A234">
            <v>608</v>
          </cell>
          <cell r="B234">
            <v>608</v>
          </cell>
          <cell r="C234" t="str">
            <v>A</v>
          </cell>
          <cell r="D234" t="str">
            <v>Mariam Dawood Al-Hammadi</v>
          </cell>
          <cell r="E234" t="str">
            <v>مريم داوود الحمادي</v>
          </cell>
          <cell r="F234">
            <v>40762</v>
          </cell>
          <cell r="G234" t="str">
            <v>10007161</v>
          </cell>
          <cell r="H234" t="str">
            <v>Journey Design &amp; Development Unit Head</v>
          </cell>
          <cell r="I234" t="str">
            <v>رئيس وحده تصميم و تطوير الرحلات</v>
          </cell>
          <cell r="J234" t="str">
            <v>On-Chart</v>
          </cell>
          <cell r="K234" t="str">
            <v>DCT Payroll</v>
          </cell>
          <cell r="L234" t="str">
            <v>A1</v>
          </cell>
          <cell r="M234" t="str">
            <v>Department of Culture and Tourism</v>
          </cell>
          <cell r="N234" t="str">
            <v>Tourism</v>
          </cell>
          <cell r="O234" t="str">
            <v>السياحة</v>
          </cell>
          <cell r="P234" t="str">
            <v>Visitors Experience</v>
          </cell>
          <cell r="Q234" t="str">
            <v>تجربة الزوار</v>
          </cell>
          <cell r="R234" t="str">
            <v>Journey Design &amp; Development</v>
          </cell>
          <cell r="S234" t="str">
            <v>تصميم وتطوير الرحلات</v>
          </cell>
          <cell r="T234" t="str">
            <v>Journey Design &amp; Development Unit</v>
          </cell>
          <cell r="U234" t="str">
            <v>وحدة تصميم و تطوير الرحلات</v>
          </cell>
          <cell r="V234" t="str">
            <v>Abu Dhabi</v>
          </cell>
          <cell r="W234" t="str">
            <v/>
          </cell>
          <cell r="X234" t="str">
            <v>4515300</v>
          </cell>
          <cell r="Y234" t="str">
            <v>Design_Visitor Experience Design_Unit Head</v>
          </cell>
          <cell r="Z234" t="str">
            <v>Unit Head</v>
          </cell>
          <cell r="AA234" t="str">
            <v>3A</v>
          </cell>
        </row>
        <row r="235">
          <cell r="A235">
            <v>609</v>
          </cell>
          <cell r="B235">
            <v>609</v>
          </cell>
          <cell r="C235" t="str">
            <v>A</v>
          </cell>
          <cell r="D235" t="str">
            <v>Abdulla Hasan Al Hosani</v>
          </cell>
          <cell r="E235" t="str">
            <v>عبدالله حسن الحوسني</v>
          </cell>
          <cell r="F235">
            <v>40764</v>
          </cell>
          <cell r="G235" t="str">
            <v>50001904</v>
          </cell>
          <cell r="H235" t="str">
            <v>Abu Dhabi Corporate Environment Health &amp; Safety Senior Executive</v>
          </cell>
          <cell r="I235" t="str">
            <v>تنفيذي أول البيئة والصحة والسلامة للدائرة لأبوظبي</v>
          </cell>
          <cell r="J235" t="str">
            <v>On-Chart</v>
          </cell>
          <cell r="K235" t="str">
            <v>DCT Payroll</v>
          </cell>
          <cell r="L235" t="str">
            <v>A1</v>
          </cell>
          <cell r="M235" t="str">
            <v>Department of Culture and Tourism</v>
          </cell>
          <cell r="N235" t="str">
            <v>Tourism</v>
          </cell>
          <cell r="O235" t="str">
            <v>السياحة</v>
          </cell>
          <cell r="P235" t="str">
            <v>Licensing &amp; Regulatory Compliance</v>
          </cell>
          <cell r="Q235" t="str">
            <v>الرقابة والترخيص</v>
          </cell>
          <cell r="R235" t="str">
            <v>Environment, Health &amp; Safety</v>
          </cell>
          <cell r="S235" t="str">
            <v>البيئة والصحة والسلامة</v>
          </cell>
          <cell r="T235" t="str">
            <v>Corporate Environment, Health &amp; Safety</v>
          </cell>
          <cell r="U235" t="str">
            <v>البيئة والصحة والسلامة للدائرة</v>
          </cell>
          <cell r="V235" t="str">
            <v>Abu Dhabi</v>
          </cell>
          <cell r="W235" t="str">
            <v/>
          </cell>
          <cell r="X235" t="str">
            <v>4510170</v>
          </cell>
          <cell r="Y235" t="str">
            <v>Specialization Governance &amp; Compliance</v>
          </cell>
          <cell r="Z235" t="str">
            <v>Senior Professional</v>
          </cell>
          <cell r="AA235" t="str">
            <v>3A</v>
          </cell>
        </row>
        <row r="236">
          <cell r="A236">
            <v>611</v>
          </cell>
          <cell r="B236">
            <v>611</v>
          </cell>
          <cell r="C236" t="str">
            <v>A</v>
          </cell>
          <cell r="D236" t="str">
            <v>Mansoor Qais Binyamani</v>
          </cell>
          <cell r="E236" t="str">
            <v>منصور قيس الحضرمي</v>
          </cell>
          <cell r="F236">
            <v>40769</v>
          </cell>
          <cell r="G236" t="str">
            <v>50001572</v>
          </cell>
          <cell r="H236" t="str">
            <v>Storekeeping Officer</v>
          </cell>
          <cell r="I236" t="str">
            <v>ضابط مستودعات</v>
          </cell>
          <cell r="J236" t="str">
            <v>On-Chart</v>
          </cell>
          <cell r="K236" t="str">
            <v>DCT Payroll</v>
          </cell>
          <cell r="L236" t="str">
            <v>A1</v>
          </cell>
          <cell r="M236" t="str">
            <v>Department of Culture and Tourism</v>
          </cell>
          <cell r="N236" t="str">
            <v>Culture</v>
          </cell>
          <cell r="O236" t="str">
            <v>الثقافة</v>
          </cell>
          <cell r="P236" t="str">
            <v>Library Management</v>
          </cell>
          <cell r="Q236" t="str">
            <v>إدارة المكتبات</v>
          </cell>
          <cell r="R236" t="str">
            <v>Technical Services</v>
          </cell>
          <cell r="S236" t="str">
            <v>الخدمات الفنية</v>
          </cell>
          <cell r="T236" t="str">
            <v>Stores &amp; Binding</v>
          </cell>
          <cell r="U236" t="str">
            <v>المستودعات</v>
          </cell>
          <cell r="V236" t="str">
            <v>Abu Dhabi</v>
          </cell>
          <cell r="W236" t="str">
            <v/>
          </cell>
          <cell r="X236" t="str">
            <v>4516100</v>
          </cell>
          <cell r="Y236" t="str">
            <v>Interpretation &amp; Engagement_Library Service Delivery (Librarian)_Professional</v>
          </cell>
          <cell r="Z236" t="str">
            <v>Professional</v>
          </cell>
          <cell r="AA236" t="str">
            <v>4B</v>
          </cell>
        </row>
        <row r="237">
          <cell r="A237">
            <v>612</v>
          </cell>
          <cell r="B237">
            <v>612</v>
          </cell>
          <cell r="C237" t="str">
            <v>A</v>
          </cell>
          <cell r="D237" t="str">
            <v>Mahra Saeed Al Shamsi</v>
          </cell>
          <cell r="E237" t="str">
            <v>مهره سعيد الشامسي</v>
          </cell>
          <cell r="F237">
            <v>40776</v>
          </cell>
          <cell r="G237" t="str">
            <v>10005300</v>
          </cell>
          <cell r="H237" t="str">
            <v>Visitor Experience Supervisor</v>
          </cell>
          <cell r="I237" t="str">
            <v>مشرف تجربة الزوار</v>
          </cell>
          <cell r="J237" t="str">
            <v>On-Chart</v>
          </cell>
          <cell r="K237" t="str">
            <v>DCT Payroll</v>
          </cell>
          <cell r="L237" t="str">
            <v>A1</v>
          </cell>
          <cell r="M237" t="str">
            <v>Department of Culture and Tourism</v>
          </cell>
          <cell r="N237" t="str">
            <v>Culture</v>
          </cell>
          <cell r="O237" t="str">
            <v>الثقافة</v>
          </cell>
          <cell r="P237" t="str">
            <v>Culture Sites Management</v>
          </cell>
          <cell r="Q237" t="str">
            <v>إدارة المواقع الثقافية</v>
          </cell>
          <cell r="R237" t="str">
            <v>Al Ain Historical Sites</v>
          </cell>
          <cell r="S237" t="str">
            <v>مواقع العين التاريخية</v>
          </cell>
          <cell r="T237" t="str">
            <v>Al Ain Palace Museum</v>
          </cell>
          <cell r="U237" t="str">
            <v>متحف قصر العين</v>
          </cell>
          <cell r="V237" t="str">
            <v>Al Ain</v>
          </cell>
          <cell r="W237" t="str">
            <v/>
          </cell>
          <cell r="X237" t="str">
            <v>4511250</v>
          </cell>
          <cell r="Y237" t="str">
            <v>Compliance,Governance&amp;Protocol_Policy (Culture/Tourism _Senior Professional</v>
          </cell>
          <cell r="Z237" t="str">
            <v>Senior Professional</v>
          </cell>
          <cell r="AA237" t="str">
            <v>3A</v>
          </cell>
        </row>
        <row r="238">
          <cell r="A238">
            <v>613</v>
          </cell>
          <cell r="B238">
            <v>613</v>
          </cell>
          <cell r="C238" t="str">
            <v>A</v>
          </cell>
          <cell r="D238" t="str">
            <v>Mariam Sultan Al Nasri</v>
          </cell>
          <cell r="E238" t="str">
            <v>مريم سلطان الناصري</v>
          </cell>
          <cell r="F238">
            <v>40776</v>
          </cell>
          <cell r="G238" t="str">
            <v>10004995</v>
          </cell>
          <cell r="H238" t="str">
            <v>Accounts Receivables Senior Accountant (Commercial)</v>
          </cell>
          <cell r="I238" t="str">
            <v>محاسب أول الحسابات المستحقة ( تجاري)</v>
          </cell>
          <cell r="J238" t="str">
            <v>On-Chart</v>
          </cell>
          <cell r="K238" t="str">
            <v>DCT Payroll</v>
          </cell>
          <cell r="L238" t="str">
            <v>A1</v>
          </cell>
          <cell r="M238" t="str">
            <v>Department of Culture and Tourism</v>
          </cell>
          <cell r="N238" t="str">
            <v>Support Services</v>
          </cell>
          <cell r="O238" t="str">
            <v>الخدمات المساندة</v>
          </cell>
          <cell r="P238" t="str">
            <v>Finance</v>
          </cell>
          <cell r="Q238" t="str">
            <v>إدارة المالية</v>
          </cell>
          <cell r="R238" t="str">
            <v>Receivables Operations</v>
          </cell>
          <cell r="S238" t="str">
            <v>عمليات الحسابات المستحقة</v>
          </cell>
          <cell r="T238" t="str">
            <v>Accounts Receivables</v>
          </cell>
          <cell r="U238" t="str">
            <v>حسابات مستحقة</v>
          </cell>
          <cell r="V238" t="str">
            <v>Al Ain</v>
          </cell>
          <cell r="W238" t="str">
            <v/>
          </cell>
          <cell r="X238" t="str">
            <v>4510210</v>
          </cell>
          <cell r="Y238" t="str">
            <v>Finance_Accountant_Senior Professional</v>
          </cell>
          <cell r="Z238" t="str">
            <v>Senior Professional</v>
          </cell>
          <cell r="AA238" t="str">
            <v>3A</v>
          </cell>
        </row>
        <row r="239">
          <cell r="A239">
            <v>614</v>
          </cell>
          <cell r="B239">
            <v>614</v>
          </cell>
          <cell r="C239" t="str">
            <v>A</v>
          </cell>
          <cell r="D239" t="str">
            <v>Seham Mohamed Abdulla</v>
          </cell>
          <cell r="E239" t="str">
            <v>سهام محمد عبدالله</v>
          </cell>
          <cell r="F239">
            <v>40776</v>
          </cell>
          <cell r="G239" t="str">
            <v>10011483</v>
          </cell>
          <cell r="H239" t="str">
            <v>Gifts &amp; Exchange Unit Head</v>
          </cell>
          <cell r="I239" t="str">
            <v>رئيس وحدة التبادل والهدايا</v>
          </cell>
          <cell r="J239" t="str">
            <v>On-Chart</v>
          </cell>
          <cell r="K239" t="str">
            <v>DCT Payroll</v>
          </cell>
          <cell r="L239" t="str">
            <v>A1</v>
          </cell>
          <cell r="M239" t="str">
            <v>Department of Culture and Tourism</v>
          </cell>
          <cell r="N239" t="str">
            <v>Culture</v>
          </cell>
          <cell r="O239" t="str">
            <v>الثقافة</v>
          </cell>
          <cell r="P239" t="str">
            <v>Library Management</v>
          </cell>
          <cell r="Q239" t="str">
            <v>إدارة المكتبات</v>
          </cell>
          <cell r="R239" t="str">
            <v>Technical Services</v>
          </cell>
          <cell r="S239" t="str">
            <v>الخدمات الفنية</v>
          </cell>
          <cell r="T239" t="str">
            <v>Gifts &amp; Exchange</v>
          </cell>
          <cell r="U239" t="str">
            <v>التبادل والهدايا</v>
          </cell>
          <cell r="V239" t="str">
            <v>Abu Dhabi</v>
          </cell>
          <cell r="W239" t="str">
            <v/>
          </cell>
          <cell r="X239" t="str">
            <v>4516100</v>
          </cell>
          <cell r="Y239" t="str">
            <v>Operations_Library Operational Management_Unit Head</v>
          </cell>
          <cell r="Z239" t="str">
            <v>Unit Head</v>
          </cell>
          <cell r="AA239" t="str">
            <v>3A</v>
          </cell>
        </row>
        <row r="240">
          <cell r="A240">
            <v>616</v>
          </cell>
          <cell r="B240">
            <v>616</v>
          </cell>
          <cell r="C240" t="str">
            <v>A</v>
          </cell>
          <cell r="D240" t="str">
            <v>Ahmed Zeyad Alameri</v>
          </cell>
          <cell r="E240" t="str">
            <v>أحمد زياد العامري</v>
          </cell>
          <cell r="F240">
            <v>40790</v>
          </cell>
          <cell r="G240" t="str">
            <v>50000334</v>
          </cell>
          <cell r="H240" t="str">
            <v>ICH Register Unit Head</v>
          </cell>
          <cell r="I240" t="str">
            <v>رئيس وحدة تسجيل التراث الثقافي المعنوي</v>
          </cell>
          <cell r="J240" t="str">
            <v>On-Chart</v>
          </cell>
          <cell r="K240" t="str">
            <v>DCT Payroll</v>
          </cell>
          <cell r="L240" t="str">
            <v>A1</v>
          </cell>
          <cell r="M240" t="str">
            <v>Department of Culture and Tourism</v>
          </cell>
          <cell r="N240" t="str">
            <v>Culture</v>
          </cell>
          <cell r="O240" t="str">
            <v>الثقافة</v>
          </cell>
          <cell r="P240" t="str">
            <v>Intangible Cultural Heritage</v>
          </cell>
          <cell r="Q240" t="str">
            <v>التراث الثقافي المعنوي</v>
          </cell>
          <cell r="R240" t="str">
            <v>ICH Research &amp; Documentation</v>
          </cell>
          <cell r="S240" t="str">
            <v>بحوث وتوثيق التراث الثقافي المعنوي</v>
          </cell>
          <cell r="T240" t="str">
            <v>ICH Registrar</v>
          </cell>
          <cell r="U240" t="str">
            <v>تسجيل التراث الثقافي المعنوي</v>
          </cell>
          <cell r="V240" t="str">
            <v>Abu Dhabi</v>
          </cell>
          <cell r="W240" t="str">
            <v/>
          </cell>
          <cell r="X240" t="str">
            <v>4511600</v>
          </cell>
          <cell r="Y240" t="str">
            <v>Content &amp; Care_World Heritage Planning &amp; Monitoring _Unit Head</v>
          </cell>
          <cell r="Z240" t="str">
            <v>Unit Head</v>
          </cell>
          <cell r="AA240" t="str">
            <v>3A</v>
          </cell>
        </row>
        <row r="241">
          <cell r="A241">
            <v>617</v>
          </cell>
          <cell r="B241">
            <v>617</v>
          </cell>
          <cell r="C241" t="str">
            <v>A</v>
          </cell>
          <cell r="D241" t="str">
            <v>Aysha Yousef Aseeri</v>
          </cell>
          <cell r="E241" t="str">
            <v>عائشة يوسف عسيري</v>
          </cell>
          <cell r="F241">
            <v>40790</v>
          </cell>
          <cell r="G241" t="str">
            <v>50002027</v>
          </cell>
          <cell r="H241" t="str">
            <v>Community Programmes Senior Specialist</v>
          </cell>
          <cell r="I241" t="str">
            <v>أخصائي أول البرامج المجتمعية</v>
          </cell>
          <cell r="J241" t="str">
            <v>On-Chart</v>
          </cell>
          <cell r="K241" t="str">
            <v>DCT Payroll</v>
          </cell>
          <cell r="L241" t="str">
            <v>A1</v>
          </cell>
          <cell r="M241" t="str">
            <v>Department of Culture and Tourism</v>
          </cell>
          <cell r="N241" t="str">
            <v>Culture</v>
          </cell>
          <cell r="O241" t="str">
            <v>الثقافة</v>
          </cell>
          <cell r="P241" t="str">
            <v>Culture Sites Management</v>
          </cell>
          <cell r="Q241" t="str">
            <v>إدارة المواقع الثقافية</v>
          </cell>
          <cell r="R241" t="str">
            <v>Cultural Foundation</v>
          </cell>
          <cell r="S241" t="str">
            <v>المجمع الثقافي</v>
          </cell>
          <cell r="T241" t="str">
            <v>Community Programmes</v>
          </cell>
          <cell r="U241" t="str">
            <v>البرامج المجتمعية</v>
          </cell>
          <cell r="V241" t="str">
            <v>Abu Dhabi</v>
          </cell>
          <cell r="W241" t="str">
            <v/>
          </cell>
          <cell r="X241" t="str">
            <v>4511250</v>
          </cell>
          <cell r="Y241" t="str">
            <v>Compliance,Governance&amp;Protocol_Policy (Culture/Tourism _Senior Professional</v>
          </cell>
          <cell r="Z241" t="str">
            <v>Senior Professional</v>
          </cell>
          <cell r="AA241" t="str">
            <v>3A</v>
          </cell>
        </row>
        <row r="242">
          <cell r="A242">
            <v>621</v>
          </cell>
          <cell r="B242">
            <v>621</v>
          </cell>
          <cell r="C242" t="str">
            <v>A</v>
          </cell>
          <cell r="D242" t="str">
            <v>Mariam Othman AlHammadi</v>
          </cell>
          <cell r="E242" t="str">
            <v>مريم عثمان الحمادي</v>
          </cell>
          <cell r="F242">
            <v>40790</v>
          </cell>
          <cell r="G242" t="str">
            <v>10005437</v>
          </cell>
          <cell r="H242" t="str">
            <v>Acquisition Senior Specialist</v>
          </cell>
          <cell r="I242" t="str">
            <v>أخصائي أول تزويد</v>
          </cell>
          <cell r="J242" t="str">
            <v>On-Chart</v>
          </cell>
          <cell r="K242" t="str">
            <v>DCT Payroll</v>
          </cell>
          <cell r="L242" t="str">
            <v>A1</v>
          </cell>
          <cell r="M242" t="str">
            <v>Department of Culture and Tourism</v>
          </cell>
          <cell r="N242" t="str">
            <v>Culture</v>
          </cell>
          <cell r="O242" t="str">
            <v>الثقافة</v>
          </cell>
          <cell r="P242" t="str">
            <v>Library Management</v>
          </cell>
          <cell r="Q242" t="str">
            <v>إدارة المكتبات</v>
          </cell>
          <cell r="R242" t="str">
            <v>Technical Services</v>
          </cell>
          <cell r="S242" t="str">
            <v>الخدمات الفنية</v>
          </cell>
          <cell r="T242" t="str">
            <v>Acquisition</v>
          </cell>
          <cell r="U242" t="str">
            <v>التزويد</v>
          </cell>
          <cell r="V242" t="str">
            <v>Abu Dhabi</v>
          </cell>
          <cell r="W242" t="str">
            <v/>
          </cell>
          <cell r="X242" t="str">
            <v>4516100</v>
          </cell>
          <cell r="Y242" t="str">
            <v>Operations_Library Operational Management_Senior Professional</v>
          </cell>
          <cell r="Z242" t="str">
            <v>Senior Professional</v>
          </cell>
          <cell r="AA242" t="str">
            <v>3A</v>
          </cell>
        </row>
        <row r="243">
          <cell r="A243">
            <v>622</v>
          </cell>
          <cell r="B243">
            <v>622</v>
          </cell>
          <cell r="C243" t="str">
            <v>A</v>
          </cell>
          <cell r="D243" t="str">
            <v>Rawdha Obaid AlMansoori</v>
          </cell>
          <cell r="E243" t="str">
            <v>روضه عبيد المنصوري</v>
          </cell>
          <cell r="F243">
            <v>40790</v>
          </cell>
          <cell r="G243" t="str">
            <v>10007154</v>
          </cell>
          <cell r="H243" t="str">
            <v>ICH Documentation Unit Head</v>
          </cell>
          <cell r="I243" t="str">
            <v>رئيس وحدة توثيق التراث المعنوي والثقافي</v>
          </cell>
          <cell r="J243" t="str">
            <v>On-Chart</v>
          </cell>
          <cell r="K243" t="str">
            <v>DCT Payroll</v>
          </cell>
          <cell r="L243" t="str">
            <v>A1</v>
          </cell>
          <cell r="M243" t="str">
            <v>Department of Culture and Tourism</v>
          </cell>
          <cell r="N243" t="str">
            <v>Culture</v>
          </cell>
          <cell r="O243" t="str">
            <v>الثقافة</v>
          </cell>
          <cell r="P243" t="str">
            <v>Intangible Cultural Heritage</v>
          </cell>
          <cell r="Q243" t="str">
            <v>التراث الثقافي المعنوي</v>
          </cell>
          <cell r="R243" t="str">
            <v>ICH Research &amp; Documentation</v>
          </cell>
          <cell r="S243" t="str">
            <v>بحوث وتوثيق التراث الثقافي المعنوي</v>
          </cell>
          <cell r="T243" t="str">
            <v>ICH Documentation</v>
          </cell>
          <cell r="U243" t="str">
            <v>توثيق التراث الثقافي المعنوي</v>
          </cell>
          <cell r="V243" t="str">
            <v>Abu Dhabi</v>
          </cell>
          <cell r="W243" t="str">
            <v/>
          </cell>
          <cell r="X243" t="str">
            <v>4511600</v>
          </cell>
          <cell r="Y243" t="str">
            <v>Content &amp; Care_World Heritage Planning &amp; Monitoring _Unit Head</v>
          </cell>
          <cell r="Z243" t="str">
            <v>Unit Head</v>
          </cell>
          <cell r="AA243" t="str">
            <v>3A</v>
          </cell>
        </row>
        <row r="244">
          <cell r="A244">
            <v>626</v>
          </cell>
          <cell r="B244">
            <v>626</v>
          </cell>
          <cell r="C244" t="str">
            <v>A</v>
          </cell>
          <cell r="D244" t="str">
            <v>Fatma Mohammed Al Marzooqi</v>
          </cell>
          <cell r="E244" t="str">
            <v>فاطمة محمد المرزوقي</v>
          </cell>
          <cell r="F244">
            <v>40797</v>
          </cell>
          <cell r="G244" t="str">
            <v>10007185</v>
          </cell>
          <cell r="H244" t="str">
            <v>Senior Researcher</v>
          </cell>
          <cell r="I244" t="str">
            <v>باحث أول</v>
          </cell>
          <cell r="J244" t="str">
            <v>On-Chart</v>
          </cell>
          <cell r="K244" t="str">
            <v>ALC Direct Hires</v>
          </cell>
          <cell r="L244" t="str">
            <v>AL1</v>
          </cell>
          <cell r="M244" t="str">
            <v>Abu Dhabi Arabic Language Centre</v>
          </cell>
          <cell r="N244" t="str">
            <v>Abu Dhabi Arabic Language Centre</v>
          </cell>
          <cell r="O244" t="str">
            <v>مركز أبوظبي للغة العربية</v>
          </cell>
          <cell r="P244" t="str">
            <v>Creative Content</v>
          </cell>
          <cell r="Q244" t="str">
            <v>المحتوى الإبداعي</v>
          </cell>
          <cell r="R244" t="str">
            <v>Research - ALC</v>
          </cell>
          <cell r="S244" t="str">
            <v>البحوث</v>
          </cell>
          <cell r="T244" t="str">
            <v/>
          </cell>
          <cell r="U244" t="str">
            <v/>
          </cell>
          <cell r="V244" t="str">
            <v>Abu Dhabi</v>
          </cell>
          <cell r="W244" t="str">
            <v/>
          </cell>
          <cell r="X244" t="str">
            <v>4519199</v>
          </cell>
          <cell r="Y244" t="str">
            <v>Interpretation &amp; Engagement_Arabic Language Research &amp; Studies_Senior Professional</v>
          </cell>
          <cell r="Z244" t="str">
            <v>Senior Professional</v>
          </cell>
          <cell r="AA244" t="str">
            <v>3A</v>
          </cell>
        </row>
        <row r="245">
          <cell r="A245">
            <v>629</v>
          </cell>
          <cell r="B245">
            <v>629</v>
          </cell>
          <cell r="C245" t="str">
            <v>A</v>
          </cell>
          <cell r="D245" t="str">
            <v>Saif Saeed Al Bawardi</v>
          </cell>
          <cell r="E245" t="str">
            <v>سيف سعيد البواردي</v>
          </cell>
          <cell r="F245">
            <v>40797</v>
          </cell>
          <cell r="G245" t="str">
            <v>10004912</v>
          </cell>
          <cell r="H245" t="str">
            <v>Logistics &amp; Supplies Senior Officer</v>
          </cell>
          <cell r="I245" t="str">
            <v>ضابط أول الشؤون اللوجستية والتوريد</v>
          </cell>
          <cell r="J245" t="str">
            <v>On-Chart</v>
          </cell>
          <cell r="K245" t="str">
            <v>DCT Payroll</v>
          </cell>
          <cell r="L245" t="str">
            <v>A1</v>
          </cell>
          <cell r="M245" t="str">
            <v>Department of Culture and Tourism</v>
          </cell>
          <cell r="N245" t="str">
            <v>Culture</v>
          </cell>
          <cell r="O245" t="str">
            <v>الثقافة</v>
          </cell>
          <cell r="P245" t="str">
            <v>Culture Sites Management</v>
          </cell>
          <cell r="Q245" t="str">
            <v>إدارة المواقع الثقافية</v>
          </cell>
          <cell r="R245" t="str">
            <v>House of Artisans</v>
          </cell>
          <cell r="S245" t="str">
            <v>بيت الحرفيين</v>
          </cell>
          <cell r="T245" t="str">
            <v>Products Design/Research &amp; Brand Partnerships</v>
          </cell>
          <cell r="U245" t="str">
            <v>تصميم المنتجات والشراكات</v>
          </cell>
          <cell r="V245" t="str">
            <v>Al Ain</v>
          </cell>
          <cell r="W245" t="str">
            <v/>
          </cell>
          <cell r="X245" t="str">
            <v>4511250</v>
          </cell>
          <cell r="Y245" t="str">
            <v>Compliance,Governance&amp;Protocol_Policy (Culture/Tourism _Senior Professional</v>
          </cell>
          <cell r="Z245" t="str">
            <v>Senior Professional</v>
          </cell>
          <cell r="AA245" t="str">
            <v>3A</v>
          </cell>
        </row>
        <row r="246">
          <cell r="A246">
            <v>632</v>
          </cell>
          <cell r="B246">
            <v>632</v>
          </cell>
          <cell r="C246" t="str">
            <v>A</v>
          </cell>
          <cell r="D246" t="str">
            <v>Mouza Saif Al Rowahi</v>
          </cell>
          <cell r="E246" t="str">
            <v>موزة سيف الرواحي</v>
          </cell>
          <cell r="F246">
            <v>40801</v>
          </cell>
          <cell r="G246" t="str">
            <v>47700026</v>
          </cell>
          <cell r="H246" t="str">
            <v>Compensation Senior Specialist</v>
          </cell>
          <cell r="I246" t="str">
            <v>أخصائي أول المستحقات</v>
          </cell>
          <cell r="J246" t="str">
            <v>On-Chart</v>
          </cell>
          <cell r="K246" t="str">
            <v>DCT Payroll</v>
          </cell>
          <cell r="L246" t="str">
            <v>A1</v>
          </cell>
          <cell r="M246" t="str">
            <v>Department of Culture and Tourism</v>
          </cell>
          <cell r="N246" t="str">
            <v>Support Services</v>
          </cell>
          <cell r="O246" t="str">
            <v>الخدمات المساندة</v>
          </cell>
          <cell r="P246" t="str">
            <v>People &amp; Performance</v>
          </cell>
          <cell r="Q246" t="str">
            <v>إدارة الكوادر البشرية والأداء</v>
          </cell>
          <cell r="R246" t="str">
            <v>Rewards &amp; Policy</v>
          </cell>
          <cell r="S246" t="str">
            <v>المكافآت والسياسات</v>
          </cell>
          <cell r="T246" t="str">
            <v>Compensation &amp; Policy</v>
          </cell>
          <cell r="U246" t="str">
            <v>المستحقات والسياسات</v>
          </cell>
          <cell r="V246" t="str">
            <v>Abu Dhabi</v>
          </cell>
          <cell r="W246" t="str">
            <v/>
          </cell>
          <cell r="X246" t="str">
            <v>4510220</v>
          </cell>
          <cell r="Y246" t="str">
            <v>People &amp; Performance _Rewards Policy &amp; Recognition _Senior Professional</v>
          </cell>
          <cell r="Z246" t="str">
            <v>Senior Professional</v>
          </cell>
          <cell r="AA246" t="str">
            <v>3A</v>
          </cell>
        </row>
        <row r="247">
          <cell r="A247">
            <v>637</v>
          </cell>
          <cell r="B247">
            <v>637</v>
          </cell>
          <cell r="C247" t="str">
            <v>A</v>
          </cell>
          <cell r="D247" t="str">
            <v>Rashed Ali Al Hosani</v>
          </cell>
          <cell r="E247" t="str">
            <v>راشد علي الحوسني</v>
          </cell>
          <cell r="F247">
            <v>40804</v>
          </cell>
          <cell r="G247" t="str">
            <v>50002400</v>
          </cell>
          <cell r="H247" t="str">
            <v>Senior Inspector</v>
          </cell>
          <cell r="I247" t="str">
            <v>مفتش أول</v>
          </cell>
          <cell r="J247" t="str">
            <v>On-Chart</v>
          </cell>
          <cell r="K247" t="str">
            <v>DCT Payroll</v>
          </cell>
          <cell r="L247" t="str">
            <v>A1</v>
          </cell>
          <cell r="M247" t="str">
            <v>Department of Culture and Tourism</v>
          </cell>
          <cell r="N247" t="str">
            <v>Tourism</v>
          </cell>
          <cell r="O247" t="str">
            <v>السياحة</v>
          </cell>
          <cell r="P247" t="str">
            <v>Licensing &amp; Regulatory Compliance</v>
          </cell>
          <cell r="Q247" t="str">
            <v>الرقابة والترخيص</v>
          </cell>
          <cell r="R247" t="str">
            <v>Abu Dhabi Inspection</v>
          </cell>
          <cell r="S247" t="str">
            <v>التفتيش</v>
          </cell>
          <cell r="T247" t="str">
            <v>Inspection Unit (Day Events)</v>
          </cell>
          <cell r="U247" t="str">
            <v>(التفتيش لأبوظبي (الفعاليات النهارية</v>
          </cell>
          <cell r="V247" t="str">
            <v>Abu Dhabi</v>
          </cell>
          <cell r="W247" t="str">
            <v/>
          </cell>
          <cell r="X247" t="str">
            <v>4510170</v>
          </cell>
          <cell r="Y247" t="str">
            <v>Compliance,Governance&amp;Protocol_Licensing &amp; Regulatory Compliance _Senior Professional</v>
          </cell>
          <cell r="Z247" t="str">
            <v>Senior Professional</v>
          </cell>
          <cell r="AA247" t="str">
            <v>3A</v>
          </cell>
        </row>
        <row r="248">
          <cell r="A248">
            <v>638</v>
          </cell>
          <cell r="B248">
            <v>638</v>
          </cell>
          <cell r="C248" t="str">
            <v>A</v>
          </cell>
          <cell r="D248" t="str">
            <v>Wadima Mohammed Al Ameri</v>
          </cell>
          <cell r="E248" t="str">
            <v>وديمة محمد العامري</v>
          </cell>
          <cell r="F248">
            <v>40804</v>
          </cell>
          <cell r="G248" t="str">
            <v>10005297</v>
          </cell>
          <cell r="H248" t="str">
            <v>Programmes Senior Specialist</v>
          </cell>
          <cell r="I248" t="str">
            <v>أخصائي أول برامج</v>
          </cell>
          <cell r="J248" t="str">
            <v>On-Chart</v>
          </cell>
          <cell r="K248" t="str">
            <v>DCT Payroll</v>
          </cell>
          <cell r="L248" t="str">
            <v>A1</v>
          </cell>
          <cell r="M248" t="str">
            <v>Department of Culture and Tourism</v>
          </cell>
          <cell r="N248" t="str">
            <v>Culture</v>
          </cell>
          <cell r="O248" t="str">
            <v>الثقافة</v>
          </cell>
          <cell r="P248" t="str">
            <v>Culture Sites Management</v>
          </cell>
          <cell r="Q248" t="str">
            <v>إدارة المواقع الثقافية</v>
          </cell>
          <cell r="R248" t="str">
            <v>Programming &amp; Public Engagement</v>
          </cell>
          <cell r="S248" t="str">
            <v>البرامج والمشاركة المجتمعية</v>
          </cell>
          <cell r="T248" t="str">
            <v>Programming</v>
          </cell>
          <cell r="U248" t="str">
            <v>البرامج</v>
          </cell>
          <cell r="V248" t="str">
            <v>Al Ain</v>
          </cell>
          <cell r="W248" t="str">
            <v/>
          </cell>
          <cell r="X248" t="str">
            <v>4511250</v>
          </cell>
          <cell r="Y248" t="str">
            <v>Compliance,Governance&amp;Protocol_Policy (Culture/Tourism _Senior Professional</v>
          </cell>
          <cell r="Z248" t="str">
            <v>Senior Professional</v>
          </cell>
          <cell r="AA248" t="str">
            <v>3A</v>
          </cell>
        </row>
        <row r="249">
          <cell r="A249">
            <v>639</v>
          </cell>
          <cell r="B249">
            <v>639</v>
          </cell>
          <cell r="C249" t="str">
            <v>A</v>
          </cell>
          <cell r="D249" t="str">
            <v>Ayesh Mohamed Al Harbi</v>
          </cell>
          <cell r="E249" t="str">
            <v>عايش محمد الحربي</v>
          </cell>
          <cell r="F249">
            <v>40805</v>
          </cell>
          <cell r="G249" t="str">
            <v>47700637</v>
          </cell>
          <cell r="H249" t="str">
            <v>Library Officer</v>
          </cell>
          <cell r="I249" t="str">
            <v>ضابط شؤون المكتبة</v>
          </cell>
          <cell r="J249" t="str">
            <v>On-Chart</v>
          </cell>
          <cell r="K249" t="str">
            <v>DCT Payroll</v>
          </cell>
          <cell r="L249" t="str">
            <v>A1</v>
          </cell>
          <cell r="M249" t="str">
            <v>Department of Culture and Tourism</v>
          </cell>
          <cell r="N249" t="str">
            <v>Culture</v>
          </cell>
          <cell r="O249" t="str">
            <v>الثقافة</v>
          </cell>
          <cell r="P249" t="str">
            <v>Library Management</v>
          </cell>
          <cell r="Q249" t="str">
            <v>إدارة المكتبات</v>
          </cell>
          <cell r="R249" t="str">
            <v>Branches Library</v>
          </cell>
          <cell r="S249" t="str">
            <v>فروع المكتبات</v>
          </cell>
          <cell r="T249" t="str">
            <v>Al Wathba Library</v>
          </cell>
          <cell r="U249" t="str">
            <v>مكتبة الوثبة</v>
          </cell>
          <cell r="V249" t="str">
            <v>Abu Dhabi</v>
          </cell>
          <cell r="W249" t="str">
            <v/>
          </cell>
          <cell r="X249" t="str">
            <v>4516100</v>
          </cell>
          <cell r="Y249" t="str">
            <v>Interpretation &amp; Engagement_Library Service Delivery (Librarian)_Professional</v>
          </cell>
          <cell r="Z249" t="str">
            <v>Professional</v>
          </cell>
          <cell r="AA249" t="str">
            <v>4A</v>
          </cell>
        </row>
        <row r="250">
          <cell r="A250">
            <v>640</v>
          </cell>
          <cell r="B250">
            <v>640</v>
          </cell>
          <cell r="C250" t="str">
            <v>A</v>
          </cell>
          <cell r="D250" t="str">
            <v>Muna Saeed Al Junaibi</v>
          </cell>
          <cell r="E250" t="str">
            <v>منى سعيد الجنيبي</v>
          </cell>
          <cell r="F250">
            <v>40805</v>
          </cell>
          <cell r="G250" t="str">
            <v>10007328</v>
          </cell>
          <cell r="H250" t="str">
            <v>Fixed Assets Management Senior Accountant</v>
          </cell>
          <cell r="I250" t="str">
            <v>محاسب أول إدارة الأصول الثابتة</v>
          </cell>
          <cell r="J250" t="str">
            <v>On-Chart</v>
          </cell>
          <cell r="K250" t="str">
            <v>DCT Payroll</v>
          </cell>
          <cell r="L250" t="str">
            <v>A1</v>
          </cell>
          <cell r="M250" t="str">
            <v>Department of Culture and Tourism</v>
          </cell>
          <cell r="N250" t="str">
            <v>Support Services</v>
          </cell>
          <cell r="O250" t="str">
            <v>الخدمات المساندة</v>
          </cell>
          <cell r="P250" t="str">
            <v>Finance</v>
          </cell>
          <cell r="Q250" t="str">
            <v>إدارة المالية</v>
          </cell>
          <cell r="R250" t="str">
            <v>Finance Operations</v>
          </cell>
          <cell r="S250" t="str">
            <v>العمليات المالية</v>
          </cell>
          <cell r="T250" t="str">
            <v>Fixed Assets Management</v>
          </cell>
          <cell r="U250" t="str">
            <v>إدارة الأصول الثابتة</v>
          </cell>
          <cell r="V250" t="str">
            <v>Abu Dhabi</v>
          </cell>
          <cell r="W250" t="str">
            <v/>
          </cell>
          <cell r="X250" t="str">
            <v>4510210</v>
          </cell>
          <cell r="Y250" t="str">
            <v>Finance_Fixed Asset Management _Senior Professional</v>
          </cell>
          <cell r="Z250" t="str">
            <v>Senior Professional</v>
          </cell>
          <cell r="AA250" t="str">
            <v>3A</v>
          </cell>
        </row>
        <row r="251">
          <cell r="A251">
            <v>641</v>
          </cell>
          <cell r="B251">
            <v>641</v>
          </cell>
          <cell r="C251" t="str">
            <v>A</v>
          </cell>
          <cell r="D251" t="str">
            <v>Yousef Abdulrahim AlAhmadi</v>
          </cell>
          <cell r="E251" t="str">
            <v>يوسف عبدالرحيم الأحمدي</v>
          </cell>
          <cell r="F251">
            <v>40805</v>
          </cell>
          <cell r="G251" t="str">
            <v>50001715</v>
          </cell>
          <cell r="H251" t="str">
            <v>Al Bahia Library Librarian</v>
          </cell>
          <cell r="I251" t="str">
            <v>أمين مكتبة الباهية</v>
          </cell>
          <cell r="J251" t="str">
            <v>On-Chart</v>
          </cell>
          <cell r="K251" t="str">
            <v>DCT Payroll</v>
          </cell>
          <cell r="L251" t="str">
            <v>A1</v>
          </cell>
          <cell r="M251" t="str">
            <v>Department of Culture and Tourism</v>
          </cell>
          <cell r="N251" t="str">
            <v>Culture</v>
          </cell>
          <cell r="O251" t="str">
            <v>الثقافة</v>
          </cell>
          <cell r="P251" t="str">
            <v>Library Management</v>
          </cell>
          <cell r="Q251" t="str">
            <v>إدارة المكتبات</v>
          </cell>
          <cell r="R251" t="str">
            <v>Branches Library</v>
          </cell>
          <cell r="S251" t="str">
            <v>فروع المكتبات</v>
          </cell>
          <cell r="T251" t="str">
            <v>Al Bahia Library</v>
          </cell>
          <cell r="U251" t="str">
            <v>مكتبة الباهية</v>
          </cell>
          <cell r="V251" t="str">
            <v>Abu Dhabi</v>
          </cell>
          <cell r="W251" t="str">
            <v/>
          </cell>
          <cell r="X251" t="str">
            <v>4516100</v>
          </cell>
          <cell r="Y251" t="str">
            <v>Operations_Library Operational Management_Unit Head</v>
          </cell>
          <cell r="Z251" t="str">
            <v>Unit Head</v>
          </cell>
          <cell r="AA251" t="str">
            <v>3A</v>
          </cell>
        </row>
        <row r="252">
          <cell r="A252">
            <v>644</v>
          </cell>
          <cell r="B252">
            <v>644</v>
          </cell>
          <cell r="C252" t="str">
            <v>A</v>
          </cell>
          <cell r="D252" t="str">
            <v>Moza Mohamed Al Mazrouei</v>
          </cell>
          <cell r="E252" t="str">
            <v>موزه محمد المزروعي</v>
          </cell>
          <cell r="F252">
            <v>40811</v>
          </cell>
          <cell r="G252" t="str">
            <v>10007186</v>
          </cell>
          <cell r="H252" t="str">
            <v>Acquisition Senior Specialist</v>
          </cell>
          <cell r="I252" t="str">
            <v>أخصائي أول تزويد</v>
          </cell>
          <cell r="J252" t="str">
            <v>On-Chart</v>
          </cell>
          <cell r="K252" t="str">
            <v>DCT Payroll</v>
          </cell>
          <cell r="L252" t="str">
            <v>A1</v>
          </cell>
          <cell r="M252" t="str">
            <v>Department of Culture and Tourism</v>
          </cell>
          <cell r="N252" t="str">
            <v>Culture</v>
          </cell>
          <cell r="O252" t="str">
            <v>الثقافة</v>
          </cell>
          <cell r="P252" t="str">
            <v>Library Management</v>
          </cell>
          <cell r="Q252" t="str">
            <v>إدارة المكتبات</v>
          </cell>
          <cell r="R252" t="str">
            <v>Technical Services</v>
          </cell>
          <cell r="S252" t="str">
            <v>الخدمات الفنية</v>
          </cell>
          <cell r="T252" t="str">
            <v>Acquisition</v>
          </cell>
          <cell r="U252" t="str">
            <v>التزويد</v>
          </cell>
          <cell r="V252" t="str">
            <v>Abu Dhabi</v>
          </cell>
          <cell r="W252" t="str">
            <v/>
          </cell>
          <cell r="X252" t="str">
            <v>4516100</v>
          </cell>
          <cell r="Y252" t="str">
            <v>Operations_Library Operational Management_Senior Professional</v>
          </cell>
          <cell r="Z252" t="str">
            <v>Senior Professional</v>
          </cell>
          <cell r="AA252" t="str">
            <v>3A</v>
          </cell>
        </row>
        <row r="253">
          <cell r="A253">
            <v>649</v>
          </cell>
          <cell r="B253">
            <v>649</v>
          </cell>
          <cell r="C253" t="str">
            <v>A</v>
          </cell>
          <cell r="D253" t="str">
            <v>Saeed Salem Al Rashdi</v>
          </cell>
          <cell r="E253" t="str">
            <v>سعيد سالم الراشدي</v>
          </cell>
          <cell r="F253">
            <v>40821</v>
          </cell>
          <cell r="G253" t="str">
            <v>47700647</v>
          </cell>
          <cell r="H253" t="str">
            <v>Storekeeping Officer</v>
          </cell>
          <cell r="I253" t="str">
            <v>ضابط مستودعات</v>
          </cell>
          <cell r="J253" t="str">
            <v>On-Chart</v>
          </cell>
          <cell r="K253" t="str">
            <v>DCT Payroll</v>
          </cell>
          <cell r="L253" t="str">
            <v>A1</v>
          </cell>
          <cell r="M253" t="str">
            <v>Department of Culture and Tourism</v>
          </cell>
          <cell r="N253" t="str">
            <v>Culture</v>
          </cell>
          <cell r="O253" t="str">
            <v>الثقافة</v>
          </cell>
          <cell r="P253" t="str">
            <v>Library Management</v>
          </cell>
          <cell r="Q253" t="str">
            <v>إدارة المكتبات</v>
          </cell>
          <cell r="R253" t="str">
            <v>Technical Services</v>
          </cell>
          <cell r="S253" t="str">
            <v>الخدمات الفنية</v>
          </cell>
          <cell r="T253" t="str">
            <v>Stores &amp; Binding</v>
          </cell>
          <cell r="U253" t="str">
            <v>المستودعات</v>
          </cell>
          <cell r="V253" t="str">
            <v>Abu Dhabi</v>
          </cell>
          <cell r="W253" t="str">
            <v/>
          </cell>
          <cell r="X253" t="str">
            <v>4516100</v>
          </cell>
          <cell r="Y253" t="str">
            <v>Interpretation &amp; Engagement_Library Service Delivery (Librarian)_Professional</v>
          </cell>
          <cell r="Z253" t="str">
            <v>Professional</v>
          </cell>
          <cell r="AA253" t="str">
            <v>4A</v>
          </cell>
        </row>
        <row r="254">
          <cell r="A254">
            <v>650</v>
          </cell>
          <cell r="B254">
            <v>650</v>
          </cell>
          <cell r="C254" t="str">
            <v>A</v>
          </cell>
          <cell r="D254" t="str">
            <v>Mariam Hasan Al Hosani</v>
          </cell>
          <cell r="E254" t="str">
            <v>مريم حسن الحوسني</v>
          </cell>
          <cell r="F254">
            <v>40827</v>
          </cell>
          <cell r="G254" t="str">
            <v>50004165</v>
          </cell>
          <cell r="H254" t="str">
            <v>Strategic Integration &amp; Planning Senior Specialist</v>
          </cell>
          <cell r="I254" t="str">
            <v>أخصائي أول دمج الأستراتيجية والتخطيط</v>
          </cell>
          <cell r="J254" t="str">
            <v>On-Chart</v>
          </cell>
          <cell r="K254" t="str">
            <v>DCT Payroll</v>
          </cell>
          <cell r="L254" t="str">
            <v>A1</v>
          </cell>
          <cell r="M254" t="str">
            <v>Department of Culture and Tourism</v>
          </cell>
          <cell r="N254" t="str">
            <v>Tourism</v>
          </cell>
          <cell r="O254" t="str">
            <v>السياحة</v>
          </cell>
          <cell r="P254" t="str">
            <v>Visitors Experience</v>
          </cell>
          <cell r="Q254" t="str">
            <v>تجربة الزوار</v>
          </cell>
          <cell r="R254" t="str">
            <v>Strategic Integration &amp; Planning</v>
          </cell>
          <cell r="S254" t="str">
            <v>دمج الاستراتيجية والتخطيط</v>
          </cell>
          <cell r="T254" t="str">
            <v>Strategic Integration &amp; Planning Unit</v>
          </cell>
          <cell r="U254" t="str">
            <v/>
          </cell>
          <cell r="V254" t="str">
            <v>Abu Dhabi</v>
          </cell>
          <cell r="W254" t="str">
            <v/>
          </cell>
          <cell r="X254" t="str">
            <v>4515300</v>
          </cell>
          <cell r="Y254" t="str">
            <v>Senior Specialization Visitor Services &amp; Protocol</v>
          </cell>
          <cell r="Z254" t="str">
            <v>Senior Professional</v>
          </cell>
          <cell r="AA254" t="str">
            <v>3A</v>
          </cell>
        </row>
        <row r="255">
          <cell r="A255">
            <v>652</v>
          </cell>
          <cell r="B255">
            <v>652</v>
          </cell>
          <cell r="C255" t="str">
            <v>A</v>
          </cell>
          <cell r="D255" t="str">
            <v>Saif Najeeb Al Hajeri</v>
          </cell>
          <cell r="E255" t="str">
            <v>سيف نجيب الهاجري</v>
          </cell>
          <cell r="F255">
            <v>40832</v>
          </cell>
          <cell r="G255" t="str">
            <v>47700650</v>
          </cell>
          <cell r="H255" t="str">
            <v>Government Relations Specialist- Al Ain</v>
          </cell>
          <cell r="I255" t="str">
            <v>أخصائي العلاقات الحكومية - العين</v>
          </cell>
          <cell r="J255" t="str">
            <v>On-Chart</v>
          </cell>
          <cell r="K255" t="str">
            <v>DCT Payroll</v>
          </cell>
          <cell r="L255" t="str">
            <v>A1</v>
          </cell>
          <cell r="M255" t="str">
            <v>Department of Culture and Tourism</v>
          </cell>
          <cell r="N255" t="str">
            <v>Support Services</v>
          </cell>
          <cell r="O255" t="str">
            <v>الخدمات المساندة</v>
          </cell>
          <cell r="P255" t="str">
            <v>People &amp; Performance</v>
          </cell>
          <cell r="Q255" t="str">
            <v>إدارة الكوادر البشرية والأداء</v>
          </cell>
          <cell r="R255" t="str">
            <v>Employee Relations</v>
          </cell>
          <cell r="S255" t="str">
            <v>شؤون الموظفين</v>
          </cell>
          <cell r="T255" t="str">
            <v>Government Relations</v>
          </cell>
          <cell r="U255" t="str">
            <v>العلاقات الحكومية</v>
          </cell>
          <cell r="V255" t="str">
            <v>Al Ain</v>
          </cell>
          <cell r="W255" t="str">
            <v/>
          </cell>
          <cell r="X255" t="str">
            <v>4510220</v>
          </cell>
          <cell r="Y255" t="str">
            <v>People &amp; Performance _Employee Relations _Professional</v>
          </cell>
          <cell r="Z255" t="str">
            <v>Professional</v>
          </cell>
          <cell r="AA255" t="str">
            <v>4B</v>
          </cell>
        </row>
        <row r="256">
          <cell r="A256">
            <v>653</v>
          </cell>
          <cell r="B256">
            <v>653</v>
          </cell>
          <cell r="C256" t="str">
            <v>A</v>
          </cell>
          <cell r="D256" t="str">
            <v>Khulood Atiq Fairooz</v>
          </cell>
          <cell r="E256" t="str">
            <v>خلود عتيق فيروز</v>
          </cell>
          <cell r="F256">
            <v>40833</v>
          </cell>
          <cell r="G256" t="str">
            <v>50002346</v>
          </cell>
          <cell r="H256" t="str">
            <v>Industry Professional Development  Senior Specialist</v>
          </cell>
          <cell r="I256" t="str">
            <v>أخصائي أول التطوير المهني للقطاع</v>
          </cell>
          <cell r="J256" t="str">
            <v>On-Chart</v>
          </cell>
          <cell r="K256" t="str">
            <v>DCT Payroll</v>
          </cell>
          <cell r="L256" t="str">
            <v>A1</v>
          </cell>
          <cell r="M256" t="str">
            <v>Department of Culture and Tourism</v>
          </cell>
          <cell r="N256" t="str">
            <v>Tourism</v>
          </cell>
          <cell r="O256" t="str">
            <v>السياحة</v>
          </cell>
          <cell r="P256" t="str">
            <v>Emiratization &amp; Capability Development Office</v>
          </cell>
          <cell r="Q256" t="str">
            <v>مكتب التوطين وتطوير القدرات</v>
          </cell>
          <cell r="R256" t="str">
            <v>Sector Emiratization &amp; Capability Development Section</v>
          </cell>
          <cell r="S256" t="str">
            <v/>
          </cell>
          <cell r="T256" t="str">
            <v>Industry Professional Development</v>
          </cell>
          <cell r="U256" t="str">
            <v/>
          </cell>
          <cell r="V256" t="str">
            <v>Abu Dhabi</v>
          </cell>
          <cell r="W256" t="str">
            <v/>
          </cell>
          <cell r="X256" t="str">
            <v>4515020</v>
          </cell>
          <cell r="Y256" t="str">
            <v>Information Technology_People &amp; Performance Systems Specialist_Professional</v>
          </cell>
          <cell r="Z256" t="str">
            <v>Senior Professional</v>
          </cell>
          <cell r="AA256" t="str">
            <v>3C</v>
          </cell>
        </row>
        <row r="257">
          <cell r="A257">
            <v>655</v>
          </cell>
          <cell r="B257">
            <v>655</v>
          </cell>
          <cell r="C257" t="str">
            <v>A</v>
          </cell>
          <cell r="D257" t="str">
            <v>Georgios Kalliamvakos</v>
          </cell>
          <cell r="E257" t="str">
            <v>جورجيوس  كالومفكس</v>
          </cell>
          <cell r="F257">
            <v>40840</v>
          </cell>
          <cell r="G257" t="str">
            <v>50002188</v>
          </cell>
          <cell r="H257" t="str">
            <v>Planning, Strategy &amp; Operations Department Director</v>
          </cell>
          <cell r="I257" t="str">
            <v>مدير إدارة التخطيط والاستراتيجية والعمليات</v>
          </cell>
          <cell r="J257" t="str">
            <v>On-Chart</v>
          </cell>
          <cell r="K257" t="str">
            <v>DCT Payroll</v>
          </cell>
          <cell r="L257" t="str">
            <v>A1</v>
          </cell>
          <cell r="M257" t="str">
            <v>Department of Culture and Tourism</v>
          </cell>
          <cell r="N257" t="str">
            <v>Strategic Marketing &amp; Communication</v>
          </cell>
          <cell r="O257" t="str">
            <v>التسويق والاتصال الاستراتيجي</v>
          </cell>
          <cell r="P257" t="str">
            <v>Planning, Strategy &amp; Operations</v>
          </cell>
          <cell r="Q257" t="str">
            <v>التخطيط والاستراتيجية والعمليات</v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>Abu Dhabi</v>
          </cell>
          <cell r="W257" t="str">
            <v/>
          </cell>
          <cell r="X257" t="str">
            <v>4513130</v>
          </cell>
          <cell r="Y257" t="str">
            <v>Strategy, Planning, Project Mgt_Business Excellence &amp; Continuity Planning_Director</v>
          </cell>
          <cell r="Z257" t="str">
            <v>Director</v>
          </cell>
          <cell r="AA257" t="str">
            <v>1B</v>
          </cell>
        </row>
        <row r="258">
          <cell r="A258">
            <v>659</v>
          </cell>
          <cell r="B258">
            <v>659</v>
          </cell>
          <cell r="C258" t="str">
            <v>A</v>
          </cell>
          <cell r="D258" t="str">
            <v>Danilo Dizon</v>
          </cell>
          <cell r="E258" t="str">
            <v>دانيلو  دايزون</v>
          </cell>
          <cell r="F258">
            <v>40133</v>
          </cell>
          <cell r="G258" t="str">
            <v>47700657</v>
          </cell>
          <cell r="H258" t="str">
            <v>Operations Coordinator</v>
          </cell>
          <cell r="I258" t="str">
            <v>منسق العمليات</v>
          </cell>
          <cell r="J258" t="str">
            <v>On-Chart</v>
          </cell>
          <cell r="K258" t="str">
            <v>DCT Payroll</v>
          </cell>
          <cell r="L258" t="str">
            <v>A1</v>
          </cell>
          <cell r="M258" t="str">
            <v>Department of Culture and Tourism</v>
          </cell>
          <cell r="N258" t="str">
            <v>Culture</v>
          </cell>
          <cell r="O258" t="str">
            <v>الثقافة</v>
          </cell>
          <cell r="P258" t="str">
            <v>Culture Sites Management</v>
          </cell>
          <cell r="Q258" t="str">
            <v>إدارة المواقع الثقافية</v>
          </cell>
          <cell r="R258" t="str">
            <v>Abu Dhabi Operations</v>
          </cell>
          <cell r="S258" t="str">
            <v>العمليات - أبوظبي</v>
          </cell>
          <cell r="T258" t="str">
            <v>Operations</v>
          </cell>
          <cell r="U258" t="str">
            <v>العمليات</v>
          </cell>
          <cell r="V258" t="str">
            <v>Abu Dhabi</v>
          </cell>
          <cell r="W258" t="str">
            <v/>
          </cell>
          <cell r="X258" t="str">
            <v>4511250</v>
          </cell>
          <cell r="Y258" t="str">
            <v>Compliance,Governance&amp;Protocol_Policy (Culture/Tourism) _Professional</v>
          </cell>
          <cell r="Z258" t="str">
            <v>Jr. Professional Assistant</v>
          </cell>
          <cell r="AA258" t="str">
            <v>6A</v>
          </cell>
        </row>
        <row r="259">
          <cell r="A259">
            <v>661</v>
          </cell>
          <cell r="B259">
            <v>661</v>
          </cell>
          <cell r="C259" t="str">
            <v>A</v>
          </cell>
          <cell r="D259" t="str">
            <v>Ahmed AlSayed Mohamed AlMarzooqi</v>
          </cell>
          <cell r="E259" t="str">
            <v>أحمد السيد محمد المرزوقي</v>
          </cell>
          <cell r="F259">
            <v>40867</v>
          </cell>
          <cell r="G259" t="str">
            <v>10005758</v>
          </cell>
          <cell r="H259" t="str">
            <v>Library Senior Specialist</v>
          </cell>
          <cell r="I259" t="str">
            <v>أخصائي أول شؤون المكتبة</v>
          </cell>
          <cell r="J259" t="str">
            <v>On-Chart</v>
          </cell>
          <cell r="K259" t="str">
            <v>DCT Payroll</v>
          </cell>
          <cell r="L259" t="str">
            <v>A1</v>
          </cell>
          <cell r="M259" t="str">
            <v>Department of Culture and Tourism</v>
          </cell>
          <cell r="N259" t="str">
            <v>Culture</v>
          </cell>
          <cell r="O259" t="str">
            <v>الثقافة</v>
          </cell>
          <cell r="P259" t="str">
            <v>Library Management</v>
          </cell>
          <cell r="Q259" t="str">
            <v>إدارة المكتبات</v>
          </cell>
          <cell r="R259" t="str">
            <v>Branches Library</v>
          </cell>
          <cell r="S259" t="str">
            <v>فروع المكتبات</v>
          </cell>
          <cell r="T259" t="str">
            <v>Al Bahia Library</v>
          </cell>
          <cell r="U259" t="str">
            <v>مكتبة الباهية</v>
          </cell>
          <cell r="V259" t="str">
            <v>Abu Dhabi</v>
          </cell>
          <cell r="W259" t="str">
            <v/>
          </cell>
          <cell r="X259" t="str">
            <v>4516100</v>
          </cell>
          <cell r="Y259" t="str">
            <v>Operations_Library Operational Management_Senior Professional</v>
          </cell>
          <cell r="Z259" t="str">
            <v>Senior Professional</v>
          </cell>
          <cell r="AA259" t="str">
            <v>3A</v>
          </cell>
        </row>
        <row r="260">
          <cell r="A260">
            <v>665</v>
          </cell>
          <cell r="B260">
            <v>665</v>
          </cell>
          <cell r="C260" t="str">
            <v>A</v>
          </cell>
          <cell r="D260" t="str">
            <v>Ali Saeed AlKtebi</v>
          </cell>
          <cell r="E260" t="str">
            <v>علي سعيد الكتبي</v>
          </cell>
          <cell r="F260">
            <v>40889</v>
          </cell>
          <cell r="G260" t="str">
            <v>10005130</v>
          </cell>
          <cell r="H260" t="str">
            <v>In Destination Operations Officer</v>
          </cell>
          <cell r="I260" t="str">
            <v>ضابط عمليات المكتب الداخلي</v>
          </cell>
          <cell r="J260" t="str">
            <v>On-Chart</v>
          </cell>
          <cell r="K260" t="str">
            <v>DCT Payroll</v>
          </cell>
          <cell r="L260" t="str">
            <v>A1</v>
          </cell>
          <cell r="M260" t="str">
            <v>Department of Culture and Tourism</v>
          </cell>
          <cell r="N260" t="str">
            <v>Tourism</v>
          </cell>
          <cell r="O260" t="str">
            <v>السياحة</v>
          </cell>
          <cell r="P260" t="str">
            <v>Visitors Experience</v>
          </cell>
          <cell r="Q260" t="str">
            <v>تجربة الزوار</v>
          </cell>
          <cell r="R260" t="str">
            <v>Visitors Information Center</v>
          </cell>
          <cell r="S260" t="str">
            <v>مركز معلومات الزوار</v>
          </cell>
          <cell r="T260" t="str">
            <v>Visitors Information Center</v>
          </cell>
          <cell r="U260" t="str">
            <v>مركز معلومات الزوار</v>
          </cell>
          <cell r="V260" t="str">
            <v>Abu Dhabi</v>
          </cell>
          <cell r="W260" t="str">
            <v/>
          </cell>
          <cell r="X260" t="str">
            <v>4515300</v>
          </cell>
          <cell r="Y260" t="str">
            <v>Design_Visitor Experience Design _Professional</v>
          </cell>
          <cell r="Z260" t="str">
            <v>Professional</v>
          </cell>
          <cell r="AA260" t="str">
            <v>4B</v>
          </cell>
        </row>
        <row r="261">
          <cell r="A261">
            <v>666</v>
          </cell>
          <cell r="B261">
            <v>666</v>
          </cell>
          <cell r="C261" t="str">
            <v>A</v>
          </cell>
          <cell r="D261" t="str">
            <v>Mohammed Ali AlDhaheri</v>
          </cell>
          <cell r="E261" t="str">
            <v>محمد علي الظاهري</v>
          </cell>
          <cell r="F261">
            <v>40890</v>
          </cell>
          <cell r="G261" t="str">
            <v>10005138</v>
          </cell>
          <cell r="H261" t="str">
            <v>In Destination Operations Officer</v>
          </cell>
          <cell r="I261" t="str">
            <v>ضابط عمليات المكتب الداخلي</v>
          </cell>
          <cell r="J261" t="str">
            <v>On-Chart</v>
          </cell>
          <cell r="K261" t="str">
            <v>DCT Payroll</v>
          </cell>
          <cell r="L261" t="str">
            <v>A1</v>
          </cell>
          <cell r="M261" t="str">
            <v>Department of Culture and Tourism</v>
          </cell>
          <cell r="N261" t="str">
            <v>Tourism</v>
          </cell>
          <cell r="O261" t="str">
            <v>السياحة</v>
          </cell>
          <cell r="P261" t="str">
            <v>Visitors Experience</v>
          </cell>
          <cell r="Q261" t="str">
            <v>تجربة الزوار</v>
          </cell>
          <cell r="R261" t="str">
            <v>Visitors Information Center</v>
          </cell>
          <cell r="S261" t="str">
            <v>مركز معلومات الزوار</v>
          </cell>
          <cell r="T261" t="str">
            <v>Visitors Information Center</v>
          </cell>
          <cell r="U261" t="str">
            <v>مركز معلومات الزوار</v>
          </cell>
          <cell r="V261" t="str">
            <v>Abu Dhabi</v>
          </cell>
          <cell r="W261" t="str">
            <v/>
          </cell>
          <cell r="X261" t="str">
            <v>4515300</v>
          </cell>
          <cell r="Y261" t="str">
            <v>Design_Visitor Experience Design _Professional</v>
          </cell>
          <cell r="Z261" t="str">
            <v>Professional</v>
          </cell>
          <cell r="AA261" t="str">
            <v>4A</v>
          </cell>
        </row>
        <row r="262">
          <cell r="A262">
            <v>667</v>
          </cell>
          <cell r="B262">
            <v>667</v>
          </cell>
          <cell r="C262" t="str">
            <v>A</v>
          </cell>
          <cell r="D262" t="str">
            <v>Amal Ahmed Bin Daiban</v>
          </cell>
          <cell r="E262" t="str">
            <v>امل احمد بن ذيبان</v>
          </cell>
          <cell r="F262">
            <v>40896</v>
          </cell>
          <cell r="G262" t="str">
            <v>50000679</v>
          </cell>
          <cell r="H262" t="str">
            <v>Learning &amp; Community Engagement Section Head</v>
          </cell>
          <cell r="I262" t="str">
            <v>رئيس قسم التعليم والمشاركة المجتمعية</v>
          </cell>
          <cell r="J262" t="str">
            <v>On-Chart</v>
          </cell>
          <cell r="K262" t="str">
            <v>MSS Direct Hires</v>
          </cell>
          <cell r="L262" t="str">
            <v>M1</v>
          </cell>
          <cell r="M262" t="str">
            <v>Department of Culture and Tourism</v>
          </cell>
          <cell r="N262" t="str">
            <v>Zayed National Museum</v>
          </cell>
          <cell r="O262" t="str">
            <v>متحف زايد الوطني</v>
          </cell>
          <cell r="P262" t="str">
            <v>Learning &amp; Public Engagement</v>
          </cell>
          <cell r="Q262" t="str">
            <v>التعليم والمشاركة المجتمعية</v>
          </cell>
          <cell r="R262" t="str">
            <v>Learning &amp; Audience Engagement</v>
          </cell>
          <cell r="S262" t="str">
            <v>التعليم وإشراك الجمهور</v>
          </cell>
          <cell r="T262" t="str">
            <v/>
          </cell>
          <cell r="U262" t="str">
            <v/>
          </cell>
          <cell r="V262" t="str">
            <v>Abu Dhabi</v>
          </cell>
          <cell r="W262" t="str">
            <v/>
          </cell>
          <cell r="X262" t="str">
            <v>4510182</v>
          </cell>
          <cell r="Y262" t="str">
            <v>Interpretation &amp; Engagement_Arabic Language Learning &amp; Specialized Programmes _Section Manager</v>
          </cell>
          <cell r="Z262" t="str">
            <v>Section Manager</v>
          </cell>
          <cell r="AA262" t="str">
            <v>2A</v>
          </cell>
        </row>
        <row r="263">
          <cell r="A263">
            <v>670</v>
          </cell>
          <cell r="B263">
            <v>670</v>
          </cell>
          <cell r="C263" t="str">
            <v>A</v>
          </cell>
          <cell r="D263" t="str">
            <v>Suhail Salem Al Harbi</v>
          </cell>
          <cell r="E263" t="str">
            <v>سهيل سالم الحربي</v>
          </cell>
          <cell r="F263">
            <v>40913</v>
          </cell>
          <cell r="G263" t="str">
            <v>50003795</v>
          </cell>
          <cell r="H263" t="str">
            <v>Publishing Distribution Operations Lead</v>
          </cell>
          <cell r="I263" t="str">
            <v>قائد عمليات توزيع النش</v>
          </cell>
          <cell r="J263" t="str">
            <v>On-Chart</v>
          </cell>
          <cell r="K263" t="str">
            <v>ALC Direct Hires</v>
          </cell>
          <cell r="L263" t="str">
            <v>AL1</v>
          </cell>
          <cell r="M263" t="str">
            <v>Abu Dhabi Arabic Language Centre</v>
          </cell>
          <cell r="N263" t="str">
            <v>Abu Dhabi Arabic Language Centre</v>
          </cell>
          <cell r="O263" t="str">
            <v>مركز أبوظبي للغة العربية</v>
          </cell>
          <cell r="P263" t="str">
            <v>Book Fairs &amp; Events</v>
          </cell>
          <cell r="Q263" t="str">
            <v>الفعاليات ومعارض الكتب</v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>Abu Dhabi</v>
          </cell>
          <cell r="W263" t="str">
            <v/>
          </cell>
          <cell r="X263" t="str">
            <v>4519200</v>
          </cell>
          <cell r="Y263" t="str">
            <v>Interpretation &amp; Engagement_Arabic Language Examination _Unit Head</v>
          </cell>
          <cell r="Z263" t="str">
            <v>Unit Head</v>
          </cell>
          <cell r="AA263" t="str">
            <v>3A</v>
          </cell>
        </row>
        <row r="264">
          <cell r="A264">
            <v>677</v>
          </cell>
          <cell r="B264">
            <v>677</v>
          </cell>
          <cell r="C264" t="str">
            <v>A</v>
          </cell>
          <cell r="D264" t="str">
            <v>Mufleha Mohammed Al Hajeri</v>
          </cell>
          <cell r="E264" t="str">
            <v>مفلحه محمد الهاجري</v>
          </cell>
          <cell r="F264">
            <v>40937</v>
          </cell>
          <cell r="G264" t="str">
            <v>47700675</v>
          </cell>
          <cell r="H264" t="str">
            <v>Senior Researcher</v>
          </cell>
          <cell r="I264" t="str">
            <v>باحث أول</v>
          </cell>
          <cell r="J264" t="str">
            <v>On-Chart</v>
          </cell>
          <cell r="K264" t="str">
            <v>DCT Payroll</v>
          </cell>
          <cell r="L264" t="str">
            <v>A1</v>
          </cell>
          <cell r="M264" t="str">
            <v>Department of Culture and Tourism</v>
          </cell>
          <cell r="N264" t="str">
            <v>Culture</v>
          </cell>
          <cell r="O264" t="str">
            <v>الثقافة</v>
          </cell>
          <cell r="P264" t="str">
            <v>Intangible Cultural Heritage</v>
          </cell>
          <cell r="Q264" t="str">
            <v>التراث الثقافي المعنوي</v>
          </cell>
          <cell r="R264" t="str">
            <v>ICH Research &amp; Documentation</v>
          </cell>
          <cell r="S264" t="str">
            <v>بحوث وتوثيق التراث الثقافي المعنوي</v>
          </cell>
          <cell r="T264" t="str">
            <v>ICH Research</v>
          </cell>
          <cell r="U264" t="str">
            <v>بحوث التراث الثقافي المعنوي</v>
          </cell>
          <cell r="V264" t="str">
            <v>Al Ain</v>
          </cell>
          <cell r="W264" t="str">
            <v/>
          </cell>
          <cell r="X264" t="str">
            <v>4511600</v>
          </cell>
          <cell r="Y264" t="str">
            <v>Content &amp; Care_World Heritage Sites Planning &amp; Monitoring_Senior Professional</v>
          </cell>
          <cell r="Z264" t="str">
            <v>Senior Professional</v>
          </cell>
          <cell r="AA264" t="str">
            <v>3A</v>
          </cell>
        </row>
        <row r="265">
          <cell r="A265">
            <v>679</v>
          </cell>
          <cell r="B265">
            <v>679</v>
          </cell>
          <cell r="C265" t="str">
            <v>A</v>
          </cell>
          <cell r="D265" t="str">
            <v>Mohammed Saeed Al Saadi</v>
          </cell>
          <cell r="E265" t="str">
            <v>محمد سعيد السعدي</v>
          </cell>
          <cell r="F265">
            <v>40958</v>
          </cell>
          <cell r="G265" t="str">
            <v>10005299</v>
          </cell>
          <cell r="H265" t="str">
            <v>Visitor Experience Supervisor</v>
          </cell>
          <cell r="I265" t="str">
            <v>مشرف تجربة الزوار</v>
          </cell>
          <cell r="J265" t="str">
            <v>On-Chart</v>
          </cell>
          <cell r="K265" t="str">
            <v>DCT Payroll</v>
          </cell>
          <cell r="L265" t="str">
            <v>A1</v>
          </cell>
          <cell r="M265" t="str">
            <v>Department of Culture and Tourism</v>
          </cell>
          <cell r="N265" t="str">
            <v>Culture</v>
          </cell>
          <cell r="O265" t="str">
            <v>الثقافة</v>
          </cell>
          <cell r="P265" t="str">
            <v>Culture Sites Management</v>
          </cell>
          <cell r="Q265" t="str">
            <v>إدارة المواقع الثقافية</v>
          </cell>
          <cell r="R265" t="str">
            <v>Al Ain Community Centers</v>
          </cell>
          <cell r="S265" t="str">
            <v>مراكز العين المجتمعية</v>
          </cell>
          <cell r="T265" t="str">
            <v>Al Ain Oasis</v>
          </cell>
          <cell r="U265" t="str">
            <v>واحة العين</v>
          </cell>
          <cell r="V265" t="str">
            <v>Al Ain</v>
          </cell>
          <cell r="W265" t="str">
            <v/>
          </cell>
          <cell r="X265" t="str">
            <v>4511250</v>
          </cell>
          <cell r="Y265" t="str">
            <v>Compliance,Governance&amp;Protocol_Policy (Culture/Tourism _Senior Professional</v>
          </cell>
          <cell r="Z265" t="str">
            <v>Senior Professional</v>
          </cell>
          <cell r="AA265" t="str">
            <v>3A</v>
          </cell>
        </row>
        <row r="266">
          <cell r="A266">
            <v>680</v>
          </cell>
          <cell r="B266">
            <v>680</v>
          </cell>
          <cell r="C266" t="str">
            <v>A</v>
          </cell>
          <cell r="D266" t="str">
            <v>Fatema Abdulrahman Al Tamimi</v>
          </cell>
          <cell r="E266" t="str">
            <v>فاطمة عبدالرحمن التميمي</v>
          </cell>
          <cell r="F266">
            <v>40965</v>
          </cell>
          <cell r="G266" t="str">
            <v>10010163</v>
          </cell>
          <cell r="H266" t="str">
            <v>Branches Library Section Head</v>
          </cell>
          <cell r="I266" t="str">
            <v>رئيس قسم المكتبات - الفروع</v>
          </cell>
          <cell r="J266" t="str">
            <v>On-Chart</v>
          </cell>
          <cell r="K266" t="str">
            <v>DCT Payroll</v>
          </cell>
          <cell r="L266" t="str">
            <v>A1</v>
          </cell>
          <cell r="M266" t="str">
            <v>Department of Culture and Tourism</v>
          </cell>
          <cell r="N266" t="str">
            <v>Culture</v>
          </cell>
          <cell r="O266" t="str">
            <v>الثقافة</v>
          </cell>
          <cell r="P266" t="str">
            <v>Library Management</v>
          </cell>
          <cell r="Q266" t="str">
            <v>إدارة المكتبات</v>
          </cell>
          <cell r="R266" t="str">
            <v>Branches Library</v>
          </cell>
          <cell r="S266" t="str">
            <v>فروع المكتبات</v>
          </cell>
          <cell r="T266" t="str">
            <v/>
          </cell>
          <cell r="U266" t="str">
            <v/>
          </cell>
          <cell r="V266" t="str">
            <v>Abu Dhabi</v>
          </cell>
          <cell r="W266" t="str">
            <v/>
          </cell>
          <cell r="X266" t="str">
            <v>4516100</v>
          </cell>
          <cell r="Y266" t="str">
            <v>Operations_Library Operational  Management(All)_Professional</v>
          </cell>
          <cell r="Z266" t="str">
            <v>Section Manager</v>
          </cell>
          <cell r="AA266" t="str">
            <v>2A</v>
          </cell>
        </row>
        <row r="267">
          <cell r="A267">
            <v>681</v>
          </cell>
          <cell r="B267">
            <v>681</v>
          </cell>
          <cell r="C267" t="str">
            <v>A</v>
          </cell>
          <cell r="D267" t="str">
            <v>Khoula Khalifa Al Baloushi</v>
          </cell>
          <cell r="E267" t="str">
            <v>خولة خليفة البلوشي</v>
          </cell>
          <cell r="F267">
            <v>40972</v>
          </cell>
          <cell r="G267" t="str">
            <v>10010033</v>
          </cell>
          <cell r="H267" t="str">
            <v>References &amp; Library Education Senior Specialist</v>
          </cell>
          <cell r="I267" t="str">
            <v>أخصائي أول المراجع والتعليم</v>
          </cell>
          <cell r="J267" t="str">
            <v>On-Chart</v>
          </cell>
          <cell r="K267" t="str">
            <v>DCT Payroll</v>
          </cell>
          <cell r="L267" t="str">
            <v>A1</v>
          </cell>
          <cell r="M267" t="str">
            <v>Department of Culture and Tourism</v>
          </cell>
          <cell r="N267" t="str">
            <v>Culture</v>
          </cell>
          <cell r="O267" t="str">
            <v>الثقافة</v>
          </cell>
          <cell r="P267" t="str">
            <v>Library Management</v>
          </cell>
          <cell r="Q267" t="str">
            <v>إدارة المكتبات</v>
          </cell>
          <cell r="R267" t="str">
            <v>Zayed Central Library - Al Ain</v>
          </cell>
          <cell r="S267" t="str">
            <v>مكتبة زايد المركزية - العين</v>
          </cell>
          <cell r="T267" t="str">
            <v>Reference &amp; Library Education</v>
          </cell>
          <cell r="U267" t="str">
            <v>المراجع والتعليم</v>
          </cell>
          <cell r="V267" t="str">
            <v>Abu Dhabi</v>
          </cell>
          <cell r="W267" t="str">
            <v/>
          </cell>
          <cell r="X267" t="str">
            <v>4516100</v>
          </cell>
          <cell r="Y267" t="str">
            <v>Operations_Library Operational Management_Senior Professional</v>
          </cell>
          <cell r="Z267" t="str">
            <v>Senior Professional</v>
          </cell>
          <cell r="AA267" t="str">
            <v>3A</v>
          </cell>
        </row>
        <row r="268">
          <cell r="A268">
            <v>682</v>
          </cell>
          <cell r="B268">
            <v>682</v>
          </cell>
          <cell r="C268" t="str">
            <v>A</v>
          </cell>
          <cell r="D268" t="str">
            <v>Latifa Helal Al Kuwaiti</v>
          </cell>
          <cell r="E268" t="str">
            <v>لطيفة هلال الكويتي</v>
          </cell>
          <cell r="F268">
            <v>40972</v>
          </cell>
          <cell r="G268" t="str">
            <v>10010526</v>
          </cell>
          <cell r="H268" t="str">
            <v>Zayed Central Library Section Head - Al Ain</v>
          </cell>
          <cell r="I268" t="str">
            <v>رئيس قسم مكتبة زايد المركزية - العين</v>
          </cell>
          <cell r="J268" t="str">
            <v>On-Chart</v>
          </cell>
          <cell r="K268" t="str">
            <v>DCT Payroll</v>
          </cell>
          <cell r="L268" t="str">
            <v>A1</v>
          </cell>
          <cell r="M268" t="str">
            <v>Department of Culture and Tourism</v>
          </cell>
          <cell r="N268" t="str">
            <v>Culture</v>
          </cell>
          <cell r="O268" t="str">
            <v>الثقافة</v>
          </cell>
          <cell r="P268" t="str">
            <v>Library Management</v>
          </cell>
          <cell r="Q268" t="str">
            <v>إدارة المكتبات</v>
          </cell>
          <cell r="R268" t="str">
            <v>Zayed Central Library - Al Ain</v>
          </cell>
          <cell r="S268" t="str">
            <v>مكتبة زايد المركزية - العين</v>
          </cell>
          <cell r="T268" t="str">
            <v/>
          </cell>
          <cell r="U268" t="str">
            <v/>
          </cell>
          <cell r="V268" t="str">
            <v>Abu Dhabi</v>
          </cell>
          <cell r="W268" t="str">
            <v/>
          </cell>
          <cell r="X268" t="str">
            <v>4516100</v>
          </cell>
          <cell r="Y268" t="str">
            <v>Operations_Library Operational  Management(All)_Professional</v>
          </cell>
          <cell r="Z268" t="str">
            <v>Section Manager</v>
          </cell>
          <cell r="AA268" t="str">
            <v>2A</v>
          </cell>
        </row>
        <row r="269">
          <cell r="A269">
            <v>683</v>
          </cell>
          <cell r="B269">
            <v>683</v>
          </cell>
          <cell r="C269" t="str">
            <v>A</v>
          </cell>
          <cell r="D269" t="str">
            <v>Salama Khamis Al Alawi</v>
          </cell>
          <cell r="E269" t="str">
            <v>سلامة خميس العلوي</v>
          </cell>
          <cell r="F269">
            <v>40972</v>
          </cell>
          <cell r="G269" t="str">
            <v>10009727</v>
          </cell>
          <cell r="H269" t="str">
            <v>Circulation Services Unit Head</v>
          </cell>
          <cell r="I269" t="str">
            <v>رئيس وحدة خدمات الإعارة</v>
          </cell>
          <cell r="J269" t="str">
            <v>On-Chart</v>
          </cell>
          <cell r="K269" t="str">
            <v>DCT Payroll</v>
          </cell>
          <cell r="L269" t="str">
            <v>A1</v>
          </cell>
          <cell r="M269" t="str">
            <v>Department of Culture and Tourism</v>
          </cell>
          <cell r="N269" t="str">
            <v>Culture</v>
          </cell>
          <cell r="O269" t="str">
            <v>الثقافة</v>
          </cell>
          <cell r="P269" t="str">
            <v>Library Management</v>
          </cell>
          <cell r="Q269" t="str">
            <v>إدارة المكتبات</v>
          </cell>
          <cell r="R269" t="str">
            <v>Zayed Central Library - Al Ain</v>
          </cell>
          <cell r="S269" t="str">
            <v>مكتبة زايد المركزية - العين</v>
          </cell>
          <cell r="T269" t="str">
            <v>Circulation Services</v>
          </cell>
          <cell r="U269" t="str">
            <v>خدمات الإعارة</v>
          </cell>
          <cell r="V269" t="str">
            <v>Abu Dhabi</v>
          </cell>
          <cell r="W269" t="str">
            <v/>
          </cell>
          <cell r="X269" t="str">
            <v>4516100</v>
          </cell>
          <cell r="Y269" t="str">
            <v>Operations_Library Operational Management_Unit Head</v>
          </cell>
          <cell r="Z269" t="str">
            <v>Unit Head</v>
          </cell>
          <cell r="AA269" t="str">
            <v>3A</v>
          </cell>
        </row>
        <row r="270">
          <cell r="A270">
            <v>687</v>
          </cell>
          <cell r="B270">
            <v>687</v>
          </cell>
          <cell r="C270" t="str">
            <v>A</v>
          </cell>
          <cell r="D270" t="str">
            <v>Mohammed Saeed AlNeyadi</v>
          </cell>
          <cell r="E270" t="str">
            <v>محمد سعيد النيادي</v>
          </cell>
          <cell r="F270">
            <v>40973</v>
          </cell>
          <cell r="G270" t="str">
            <v>50002757</v>
          </cell>
          <cell r="H270" t="str">
            <v>Supply Management Department Director</v>
          </cell>
          <cell r="I270" t="str">
            <v>مدير إدارة الإمداد</v>
          </cell>
          <cell r="J270" t="str">
            <v>On-Chart</v>
          </cell>
          <cell r="K270" t="str">
            <v>MSS Direct Hires</v>
          </cell>
          <cell r="L270" t="str">
            <v>M1</v>
          </cell>
          <cell r="M270" t="str">
            <v>Department of Culture and Tourism</v>
          </cell>
          <cell r="N270" t="str">
            <v>Museums Shared Services</v>
          </cell>
          <cell r="O270" t="str">
            <v>الخدمات المشتركة للمتاحف</v>
          </cell>
          <cell r="P270" t="str">
            <v>Supply Management - MSS</v>
          </cell>
          <cell r="Q270" t="str">
            <v>إدارة الإمداد - الخدمات المشتركة للمتاحف</v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>Abu Dhabi</v>
          </cell>
          <cell r="W270" t="str">
            <v/>
          </cell>
          <cell r="X270" t="str">
            <v>4514160</v>
          </cell>
          <cell r="Y270" t="str">
            <v>Procurement_Supply Management Department _Director</v>
          </cell>
          <cell r="Z270" t="str">
            <v>Director</v>
          </cell>
          <cell r="AA270" t="str">
            <v>1A</v>
          </cell>
        </row>
        <row r="271">
          <cell r="A271">
            <v>688</v>
          </cell>
          <cell r="B271">
            <v>688</v>
          </cell>
          <cell r="C271" t="str">
            <v>A</v>
          </cell>
          <cell r="D271" t="str">
            <v>Osama Aljamal</v>
          </cell>
          <cell r="E271" t="str">
            <v>أسامة  الجمل</v>
          </cell>
          <cell r="F271">
            <v>40973</v>
          </cell>
          <cell r="G271" t="str">
            <v>10008939</v>
          </cell>
          <cell r="H271" t="str">
            <v>Production &amp; Digital Publishing Unit Head</v>
          </cell>
          <cell r="I271" t="str">
            <v>رئيس وحدة النشر الرقمي والإنتاج</v>
          </cell>
          <cell r="J271" t="str">
            <v>On-Chart</v>
          </cell>
          <cell r="K271" t="str">
            <v>DCT Payroll</v>
          </cell>
          <cell r="L271" t="str">
            <v>A1</v>
          </cell>
          <cell r="M271" t="str">
            <v>Department of Culture and Tourism</v>
          </cell>
          <cell r="N271" t="str">
            <v>Culture</v>
          </cell>
          <cell r="O271" t="str">
            <v>الثقافة</v>
          </cell>
          <cell r="P271" t="str">
            <v>Scientific, Curatorial and Collection Department</v>
          </cell>
          <cell r="Q271" t="str">
            <v>إدارة البحث العلمي والمقتنيات</v>
          </cell>
          <cell r="R271" t="str">
            <v>Publishing &amp; Digitization</v>
          </cell>
          <cell r="S271" t="str">
            <v>النشر ورقمنة المحتوى</v>
          </cell>
          <cell r="T271" t="str">
            <v>Production &amp; Digital Publishing</v>
          </cell>
          <cell r="U271" t="str">
            <v>الإنتاج والنشر الرقمي</v>
          </cell>
          <cell r="V271" t="str">
            <v>Abu Dhabi</v>
          </cell>
          <cell r="W271" t="str">
            <v/>
          </cell>
          <cell r="X271" t="str">
            <v>4511150</v>
          </cell>
          <cell r="Y271" t="str">
            <v>Compliance,Governance&amp;Protocol_Policy  (Culture &amp; Tourism)_Unit Head</v>
          </cell>
          <cell r="Z271" t="str">
            <v>Unit Head</v>
          </cell>
          <cell r="AA271" t="str">
            <v>3B</v>
          </cell>
        </row>
        <row r="272">
          <cell r="A272">
            <v>690</v>
          </cell>
          <cell r="B272">
            <v>690</v>
          </cell>
          <cell r="C272" t="str">
            <v>A</v>
          </cell>
          <cell r="D272" t="str">
            <v>Chandra Sekhar</v>
          </cell>
          <cell r="E272" t="str">
            <v>شاندرا  سيكر</v>
          </cell>
          <cell r="F272">
            <v>41000</v>
          </cell>
          <cell r="G272" t="str">
            <v>47700688</v>
          </cell>
          <cell r="H272" t="str">
            <v>Systems Analyst</v>
          </cell>
          <cell r="I272" t="str">
            <v>محلل أنظمة</v>
          </cell>
          <cell r="J272" t="str">
            <v>On-Chart</v>
          </cell>
          <cell r="K272" t="str">
            <v>DCT Payroll</v>
          </cell>
          <cell r="L272" t="str">
            <v>A1</v>
          </cell>
          <cell r="M272" t="str">
            <v>Department of Culture and Tourism</v>
          </cell>
          <cell r="N272" t="str">
            <v>Support Services</v>
          </cell>
          <cell r="O272" t="str">
            <v>الخدمات المساندة</v>
          </cell>
          <cell r="P272" t="str">
            <v>Supply Management</v>
          </cell>
          <cell r="Q272" t="str">
            <v>إدارة الإمداد</v>
          </cell>
          <cell r="R272" t="str">
            <v>Contracts, System &amp; Reporting</v>
          </cell>
          <cell r="S272" t="str">
            <v>العقود والأنظمة والتقارير</v>
          </cell>
          <cell r="T272" t="str">
            <v>Data &amp; Systems</v>
          </cell>
          <cell r="U272" t="str">
            <v>البيانات والأنظمة</v>
          </cell>
          <cell r="V272" t="str">
            <v>Abu Dhabi</v>
          </cell>
          <cell r="W272" t="str">
            <v/>
          </cell>
          <cell r="X272" t="str">
            <v>4510240</v>
          </cell>
          <cell r="Y272" t="str">
            <v>Procurement_Procurement General_Professional</v>
          </cell>
          <cell r="Z272" t="str">
            <v>Professional</v>
          </cell>
          <cell r="AA272" t="str">
            <v>4A</v>
          </cell>
        </row>
        <row r="273">
          <cell r="A273">
            <v>692</v>
          </cell>
          <cell r="B273">
            <v>692</v>
          </cell>
          <cell r="C273" t="str">
            <v>A</v>
          </cell>
          <cell r="D273" t="str">
            <v>Khurshid Ahmed Mohammed</v>
          </cell>
          <cell r="E273" t="str">
            <v>خورشيد أحمد محمد</v>
          </cell>
          <cell r="F273">
            <v>41000</v>
          </cell>
          <cell r="G273" t="str">
            <v>10007866</v>
          </cell>
          <cell r="H273" t="str">
            <v>Security Engineering Senior Specialist</v>
          </cell>
          <cell r="I273" t="str">
            <v>أخصائي أول هندسة الأمن</v>
          </cell>
          <cell r="J273" t="str">
            <v>On-Chart</v>
          </cell>
          <cell r="K273" t="str">
            <v>DCT Payroll</v>
          </cell>
          <cell r="L273" t="str">
            <v>A1</v>
          </cell>
          <cell r="M273" t="str">
            <v>Department of Culture and Tourism</v>
          </cell>
          <cell r="N273" t="str">
            <v>Support Services</v>
          </cell>
          <cell r="O273" t="str">
            <v>الخدمات المساندة</v>
          </cell>
          <cell r="P273" t="str">
            <v>Technology</v>
          </cell>
          <cell r="Q273" t="str">
            <v>التكنولوجيا</v>
          </cell>
          <cell r="R273" t="str">
            <v>Technology Infrastructure</v>
          </cell>
          <cell r="S273" t="str">
            <v>البنية التحتية للتكنولوجيا</v>
          </cell>
          <cell r="T273" t="str">
            <v>Infrastructure &amp; Network</v>
          </cell>
          <cell r="U273" t="str">
            <v>البنية التحتية والشبكات</v>
          </cell>
          <cell r="V273" t="str">
            <v>Abu Dhabi</v>
          </cell>
          <cell r="W273" t="str">
            <v/>
          </cell>
          <cell r="X273" t="str">
            <v>4510250</v>
          </cell>
          <cell r="Y273" t="str">
            <v>Information Technology_Security Architect_Senior Professional</v>
          </cell>
          <cell r="Z273" t="str">
            <v>Senior Professional</v>
          </cell>
          <cell r="AA273" t="str">
            <v>3C</v>
          </cell>
        </row>
        <row r="274">
          <cell r="A274">
            <v>693</v>
          </cell>
          <cell r="B274">
            <v>693</v>
          </cell>
          <cell r="C274" t="str">
            <v>A</v>
          </cell>
          <cell r="D274" t="str">
            <v>Sara Ali Alaidarous</v>
          </cell>
          <cell r="E274" t="str">
            <v>ساره علي العيدروس</v>
          </cell>
          <cell r="F274">
            <v>41001</v>
          </cell>
          <cell r="G274" t="str">
            <v>50001954</v>
          </cell>
          <cell r="H274" t="str">
            <v>Capital Projects Senior Specialist</v>
          </cell>
          <cell r="I274" t="str">
            <v>أخصائي أول المشاريع الرأسمالية</v>
          </cell>
          <cell r="J274" t="str">
            <v>On-Chart</v>
          </cell>
          <cell r="K274" t="str">
            <v>DCT Payroll</v>
          </cell>
          <cell r="L274" t="str">
            <v>A1</v>
          </cell>
          <cell r="M274" t="str">
            <v>Department of Culture and Tourism</v>
          </cell>
          <cell r="N274" t="str">
            <v>Culture</v>
          </cell>
          <cell r="O274" t="str">
            <v>الثقافة</v>
          </cell>
          <cell r="P274" t="str">
            <v>Culture Sector Policy and Development Office</v>
          </cell>
          <cell r="Q274" t="str">
            <v>مكتب إدارة سياسة وتطوير قطاع الثقافة</v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>Abu Dhabi</v>
          </cell>
          <cell r="W274" t="str">
            <v/>
          </cell>
          <cell r="X274" t="str">
            <v>4511150</v>
          </cell>
          <cell r="Y274" t="str">
            <v>Compliance,Governance&amp;Protocol_Policy (Culture/Tourism _Senior Professional</v>
          </cell>
          <cell r="Z274" t="str">
            <v>Senior Professional</v>
          </cell>
          <cell r="AA274" t="str">
            <v>3A</v>
          </cell>
        </row>
        <row r="275">
          <cell r="A275">
            <v>697</v>
          </cell>
          <cell r="B275">
            <v>697</v>
          </cell>
          <cell r="C275" t="str">
            <v>A</v>
          </cell>
          <cell r="D275" t="str">
            <v>Meysoun Hassan Al Balooshi</v>
          </cell>
          <cell r="E275" t="str">
            <v>ميسون حسن البلوشي</v>
          </cell>
          <cell r="F275">
            <v>41021</v>
          </cell>
          <cell r="G275" t="str">
            <v>10009506</v>
          </cell>
          <cell r="H275" t="str">
            <v>Al Wathba Library Librarian</v>
          </cell>
          <cell r="I275" t="str">
            <v>أمين مكتبة الوثبة</v>
          </cell>
          <cell r="J275" t="str">
            <v>On-Chart</v>
          </cell>
          <cell r="K275" t="str">
            <v>DCT Payroll</v>
          </cell>
          <cell r="L275" t="str">
            <v>A1</v>
          </cell>
          <cell r="M275" t="str">
            <v>Department of Culture and Tourism</v>
          </cell>
          <cell r="N275" t="str">
            <v>Culture</v>
          </cell>
          <cell r="O275" t="str">
            <v>الثقافة</v>
          </cell>
          <cell r="P275" t="str">
            <v>Library Management</v>
          </cell>
          <cell r="Q275" t="str">
            <v>إدارة المكتبات</v>
          </cell>
          <cell r="R275" t="str">
            <v>Branches Library</v>
          </cell>
          <cell r="S275" t="str">
            <v>فروع المكتبات</v>
          </cell>
          <cell r="T275" t="str">
            <v>Al Wathba Library</v>
          </cell>
          <cell r="U275" t="str">
            <v>مكتبة الوثبة</v>
          </cell>
          <cell r="V275" t="str">
            <v>Abu Dhabi</v>
          </cell>
          <cell r="W275" t="str">
            <v/>
          </cell>
          <cell r="X275" t="str">
            <v>4516100</v>
          </cell>
          <cell r="Y275" t="str">
            <v>Operations_Library Operational Management_Unit Head</v>
          </cell>
          <cell r="Z275" t="str">
            <v>Unit Head</v>
          </cell>
          <cell r="AA275" t="str">
            <v>3A</v>
          </cell>
        </row>
        <row r="276">
          <cell r="A276">
            <v>698</v>
          </cell>
          <cell r="B276">
            <v>698</v>
          </cell>
          <cell r="C276" t="str">
            <v>A</v>
          </cell>
          <cell r="D276" t="str">
            <v>Latifa Shaiba AlSheryani</v>
          </cell>
          <cell r="E276" t="str">
            <v>لطيفة الشيبه الشرياني</v>
          </cell>
          <cell r="F276">
            <v>41030</v>
          </cell>
          <cell r="G276" t="str">
            <v>47700696</v>
          </cell>
          <cell r="H276" t="str">
            <v>Business Development &amp; Sales – Publishing Officer</v>
          </cell>
          <cell r="I276" t="str">
            <v>ضابط تطوير الأعمال والمبيعات – النشر</v>
          </cell>
          <cell r="J276" t="str">
            <v>On-Chart</v>
          </cell>
          <cell r="K276" t="str">
            <v>ALC Direct Hires</v>
          </cell>
          <cell r="L276" t="str">
            <v>AL1</v>
          </cell>
          <cell r="M276" t="str">
            <v>Abu Dhabi Arabic Language Centre</v>
          </cell>
          <cell r="N276" t="str">
            <v>Abu Dhabi Arabic Language Centre</v>
          </cell>
          <cell r="O276" t="str">
            <v>مركز أبوظبي للغة العربية</v>
          </cell>
          <cell r="P276" t="str">
            <v>Book Fairs &amp; Events</v>
          </cell>
          <cell r="Q276" t="str">
            <v>الفعاليات ومعارض الكتب</v>
          </cell>
          <cell r="R276" t="str">
            <v>Commercial &amp; Business Development - ALC</v>
          </cell>
          <cell r="S276" t="str">
            <v>التنمية التجارية وتطوير الأعمال</v>
          </cell>
          <cell r="T276" t="str">
            <v>Business Development &amp; Sales – Publishing</v>
          </cell>
          <cell r="U276" t="str">
            <v>تطوير الأعمال  والمبيعات - النشر</v>
          </cell>
          <cell r="V276" t="str">
            <v>Abu Dhabi</v>
          </cell>
          <cell r="W276" t="str">
            <v/>
          </cell>
          <cell r="X276" t="str">
            <v>4519200</v>
          </cell>
          <cell r="Y276" t="str">
            <v>Interpretation &amp; Engagement_Arabic Language Forum &amp; Events _Professional</v>
          </cell>
          <cell r="Z276" t="str">
            <v>Professional</v>
          </cell>
          <cell r="AA276" t="str">
            <v>4A</v>
          </cell>
        </row>
        <row r="277">
          <cell r="A277">
            <v>701</v>
          </cell>
          <cell r="B277">
            <v>701</v>
          </cell>
          <cell r="C277" t="str">
            <v>A</v>
          </cell>
          <cell r="D277" t="str">
            <v>Meera Mohammed Al Dhaheri</v>
          </cell>
          <cell r="E277" t="str">
            <v>ميرة محمد الظاهري</v>
          </cell>
          <cell r="F277">
            <v>41042</v>
          </cell>
          <cell r="G277" t="str">
            <v>50002212</v>
          </cell>
          <cell r="H277" t="str">
            <v>Senior Graphic Designer</v>
          </cell>
          <cell r="I277" t="str">
            <v>مصمم أول جرافيك</v>
          </cell>
          <cell r="J277" t="str">
            <v>On-Chart</v>
          </cell>
          <cell r="K277" t="str">
            <v>DCT Payroll</v>
          </cell>
          <cell r="L277" t="str">
            <v>A1</v>
          </cell>
          <cell r="M277" t="str">
            <v>Department of Culture and Tourism</v>
          </cell>
          <cell r="N277" t="str">
            <v>Strategic Marketing &amp; Communication</v>
          </cell>
          <cell r="O277" t="str">
            <v>التسويق والاتصال الاستراتيجي</v>
          </cell>
          <cell r="P277" t="str">
            <v>Creative &amp; Production</v>
          </cell>
          <cell r="Q277" t="str">
            <v>الإبداع والإنتاج</v>
          </cell>
          <cell r="R277" t="str">
            <v>Creative Content</v>
          </cell>
          <cell r="S277" t="str">
            <v>المحتوى الإبداعي</v>
          </cell>
          <cell r="T277" t="str">
            <v>Digital Design</v>
          </cell>
          <cell r="U277" t="str">
            <v>تصميم المحتوى الرقمي</v>
          </cell>
          <cell r="V277" t="str">
            <v>Abu Dhabi</v>
          </cell>
          <cell r="W277" t="str">
            <v/>
          </cell>
          <cell r="X277" t="str">
            <v>4513110</v>
          </cell>
          <cell r="Y277" t="str">
            <v>Senior Specialization Marketing &amp; Communications</v>
          </cell>
          <cell r="Z277" t="str">
            <v>Senior Professional</v>
          </cell>
          <cell r="AA277" t="str">
            <v>3A</v>
          </cell>
        </row>
        <row r="278">
          <cell r="A278">
            <v>702</v>
          </cell>
          <cell r="B278">
            <v>702</v>
          </cell>
          <cell r="C278" t="str">
            <v>A</v>
          </cell>
          <cell r="D278" t="str">
            <v>Mouza Mubarak Al-Shamsi</v>
          </cell>
          <cell r="E278" t="str">
            <v>موزة مبارك الشامسي</v>
          </cell>
          <cell r="F278">
            <v>41056</v>
          </cell>
          <cell r="G278" t="str">
            <v>10005301</v>
          </cell>
          <cell r="H278" t="str">
            <v>Visitor Experience Coordinator</v>
          </cell>
          <cell r="I278" t="str">
            <v>منسق تجربة الزوار</v>
          </cell>
          <cell r="J278" t="str">
            <v>On-Chart</v>
          </cell>
          <cell r="K278" t="str">
            <v>DCT Payroll</v>
          </cell>
          <cell r="L278" t="str">
            <v>A1</v>
          </cell>
          <cell r="M278" t="str">
            <v>Department of Culture and Tourism</v>
          </cell>
          <cell r="N278" t="str">
            <v>Culture</v>
          </cell>
          <cell r="O278" t="str">
            <v>الثقافة</v>
          </cell>
          <cell r="P278" t="str">
            <v>Culture Sites Management</v>
          </cell>
          <cell r="Q278" t="str">
            <v>إدارة المواقع الثقافية</v>
          </cell>
          <cell r="R278" t="str">
            <v>Al Ain Historical Sites</v>
          </cell>
          <cell r="S278" t="str">
            <v>مواقع العين التاريخية</v>
          </cell>
          <cell r="T278" t="str">
            <v>Muraba’a &amp; Mazyad Forts</v>
          </cell>
          <cell r="U278" t="str">
            <v>قلعتي المربعة ومزيد</v>
          </cell>
          <cell r="V278" t="str">
            <v>Al Ain</v>
          </cell>
          <cell r="W278" t="str">
            <v/>
          </cell>
          <cell r="X278" t="str">
            <v>4511250</v>
          </cell>
          <cell r="Y278" t="str">
            <v>Compliance,Governance&amp;Protocol_Policy (Culture/Tourism) _Professional</v>
          </cell>
          <cell r="Z278" t="str">
            <v>Professional Assistant</v>
          </cell>
          <cell r="AA278" t="str">
            <v>5A</v>
          </cell>
        </row>
        <row r="279">
          <cell r="A279">
            <v>703</v>
          </cell>
          <cell r="B279">
            <v>703</v>
          </cell>
          <cell r="C279" t="str">
            <v>A</v>
          </cell>
          <cell r="D279" t="str">
            <v>Mohammed Ali AlBlooshi</v>
          </cell>
          <cell r="E279" t="str">
            <v>محمد علي البلوشي</v>
          </cell>
          <cell r="F279">
            <v>41059</v>
          </cell>
          <cell r="G279" t="str">
            <v>47700701</v>
          </cell>
          <cell r="H279" t="str">
            <v>Store &amp; Inventory Lead</v>
          </cell>
          <cell r="I279" t="str">
            <v>أخصائي رئيسي الجرد والمخازن</v>
          </cell>
          <cell r="J279" t="str">
            <v>On-Chart</v>
          </cell>
          <cell r="K279" t="str">
            <v>DCT Payroll</v>
          </cell>
          <cell r="L279" t="str">
            <v>A1</v>
          </cell>
          <cell r="M279" t="str">
            <v>Department of Culture and Tourism</v>
          </cell>
          <cell r="N279" t="str">
            <v>Support Services</v>
          </cell>
          <cell r="O279" t="str">
            <v>الخدمات المساندة</v>
          </cell>
          <cell r="P279" t="str">
            <v>Supply Management</v>
          </cell>
          <cell r="Q279" t="str">
            <v>إدارة الإمداد</v>
          </cell>
          <cell r="R279" t="str">
            <v>Facilities Management</v>
          </cell>
          <cell r="S279" t="str">
            <v>إدارة المرافق</v>
          </cell>
          <cell r="T279" t="str">
            <v>Stores &amp; Inventory</v>
          </cell>
          <cell r="U279" t="str">
            <v>المخازن والمخزون</v>
          </cell>
          <cell r="V279" t="str">
            <v>Abu Dhabi</v>
          </cell>
          <cell r="W279" t="str">
            <v/>
          </cell>
          <cell r="X279" t="str">
            <v>4510240</v>
          </cell>
          <cell r="Y279" t="str">
            <v>Procurement_Procurement General_Senior Professional</v>
          </cell>
          <cell r="Z279" t="str">
            <v>Unit Head</v>
          </cell>
          <cell r="AA279" t="str">
            <v>3A</v>
          </cell>
        </row>
        <row r="280">
          <cell r="A280">
            <v>706</v>
          </cell>
          <cell r="B280">
            <v>706</v>
          </cell>
          <cell r="C280" t="str">
            <v>A</v>
          </cell>
          <cell r="D280" t="str">
            <v>Mahra Fadel Al Muhairi</v>
          </cell>
          <cell r="E280" t="str">
            <v>مهره فاضل المهيري</v>
          </cell>
          <cell r="F280">
            <v>41064</v>
          </cell>
          <cell r="G280" t="str">
            <v>10010484</v>
          </cell>
          <cell r="H280" t="str">
            <v>Outreach Unit Head - Schools</v>
          </cell>
          <cell r="I280" t="str">
            <v>رئيس وحدة التوعية الثقافية - المدارس</v>
          </cell>
          <cell r="J280" t="str">
            <v>On-Chart</v>
          </cell>
          <cell r="K280" t="str">
            <v>DCT Payroll</v>
          </cell>
          <cell r="L280" t="str">
            <v>A1</v>
          </cell>
          <cell r="M280" t="str">
            <v>Department of Culture and Tourism</v>
          </cell>
          <cell r="N280" t="str">
            <v>Culture</v>
          </cell>
          <cell r="O280" t="str">
            <v>الثقافة</v>
          </cell>
          <cell r="P280" t="str">
            <v>Education &amp; Outreach</v>
          </cell>
          <cell r="Q280" t="str">
            <v>التعليم والتوعية الثقافية</v>
          </cell>
          <cell r="R280" t="str">
            <v>Outreach</v>
          </cell>
          <cell r="S280" t="str">
            <v>التوعية الثقافية</v>
          </cell>
          <cell r="T280" t="str">
            <v>Outreach - Schools</v>
          </cell>
          <cell r="U280" t="str">
            <v>التوعية الثقافية - المدارس</v>
          </cell>
          <cell r="V280" t="str">
            <v>Al Ain</v>
          </cell>
          <cell r="W280" t="str">
            <v/>
          </cell>
          <cell r="X280" t="str">
            <v>4511800</v>
          </cell>
          <cell r="Y280" t="str">
            <v>Interpretation &amp; Engagement_Outreach &amp; Cultural Engagement _Unit Head</v>
          </cell>
          <cell r="Z280" t="str">
            <v>Unit Head</v>
          </cell>
          <cell r="AA280" t="str">
            <v>3A</v>
          </cell>
        </row>
        <row r="281">
          <cell r="A281">
            <v>712</v>
          </cell>
          <cell r="B281">
            <v>712</v>
          </cell>
          <cell r="C281" t="str">
            <v>A</v>
          </cell>
          <cell r="D281" t="str">
            <v>Rashed Khamis Al Mazrooei</v>
          </cell>
          <cell r="E281" t="str">
            <v>راشد خميس المزروعي</v>
          </cell>
          <cell r="F281">
            <v>41078</v>
          </cell>
          <cell r="G281" t="str">
            <v>50000801</v>
          </cell>
          <cell r="H281" t="str">
            <v>Senior Inspector</v>
          </cell>
          <cell r="I281" t="str">
            <v>مفتش أول</v>
          </cell>
          <cell r="J281" t="str">
            <v>On-Chart</v>
          </cell>
          <cell r="K281" t="str">
            <v>DCT Payroll</v>
          </cell>
          <cell r="L281" t="str">
            <v>A1</v>
          </cell>
          <cell r="M281" t="str">
            <v>Department of Culture and Tourism</v>
          </cell>
          <cell r="N281" t="str">
            <v>Tourism</v>
          </cell>
          <cell r="O281" t="str">
            <v>السياحة</v>
          </cell>
          <cell r="P281" t="str">
            <v>Licensing &amp; Regulatory Compliance</v>
          </cell>
          <cell r="Q281" t="str">
            <v>الرقابة والترخيص</v>
          </cell>
          <cell r="R281" t="str">
            <v>Abu Dhabi Inspection</v>
          </cell>
          <cell r="S281" t="str">
            <v>التفتيش</v>
          </cell>
          <cell r="T281" t="str">
            <v>Inspection Unit (Day Events)</v>
          </cell>
          <cell r="U281" t="str">
            <v>(التفتيش لأبوظبي (الفعاليات النهارية</v>
          </cell>
          <cell r="V281" t="str">
            <v>Abu Dhabi</v>
          </cell>
          <cell r="W281" t="str">
            <v/>
          </cell>
          <cell r="X281" t="str">
            <v>4510170</v>
          </cell>
          <cell r="Y281" t="str">
            <v>Compliance,Governance&amp;Protocol_Licensing &amp; Regulatory Compliance _Senior Professional</v>
          </cell>
          <cell r="Z281" t="str">
            <v>Senior Professional</v>
          </cell>
          <cell r="AA281" t="str">
            <v>3C</v>
          </cell>
        </row>
        <row r="282">
          <cell r="A282">
            <v>714</v>
          </cell>
          <cell r="B282">
            <v>714</v>
          </cell>
          <cell r="C282" t="str">
            <v>A</v>
          </cell>
          <cell r="D282" t="str">
            <v>Ruqaya Subaih Al Kaabi</v>
          </cell>
          <cell r="E282" t="str">
            <v>رقية صبيح الكعبي</v>
          </cell>
          <cell r="F282">
            <v>41084</v>
          </cell>
          <cell r="G282" t="str">
            <v>47700712</v>
          </cell>
          <cell r="H282" t="str">
            <v>Senior Researcher</v>
          </cell>
          <cell r="I282" t="str">
            <v>باحث أول</v>
          </cell>
          <cell r="J282" t="str">
            <v>On-Chart</v>
          </cell>
          <cell r="K282" t="str">
            <v>DCT Payroll</v>
          </cell>
          <cell r="L282" t="str">
            <v>A1</v>
          </cell>
          <cell r="M282" t="str">
            <v>Department of Culture and Tourism</v>
          </cell>
          <cell r="N282" t="str">
            <v>Culture</v>
          </cell>
          <cell r="O282" t="str">
            <v>الثقافة</v>
          </cell>
          <cell r="P282" t="str">
            <v>Intangible Cultural Heritage</v>
          </cell>
          <cell r="Q282" t="str">
            <v>التراث الثقافي المعنوي</v>
          </cell>
          <cell r="R282" t="str">
            <v>ICH Research &amp; Documentation</v>
          </cell>
          <cell r="S282" t="str">
            <v>بحوث وتوثيق التراث الثقافي المعنوي</v>
          </cell>
          <cell r="T282" t="str">
            <v>ICH Research</v>
          </cell>
          <cell r="U282" t="str">
            <v>بحوث التراث الثقافي المعنوي</v>
          </cell>
          <cell r="V282" t="str">
            <v>Al Ain</v>
          </cell>
          <cell r="W282" t="str">
            <v/>
          </cell>
          <cell r="X282" t="str">
            <v>4511600</v>
          </cell>
          <cell r="Y282" t="str">
            <v>Content &amp; Care_World Heritage Sites Planning &amp; Monitoring_Senior Professional</v>
          </cell>
          <cell r="Z282" t="str">
            <v>Senior Professional</v>
          </cell>
          <cell r="AA282" t="str">
            <v>3A</v>
          </cell>
        </row>
        <row r="283">
          <cell r="A283">
            <v>718</v>
          </cell>
          <cell r="B283">
            <v>718</v>
          </cell>
          <cell r="C283" t="str">
            <v>A</v>
          </cell>
          <cell r="D283" t="str">
            <v>Yousef Ahmed Al Hammadi</v>
          </cell>
          <cell r="E283" t="str">
            <v>يوسف أحمد الحمادي</v>
          </cell>
          <cell r="F283">
            <v>41091</v>
          </cell>
          <cell r="G283" t="str">
            <v>50002394</v>
          </cell>
          <cell r="H283" t="str">
            <v>Abu Dhabi Inspection Section Head</v>
          </cell>
          <cell r="I283" t="str">
            <v>رئيس قسم التفتيش لأبو ظبي</v>
          </cell>
          <cell r="J283" t="str">
            <v>On-Chart</v>
          </cell>
          <cell r="K283" t="str">
            <v>DCT Payroll</v>
          </cell>
          <cell r="L283" t="str">
            <v>A1</v>
          </cell>
          <cell r="M283" t="str">
            <v>Department of Culture and Tourism</v>
          </cell>
          <cell r="N283" t="str">
            <v>Tourism</v>
          </cell>
          <cell r="O283" t="str">
            <v>السياحة</v>
          </cell>
          <cell r="P283" t="str">
            <v>Licensing &amp; Regulatory Compliance</v>
          </cell>
          <cell r="Q283" t="str">
            <v>الرقابة والترخيص</v>
          </cell>
          <cell r="R283" t="str">
            <v>Abu Dhabi Inspection</v>
          </cell>
          <cell r="S283" t="str">
            <v>التفتيش</v>
          </cell>
          <cell r="T283" t="str">
            <v/>
          </cell>
          <cell r="U283" t="str">
            <v/>
          </cell>
          <cell r="V283" t="str">
            <v>Abu Dhabi</v>
          </cell>
          <cell r="W283" t="str">
            <v/>
          </cell>
          <cell r="X283" t="str">
            <v>4510170</v>
          </cell>
          <cell r="Y283" t="str">
            <v>Compliance,Governance&amp;Protocol_Licensing Services &amp; Regulatory Compliance _Section Head</v>
          </cell>
          <cell r="Z283" t="str">
            <v>Section Manager</v>
          </cell>
          <cell r="AA283" t="str">
            <v>2A</v>
          </cell>
        </row>
        <row r="284">
          <cell r="A284">
            <v>721</v>
          </cell>
          <cell r="B284">
            <v>721</v>
          </cell>
          <cell r="C284" t="str">
            <v>A</v>
          </cell>
          <cell r="D284" t="str">
            <v>Abdulla Ali Al Ali</v>
          </cell>
          <cell r="E284" t="str">
            <v>عبد الله علي آل علي</v>
          </cell>
          <cell r="F284">
            <v>41112</v>
          </cell>
          <cell r="G284" t="str">
            <v>41000495</v>
          </cell>
          <cell r="H284" t="str">
            <v>Protocol Lead</v>
          </cell>
          <cell r="I284" t="str">
            <v>أخصائي رئيسي أول المراسم</v>
          </cell>
          <cell r="J284" t="str">
            <v>On-Chart</v>
          </cell>
          <cell r="K284" t="str">
            <v>DCT Payroll</v>
          </cell>
          <cell r="L284" t="str">
            <v>A1</v>
          </cell>
          <cell r="M284" t="str">
            <v>Department of Culture and Tourism</v>
          </cell>
          <cell r="N284" t="str">
            <v>Executive Affairs</v>
          </cell>
          <cell r="O284" t="str">
            <v>مكتب رئيس الدائرة</v>
          </cell>
          <cell r="P284" t="str">
            <v>Executive Affairs</v>
          </cell>
          <cell r="Q284" t="str">
            <v>الشؤون التنفيذية</v>
          </cell>
          <cell r="R284" t="str">
            <v>Protocol</v>
          </cell>
          <cell r="S284" t="str">
            <v>المراسم</v>
          </cell>
          <cell r="T284" t="str">
            <v/>
          </cell>
          <cell r="U284" t="str">
            <v/>
          </cell>
          <cell r="V284" t="str">
            <v>Abu Dhabi</v>
          </cell>
          <cell r="W284" t="str">
            <v/>
          </cell>
          <cell r="X284" t="str">
            <v>4510011</v>
          </cell>
          <cell r="Y284" t="str">
            <v>Stakeholder &amp; Partner Relations_International &amp; Institutional Affairs _Unit Head</v>
          </cell>
          <cell r="Z284" t="str">
            <v>Unit Head</v>
          </cell>
          <cell r="AA284" t="str">
            <v>3A</v>
          </cell>
        </row>
        <row r="285">
          <cell r="A285">
            <v>722</v>
          </cell>
          <cell r="B285">
            <v>722</v>
          </cell>
          <cell r="C285" t="str">
            <v>A</v>
          </cell>
          <cell r="D285" t="str">
            <v>Mouza Saif Al Ameri</v>
          </cell>
          <cell r="E285" t="str">
            <v>موزة سيف العامري</v>
          </cell>
          <cell r="F285">
            <v>41112</v>
          </cell>
          <cell r="G285" t="str">
            <v>10006739</v>
          </cell>
          <cell r="H285" t="str">
            <v>Marketing &amp; Communications Senior Specialist</v>
          </cell>
          <cell r="I285" t="str">
            <v>أخصائي أول التسويق والاتصال</v>
          </cell>
          <cell r="J285" t="str">
            <v>On-Chart</v>
          </cell>
          <cell r="K285" t="str">
            <v>DCT Payroll</v>
          </cell>
          <cell r="L285" t="str">
            <v>A1</v>
          </cell>
          <cell r="M285" t="str">
            <v>Department of Culture and Tourism</v>
          </cell>
          <cell r="N285" t="str">
            <v>Culture</v>
          </cell>
          <cell r="O285" t="str">
            <v>الثقافة</v>
          </cell>
          <cell r="P285" t="str">
            <v>Culture Sector Marketing</v>
          </cell>
          <cell r="Q285" t="str">
            <v>التسويق لقطاع الثقافة</v>
          </cell>
          <cell r="R285" t="str">
            <v>-</v>
          </cell>
          <cell r="S285" t="str">
            <v>-</v>
          </cell>
          <cell r="T285" t="str">
            <v>Marketing &amp; Communications – Al Ain &amp; Al Dhafra Culture Sites</v>
          </cell>
          <cell r="U285" t="str">
            <v>التسويق والاتصال – المواقع الثقافية (العين والظفرة)</v>
          </cell>
          <cell r="V285" t="str">
            <v>Al Ain</v>
          </cell>
          <cell r="W285" t="str">
            <v/>
          </cell>
          <cell r="X285" t="str">
            <v>4511550</v>
          </cell>
          <cell r="Y285" t="str">
            <v>Compliance,Governance&amp;Protocol_Policy (Culture/Tourism _Senior Professional</v>
          </cell>
          <cell r="Z285" t="str">
            <v>Senior Professional</v>
          </cell>
          <cell r="AA285" t="str">
            <v>3A</v>
          </cell>
        </row>
        <row r="286">
          <cell r="A286">
            <v>723</v>
          </cell>
          <cell r="B286">
            <v>723</v>
          </cell>
          <cell r="C286" t="str">
            <v>A</v>
          </cell>
          <cell r="D286" t="str">
            <v>Ibrahim Jafar Tukan</v>
          </cell>
          <cell r="E286" t="str">
            <v>إبراهيم جعفر طوقان</v>
          </cell>
          <cell r="F286">
            <v>41122</v>
          </cell>
          <cell r="G286" t="str">
            <v>47700721</v>
          </cell>
          <cell r="H286" t="str">
            <v>Legal Counsel</v>
          </cell>
          <cell r="I286" t="str">
            <v>مستشار قانوني</v>
          </cell>
          <cell r="J286" t="str">
            <v>On-Chart</v>
          </cell>
          <cell r="K286" t="str">
            <v>DCT Payroll</v>
          </cell>
          <cell r="L286" t="str">
            <v>A1</v>
          </cell>
          <cell r="M286" t="str">
            <v>Department of Culture and Tourism</v>
          </cell>
          <cell r="N286" t="str">
            <v>Legal &amp; Government Affairs</v>
          </cell>
          <cell r="O286" t="str">
            <v>مكتب وكيل الدائرة</v>
          </cell>
          <cell r="P286" t="str">
            <v>Legal &amp; Government Affairs</v>
          </cell>
          <cell r="Q286" t="str">
            <v>الشؤون القانونية والحكومية</v>
          </cell>
          <cell r="R286" t="str">
            <v>DCT Corporate &amp; Procurement Contracts Advisory</v>
          </cell>
          <cell r="S286" t="str">
            <v>الاستشارات القانونية لعقود الدائرة والمشتريات</v>
          </cell>
          <cell r="T286" t="str">
            <v/>
          </cell>
          <cell r="U286" t="str">
            <v/>
          </cell>
          <cell r="V286" t="str">
            <v>Abu Dhabi</v>
          </cell>
          <cell r="W286" t="str">
            <v/>
          </cell>
          <cell r="X286" t="str">
            <v>4510160</v>
          </cell>
          <cell r="Y286" t="str">
            <v>Legal _Legal Counsel_Unit Head</v>
          </cell>
          <cell r="Z286" t="str">
            <v>Unit Head</v>
          </cell>
          <cell r="AA286" t="str">
            <v>3A</v>
          </cell>
        </row>
        <row r="287">
          <cell r="A287">
            <v>724</v>
          </cell>
          <cell r="B287">
            <v>724</v>
          </cell>
          <cell r="C287" t="str">
            <v>A</v>
          </cell>
          <cell r="D287" t="str">
            <v>Ameen Abdulwahab Al Obadili</v>
          </cell>
          <cell r="E287" t="str">
            <v>امين عبد الوهاب العبيدلي</v>
          </cell>
          <cell r="F287">
            <v>41126</v>
          </cell>
          <cell r="G287" t="str">
            <v>10010972</v>
          </cell>
          <cell r="H287" t="str">
            <v>Library Management Operations Lead</v>
          </cell>
          <cell r="I287" t="str">
            <v>أخصائي رئيسي عمليات إدارة المكتبات</v>
          </cell>
          <cell r="J287" t="str">
            <v>On-Chart</v>
          </cell>
          <cell r="K287" t="str">
            <v>DCT Payroll</v>
          </cell>
          <cell r="L287" t="str">
            <v>A1</v>
          </cell>
          <cell r="M287" t="str">
            <v>Department of Culture and Tourism</v>
          </cell>
          <cell r="N287" t="str">
            <v>Culture</v>
          </cell>
          <cell r="O287" t="str">
            <v>الثقافة</v>
          </cell>
          <cell r="P287" t="str">
            <v>Library Management</v>
          </cell>
          <cell r="Q287" t="str">
            <v>إدارة المكتبات</v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>Abu Dhabi</v>
          </cell>
          <cell r="W287" t="str">
            <v/>
          </cell>
          <cell r="X287" t="str">
            <v>4516100</v>
          </cell>
          <cell r="Y287" t="str">
            <v>Operations_Library Operational Management_Unit Head</v>
          </cell>
          <cell r="Z287" t="str">
            <v>Unit Head</v>
          </cell>
          <cell r="AA287" t="str">
            <v>3A</v>
          </cell>
        </row>
        <row r="288">
          <cell r="A288">
            <v>727</v>
          </cell>
          <cell r="B288">
            <v>727</v>
          </cell>
          <cell r="C288" t="str">
            <v>A</v>
          </cell>
          <cell r="D288" t="str">
            <v>Hammad Abdulla Al Khatri</v>
          </cell>
          <cell r="E288" t="str">
            <v>حماد عبدالله الخاطري</v>
          </cell>
          <cell r="F288">
            <v>41143</v>
          </cell>
          <cell r="G288" t="str">
            <v>10010213</v>
          </cell>
          <cell r="H288" t="str">
            <v>Senior Project Manager</v>
          </cell>
          <cell r="I288" t="str">
            <v>مدير مشروع أول</v>
          </cell>
          <cell r="J288" t="str">
            <v>On-Chart</v>
          </cell>
          <cell r="K288" t="str">
            <v>ALC Direct Hires</v>
          </cell>
          <cell r="L288" t="str">
            <v>AL1</v>
          </cell>
          <cell r="M288" t="str">
            <v>Abu Dhabi Arabic Language Centre</v>
          </cell>
          <cell r="N288" t="str">
            <v>Abu Dhabi Arabic Language Centre</v>
          </cell>
          <cell r="O288" t="str">
            <v>مركز أبوظبي للغة العربية</v>
          </cell>
          <cell r="P288" t="str">
            <v>Creative Content</v>
          </cell>
          <cell r="Q288" t="str">
            <v>المحتوى الإبداعي</v>
          </cell>
          <cell r="R288" t="str">
            <v>Research - ALC</v>
          </cell>
          <cell r="S288" t="str">
            <v>البحوث</v>
          </cell>
          <cell r="T288" t="str">
            <v/>
          </cell>
          <cell r="U288" t="str">
            <v/>
          </cell>
          <cell r="V288" t="str">
            <v>Abu Dhabi</v>
          </cell>
          <cell r="W288" t="str">
            <v/>
          </cell>
          <cell r="X288" t="str">
            <v>4519199</v>
          </cell>
          <cell r="Y288" t="str">
            <v>Interpretation &amp; Engagement_Arabic Language Research &amp; Studies _Section Manager</v>
          </cell>
          <cell r="Z288" t="str">
            <v>Section Manager</v>
          </cell>
          <cell r="AA288" t="str">
            <v>2A</v>
          </cell>
        </row>
        <row r="289">
          <cell r="A289">
            <v>728</v>
          </cell>
          <cell r="B289">
            <v>728</v>
          </cell>
          <cell r="C289" t="str">
            <v>A</v>
          </cell>
          <cell r="D289" t="str">
            <v>Amena Abdulla Khoori</v>
          </cell>
          <cell r="E289" t="str">
            <v>آمنه عبد الله خوري</v>
          </cell>
          <cell r="F289">
            <v>41147</v>
          </cell>
          <cell r="G289" t="str">
            <v>10005949</v>
          </cell>
          <cell r="H289" t="str">
            <v>Media &amp; Government Relations Unit Head</v>
          </cell>
          <cell r="I289" t="str">
            <v>رئيس وحدة العلاقات الحكومية والإعلامية</v>
          </cell>
          <cell r="J289" t="str">
            <v>Temporary</v>
          </cell>
          <cell r="K289" t="str">
            <v>DCT Payroll</v>
          </cell>
          <cell r="L289" t="str">
            <v>A1</v>
          </cell>
          <cell r="M289" t="str">
            <v>Department of Culture and Tourism</v>
          </cell>
          <cell r="N289" t="str">
            <v>Strategic Marketing &amp; Communication</v>
          </cell>
          <cell r="O289" t="str">
            <v>التسويق والاتصال الاستراتيجي</v>
          </cell>
          <cell r="P289" t="str">
            <v>Strategic Communications</v>
          </cell>
          <cell r="Q289" t="str">
            <v>الاتصال الاستراتيجي</v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>Abu Dhabi</v>
          </cell>
          <cell r="W289" t="str">
            <v/>
          </cell>
          <cell r="X289" t="str">
            <v>4513120</v>
          </cell>
          <cell r="Y289" t="str">
            <v>Comms &amp; Marketing _Communications (All Areas)_Unit Head</v>
          </cell>
          <cell r="Z289" t="str">
            <v>Unit Head</v>
          </cell>
          <cell r="AA289" t="str">
            <v>3A</v>
          </cell>
        </row>
        <row r="290">
          <cell r="A290">
            <v>729</v>
          </cell>
          <cell r="B290">
            <v>729</v>
          </cell>
          <cell r="C290" t="str">
            <v>A</v>
          </cell>
          <cell r="D290" t="str">
            <v>Yousif Obaid Alneyadi</v>
          </cell>
          <cell r="E290" t="str">
            <v>يوسف عبيد النيادي</v>
          </cell>
          <cell r="F290">
            <v>41147</v>
          </cell>
          <cell r="G290" t="str">
            <v>47700727</v>
          </cell>
          <cell r="H290" t="str">
            <v>Inspector</v>
          </cell>
          <cell r="I290" t="str">
            <v>مفتش</v>
          </cell>
          <cell r="J290" t="str">
            <v>On-Chart</v>
          </cell>
          <cell r="K290" t="str">
            <v>DCT Payroll</v>
          </cell>
          <cell r="L290" t="str">
            <v>A1</v>
          </cell>
          <cell r="M290" t="str">
            <v>Department of Culture and Tourism</v>
          </cell>
          <cell r="N290" t="str">
            <v>Tourism</v>
          </cell>
          <cell r="O290" t="str">
            <v>السياحة</v>
          </cell>
          <cell r="P290" t="str">
            <v>Licensing &amp; Regulatory Compliance</v>
          </cell>
          <cell r="Q290" t="str">
            <v>الرقابة والترخيص</v>
          </cell>
          <cell r="R290" t="str">
            <v>Al Ain &amp; Al Dhafra Inspection</v>
          </cell>
          <cell r="S290" t="str">
            <v>التفتيش لمنطقتي العين والظفرة</v>
          </cell>
          <cell r="T290" t="str">
            <v>Al Ain Inspection</v>
          </cell>
          <cell r="U290" t="str">
            <v>وحدة تفتيش منطقة العين</v>
          </cell>
          <cell r="V290" t="str">
            <v>Al Ain</v>
          </cell>
          <cell r="W290" t="str">
            <v/>
          </cell>
          <cell r="X290" t="str">
            <v>4510170</v>
          </cell>
          <cell r="Y290" t="str">
            <v>Compliance,Governance&amp;Protocol_Licensing &amp; Regulatory Compliance- (Follow-up and Reporting) _Professional Assistant</v>
          </cell>
          <cell r="Z290" t="str">
            <v>Professional</v>
          </cell>
          <cell r="AA290" t="str">
            <v>4A</v>
          </cell>
        </row>
        <row r="291">
          <cell r="A291">
            <v>731</v>
          </cell>
          <cell r="B291">
            <v>731</v>
          </cell>
          <cell r="C291" t="str">
            <v>A</v>
          </cell>
          <cell r="D291" t="str">
            <v>Fatima Saeed AlBaloushi</v>
          </cell>
          <cell r="E291" t="str">
            <v>فاطمه سعيد البلوشي</v>
          </cell>
          <cell r="F291">
            <v>41154</v>
          </cell>
          <cell r="G291" t="str">
            <v>50000704</v>
          </cell>
          <cell r="H291" t="str">
            <v>Events Section Head</v>
          </cell>
          <cell r="I291" t="str">
            <v>رئيس قسم الفعاليات</v>
          </cell>
          <cell r="J291" t="str">
            <v>On-Chart</v>
          </cell>
          <cell r="K291" t="str">
            <v>MSS Direct Hires</v>
          </cell>
          <cell r="L291" t="str">
            <v>M1</v>
          </cell>
          <cell r="M291" t="str">
            <v>Department of Culture and Tourism</v>
          </cell>
          <cell r="N291" t="str">
            <v>Zayed National Museum</v>
          </cell>
          <cell r="O291" t="str">
            <v>متحف زايد الوطني</v>
          </cell>
          <cell r="P291" t="str">
            <v>Development &amp; Commercial Services</v>
          </cell>
          <cell r="Q291" t="str">
            <v>التطوير والخدمات التجارية</v>
          </cell>
          <cell r="R291" t="str">
            <v>Events</v>
          </cell>
          <cell r="S291" t="str">
            <v>الفعاليات</v>
          </cell>
          <cell r="T291" t="str">
            <v/>
          </cell>
          <cell r="U291" t="str">
            <v/>
          </cell>
          <cell r="V291" t="str">
            <v>Abu Dhabi</v>
          </cell>
          <cell r="W291" t="str">
            <v/>
          </cell>
          <cell r="X291" t="str">
            <v>4510183</v>
          </cell>
          <cell r="Y291" t="str">
            <v>Commercial _Commercial, Sales &amp; Industry  Development _Section Head</v>
          </cell>
          <cell r="Z291" t="str">
            <v>Section Manager</v>
          </cell>
          <cell r="AA291" t="str">
            <v>2A</v>
          </cell>
        </row>
        <row r="292">
          <cell r="A292">
            <v>734</v>
          </cell>
          <cell r="B292">
            <v>734</v>
          </cell>
          <cell r="C292" t="str">
            <v>A</v>
          </cell>
          <cell r="D292" t="str">
            <v>Aysha Nasser Al Hamiri</v>
          </cell>
          <cell r="E292" t="str">
            <v>عائشة ناصر الحميري</v>
          </cell>
          <cell r="F292">
            <v>41168</v>
          </cell>
          <cell r="G292" t="str">
            <v>10007188</v>
          </cell>
          <cell r="H292" t="str">
            <v>Circulation Senior Specialist</v>
          </cell>
          <cell r="I292" t="str">
            <v>أخصائي أول إعارة</v>
          </cell>
          <cell r="J292" t="str">
            <v>On-Chart</v>
          </cell>
          <cell r="K292" t="str">
            <v>DCT Payroll</v>
          </cell>
          <cell r="L292" t="str">
            <v>A1</v>
          </cell>
          <cell r="M292" t="str">
            <v>Department of Culture and Tourism</v>
          </cell>
          <cell r="N292" t="str">
            <v>Culture</v>
          </cell>
          <cell r="O292" t="str">
            <v>الثقافة</v>
          </cell>
          <cell r="P292" t="str">
            <v>Library Management</v>
          </cell>
          <cell r="Q292" t="str">
            <v>إدارة المكتبات</v>
          </cell>
          <cell r="R292" t="str">
            <v>Zayed Central Library - Al Ain</v>
          </cell>
          <cell r="S292" t="str">
            <v>مكتبة زايد المركزية - العين</v>
          </cell>
          <cell r="T292" t="str">
            <v>Circulation Services</v>
          </cell>
          <cell r="U292" t="str">
            <v>خدمات الإعارة</v>
          </cell>
          <cell r="V292" t="str">
            <v>Al Ain</v>
          </cell>
          <cell r="W292" t="str">
            <v/>
          </cell>
          <cell r="X292" t="str">
            <v>4516100</v>
          </cell>
          <cell r="Y292" t="str">
            <v>Operations_Library Operational Management_Senior Professional</v>
          </cell>
          <cell r="Z292" t="str">
            <v>Senior Professional</v>
          </cell>
          <cell r="AA292" t="str">
            <v>3A</v>
          </cell>
        </row>
        <row r="293">
          <cell r="A293">
            <v>737</v>
          </cell>
          <cell r="B293">
            <v>737</v>
          </cell>
          <cell r="C293" t="str">
            <v>A</v>
          </cell>
          <cell r="D293" t="str">
            <v>Mouza Saeed Al Mheiri</v>
          </cell>
          <cell r="E293" t="str">
            <v>موزة سعيد المهيري</v>
          </cell>
          <cell r="F293">
            <v>41175</v>
          </cell>
          <cell r="G293" t="str">
            <v>47700107</v>
          </cell>
          <cell r="H293" t="str">
            <v>Government Relations Specialist- Abu Dhabi</v>
          </cell>
          <cell r="I293" t="str">
            <v>أخصائي العلاقات الحكومية - أبوظبي</v>
          </cell>
          <cell r="J293" t="str">
            <v>On-Chart</v>
          </cell>
          <cell r="K293" t="str">
            <v>DCT Payroll</v>
          </cell>
          <cell r="L293" t="str">
            <v>A1</v>
          </cell>
          <cell r="M293" t="str">
            <v>Department of Culture and Tourism</v>
          </cell>
          <cell r="N293" t="str">
            <v>Support Services</v>
          </cell>
          <cell r="O293" t="str">
            <v>الخدمات المساندة</v>
          </cell>
          <cell r="P293" t="str">
            <v>People &amp; Performance</v>
          </cell>
          <cell r="Q293" t="str">
            <v>إدارة الكوادر البشرية والأداء</v>
          </cell>
          <cell r="R293" t="str">
            <v>Employee Relations</v>
          </cell>
          <cell r="S293" t="str">
            <v>شؤون الموظفين</v>
          </cell>
          <cell r="T293" t="str">
            <v>Government Relations</v>
          </cell>
          <cell r="U293" t="str">
            <v>العلاقات الحكومية</v>
          </cell>
          <cell r="V293" t="str">
            <v>Abu Dhabi</v>
          </cell>
          <cell r="W293" t="str">
            <v/>
          </cell>
          <cell r="X293" t="str">
            <v>4510220</v>
          </cell>
          <cell r="Y293" t="str">
            <v>People &amp; Performance _Employee Relations _Professional</v>
          </cell>
          <cell r="Z293" t="str">
            <v>Professional</v>
          </cell>
          <cell r="AA293" t="str">
            <v>4B</v>
          </cell>
        </row>
        <row r="294">
          <cell r="A294">
            <v>738</v>
          </cell>
          <cell r="B294">
            <v>738</v>
          </cell>
          <cell r="C294" t="str">
            <v>A</v>
          </cell>
          <cell r="D294" t="str">
            <v>Mohamed Khalifa Khalifa</v>
          </cell>
          <cell r="E294" t="str">
            <v>محمد خليفه خليفه</v>
          </cell>
          <cell r="F294">
            <v>41183</v>
          </cell>
          <cell r="G294" t="str">
            <v>47700736</v>
          </cell>
          <cell r="H294" t="str">
            <v>Building Archaeologist</v>
          </cell>
          <cell r="I294" t="str">
            <v>آثاري مباني</v>
          </cell>
          <cell r="J294" t="str">
            <v>On-Chart</v>
          </cell>
          <cell r="K294" t="str">
            <v>DCT Payroll</v>
          </cell>
          <cell r="L294" t="str">
            <v>A1</v>
          </cell>
          <cell r="M294" t="str">
            <v>Department of Culture and Tourism</v>
          </cell>
          <cell r="N294" t="str">
            <v>Culture</v>
          </cell>
          <cell r="O294" t="str">
            <v>الثقافة</v>
          </cell>
          <cell r="P294" t="str">
            <v>Historic Environment</v>
          </cell>
          <cell r="Q294" t="str">
            <v>البيئة التاريخية</v>
          </cell>
          <cell r="R294" t="str">
            <v>Historic Buildings &amp; Landscapes</v>
          </cell>
          <cell r="S294" t="str">
            <v>المباني والمسطحات التاريخية</v>
          </cell>
          <cell r="T294" t="str">
            <v>Historic Buildings &amp; Landscapes – Al Ain</v>
          </cell>
          <cell r="U294" t="str">
            <v>المباني والمسطحات التاريخية – العين</v>
          </cell>
          <cell r="V294" t="str">
            <v>Al Ain</v>
          </cell>
          <cell r="W294" t="str">
            <v/>
          </cell>
          <cell r="X294" t="str">
            <v>4511300</v>
          </cell>
          <cell r="Y294" t="str">
            <v>Compliance,Governance&amp;Protocol_Policy (Culture/Tourism _Senior Professional</v>
          </cell>
          <cell r="Z294" t="str">
            <v>Senior Professional</v>
          </cell>
          <cell r="AA294" t="str">
            <v>06</v>
          </cell>
        </row>
        <row r="295">
          <cell r="A295">
            <v>743</v>
          </cell>
          <cell r="B295">
            <v>743</v>
          </cell>
          <cell r="C295" t="str">
            <v>A</v>
          </cell>
          <cell r="D295" t="str">
            <v>Afra Saeed Al Mansoori</v>
          </cell>
          <cell r="E295" t="str">
            <v>عفراء سعيد المنصوري</v>
          </cell>
          <cell r="F295">
            <v>41214</v>
          </cell>
          <cell r="G295" t="str">
            <v>47700741</v>
          </cell>
          <cell r="H295" t="str">
            <v>Artisan</v>
          </cell>
          <cell r="I295" t="str">
            <v>حرفي</v>
          </cell>
          <cell r="J295" t="str">
            <v>Off-Chart</v>
          </cell>
          <cell r="K295" t="str">
            <v>DCT Payroll</v>
          </cell>
          <cell r="L295" t="str">
            <v>A1</v>
          </cell>
          <cell r="M295" t="str">
            <v>Department of Culture and Tourism</v>
          </cell>
          <cell r="N295" t="str">
            <v>Culture</v>
          </cell>
          <cell r="O295" t="str">
            <v>الثقافة</v>
          </cell>
          <cell r="P295" t="str">
            <v>Intangible Cultural Heritage</v>
          </cell>
          <cell r="Q295" t="str">
            <v>التراث الثقافي المعنوي</v>
          </cell>
          <cell r="R295" t="str">
            <v>Handicrafts Development</v>
          </cell>
          <cell r="S295" t="str">
            <v>تطوير الحرف اليدوية</v>
          </cell>
          <cell r="T295" t="str">
            <v>Artisans Administration - Al Ain</v>
          </cell>
          <cell r="U295" t="str">
            <v>إدارة الحرفيين - العين</v>
          </cell>
          <cell r="V295" t="str">
            <v>Abu Dhabi</v>
          </cell>
          <cell r="W295" t="str">
            <v/>
          </cell>
          <cell r="X295" t="str">
            <v>4511600</v>
          </cell>
          <cell r="Y295" t="str">
            <v>Content &amp; Care_World Heritage Sites Planning &amp; Monitoring _Professional</v>
          </cell>
          <cell r="Z295" t="str">
            <v>Assistant and Technical Staff</v>
          </cell>
          <cell r="AA295" t="str">
            <v>7A</v>
          </cell>
        </row>
        <row r="296">
          <cell r="A296">
            <v>745</v>
          </cell>
          <cell r="B296">
            <v>745</v>
          </cell>
          <cell r="C296" t="str">
            <v>A</v>
          </cell>
          <cell r="D296" t="str">
            <v>AlYazia Ali Al Mansoori</v>
          </cell>
          <cell r="E296" t="str">
            <v>اليازية علي المنصوري</v>
          </cell>
          <cell r="F296">
            <v>41214</v>
          </cell>
          <cell r="G296" t="str">
            <v>47700743</v>
          </cell>
          <cell r="H296" t="str">
            <v>Artisan</v>
          </cell>
          <cell r="I296" t="str">
            <v>حرفي</v>
          </cell>
          <cell r="J296" t="str">
            <v>Off-Chart</v>
          </cell>
          <cell r="K296" t="str">
            <v>DCT Payroll</v>
          </cell>
          <cell r="L296" t="str">
            <v>A1</v>
          </cell>
          <cell r="M296" t="str">
            <v>Department of Culture and Tourism</v>
          </cell>
          <cell r="N296" t="str">
            <v>Culture</v>
          </cell>
          <cell r="O296" t="str">
            <v>الثقافة</v>
          </cell>
          <cell r="P296" t="str">
            <v>Intangible Cultural Heritage</v>
          </cell>
          <cell r="Q296" t="str">
            <v>التراث الثقافي المعنوي</v>
          </cell>
          <cell r="R296" t="str">
            <v>Handicrafts Development</v>
          </cell>
          <cell r="S296" t="str">
            <v>تطوير الحرف اليدوية</v>
          </cell>
          <cell r="T296" t="str">
            <v>Artisans Administration - Al Ain</v>
          </cell>
          <cell r="U296" t="str">
            <v>إدارة الحرفيين - العين</v>
          </cell>
          <cell r="V296" t="str">
            <v>Al Ain</v>
          </cell>
          <cell r="W296" t="str">
            <v/>
          </cell>
          <cell r="X296" t="str">
            <v>4511600</v>
          </cell>
          <cell r="Y296" t="str">
            <v>Content &amp; Care_World Heritage Sites Planning &amp; Monitoring _Professional</v>
          </cell>
          <cell r="Z296" t="str">
            <v>Professional Assistant</v>
          </cell>
          <cell r="AA296" t="str">
            <v>6A</v>
          </cell>
        </row>
        <row r="297">
          <cell r="A297">
            <v>749</v>
          </cell>
          <cell r="B297">
            <v>749</v>
          </cell>
          <cell r="C297" t="str">
            <v>A</v>
          </cell>
          <cell r="D297" t="str">
            <v>Ghubaisha Hamad Al Hemeiri</v>
          </cell>
          <cell r="E297" t="str">
            <v>غبيشة حمد الحميري</v>
          </cell>
          <cell r="F297">
            <v>41214</v>
          </cell>
          <cell r="G297" t="str">
            <v>47700747</v>
          </cell>
          <cell r="H297" t="str">
            <v>Artisan</v>
          </cell>
          <cell r="I297" t="str">
            <v>حرفي</v>
          </cell>
          <cell r="J297" t="str">
            <v>Off-Chart</v>
          </cell>
          <cell r="K297" t="str">
            <v>DCT Payroll</v>
          </cell>
          <cell r="L297" t="str">
            <v>A1</v>
          </cell>
          <cell r="M297" t="str">
            <v>Department of Culture and Tourism</v>
          </cell>
          <cell r="N297" t="str">
            <v>Culture</v>
          </cell>
          <cell r="O297" t="str">
            <v>الثقافة</v>
          </cell>
          <cell r="P297" t="str">
            <v>Culture Sites Management</v>
          </cell>
          <cell r="Q297" t="str">
            <v>إدارة المواقع الثقافية</v>
          </cell>
          <cell r="R297" t="str">
            <v>House of Artisans</v>
          </cell>
          <cell r="S297" t="str">
            <v>بيت الحرفيين</v>
          </cell>
          <cell r="T297" t="str">
            <v>Artisans Administration</v>
          </cell>
          <cell r="U297" t="str">
            <v>إدارة الحرفيين</v>
          </cell>
          <cell r="V297" t="str">
            <v>Al Ain</v>
          </cell>
          <cell r="W297" t="str">
            <v/>
          </cell>
          <cell r="X297" t="str">
            <v>4511250</v>
          </cell>
          <cell r="Y297" t="str">
            <v>Content &amp; Care_Culture Sites Protection_Assistant &amp; Technical Staff</v>
          </cell>
          <cell r="Z297" t="str">
            <v>Assistant and Technical Staff</v>
          </cell>
          <cell r="AA297" t="str">
            <v>7A</v>
          </cell>
        </row>
        <row r="298">
          <cell r="A298">
            <v>751</v>
          </cell>
          <cell r="B298">
            <v>751</v>
          </cell>
          <cell r="C298" t="str">
            <v>A</v>
          </cell>
          <cell r="D298" t="str">
            <v>Jamela Saeed Mohammed</v>
          </cell>
          <cell r="E298" t="str">
            <v>جميله سعيد محمد</v>
          </cell>
          <cell r="F298">
            <v>41214</v>
          </cell>
          <cell r="G298" t="str">
            <v>47700749</v>
          </cell>
          <cell r="H298" t="str">
            <v>Artisan</v>
          </cell>
          <cell r="I298" t="str">
            <v>حرفي</v>
          </cell>
          <cell r="J298" t="str">
            <v>Off-Chart</v>
          </cell>
          <cell r="K298" t="str">
            <v>DCT Payroll</v>
          </cell>
          <cell r="L298" t="str">
            <v>A1</v>
          </cell>
          <cell r="M298" t="str">
            <v>Department of Culture and Tourism</v>
          </cell>
          <cell r="N298" t="str">
            <v>Culture</v>
          </cell>
          <cell r="O298" t="str">
            <v>الثقافة</v>
          </cell>
          <cell r="P298" t="str">
            <v>Intangible Cultural Heritage</v>
          </cell>
          <cell r="Q298" t="str">
            <v>التراث الثقافي المعنوي</v>
          </cell>
          <cell r="R298" t="str">
            <v>Handicrafts Development</v>
          </cell>
          <cell r="S298" t="str">
            <v>تطوير الحرف اليدوية</v>
          </cell>
          <cell r="T298" t="str">
            <v>Artisans Administration - Al Ain</v>
          </cell>
          <cell r="U298" t="str">
            <v>إدارة الحرفيين - العين</v>
          </cell>
          <cell r="V298" t="str">
            <v>Abu Dhabi</v>
          </cell>
          <cell r="W298" t="str">
            <v/>
          </cell>
          <cell r="X298" t="str">
            <v>4511600</v>
          </cell>
          <cell r="Y298" t="str">
            <v>Content &amp; Care_World Heritage Sites Planning &amp; Monitoring _Professional</v>
          </cell>
          <cell r="Z298" t="str">
            <v>Assistant and Technical Staff</v>
          </cell>
          <cell r="AA298" t="str">
            <v>7A</v>
          </cell>
        </row>
        <row r="299">
          <cell r="A299">
            <v>755</v>
          </cell>
          <cell r="B299">
            <v>755</v>
          </cell>
          <cell r="C299" t="str">
            <v>A</v>
          </cell>
          <cell r="D299" t="str">
            <v>Mohammed Saif Al Kaabi</v>
          </cell>
          <cell r="E299" t="str">
            <v>محمد سيف الكعبي</v>
          </cell>
          <cell r="F299">
            <v>41214</v>
          </cell>
          <cell r="G299" t="str">
            <v>47700753</v>
          </cell>
          <cell r="H299" t="str">
            <v>Artisans Administrator</v>
          </cell>
          <cell r="I299" t="str">
            <v>إداري الحرفيين</v>
          </cell>
          <cell r="J299" t="str">
            <v>On-Chart</v>
          </cell>
          <cell r="K299" t="str">
            <v>DCT Payroll</v>
          </cell>
          <cell r="L299" t="str">
            <v>A1</v>
          </cell>
          <cell r="M299" t="str">
            <v>Department of Culture and Tourism</v>
          </cell>
          <cell r="N299" t="str">
            <v>Culture</v>
          </cell>
          <cell r="O299" t="str">
            <v>الثقافة</v>
          </cell>
          <cell r="P299" t="str">
            <v>Intangible Cultural Heritage</v>
          </cell>
          <cell r="Q299" t="str">
            <v>التراث الثقافي المعنوي</v>
          </cell>
          <cell r="R299" t="str">
            <v>Handicrafts Development</v>
          </cell>
          <cell r="S299" t="str">
            <v>تطوير الحرف اليدوية</v>
          </cell>
          <cell r="T299" t="str">
            <v>Artisans Administration - Al Ain</v>
          </cell>
          <cell r="U299" t="str">
            <v>إدارة الحرفيين - العين</v>
          </cell>
          <cell r="V299" t="str">
            <v>Al Ain</v>
          </cell>
          <cell r="W299" t="str">
            <v/>
          </cell>
          <cell r="X299" t="str">
            <v>4511600</v>
          </cell>
          <cell r="Y299" t="str">
            <v>Content &amp; Care_World Heritage Sites Planning &amp; Monitoring _Professional</v>
          </cell>
          <cell r="Z299" t="str">
            <v>Professional Assistant</v>
          </cell>
          <cell r="AA299" t="str">
            <v>5C</v>
          </cell>
        </row>
        <row r="300">
          <cell r="A300">
            <v>756</v>
          </cell>
          <cell r="B300">
            <v>756</v>
          </cell>
          <cell r="C300" t="str">
            <v>A</v>
          </cell>
          <cell r="D300" t="str">
            <v>Mouza Saeed Al Mehairbi</v>
          </cell>
          <cell r="E300" t="str">
            <v>موزة سعيد المحيربي</v>
          </cell>
          <cell r="F300">
            <v>41214</v>
          </cell>
          <cell r="G300" t="str">
            <v>47700754</v>
          </cell>
          <cell r="H300" t="str">
            <v>Artisan</v>
          </cell>
          <cell r="I300" t="str">
            <v>حرفي</v>
          </cell>
          <cell r="J300" t="str">
            <v>Off-Chart</v>
          </cell>
          <cell r="K300" t="str">
            <v>DCT Payroll</v>
          </cell>
          <cell r="L300" t="str">
            <v>A1</v>
          </cell>
          <cell r="M300" t="str">
            <v>Department of Culture and Tourism</v>
          </cell>
          <cell r="N300" t="str">
            <v>Culture</v>
          </cell>
          <cell r="O300" t="str">
            <v>الثقافة</v>
          </cell>
          <cell r="P300" t="str">
            <v>Intangible Cultural Heritage</v>
          </cell>
          <cell r="Q300" t="str">
            <v>التراث الثقافي المعنوي</v>
          </cell>
          <cell r="R300" t="str">
            <v>Handicrafts Development</v>
          </cell>
          <cell r="S300" t="str">
            <v>تطوير الحرف اليدوية</v>
          </cell>
          <cell r="T300" t="str">
            <v>Artisans Administration - Al Ain</v>
          </cell>
          <cell r="U300" t="str">
            <v>إدارة الحرفيين - العين</v>
          </cell>
          <cell r="V300" t="str">
            <v>Abu Dhabi</v>
          </cell>
          <cell r="W300" t="str">
            <v/>
          </cell>
          <cell r="X300" t="str">
            <v>4511600</v>
          </cell>
          <cell r="Y300" t="str">
            <v>Content &amp; Care_World Heritage Sites Planning &amp; Monitoring _Professional</v>
          </cell>
          <cell r="Z300" t="str">
            <v>Assistant and Technical Staff</v>
          </cell>
          <cell r="AA300" t="str">
            <v>7A</v>
          </cell>
        </row>
        <row r="301">
          <cell r="A301">
            <v>758</v>
          </cell>
          <cell r="B301">
            <v>758</v>
          </cell>
          <cell r="C301" t="str">
            <v>A</v>
          </cell>
          <cell r="D301" t="str">
            <v>Naeema Sultan Al Ketbi</v>
          </cell>
          <cell r="E301" t="str">
            <v>نعيمة سلطان الكتبي</v>
          </cell>
          <cell r="F301">
            <v>41214</v>
          </cell>
          <cell r="G301" t="str">
            <v>47700756</v>
          </cell>
          <cell r="H301" t="str">
            <v>Artisans Administrator</v>
          </cell>
          <cell r="I301" t="str">
            <v>إداري الحرفيين</v>
          </cell>
          <cell r="J301" t="str">
            <v>On-Chart</v>
          </cell>
          <cell r="K301" t="str">
            <v>DCT Payroll</v>
          </cell>
          <cell r="L301" t="str">
            <v>A1</v>
          </cell>
          <cell r="M301" t="str">
            <v>Department of Culture and Tourism</v>
          </cell>
          <cell r="N301" t="str">
            <v>Culture</v>
          </cell>
          <cell r="O301" t="str">
            <v>الثقافة</v>
          </cell>
          <cell r="P301" t="str">
            <v>Culture Sites Management</v>
          </cell>
          <cell r="Q301" t="str">
            <v>إدارة المواقع الثقافية</v>
          </cell>
          <cell r="R301" t="str">
            <v>House of Artisans</v>
          </cell>
          <cell r="S301" t="str">
            <v>بيت الحرفيين</v>
          </cell>
          <cell r="T301" t="str">
            <v>Artisans Administration</v>
          </cell>
          <cell r="U301" t="str">
            <v>إدارة الحرفيين</v>
          </cell>
          <cell r="V301" t="str">
            <v>Abu Dhabi</v>
          </cell>
          <cell r="W301" t="str">
            <v/>
          </cell>
          <cell r="X301" t="str">
            <v>4511250</v>
          </cell>
          <cell r="Y301" t="str">
            <v>Compliance,Governance&amp;Protocol_Policy (Culture/Tourism) _Professional</v>
          </cell>
          <cell r="Z301" t="str">
            <v>Jr. Professional Assistant</v>
          </cell>
          <cell r="AA301" t="str">
            <v>6B</v>
          </cell>
        </row>
        <row r="302">
          <cell r="A302">
            <v>759</v>
          </cell>
          <cell r="B302">
            <v>759</v>
          </cell>
          <cell r="C302" t="str">
            <v>A</v>
          </cell>
          <cell r="D302" t="str">
            <v>Rima Mohammad Abdul Hay</v>
          </cell>
          <cell r="E302" t="str">
            <v>ريما محمد عبدالحي</v>
          </cell>
          <cell r="F302">
            <v>40153</v>
          </cell>
          <cell r="G302" t="str">
            <v>50003560</v>
          </cell>
          <cell r="H302" t="str">
            <v>Legal Operations Section Head</v>
          </cell>
          <cell r="I302" t="str">
            <v>رئيس قسم العمليات القانونية</v>
          </cell>
          <cell r="J302" t="str">
            <v>On-Chart</v>
          </cell>
          <cell r="K302" t="str">
            <v>DCT Payroll</v>
          </cell>
          <cell r="L302" t="str">
            <v>A1</v>
          </cell>
          <cell r="M302" t="str">
            <v>Department of Culture and Tourism</v>
          </cell>
          <cell r="N302" t="str">
            <v>Legal &amp; Government Affairs</v>
          </cell>
          <cell r="O302" t="str">
            <v>مكتب وكيل الدائرة</v>
          </cell>
          <cell r="P302" t="str">
            <v>Legal &amp; Government Affairs</v>
          </cell>
          <cell r="Q302" t="str">
            <v>الشؤون القانونية والحكومية</v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>Abu Dhabi</v>
          </cell>
          <cell r="W302" t="str">
            <v/>
          </cell>
          <cell r="X302" t="str">
            <v>4510160</v>
          </cell>
          <cell r="Y302" t="str">
            <v/>
          </cell>
          <cell r="Z302" t="str">
            <v>Section Manager</v>
          </cell>
          <cell r="AA302" t="str">
            <v>2C</v>
          </cell>
        </row>
        <row r="303">
          <cell r="A303">
            <v>766</v>
          </cell>
          <cell r="B303">
            <v>766</v>
          </cell>
          <cell r="C303" t="str">
            <v>A</v>
          </cell>
          <cell r="D303" t="str">
            <v>Mouza Saeed Al Ameri</v>
          </cell>
          <cell r="E303" t="str">
            <v>موزة سعيد العامري</v>
          </cell>
          <cell r="F303">
            <v>41294</v>
          </cell>
          <cell r="G303" t="str">
            <v>10009728</v>
          </cell>
          <cell r="H303" t="str">
            <v>Children Services Unit Head</v>
          </cell>
          <cell r="I303" t="str">
            <v>رئيس وحدة خدمات الأطفال</v>
          </cell>
          <cell r="J303" t="str">
            <v>On-Chart</v>
          </cell>
          <cell r="K303" t="str">
            <v>DCT Payroll</v>
          </cell>
          <cell r="L303" t="str">
            <v>A1</v>
          </cell>
          <cell r="M303" t="str">
            <v>Department of Culture and Tourism</v>
          </cell>
          <cell r="N303" t="str">
            <v>Culture</v>
          </cell>
          <cell r="O303" t="str">
            <v>الثقافة</v>
          </cell>
          <cell r="P303" t="str">
            <v>Library Management</v>
          </cell>
          <cell r="Q303" t="str">
            <v>إدارة المكتبات</v>
          </cell>
          <cell r="R303" t="str">
            <v>Zayed Central Library - Al Ain</v>
          </cell>
          <cell r="S303" t="str">
            <v>مكتبة زايد المركزية - العين</v>
          </cell>
          <cell r="T303" t="str">
            <v>Children Services</v>
          </cell>
          <cell r="U303" t="str">
            <v>خدمات الأطفال</v>
          </cell>
          <cell r="V303" t="str">
            <v>Abu Dhabi</v>
          </cell>
          <cell r="W303" t="str">
            <v/>
          </cell>
          <cell r="X303" t="str">
            <v>4516100</v>
          </cell>
          <cell r="Y303" t="str">
            <v>Operations_Library Operational Management_Unit Head</v>
          </cell>
          <cell r="Z303" t="str">
            <v>Unit Head</v>
          </cell>
          <cell r="AA303" t="str">
            <v>3A</v>
          </cell>
        </row>
        <row r="304">
          <cell r="A304">
            <v>767</v>
          </cell>
          <cell r="B304">
            <v>767</v>
          </cell>
          <cell r="C304" t="str">
            <v>A</v>
          </cell>
          <cell r="D304" t="str">
            <v>Ali Saeed Al-Dhaheri</v>
          </cell>
          <cell r="E304" t="str">
            <v>علي سعيد الظاهري</v>
          </cell>
          <cell r="F304">
            <v>41322</v>
          </cell>
          <cell r="G304" t="str">
            <v>47700765</v>
          </cell>
          <cell r="H304" t="str">
            <v>Ceremonial Guard</v>
          </cell>
          <cell r="I304" t="str">
            <v>حارس تشريفات</v>
          </cell>
          <cell r="J304" t="str">
            <v>Off-Chart</v>
          </cell>
          <cell r="K304" t="str">
            <v>DCT Payroll</v>
          </cell>
          <cell r="L304" t="str">
            <v>A1</v>
          </cell>
          <cell r="M304" t="str">
            <v>Department of Culture and Tourism</v>
          </cell>
          <cell r="N304" t="str">
            <v>Culture</v>
          </cell>
          <cell r="O304" t="str">
            <v>الثقافة</v>
          </cell>
          <cell r="P304" t="str">
            <v>Culture Sites Management</v>
          </cell>
          <cell r="Q304" t="str">
            <v>إدارة المواقع الثقافية</v>
          </cell>
          <cell r="R304" t="str">
            <v>Al Ain Historical Sites</v>
          </cell>
          <cell r="S304" t="str">
            <v>مواقع العين التاريخية</v>
          </cell>
          <cell r="T304" t="str">
            <v>Al Ain Palace Museum</v>
          </cell>
          <cell r="U304" t="str">
            <v>متحف قصر العين</v>
          </cell>
          <cell r="V304" t="str">
            <v>Al Ain</v>
          </cell>
          <cell r="W304" t="str">
            <v/>
          </cell>
          <cell r="X304" t="str">
            <v>4511250</v>
          </cell>
          <cell r="Y304" t="str">
            <v>Content &amp; Care_Culture Sites Protection_Assistant &amp; Technical Staff</v>
          </cell>
          <cell r="Z304" t="str">
            <v>Assistant and Technical Staff</v>
          </cell>
          <cell r="AA304" t="str">
            <v>7B</v>
          </cell>
        </row>
        <row r="305">
          <cell r="A305">
            <v>768</v>
          </cell>
          <cell r="B305">
            <v>768</v>
          </cell>
          <cell r="C305" t="str">
            <v>A</v>
          </cell>
          <cell r="D305" t="str">
            <v>Hiba Mohamed AlNaqbi</v>
          </cell>
          <cell r="E305" t="str">
            <v>هبة محمد النقبي</v>
          </cell>
          <cell r="F305">
            <v>41374</v>
          </cell>
          <cell r="G305" t="str">
            <v>10009615</v>
          </cell>
          <cell r="H305" t="str">
            <v>Library Senior Specialist</v>
          </cell>
          <cell r="I305" t="str">
            <v>أخصائي أول شؤون المكتبة</v>
          </cell>
          <cell r="J305" t="str">
            <v>On-Chart</v>
          </cell>
          <cell r="K305" t="str">
            <v>DCT Payroll</v>
          </cell>
          <cell r="L305" t="str">
            <v>A1</v>
          </cell>
          <cell r="M305" t="str">
            <v>Department of Culture and Tourism</v>
          </cell>
          <cell r="N305" t="str">
            <v>Culture</v>
          </cell>
          <cell r="O305" t="str">
            <v>الثقافة</v>
          </cell>
          <cell r="P305" t="str">
            <v>Library Management</v>
          </cell>
          <cell r="Q305" t="str">
            <v>إدارة المكتبات</v>
          </cell>
          <cell r="R305" t="str">
            <v>Branches Library</v>
          </cell>
          <cell r="S305" t="str">
            <v>فروع المكتبات</v>
          </cell>
          <cell r="T305" t="str">
            <v>Al Wathba Library</v>
          </cell>
          <cell r="U305" t="str">
            <v>مكتبة الوثبة</v>
          </cell>
          <cell r="V305" t="str">
            <v>Abu Dhabi</v>
          </cell>
          <cell r="W305" t="str">
            <v/>
          </cell>
          <cell r="X305" t="str">
            <v>4516100</v>
          </cell>
          <cell r="Y305" t="str">
            <v>Operations_Library Operational Management_Senior Professional</v>
          </cell>
          <cell r="Z305" t="str">
            <v>Senior Professional</v>
          </cell>
          <cell r="AA305" t="str">
            <v>3A</v>
          </cell>
        </row>
        <row r="306">
          <cell r="A306">
            <v>769</v>
          </cell>
          <cell r="B306">
            <v>769</v>
          </cell>
          <cell r="C306" t="str">
            <v>A</v>
          </cell>
          <cell r="D306" t="str">
            <v>Fatima Yahya AlAmeri</v>
          </cell>
          <cell r="E306" t="str">
            <v>فاطمة يحيى العامري</v>
          </cell>
          <cell r="F306">
            <v>41378</v>
          </cell>
          <cell r="G306" t="str">
            <v>47700767</v>
          </cell>
          <cell r="H306" t="str">
            <v>Library Officer</v>
          </cell>
          <cell r="I306" t="str">
            <v>ضابط شؤون المكتبة</v>
          </cell>
          <cell r="J306" t="str">
            <v>On-Chart</v>
          </cell>
          <cell r="K306" t="str">
            <v>DCT Payroll</v>
          </cell>
          <cell r="L306" t="str">
            <v>A1</v>
          </cell>
          <cell r="M306" t="str">
            <v>Department of Culture and Tourism</v>
          </cell>
          <cell r="N306" t="str">
            <v>Culture</v>
          </cell>
          <cell r="O306" t="str">
            <v>الثقافة</v>
          </cell>
          <cell r="P306" t="str">
            <v>Library Management</v>
          </cell>
          <cell r="Q306" t="str">
            <v>إدارة المكتبات</v>
          </cell>
          <cell r="R306" t="str">
            <v>Branches Library</v>
          </cell>
          <cell r="S306" t="str">
            <v>فروع المكتبات</v>
          </cell>
          <cell r="T306" t="str">
            <v>Sheikh Khalifa Library</v>
          </cell>
          <cell r="U306" t="str">
            <v>مكتبة الشيخ خليفة</v>
          </cell>
          <cell r="V306" t="str">
            <v>Abu Dhabi</v>
          </cell>
          <cell r="W306" t="str">
            <v/>
          </cell>
          <cell r="X306" t="str">
            <v>4516100</v>
          </cell>
          <cell r="Y306" t="str">
            <v>Interpretation &amp; Engagement_Library Service Delivery (Librarian)_Professional</v>
          </cell>
          <cell r="Z306" t="str">
            <v>Professional</v>
          </cell>
          <cell r="AA306" t="str">
            <v>4A</v>
          </cell>
        </row>
        <row r="307">
          <cell r="A307">
            <v>770</v>
          </cell>
          <cell r="B307">
            <v>770</v>
          </cell>
          <cell r="C307" t="str">
            <v>A</v>
          </cell>
          <cell r="D307" t="str">
            <v>Fakhera Salem AlKaabi</v>
          </cell>
          <cell r="E307" t="str">
            <v>فاخرة سالم الكعبي</v>
          </cell>
          <cell r="F307">
            <v>41380</v>
          </cell>
          <cell r="G307" t="str">
            <v>10005332</v>
          </cell>
          <cell r="H307" t="str">
            <v>Programming Senior Specialist</v>
          </cell>
          <cell r="I307" t="str">
            <v>أخصائي أول البرامج</v>
          </cell>
          <cell r="J307" t="str">
            <v>On-Chart</v>
          </cell>
          <cell r="K307" t="str">
            <v>DCT Payroll</v>
          </cell>
          <cell r="L307" t="str">
            <v>A1</v>
          </cell>
          <cell r="M307" t="str">
            <v>Department of Culture and Tourism</v>
          </cell>
          <cell r="N307" t="str">
            <v>Culture</v>
          </cell>
          <cell r="O307" t="str">
            <v>الثقافة</v>
          </cell>
          <cell r="P307" t="str">
            <v>Culture Sites Management</v>
          </cell>
          <cell r="Q307" t="str">
            <v>إدارة المواقع الثقافية</v>
          </cell>
          <cell r="R307" t="str">
            <v>Programming &amp; Public Engagement</v>
          </cell>
          <cell r="S307" t="str">
            <v>البرامج والمشاركة المجتمعية</v>
          </cell>
          <cell r="T307" t="str">
            <v>Programming</v>
          </cell>
          <cell r="U307" t="str">
            <v>البرامج</v>
          </cell>
          <cell r="V307" t="str">
            <v>Al Ain</v>
          </cell>
          <cell r="W307" t="str">
            <v/>
          </cell>
          <cell r="X307" t="str">
            <v>4511250</v>
          </cell>
          <cell r="Y307" t="str">
            <v>Compliance,Governance&amp;Protocol_Policy (Culture/Tourism _Senior Professional</v>
          </cell>
          <cell r="Z307" t="str">
            <v>Senior Professional</v>
          </cell>
          <cell r="AA307" t="str">
            <v>3A</v>
          </cell>
        </row>
        <row r="308">
          <cell r="A308">
            <v>771</v>
          </cell>
          <cell r="B308">
            <v>771</v>
          </cell>
          <cell r="C308" t="str">
            <v>A</v>
          </cell>
          <cell r="D308" t="str">
            <v>Juma Mohammed AlDhaheri</v>
          </cell>
          <cell r="E308" t="str">
            <v>جمعة محمد الظاهري</v>
          </cell>
          <cell r="F308">
            <v>41381</v>
          </cell>
          <cell r="G308" t="str">
            <v>50001081</v>
          </cell>
          <cell r="H308" t="str">
            <v>Specialized Library Department Director</v>
          </cell>
          <cell r="I308" t="str">
            <v>مدير إدارة المكتبات المتخصصة</v>
          </cell>
          <cell r="J308" t="str">
            <v>On-Chart</v>
          </cell>
          <cell r="K308" t="str">
            <v>ALC Direct Hires</v>
          </cell>
          <cell r="L308" t="str">
            <v>AL1</v>
          </cell>
          <cell r="M308" t="str">
            <v>Abu Dhabi Arabic Language Centre</v>
          </cell>
          <cell r="N308" t="str">
            <v>Abu Dhabi Arabic Language Centre</v>
          </cell>
          <cell r="O308" t="str">
            <v>مركز أبوظبي للغة العربية</v>
          </cell>
          <cell r="P308" t="str">
            <v>Specialized Library</v>
          </cell>
          <cell r="Q308" t="str">
            <v>المكتبات المتخصصة</v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>Abu Dhabi</v>
          </cell>
          <cell r="W308" t="str">
            <v/>
          </cell>
          <cell r="X308" t="str">
            <v>4519202</v>
          </cell>
          <cell r="Y308" t="str">
            <v>Interpretation &amp; Engagement_Library Service Delivery Department _Director</v>
          </cell>
          <cell r="Z308" t="str">
            <v>Director</v>
          </cell>
          <cell r="AA308" t="str">
            <v>1A</v>
          </cell>
        </row>
        <row r="309">
          <cell r="A309">
            <v>772</v>
          </cell>
          <cell r="B309">
            <v>772</v>
          </cell>
          <cell r="C309" t="str">
            <v>A</v>
          </cell>
          <cell r="D309" t="str">
            <v>Mamoun Ahmad Al Sharaa</v>
          </cell>
          <cell r="E309" t="str">
            <v>مأمون أحمد الشرع</v>
          </cell>
          <cell r="F309">
            <v>41382</v>
          </cell>
          <cell r="G309" t="str">
            <v>47700770</v>
          </cell>
          <cell r="H309" t="str">
            <v>Editorial Project Manager</v>
          </cell>
          <cell r="I309" t="str">
            <v>مدير مشروع التحرير</v>
          </cell>
          <cell r="J309" t="str">
            <v>On-Chart</v>
          </cell>
          <cell r="K309" t="str">
            <v>ALC Direct Hires</v>
          </cell>
          <cell r="L309" t="str">
            <v>AL1</v>
          </cell>
          <cell r="M309" t="str">
            <v>Abu Dhabi Arabic Language Centre</v>
          </cell>
          <cell r="N309" t="str">
            <v>Abu Dhabi Arabic Language Centre</v>
          </cell>
          <cell r="O309" t="str">
            <v>مركز أبوظبي للغة العربية</v>
          </cell>
          <cell r="P309" t="str">
            <v>Creative Content</v>
          </cell>
          <cell r="Q309" t="str">
            <v>المحتوى الإبداعي</v>
          </cell>
          <cell r="R309" t="str">
            <v>Publishing Programmes - ALC</v>
          </cell>
          <cell r="S309" t="str">
            <v>برامج النشر</v>
          </cell>
          <cell r="T309" t="str">
            <v/>
          </cell>
          <cell r="U309" t="str">
            <v/>
          </cell>
          <cell r="V309" t="str">
            <v>Abu Dhabi</v>
          </cell>
          <cell r="W309" t="str">
            <v/>
          </cell>
          <cell r="X309" t="str">
            <v>4519199</v>
          </cell>
          <cell r="Y309" t="str">
            <v>Interpretation &amp; Engagement_Arabic Language Research &amp; Studies _Unit Head</v>
          </cell>
          <cell r="Z309" t="str">
            <v>Unit Head</v>
          </cell>
          <cell r="AA309" t="str">
            <v>3A</v>
          </cell>
        </row>
        <row r="310">
          <cell r="A310">
            <v>773</v>
          </cell>
          <cell r="B310">
            <v>773</v>
          </cell>
          <cell r="C310" t="str">
            <v>A</v>
          </cell>
          <cell r="D310" t="str">
            <v>Fatima Mazaal AlZaabi</v>
          </cell>
          <cell r="E310" t="str">
            <v>فاطمة مزعل الزعابي</v>
          </cell>
          <cell r="F310">
            <v>41385</v>
          </cell>
          <cell r="G310" t="str">
            <v>50003986</v>
          </cell>
          <cell r="H310" t="str">
            <v>Accounts Payables Assistant Accountant</v>
          </cell>
          <cell r="I310" t="str">
            <v/>
          </cell>
          <cell r="J310" t="str">
            <v>On-Chart</v>
          </cell>
          <cell r="K310" t="str">
            <v>DCT Payroll</v>
          </cell>
          <cell r="L310" t="str">
            <v>A1</v>
          </cell>
          <cell r="M310" t="str">
            <v>Department of Culture and Tourism</v>
          </cell>
          <cell r="N310" t="str">
            <v>Support Services</v>
          </cell>
          <cell r="O310" t="str">
            <v>الخدمات المساندة</v>
          </cell>
          <cell r="P310" t="str">
            <v>Finance</v>
          </cell>
          <cell r="Q310" t="str">
            <v>إدارة المالية</v>
          </cell>
          <cell r="R310" t="str">
            <v>Payables Operations</v>
          </cell>
          <cell r="S310" t="str">
            <v>عمليات الحسابات الدائنة</v>
          </cell>
          <cell r="T310" t="str">
            <v>Accounts Payables</v>
          </cell>
          <cell r="U310" t="str">
            <v>حسابات دائنة</v>
          </cell>
          <cell r="V310" t="str">
            <v>Abu Dhabi</v>
          </cell>
          <cell r="W310" t="str">
            <v/>
          </cell>
          <cell r="X310" t="str">
            <v>4510210</v>
          </cell>
          <cell r="Y310" t="str">
            <v>Finance_Accountant _Professional Assistant</v>
          </cell>
          <cell r="Z310" t="str">
            <v>Professional Assistant</v>
          </cell>
          <cell r="AA310" t="str">
            <v>5C</v>
          </cell>
        </row>
        <row r="311">
          <cell r="A311">
            <v>774</v>
          </cell>
          <cell r="B311">
            <v>774</v>
          </cell>
          <cell r="C311" t="str">
            <v>A</v>
          </cell>
          <cell r="D311" t="str">
            <v>Faisal Ahmed Al Khemairi</v>
          </cell>
          <cell r="E311" t="str">
            <v>فيصل أحمد الخميري</v>
          </cell>
          <cell r="F311">
            <v>41395</v>
          </cell>
          <cell r="G311" t="str">
            <v>10005989</v>
          </cell>
          <cell r="H311" t="str">
            <v>Heritage Music Teacher</v>
          </cell>
          <cell r="I311" t="str">
            <v>مدرس الموسيقى التراثية</v>
          </cell>
          <cell r="J311" t="str">
            <v>On-Chart</v>
          </cell>
          <cell r="K311" t="str">
            <v>DCT Payroll</v>
          </cell>
          <cell r="L311" t="str">
            <v>A1</v>
          </cell>
          <cell r="M311" t="str">
            <v>Department of Culture and Tourism</v>
          </cell>
          <cell r="N311" t="str">
            <v>Culture</v>
          </cell>
          <cell r="O311" t="str">
            <v>الثقافة</v>
          </cell>
          <cell r="P311" t="str">
            <v>Culture Sites Management</v>
          </cell>
          <cell r="Q311" t="str">
            <v>إدارة المواقع الثقافية</v>
          </cell>
          <cell r="R311" t="str">
            <v>Bait Al Oud</v>
          </cell>
          <cell r="S311" t="str">
            <v>بيت العود</v>
          </cell>
          <cell r="T311" t="str">
            <v>Academic &amp; Performances</v>
          </cell>
          <cell r="U311" t="str">
            <v>تعليم العود والأداء</v>
          </cell>
          <cell r="V311" t="str">
            <v>Abu Dhabi</v>
          </cell>
          <cell r="W311" t="str">
            <v/>
          </cell>
          <cell r="X311" t="str">
            <v>4511250</v>
          </cell>
          <cell r="Y311" t="str">
            <v>Compliance,Governance&amp;Protocol_Policy (Culture/Tourism _Senior Professional</v>
          </cell>
          <cell r="Z311" t="str">
            <v>Senior Professional</v>
          </cell>
          <cell r="AA311" t="str">
            <v>3C</v>
          </cell>
        </row>
        <row r="312">
          <cell r="A312">
            <v>776</v>
          </cell>
          <cell r="B312">
            <v>776</v>
          </cell>
          <cell r="C312" t="str">
            <v>A</v>
          </cell>
          <cell r="D312" t="str">
            <v>Waleed Saeed ALSaeedi</v>
          </cell>
          <cell r="E312" t="str">
            <v>وليد سعيد السعيدي</v>
          </cell>
          <cell r="F312">
            <v>41399</v>
          </cell>
          <cell r="G312" t="str">
            <v>47700774</v>
          </cell>
          <cell r="H312" t="str">
            <v>Special Projects Director</v>
          </cell>
          <cell r="I312" t="str">
            <v>مدير المشاريع الخاصة</v>
          </cell>
          <cell r="J312" t="str">
            <v>On-Chart</v>
          </cell>
          <cell r="K312" t="str">
            <v>DCT Payroll</v>
          </cell>
          <cell r="L312" t="str">
            <v>A1</v>
          </cell>
          <cell r="M312" t="str">
            <v>Department of Culture and Tourism</v>
          </cell>
          <cell r="N312" t="str">
            <v>Office Of Undersecretary</v>
          </cell>
          <cell r="O312" t="str">
            <v>مكتب وكيل الدائرة</v>
          </cell>
          <cell r="P312" t="str">
            <v>Office Of Undersecretary</v>
          </cell>
          <cell r="Q312" t="str">
            <v>مكتب وكيل الدائرة</v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>Abu Dhabi</v>
          </cell>
          <cell r="W312" t="str">
            <v/>
          </cell>
          <cell r="X312" t="str">
            <v>4510110</v>
          </cell>
          <cell r="Y312" t="str">
            <v>Executive Management _Planning &amp; Projects _Director</v>
          </cell>
          <cell r="Z312" t="str">
            <v>Director</v>
          </cell>
          <cell r="AA312" t="str">
            <v>1A</v>
          </cell>
        </row>
        <row r="313">
          <cell r="A313">
            <v>777</v>
          </cell>
          <cell r="B313">
            <v>777</v>
          </cell>
          <cell r="C313" t="str">
            <v>A</v>
          </cell>
          <cell r="D313" t="str">
            <v>Hamda Mohammed AlShamsi</v>
          </cell>
          <cell r="E313" t="str">
            <v>حمده محمد الشامسي</v>
          </cell>
          <cell r="F313">
            <v>41420</v>
          </cell>
          <cell r="G313" t="str">
            <v>10010031</v>
          </cell>
          <cell r="H313" t="str">
            <v>Senior Researcher</v>
          </cell>
          <cell r="I313" t="str">
            <v>باحث أول</v>
          </cell>
          <cell r="J313" t="str">
            <v>On-Chart</v>
          </cell>
          <cell r="K313" t="str">
            <v>DCT Payroll</v>
          </cell>
          <cell r="L313" t="str">
            <v>A1</v>
          </cell>
          <cell r="M313" t="str">
            <v>Department of Culture and Tourism</v>
          </cell>
          <cell r="N313" t="str">
            <v>Culture</v>
          </cell>
          <cell r="O313" t="str">
            <v>الثقافة</v>
          </cell>
          <cell r="P313" t="str">
            <v>Intangible Cultural Heritage</v>
          </cell>
          <cell r="Q313" t="str">
            <v>التراث الثقافي المعنوي</v>
          </cell>
          <cell r="R313" t="str">
            <v>ICH Research &amp; Documentation</v>
          </cell>
          <cell r="S313" t="str">
            <v>بحوث وتوثيق التراث الثقافي المعنوي</v>
          </cell>
          <cell r="T313" t="str">
            <v>ICH Research</v>
          </cell>
          <cell r="U313" t="str">
            <v>بحوث التراث الثقافي المعنوي</v>
          </cell>
          <cell r="V313" t="str">
            <v>Al Ain</v>
          </cell>
          <cell r="W313" t="str">
            <v/>
          </cell>
          <cell r="X313" t="str">
            <v>4511600</v>
          </cell>
          <cell r="Y313" t="str">
            <v>Content &amp; Care_World Heritage Sites Planning &amp; Monitoring_Senior Professional</v>
          </cell>
          <cell r="Z313" t="str">
            <v>Senior Professional</v>
          </cell>
          <cell r="AA313" t="str">
            <v>3A</v>
          </cell>
        </row>
        <row r="314">
          <cell r="A314">
            <v>778</v>
          </cell>
          <cell r="B314">
            <v>778</v>
          </cell>
          <cell r="C314" t="str">
            <v>A</v>
          </cell>
          <cell r="D314" t="str">
            <v>Ahmed Mohammed AlBlooshi</v>
          </cell>
          <cell r="E314" t="str">
            <v>أحمد محمد البلوشي</v>
          </cell>
          <cell r="F314">
            <v>41443</v>
          </cell>
          <cell r="G314" t="str">
            <v>10009568</v>
          </cell>
          <cell r="H314" t="str">
            <v>Ranger Supervisor</v>
          </cell>
          <cell r="I314" t="str">
            <v>مشرف مراقبة المواقع الثقافية</v>
          </cell>
          <cell r="J314" t="str">
            <v>On-Chart</v>
          </cell>
          <cell r="K314" t="str">
            <v>DCT Payroll</v>
          </cell>
          <cell r="L314" t="str">
            <v>A1</v>
          </cell>
          <cell r="M314" t="str">
            <v>Department of Culture and Tourism</v>
          </cell>
          <cell r="N314" t="str">
            <v>Culture</v>
          </cell>
          <cell r="O314" t="str">
            <v>الثقافة</v>
          </cell>
          <cell r="P314" t="str">
            <v>Historic Environment</v>
          </cell>
          <cell r="Q314" t="str">
            <v>البيئة التاريخية</v>
          </cell>
          <cell r="R314" t="str">
            <v>Historic Buildings &amp; Landscapes</v>
          </cell>
          <cell r="S314" t="str">
            <v>المباني والمسطحات التاريخية</v>
          </cell>
          <cell r="T314" t="str">
            <v>Culture Sites Protection</v>
          </cell>
          <cell r="U314" t="str">
            <v>حماية المواقع الثقافية</v>
          </cell>
          <cell r="V314" t="str">
            <v>Al Ain</v>
          </cell>
          <cell r="W314" t="str">
            <v/>
          </cell>
          <cell r="X314" t="str">
            <v>4511300</v>
          </cell>
          <cell r="Y314" t="str">
            <v>Compliance,Governance&amp;Protocol_Policy (Culture/Tourism) _Professional</v>
          </cell>
          <cell r="Z314" t="str">
            <v>Professional</v>
          </cell>
          <cell r="AA314" t="str">
            <v>4A</v>
          </cell>
        </row>
        <row r="315">
          <cell r="A315">
            <v>783</v>
          </cell>
          <cell r="B315">
            <v>783</v>
          </cell>
          <cell r="C315" t="str">
            <v>A</v>
          </cell>
          <cell r="D315" t="str">
            <v>Ruqaya Abdulla Almazrouei</v>
          </cell>
          <cell r="E315" t="str">
            <v>رقية عبد الله المزروعي</v>
          </cell>
          <cell r="F315">
            <v>41518</v>
          </cell>
          <cell r="G315" t="str">
            <v>10006594</v>
          </cell>
          <cell r="H315" t="str">
            <v>Tour Guides Training &amp; Licensing Senior Specialist</v>
          </cell>
          <cell r="I315" t="str">
            <v>أخصائي أول تدريب وترخيص المرشدين السياحيين</v>
          </cell>
          <cell r="J315" t="str">
            <v>On-Chart</v>
          </cell>
          <cell r="K315" t="str">
            <v>DCT Payroll</v>
          </cell>
          <cell r="L315" t="str">
            <v>A1</v>
          </cell>
          <cell r="M315" t="str">
            <v>Department of Culture and Tourism</v>
          </cell>
          <cell r="N315" t="str">
            <v>Tourism</v>
          </cell>
          <cell r="O315" t="str">
            <v>السياحة</v>
          </cell>
          <cell r="P315" t="str">
            <v>Licensing &amp; Regulatory Compliance</v>
          </cell>
          <cell r="Q315" t="str">
            <v>الرقابة والترخيص</v>
          </cell>
          <cell r="R315" t="str">
            <v>Licensing</v>
          </cell>
          <cell r="S315" t="str">
            <v>الترخيص</v>
          </cell>
          <cell r="T315" t="str">
            <v>Tour Guides Training &amp; Licensing</v>
          </cell>
          <cell r="U315" t="str">
            <v/>
          </cell>
          <cell r="V315" t="str">
            <v>Abu Dhabi</v>
          </cell>
          <cell r="W315" t="str">
            <v/>
          </cell>
          <cell r="X315" t="str">
            <v>4510170</v>
          </cell>
          <cell r="Y315" t="str">
            <v>Information Technology_People &amp; Performance Systems Specialist_Professional</v>
          </cell>
          <cell r="Z315" t="str">
            <v>Senior Professional</v>
          </cell>
          <cell r="AA315" t="str">
            <v>3A</v>
          </cell>
        </row>
        <row r="316">
          <cell r="A316">
            <v>784</v>
          </cell>
          <cell r="B316">
            <v>784</v>
          </cell>
          <cell r="C316" t="str">
            <v>A</v>
          </cell>
          <cell r="D316" t="str">
            <v>Mohamed Sultan AlZaabi</v>
          </cell>
          <cell r="E316" t="str">
            <v>محمد سلطان الزعابي</v>
          </cell>
          <cell r="F316">
            <v>41520</v>
          </cell>
          <cell r="G316" t="str">
            <v>10010029</v>
          </cell>
          <cell r="H316" t="str">
            <v>Educational Programs Lead</v>
          </cell>
          <cell r="I316" t="str">
            <v>أخصائي رئيسي البرامج التعليمية</v>
          </cell>
          <cell r="J316" t="str">
            <v>On-Chart</v>
          </cell>
          <cell r="K316" t="str">
            <v>DCT Payroll</v>
          </cell>
          <cell r="L316" t="str">
            <v>A1</v>
          </cell>
          <cell r="M316" t="str">
            <v>Department of Culture and Tourism</v>
          </cell>
          <cell r="N316" t="str">
            <v>Tourism</v>
          </cell>
          <cell r="O316" t="str">
            <v>السياحة</v>
          </cell>
          <cell r="P316" t="str">
            <v>International Operations</v>
          </cell>
          <cell r="Q316" t="str">
            <v>العمليات الدولية</v>
          </cell>
          <cell r="R316" t="str">
            <v>FAM Trips &amp; Educational Programs</v>
          </cell>
          <cell r="S316" t="str">
            <v>الرحلات الترفيهية والبرامج التعليمية</v>
          </cell>
          <cell r="T316" t="str">
            <v>Educational Programs</v>
          </cell>
          <cell r="U316" t="str">
            <v>البرامج التعليمية</v>
          </cell>
          <cell r="V316" t="str">
            <v>Abu Dhabi</v>
          </cell>
          <cell r="W316" t="str">
            <v/>
          </cell>
          <cell r="X316" t="str">
            <v>4515100</v>
          </cell>
          <cell r="Y316" t="str">
            <v>Compliance,Governance&amp;Protocol_Policy  (Culture &amp; Tourism)_Unit Head</v>
          </cell>
          <cell r="Z316" t="str">
            <v>Unit Head</v>
          </cell>
          <cell r="AA316" t="str">
            <v>3A</v>
          </cell>
        </row>
        <row r="317">
          <cell r="A317">
            <v>786</v>
          </cell>
          <cell r="B317">
            <v>786</v>
          </cell>
          <cell r="C317" t="str">
            <v>A</v>
          </cell>
          <cell r="D317" t="str">
            <v>Aysha Sghayer Aldhaheri</v>
          </cell>
          <cell r="E317" t="str">
            <v>عائشة صغير الظاهري</v>
          </cell>
          <cell r="F317">
            <v>41532</v>
          </cell>
          <cell r="G317" t="str">
            <v>10004207</v>
          </cell>
          <cell r="H317" t="str">
            <v>Artisans Capacity Building Programmes Unit Head</v>
          </cell>
          <cell r="I317" t="str">
            <v>رئيس وحدة برامج تطوير قدرات الحرفيين</v>
          </cell>
          <cell r="J317" t="str">
            <v>On-Chart</v>
          </cell>
          <cell r="K317" t="str">
            <v>DCT Payroll</v>
          </cell>
          <cell r="L317" t="str">
            <v>A1</v>
          </cell>
          <cell r="M317" t="str">
            <v>Department of Culture and Tourism</v>
          </cell>
          <cell r="N317" t="str">
            <v>Culture</v>
          </cell>
          <cell r="O317" t="str">
            <v>الثقافة</v>
          </cell>
          <cell r="P317" t="str">
            <v>Intangible Cultural Heritage</v>
          </cell>
          <cell r="Q317" t="str">
            <v>التراث الثقافي المعنوي</v>
          </cell>
          <cell r="R317" t="str">
            <v>Handicrafts Development</v>
          </cell>
          <cell r="S317" t="str">
            <v>تطوير الحرف اليدوية</v>
          </cell>
          <cell r="T317" t="str">
            <v>Artisans Capacity Building Programmes</v>
          </cell>
          <cell r="U317" t="str">
            <v>تطوير قدرات الحرفيين</v>
          </cell>
          <cell r="V317" t="str">
            <v>Al Ain</v>
          </cell>
          <cell r="W317" t="str">
            <v/>
          </cell>
          <cell r="X317" t="str">
            <v>4511600</v>
          </cell>
          <cell r="Y317" t="str">
            <v>Content &amp; Care_World Heritage Planning &amp; Monitoring _Unit Head</v>
          </cell>
          <cell r="Z317" t="str">
            <v>Unit Head</v>
          </cell>
          <cell r="AA317" t="str">
            <v>3A</v>
          </cell>
        </row>
        <row r="318">
          <cell r="A318">
            <v>787</v>
          </cell>
          <cell r="B318">
            <v>787</v>
          </cell>
          <cell r="C318" t="str">
            <v>A</v>
          </cell>
          <cell r="D318" t="str">
            <v>Khulood Saleh Alameri</v>
          </cell>
          <cell r="E318" t="str">
            <v>خلود صالح العامري</v>
          </cell>
          <cell r="F318">
            <v>41532</v>
          </cell>
          <cell r="G318" t="str">
            <v>10004209</v>
          </cell>
          <cell r="H318" t="str">
            <v>Library Senior Specialist</v>
          </cell>
          <cell r="I318" t="str">
            <v>أخصائي أول شؤون المكتبة</v>
          </cell>
          <cell r="J318" t="str">
            <v>On-Chart</v>
          </cell>
          <cell r="K318" t="str">
            <v>DCT Payroll</v>
          </cell>
          <cell r="L318" t="str">
            <v>A1</v>
          </cell>
          <cell r="M318" t="str">
            <v>Department of Culture and Tourism</v>
          </cell>
          <cell r="N318" t="str">
            <v>Culture</v>
          </cell>
          <cell r="O318" t="str">
            <v>الثقافة</v>
          </cell>
          <cell r="P318" t="str">
            <v>Library Management</v>
          </cell>
          <cell r="Q318" t="str">
            <v>إدارة المكتبات</v>
          </cell>
          <cell r="R318" t="str">
            <v>Branches Library</v>
          </cell>
          <cell r="S318" t="str">
            <v>فروع المكتبات</v>
          </cell>
          <cell r="T318" t="str">
            <v>Sheikh Khalifa Library</v>
          </cell>
          <cell r="U318" t="str">
            <v>مكتبة الشيخ خليفة</v>
          </cell>
          <cell r="V318" t="str">
            <v>Abu Dhabi</v>
          </cell>
          <cell r="W318" t="str">
            <v/>
          </cell>
          <cell r="X318" t="str">
            <v>4516100</v>
          </cell>
          <cell r="Y318" t="str">
            <v>Operations_Library Operational Management_Senior Professional</v>
          </cell>
          <cell r="Z318" t="str">
            <v>Senior Professional</v>
          </cell>
          <cell r="AA318" t="str">
            <v>3A</v>
          </cell>
        </row>
        <row r="319">
          <cell r="A319">
            <v>788</v>
          </cell>
          <cell r="B319">
            <v>788</v>
          </cell>
          <cell r="C319" t="str">
            <v>A</v>
          </cell>
          <cell r="D319" t="str">
            <v>Dalal Eidha Alameri</v>
          </cell>
          <cell r="E319" t="str">
            <v>دلال عيظة العامري</v>
          </cell>
          <cell r="F319">
            <v>41532</v>
          </cell>
          <cell r="G319" t="str">
            <v>10004211</v>
          </cell>
          <cell r="H319" t="str">
            <v>Library Officer</v>
          </cell>
          <cell r="I319" t="str">
            <v>ضابط شؤون المكتبة</v>
          </cell>
          <cell r="J319" t="str">
            <v>On-Chart</v>
          </cell>
          <cell r="K319" t="str">
            <v>DCT Payroll</v>
          </cell>
          <cell r="L319" t="str">
            <v>A1</v>
          </cell>
          <cell r="M319" t="str">
            <v>Department of Culture and Tourism</v>
          </cell>
          <cell r="N319" t="str">
            <v>Culture</v>
          </cell>
          <cell r="O319" t="str">
            <v>الثقافة</v>
          </cell>
          <cell r="P319" t="str">
            <v>Library Management</v>
          </cell>
          <cell r="Q319" t="str">
            <v>إدارة المكتبات</v>
          </cell>
          <cell r="R319" t="str">
            <v>Branches Library</v>
          </cell>
          <cell r="S319" t="str">
            <v>فروع المكتبات</v>
          </cell>
          <cell r="T319" t="str">
            <v>Al Bahia Library</v>
          </cell>
          <cell r="U319" t="str">
            <v>مكتبة الباهية</v>
          </cell>
          <cell r="V319" t="str">
            <v>Abu Dhabi</v>
          </cell>
          <cell r="W319" t="str">
            <v/>
          </cell>
          <cell r="X319" t="str">
            <v>4516100</v>
          </cell>
          <cell r="Y319" t="str">
            <v>Interpretation &amp; Engagement_Library Service Delivery (Librarian)_Professional</v>
          </cell>
          <cell r="Z319" t="str">
            <v>Professional</v>
          </cell>
          <cell r="AA319" t="str">
            <v>4A</v>
          </cell>
        </row>
        <row r="320">
          <cell r="A320">
            <v>789</v>
          </cell>
          <cell r="B320">
            <v>789</v>
          </cell>
          <cell r="C320" t="str">
            <v>A</v>
          </cell>
          <cell r="D320" t="str">
            <v>Mariam Ali Al Hammadi</v>
          </cell>
          <cell r="E320" t="str">
            <v>مريم علي الحمادي</v>
          </cell>
          <cell r="F320">
            <v>41532</v>
          </cell>
          <cell r="G320" t="str">
            <v>10004212</v>
          </cell>
          <cell r="H320" t="str">
            <v>Library Senior Specialist</v>
          </cell>
          <cell r="I320" t="str">
            <v>أخصائي أول شؤون المكتبة</v>
          </cell>
          <cell r="J320" t="str">
            <v>On-Chart</v>
          </cell>
          <cell r="K320" t="str">
            <v>DCT Payroll</v>
          </cell>
          <cell r="L320" t="str">
            <v>A1</v>
          </cell>
          <cell r="M320" t="str">
            <v>Department of Culture and Tourism</v>
          </cell>
          <cell r="N320" t="str">
            <v>Culture</v>
          </cell>
          <cell r="O320" t="str">
            <v>الثقافة</v>
          </cell>
          <cell r="P320" t="str">
            <v>Library Management</v>
          </cell>
          <cell r="Q320" t="str">
            <v>إدارة المكتبات</v>
          </cell>
          <cell r="R320" t="str">
            <v>Branches Library</v>
          </cell>
          <cell r="S320" t="str">
            <v>فروع المكتبات</v>
          </cell>
          <cell r="T320" t="str">
            <v>Al Marfaa Library</v>
          </cell>
          <cell r="U320" t="str">
            <v>مكتبة المرفى</v>
          </cell>
          <cell r="V320" t="str">
            <v>Abu Dhabi</v>
          </cell>
          <cell r="W320" t="str">
            <v/>
          </cell>
          <cell r="X320" t="str">
            <v>4516100</v>
          </cell>
          <cell r="Y320" t="str">
            <v>Operations_Library Operational Management_Senior Professional</v>
          </cell>
          <cell r="Z320" t="str">
            <v>Senior Professional</v>
          </cell>
          <cell r="AA320" t="str">
            <v>3A</v>
          </cell>
        </row>
        <row r="321">
          <cell r="A321">
            <v>791</v>
          </cell>
          <cell r="B321">
            <v>791</v>
          </cell>
          <cell r="C321" t="str">
            <v>A</v>
          </cell>
          <cell r="D321" t="str">
            <v>Muna Shaiban AlMheiri</v>
          </cell>
          <cell r="E321" t="str">
            <v>منى شيبان المهيري</v>
          </cell>
          <cell r="F321">
            <v>41532</v>
          </cell>
          <cell r="G321" t="str">
            <v>50004266</v>
          </cell>
          <cell r="H321" t="str">
            <v>Community Outreach Senior Specialist</v>
          </cell>
          <cell r="I321" t="str">
            <v>أخصائي أول التوعية المجتمعية</v>
          </cell>
          <cell r="J321" t="str">
            <v>On-Chart</v>
          </cell>
          <cell r="K321" t="str">
            <v>DCT Payroll</v>
          </cell>
          <cell r="L321" t="str">
            <v>A1</v>
          </cell>
          <cell r="M321" t="str">
            <v>Department of Culture and Tourism</v>
          </cell>
          <cell r="N321" t="str">
            <v>Culture</v>
          </cell>
          <cell r="O321" t="str">
            <v>الثقافة</v>
          </cell>
          <cell r="P321" t="str">
            <v>Culture Sites Management</v>
          </cell>
          <cell r="Q321" t="str">
            <v>إدارة المواقع الثقافية</v>
          </cell>
          <cell r="R321" t="str">
            <v>Al Ain Community Centers</v>
          </cell>
          <cell r="S321" t="str">
            <v>مراكز العين المجتمعية</v>
          </cell>
          <cell r="T321" t="str">
            <v>Al Qattara Arts Centre</v>
          </cell>
          <cell r="U321" t="str">
            <v>مركز القطارة للفنون</v>
          </cell>
          <cell r="V321" t="str">
            <v>Al Ain</v>
          </cell>
          <cell r="W321" t="str">
            <v/>
          </cell>
          <cell r="X321" t="str">
            <v>4511250</v>
          </cell>
          <cell r="Y321" t="str">
            <v>Compliance,Governance&amp;Protocol_Policy (Culture/Tourism _Senior Professional</v>
          </cell>
          <cell r="Z321" t="str">
            <v>Senior Professional</v>
          </cell>
          <cell r="AA321" t="str">
            <v>3C</v>
          </cell>
        </row>
        <row r="322">
          <cell r="A322">
            <v>792</v>
          </cell>
          <cell r="B322">
            <v>792</v>
          </cell>
          <cell r="C322" t="str">
            <v>A</v>
          </cell>
          <cell r="D322" t="str">
            <v>Aysha Slayem Aljneibi</v>
          </cell>
          <cell r="E322" t="str">
            <v>عائشة سليم الجنيبي</v>
          </cell>
          <cell r="F322">
            <v>41539</v>
          </cell>
          <cell r="G322" t="str">
            <v>50003796</v>
          </cell>
          <cell r="H322" t="str">
            <v>Litigation &amp; Government Affairs Unit Head</v>
          </cell>
          <cell r="I322" t="str">
            <v>رئيس وحدة التقاضي والشؤون الحكومية</v>
          </cell>
          <cell r="J322" t="str">
            <v>On-Chart</v>
          </cell>
          <cell r="K322" t="str">
            <v>DCT Payroll</v>
          </cell>
          <cell r="L322" t="str">
            <v>A1</v>
          </cell>
          <cell r="M322" t="str">
            <v>Department of Culture and Tourism</v>
          </cell>
          <cell r="N322" t="str">
            <v>Legal &amp; Government Affairs</v>
          </cell>
          <cell r="O322" t="str">
            <v>مكتب وكيل الدائرة</v>
          </cell>
          <cell r="P322" t="str">
            <v>Legal &amp; Government Affairs</v>
          </cell>
          <cell r="Q322" t="str">
            <v>الشؤون القانونية والحكومية</v>
          </cell>
          <cell r="R322" t="str">
            <v>Legislation, Litigation &amp; Government Affairs</v>
          </cell>
          <cell r="S322" t="str">
            <v>التشريعات والتقاضي والشؤون الحكومية</v>
          </cell>
          <cell r="T322" t="str">
            <v>Legislations</v>
          </cell>
          <cell r="U322" t="str">
            <v/>
          </cell>
          <cell r="V322" t="str">
            <v>Abu Dhabi</v>
          </cell>
          <cell r="W322" t="str">
            <v/>
          </cell>
          <cell r="X322" t="str">
            <v>4510160</v>
          </cell>
          <cell r="Y322" t="str">
            <v>Legal _Legal Counsel_Unit Head</v>
          </cell>
          <cell r="Z322" t="str">
            <v>Unit Head</v>
          </cell>
          <cell r="AA322" t="str">
            <v>3A</v>
          </cell>
        </row>
        <row r="323">
          <cell r="A323">
            <v>793</v>
          </cell>
          <cell r="B323">
            <v>793</v>
          </cell>
          <cell r="C323" t="str">
            <v>A</v>
          </cell>
          <cell r="D323" t="str">
            <v>Sara Abdulla Al Hammadi</v>
          </cell>
          <cell r="E323" t="str">
            <v>سارة   عبد الله الحمادي</v>
          </cell>
          <cell r="F323">
            <v>41539</v>
          </cell>
          <cell r="G323" t="str">
            <v>10009500</v>
          </cell>
          <cell r="H323" t="str">
            <v>Al Marfaa Library Librarian</v>
          </cell>
          <cell r="I323" t="str">
            <v>أمين مكتبة المرفأ</v>
          </cell>
          <cell r="J323" t="str">
            <v>On-Chart</v>
          </cell>
          <cell r="K323" t="str">
            <v>DCT Payroll</v>
          </cell>
          <cell r="L323" t="str">
            <v>A1</v>
          </cell>
          <cell r="M323" t="str">
            <v>Department of Culture and Tourism</v>
          </cell>
          <cell r="N323" t="str">
            <v>Culture</v>
          </cell>
          <cell r="O323" t="str">
            <v>الثقافة</v>
          </cell>
          <cell r="P323" t="str">
            <v>Library Management</v>
          </cell>
          <cell r="Q323" t="str">
            <v>إدارة المكتبات</v>
          </cell>
          <cell r="R323" t="str">
            <v>Branches Library</v>
          </cell>
          <cell r="S323" t="str">
            <v>فروع المكتبات</v>
          </cell>
          <cell r="T323" t="str">
            <v>Al Marfaa Library</v>
          </cell>
          <cell r="U323" t="str">
            <v>مكتبة المرفى</v>
          </cell>
          <cell r="V323" t="str">
            <v>Abu Dhabi</v>
          </cell>
          <cell r="W323" t="str">
            <v/>
          </cell>
          <cell r="X323" t="str">
            <v>4516100</v>
          </cell>
          <cell r="Y323" t="str">
            <v>Operations_Library Operational Management_Unit Head</v>
          </cell>
          <cell r="Z323" t="str">
            <v>Unit Head</v>
          </cell>
          <cell r="AA323" t="str">
            <v>3A</v>
          </cell>
        </row>
        <row r="324">
          <cell r="A324">
            <v>796</v>
          </cell>
          <cell r="B324">
            <v>796</v>
          </cell>
          <cell r="C324" t="str">
            <v>A</v>
          </cell>
          <cell r="D324" t="str">
            <v>Shamma Ali Alshamsi</v>
          </cell>
          <cell r="E324" t="str">
            <v>شما علي الشامسي</v>
          </cell>
          <cell r="F324">
            <v>41541</v>
          </cell>
          <cell r="G324" t="str">
            <v>50001730</v>
          </cell>
          <cell r="H324" t="str">
            <v>ICH Activations &amp; Operations Senior Specialist</v>
          </cell>
          <cell r="I324" t="str">
            <v>اخصائي أول عمليات وتفعيل التراث الثقافي المعنوي</v>
          </cell>
          <cell r="J324" t="str">
            <v>On-Chart</v>
          </cell>
          <cell r="K324" t="str">
            <v>DCT Payroll</v>
          </cell>
          <cell r="L324" t="str">
            <v>A1</v>
          </cell>
          <cell r="M324" t="str">
            <v>Department of Culture and Tourism</v>
          </cell>
          <cell r="N324" t="str">
            <v>Culture</v>
          </cell>
          <cell r="O324" t="str">
            <v>الثقافة</v>
          </cell>
          <cell r="P324" t="str">
            <v>Intangible Cultural Heritage</v>
          </cell>
          <cell r="Q324" t="str">
            <v>التراث الثقافي المعنوي</v>
          </cell>
          <cell r="R324" t="str">
            <v>ICH Interpretation &amp; Public Engagement</v>
          </cell>
          <cell r="S324" t="str">
            <v>تطوير محتوى التراث الثقافي المعنوي والمشاركة المجتمعية</v>
          </cell>
          <cell r="T324" t="str">
            <v>ICH Activations &amp; Operations</v>
          </cell>
          <cell r="U324" t="str">
            <v>أنشطة وعمليات التراث الثقافي المعنوي</v>
          </cell>
          <cell r="V324" t="str">
            <v>Abu Dhabi</v>
          </cell>
          <cell r="W324" t="str">
            <v/>
          </cell>
          <cell r="X324" t="str">
            <v>4511600</v>
          </cell>
          <cell r="Y324" t="str">
            <v>Content &amp; Care_World Heritage Sites Planning &amp; Monitoring_Senior Professional</v>
          </cell>
          <cell r="Z324" t="str">
            <v>Senior Professional</v>
          </cell>
          <cell r="AA324" t="str">
            <v>3A</v>
          </cell>
        </row>
        <row r="325">
          <cell r="A325">
            <v>797</v>
          </cell>
          <cell r="B325">
            <v>797</v>
          </cell>
          <cell r="C325" t="str">
            <v>A</v>
          </cell>
          <cell r="D325" t="str">
            <v>Abdulla Husain Almarzooqi</v>
          </cell>
          <cell r="E325" t="str">
            <v>عبد الله حسين المرزوقي</v>
          </cell>
          <cell r="F325">
            <v>41546</v>
          </cell>
          <cell r="G325" t="str">
            <v>10009498</v>
          </cell>
          <cell r="H325" t="str">
            <v>Sheikh Khalifa Library Librarian</v>
          </cell>
          <cell r="I325" t="str">
            <v>أمين مكتبة الشيخ خليفة</v>
          </cell>
          <cell r="J325" t="str">
            <v>On-Chart</v>
          </cell>
          <cell r="K325" t="str">
            <v>DCT Payroll</v>
          </cell>
          <cell r="L325" t="str">
            <v>A1</v>
          </cell>
          <cell r="M325" t="str">
            <v>Department of Culture and Tourism</v>
          </cell>
          <cell r="N325" t="str">
            <v>Culture</v>
          </cell>
          <cell r="O325" t="str">
            <v>الثقافة</v>
          </cell>
          <cell r="P325" t="str">
            <v>Library Management</v>
          </cell>
          <cell r="Q325" t="str">
            <v>إدارة المكتبات</v>
          </cell>
          <cell r="R325" t="str">
            <v>Branches Library</v>
          </cell>
          <cell r="S325" t="str">
            <v>فروع المكتبات</v>
          </cell>
          <cell r="T325" t="str">
            <v>Sheikh Khalifa Library</v>
          </cell>
          <cell r="U325" t="str">
            <v>مكتبة الشيخ خليفة</v>
          </cell>
          <cell r="V325" t="str">
            <v>Abu Dhabi</v>
          </cell>
          <cell r="W325" t="str">
            <v/>
          </cell>
          <cell r="X325" t="str">
            <v>4516100</v>
          </cell>
          <cell r="Y325" t="str">
            <v>Operations_Library Operational Management_Unit Head</v>
          </cell>
          <cell r="Z325" t="str">
            <v>Unit Head</v>
          </cell>
          <cell r="AA325" t="str">
            <v>3A</v>
          </cell>
        </row>
        <row r="326">
          <cell r="A326">
            <v>798</v>
          </cell>
          <cell r="B326">
            <v>798</v>
          </cell>
          <cell r="C326" t="str">
            <v>A</v>
          </cell>
          <cell r="D326" t="str">
            <v>Sara Ibrahim Alghunaim</v>
          </cell>
          <cell r="E326" t="str">
            <v>ساره إبراهيم الغنيم</v>
          </cell>
          <cell r="F326">
            <v>41541</v>
          </cell>
          <cell r="G326" t="str">
            <v>10011215</v>
          </cell>
          <cell r="H326" t="str">
            <v>Strategy Section Head</v>
          </cell>
          <cell r="I326" t="str">
            <v>رئيس قسم الاستراتيجية</v>
          </cell>
          <cell r="J326" t="str">
            <v>On-Chart</v>
          </cell>
          <cell r="K326" t="str">
            <v>MSS Direct Hires</v>
          </cell>
          <cell r="L326" t="str">
            <v>M1</v>
          </cell>
          <cell r="M326" t="str">
            <v>Department of Culture and Tourism</v>
          </cell>
          <cell r="N326" t="str">
            <v>Zayed National Museum</v>
          </cell>
          <cell r="O326" t="str">
            <v>متحف زايد الوطني</v>
          </cell>
          <cell r="P326" t="str">
            <v>Director’s Office</v>
          </cell>
          <cell r="Q326" t="str">
            <v>مكتب مدير المتحف</v>
          </cell>
          <cell r="R326" t="str">
            <v>Strategy</v>
          </cell>
          <cell r="S326" t="str">
            <v>الاستراتيجية</v>
          </cell>
          <cell r="T326" t="str">
            <v/>
          </cell>
          <cell r="U326" t="str">
            <v/>
          </cell>
          <cell r="V326" t="str">
            <v>Abu Dhabi</v>
          </cell>
          <cell r="W326" t="str">
            <v/>
          </cell>
          <cell r="X326" t="str">
            <v>4510180</v>
          </cell>
          <cell r="Y326" t="str">
            <v>Strategy, Planning, Project Mgt_Business Excellence &amp; Foresight Planning _Section Head</v>
          </cell>
          <cell r="Z326" t="str">
            <v>Section Manager</v>
          </cell>
          <cell r="AA326" t="str">
            <v>2A</v>
          </cell>
        </row>
        <row r="327">
          <cell r="A327">
            <v>799</v>
          </cell>
          <cell r="B327">
            <v>799</v>
          </cell>
          <cell r="C327" t="str">
            <v>A</v>
          </cell>
          <cell r="D327" t="str">
            <v>Suaad Abdulla Nasser</v>
          </cell>
          <cell r="E327" t="str">
            <v>سعاد عبد الله ناصر</v>
          </cell>
          <cell r="F327">
            <v>41553</v>
          </cell>
          <cell r="G327" t="str">
            <v>10004303</v>
          </cell>
          <cell r="H327" t="str">
            <v>Acquisition Specialist</v>
          </cell>
          <cell r="I327" t="str">
            <v>أخصائي تزويد</v>
          </cell>
          <cell r="J327" t="str">
            <v>On-Chart</v>
          </cell>
          <cell r="K327" t="str">
            <v>DCT Payroll</v>
          </cell>
          <cell r="L327" t="str">
            <v>A1</v>
          </cell>
          <cell r="M327" t="str">
            <v>Department of Culture and Tourism</v>
          </cell>
          <cell r="N327" t="str">
            <v>Culture</v>
          </cell>
          <cell r="O327" t="str">
            <v>الثقافة</v>
          </cell>
          <cell r="P327" t="str">
            <v>Library Management</v>
          </cell>
          <cell r="Q327" t="str">
            <v>إدارة المكتبات</v>
          </cell>
          <cell r="R327" t="str">
            <v>Technical Services</v>
          </cell>
          <cell r="S327" t="str">
            <v>الخدمات الفنية</v>
          </cell>
          <cell r="T327" t="str">
            <v>Acquisition</v>
          </cell>
          <cell r="U327" t="str">
            <v>التزويد</v>
          </cell>
          <cell r="V327" t="str">
            <v>Abu Dhabi</v>
          </cell>
          <cell r="W327" t="str">
            <v/>
          </cell>
          <cell r="X327" t="str">
            <v>4516100</v>
          </cell>
          <cell r="Y327" t="str">
            <v>Interpretation &amp; Engagement_Library Service Delivery (Librarian)_Professional</v>
          </cell>
          <cell r="Z327" t="str">
            <v>Professional</v>
          </cell>
          <cell r="AA327" t="str">
            <v>4A</v>
          </cell>
        </row>
        <row r="328">
          <cell r="A328">
            <v>800</v>
          </cell>
          <cell r="B328">
            <v>800</v>
          </cell>
          <cell r="C328" t="str">
            <v>A</v>
          </cell>
          <cell r="D328" t="str">
            <v>Ahmed Eissa Alzaabi</v>
          </cell>
          <cell r="E328" t="str">
            <v>أحمد عيسى الزعابي</v>
          </cell>
          <cell r="F328">
            <v>41568</v>
          </cell>
          <cell r="G328" t="str">
            <v>10005105</v>
          </cell>
          <cell r="H328" t="str">
            <v>Sector Environment Health &amp; Safety Executive</v>
          </cell>
          <cell r="I328" t="str">
            <v>تنفيذي البيئة والصحة والسلامة للقطاعات</v>
          </cell>
          <cell r="J328" t="str">
            <v>On-Chart</v>
          </cell>
          <cell r="K328" t="str">
            <v>DCT Payroll</v>
          </cell>
          <cell r="L328" t="str">
            <v>A1</v>
          </cell>
          <cell r="M328" t="str">
            <v>Department of Culture and Tourism</v>
          </cell>
          <cell r="N328" t="str">
            <v>Tourism</v>
          </cell>
          <cell r="O328" t="str">
            <v>السياحة</v>
          </cell>
          <cell r="P328" t="str">
            <v>Licensing &amp; Regulatory Compliance</v>
          </cell>
          <cell r="Q328" t="str">
            <v>الرقابة والترخيص</v>
          </cell>
          <cell r="R328" t="str">
            <v>Environment, Health &amp; Safety</v>
          </cell>
          <cell r="S328" t="str">
            <v>البيئة والصحة والسلامة</v>
          </cell>
          <cell r="T328" t="str">
            <v>Sector Environment, Health &amp; Safety</v>
          </cell>
          <cell r="U328" t="str">
            <v>البيئة والصحة والسلامة للقطاعات</v>
          </cell>
          <cell r="V328" t="str">
            <v>Abu Dhabi</v>
          </cell>
          <cell r="W328" t="str">
            <v/>
          </cell>
          <cell r="X328" t="str">
            <v>4510170</v>
          </cell>
          <cell r="Y328" t="str">
            <v>Compliance,Governance&amp;Protocol_Licensing &amp; Regulatory Compliance- (Follow-up and Reporting) _Professional Assistant</v>
          </cell>
          <cell r="Z328" t="str">
            <v>Professional</v>
          </cell>
          <cell r="AA328" t="str">
            <v>4A</v>
          </cell>
        </row>
        <row r="329">
          <cell r="A329">
            <v>801</v>
          </cell>
          <cell r="B329">
            <v>801</v>
          </cell>
          <cell r="C329" t="str">
            <v>A</v>
          </cell>
          <cell r="D329" t="str">
            <v>Shamma Ali Alsheraifi</v>
          </cell>
          <cell r="E329" t="str">
            <v>شما علي الشريفي</v>
          </cell>
          <cell r="F329">
            <v>41568</v>
          </cell>
          <cell r="G329" t="str">
            <v>50002090</v>
          </cell>
          <cell r="H329" t="str">
            <v>Employee Relations Senior Specialist</v>
          </cell>
          <cell r="I329" t="str">
            <v>أخصائي أول شؤون الموظفين</v>
          </cell>
          <cell r="J329" t="str">
            <v>On-Chart</v>
          </cell>
          <cell r="K329" t="str">
            <v>DCT Payroll</v>
          </cell>
          <cell r="L329" t="str">
            <v>A1</v>
          </cell>
          <cell r="M329" t="str">
            <v>Department of Culture and Tourism</v>
          </cell>
          <cell r="N329" t="str">
            <v>Support Services</v>
          </cell>
          <cell r="O329" t="str">
            <v>الخدمات المساندة</v>
          </cell>
          <cell r="P329" t="str">
            <v>People &amp; Performance</v>
          </cell>
          <cell r="Q329" t="str">
            <v>إدارة الكوادر البشرية والأداء</v>
          </cell>
          <cell r="R329" t="str">
            <v>Employee Relations</v>
          </cell>
          <cell r="S329" t="str">
            <v>شؤون الموظفين</v>
          </cell>
          <cell r="T329" t="str">
            <v>Employee Relations</v>
          </cell>
          <cell r="U329" t="str">
            <v>شؤون الموظفين</v>
          </cell>
          <cell r="V329" t="str">
            <v>Abu Dhabi</v>
          </cell>
          <cell r="W329" t="str">
            <v/>
          </cell>
          <cell r="X329" t="str">
            <v>4510220</v>
          </cell>
          <cell r="Y329" t="str">
            <v>People &amp; Performance _Employee Relations_Senior Professional</v>
          </cell>
          <cell r="Z329" t="str">
            <v>Senior Professional</v>
          </cell>
          <cell r="AA329" t="str">
            <v>3B</v>
          </cell>
        </row>
        <row r="330">
          <cell r="A330">
            <v>804</v>
          </cell>
          <cell r="B330">
            <v>804</v>
          </cell>
          <cell r="C330" t="str">
            <v>A</v>
          </cell>
          <cell r="D330" t="str">
            <v>Mariam Musa Mohammad</v>
          </cell>
          <cell r="E330" t="str">
            <v>مريم موسى محمد</v>
          </cell>
          <cell r="F330">
            <v>41582</v>
          </cell>
          <cell r="G330" t="str">
            <v>47700686</v>
          </cell>
          <cell r="H330" t="str">
            <v>Publishing Senior Specialist</v>
          </cell>
          <cell r="I330" t="str">
            <v>أخصائي أول النشر</v>
          </cell>
          <cell r="J330" t="str">
            <v>On-Chart</v>
          </cell>
          <cell r="K330" t="str">
            <v>DCT Payroll</v>
          </cell>
          <cell r="L330" t="str">
            <v>A1</v>
          </cell>
          <cell r="M330" t="str">
            <v>Department of Culture and Tourism</v>
          </cell>
          <cell r="N330" t="str">
            <v>Culture</v>
          </cell>
          <cell r="O330" t="str">
            <v>الثقافة</v>
          </cell>
          <cell r="P330" t="str">
            <v>Scientific, Curatorial and Collection Department</v>
          </cell>
          <cell r="Q330" t="str">
            <v>إدارة البحث العلمي والمقتنيات</v>
          </cell>
          <cell r="R330" t="str">
            <v>Publishing &amp; Digitization</v>
          </cell>
          <cell r="S330" t="str">
            <v>النشر ورقمنة المحتوى</v>
          </cell>
          <cell r="T330" t="str">
            <v/>
          </cell>
          <cell r="U330" t="str">
            <v/>
          </cell>
          <cell r="V330" t="str">
            <v>Abu Dhabi</v>
          </cell>
          <cell r="W330" t="str">
            <v/>
          </cell>
          <cell r="X330" t="str">
            <v>4511150</v>
          </cell>
          <cell r="Y330" t="str">
            <v>Compliance,Governance&amp;Protocol_Policy (Culture/Tourism _Senior Professional</v>
          </cell>
          <cell r="Z330" t="str">
            <v>Senior Professional</v>
          </cell>
          <cell r="AA330" t="str">
            <v>3B</v>
          </cell>
        </row>
        <row r="331">
          <cell r="A331">
            <v>808</v>
          </cell>
          <cell r="B331">
            <v>808</v>
          </cell>
          <cell r="C331" t="str">
            <v>A</v>
          </cell>
          <cell r="D331" t="str">
            <v>Hayat Abdelrahman Al Hosani</v>
          </cell>
          <cell r="E331" t="str">
            <v>حياة عبد الرحمن الحوسني</v>
          </cell>
          <cell r="F331">
            <v>41602</v>
          </cell>
          <cell r="G331" t="str">
            <v>50003108</v>
          </cell>
          <cell r="H331" t="str">
            <v>Inspector</v>
          </cell>
          <cell r="I331" t="str">
            <v>مفتش</v>
          </cell>
          <cell r="J331" t="str">
            <v>On-Chart</v>
          </cell>
          <cell r="K331" t="str">
            <v>DCT Payroll</v>
          </cell>
          <cell r="L331" t="str">
            <v>A1</v>
          </cell>
          <cell r="M331" t="str">
            <v>Department of Culture and Tourism</v>
          </cell>
          <cell r="N331" t="str">
            <v>Tourism</v>
          </cell>
          <cell r="O331" t="str">
            <v>السياحة</v>
          </cell>
          <cell r="P331" t="str">
            <v>Licensing &amp; Regulatory Compliance</v>
          </cell>
          <cell r="Q331" t="str">
            <v>الرقابة والترخيص</v>
          </cell>
          <cell r="R331" t="str">
            <v>Abu Dhabi Inspection</v>
          </cell>
          <cell r="S331" t="str">
            <v>التفتيش</v>
          </cell>
          <cell r="T331" t="str">
            <v>Inspection Unit (Day Events)</v>
          </cell>
          <cell r="U331" t="str">
            <v>(التفتيش لأبوظبي (الفعاليات النهارية</v>
          </cell>
          <cell r="V331" t="str">
            <v>Abu Dhabi</v>
          </cell>
          <cell r="W331" t="str">
            <v/>
          </cell>
          <cell r="X331" t="str">
            <v>4510170</v>
          </cell>
          <cell r="Y331" t="str">
            <v>Compliance,Governance&amp;Protocol_Licensing &amp; Regulatory Compliance- (Follow-up and Reporting) _Professional Assistant</v>
          </cell>
          <cell r="Z331" t="str">
            <v>Professional</v>
          </cell>
          <cell r="AA331" t="str">
            <v>4C</v>
          </cell>
        </row>
        <row r="332">
          <cell r="A332">
            <v>810</v>
          </cell>
          <cell r="B332">
            <v>810</v>
          </cell>
          <cell r="C332" t="str">
            <v>A</v>
          </cell>
          <cell r="D332" t="str">
            <v>Mohammed Belal Al Dhaheri</v>
          </cell>
          <cell r="E332" t="str">
            <v>محمد بلال الظاهري</v>
          </cell>
          <cell r="F332">
            <v>41611</v>
          </cell>
          <cell r="G332" t="str">
            <v>10009730</v>
          </cell>
          <cell r="H332" t="str">
            <v>Public Engagement Unit Head</v>
          </cell>
          <cell r="I332" t="str">
            <v>رئيس وحدة المشاركة المجتمعية</v>
          </cell>
          <cell r="J332" t="str">
            <v>On-Chart</v>
          </cell>
          <cell r="K332" t="str">
            <v>DCT Payroll</v>
          </cell>
          <cell r="L332" t="str">
            <v>A1</v>
          </cell>
          <cell r="M332" t="str">
            <v>Department of Culture and Tourism</v>
          </cell>
          <cell r="N332" t="str">
            <v>Culture</v>
          </cell>
          <cell r="O332" t="str">
            <v>الثقافة</v>
          </cell>
          <cell r="P332" t="str">
            <v>Library Management</v>
          </cell>
          <cell r="Q332" t="str">
            <v>إدارة المكتبات</v>
          </cell>
          <cell r="R332" t="str">
            <v>Zayed Central Library - Al Ain</v>
          </cell>
          <cell r="S332" t="str">
            <v>مكتبة زايد المركزية - العين</v>
          </cell>
          <cell r="T332" t="str">
            <v>Public Engagement</v>
          </cell>
          <cell r="U332" t="str">
            <v>المشاركة المجتمعية</v>
          </cell>
          <cell r="V332" t="str">
            <v>Abu Dhabi</v>
          </cell>
          <cell r="W332" t="str">
            <v/>
          </cell>
          <cell r="X332" t="str">
            <v>4516100</v>
          </cell>
          <cell r="Y332" t="str">
            <v>Operations_Library Operational Management_Unit Head</v>
          </cell>
          <cell r="Z332" t="str">
            <v>Unit Head</v>
          </cell>
          <cell r="AA332" t="str">
            <v>3A</v>
          </cell>
        </row>
        <row r="333">
          <cell r="A333">
            <v>812</v>
          </cell>
          <cell r="B333">
            <v>812</v>
          </cell>
          <cell r="C333" t="str">
            <v>A</v>
          </cell>
          <cell r="D333" t="str">
            <v>Hourya Mohamed Laarabi</v>
          </cell>
          <cell r="E333" t="str">
            <v>حورية محمد العريبي</v>
          </cell>
          <cell r="F333">
            <v>41616</v>
          </cell>
          <cell r="G333" t="str">
            <v>50002041</v>
          </cell>
          <cell r="H333" t="str">
            <v>Stakeholder Engagement Unit Head</v>
          </cell>
          <cell r="I333" t="str">
            <v>رئيس وحدو إشراك أصحاب المصلحة</v>
          </cell>
          <cell r="J333" t="str">
            <v>On-Chart</v>
          </cell>
          <cell r="K333" t="str">
            <v>DCT Payroll</v>
          </cell>
          <cell r="L333" t="str">
            <v>A1</v>
          </cell>
          <cell r="M333" t="str">
            <v>Department of Culture and Tourism</v>
          </cell>
          <cell r="N333" t="str">
            <v>Tourism</v>
          </cell>
          <cell r="O333" t="str">
            <v>السياحة</v>
          </cell>
          <cell r="P333" t="str">
            <v>Tourism Sector Management Office</v>
          </cell>
          <cell r="Q333" t="str">
            <v>مكتب إدارة شؤون قطاع السياحة</v>
          </cell>
          <cell r="R333" t="str">
            <v>Stakeholder Engagement</v>
          </cell>
          <cell r="S333" t="str">
            <v>إشراك أصحاب المصلحة</v>
          </cell>
          <cell r="T333" t="str">
            <v>Stakeholder Engagement Unit</v>
          </cell>
          <cell r="U333" t="str">
            <v>وحدة إشراك أصحاب المصلحة</v>
          </cell>
          <cell r="V333" t="str">
            <v>Abu Dhabi</v>
          </cell>
          <cell r="W333" t="str">
            <v/>
          </cell>
          <cell r="X333" t="str">
            <v>4515010</v>
          </cell>
          <cell r="Y333" t="str">
            <v>Senior Specialization Marketing &amp; Communications</v>
          </cell>
          <cell r="Z333" t="str">
            <v>Unit Head</v>
          </cell>
          <cell r="AA333" t="str">
            <v>3A</v>
          </cell>
        </row>
        <row r="334">
          <cell r="A334">
            <v>818</v>
          </cell>
          <cell r="B334">
            <v>818</v>
          </cell>
          <cell r="C334" t="str">
            <v>A</v>
          </cell>
          <cell r="D334" t="str">
            <v>Mohamed Salem Alhammadi</v>
          </cell>
          <cell r="E334" t="str">
            <v>محمد سالم الحمادي</v>
          </cell>
          <cell r="F334">
            <v>41630</v>
          </cell>
          <cell r="G334" t="str">
            <v>10004333</v>
          </cell>
          <cell r="H334" t="str">
            <v>Library Senior Specialist</v>
          </cell>
          <cell r="I334" t="str">
            <v>أخصائي أول شؤون المكتبة</v>
          </cell>
          <cell r="J334" t="str">
            <v>On-Chart</v>
          </cell>
          <cell r="K334" t="str">
            <v>DCT Payroll</v>
          </cell>
          <cell r="L334" t="str">
            <v>A1</v>
          </cell>
          <cell r="M334" t="str">
            <v>Department of Culture and Tourism</v>
          </cell>
          <cell r="N334" t="str">
            <v>Culture</v>
          </cell>
          <cell r="O334" t="str">
            <v>الثقافة</v>
          </cell>
          <cell r="P334" t="str">
            <v>Library Management</v>
          </cell>
          <cell r="Q334" t="str">
            <v>إدارة المكتبات</v>
          </cell>
          <cell r="R334" t="str">
            <v>Branches Library</v>
          </cell>
          <cell r="S334" t="str">
            <v>فروع المكتبات</v>
          </cell>
          <cell r="T334" t="str">
            <v>Al Marfaa Library</v>
          </cell>
          <cell r="U334" t="str">
            <v>مكتبة المرفى</v>
          </cell>
          <cell r="V334" t="str">
            <v>Abu Dhabi</v>
          </cell>
          <cell r="W334" t="str">
            <v/>
          </cell>
          <cell r="X334" t="str">
            <v>4516100</v>
          </cell>
          <cell r="Y334" t="str">
            <v>Operations_Library Operational Management_Senior Professional</v>
          </cell>
          <cell r="Z334" t="str">
            <v>Senior Professional</v>
          </cell>
          <cell r="AA334" t="str">
            <v>3A</v>
          </cell>
        </row>
        <row r="335">
          <cell r="A335">
            <v>819</v>
          </cell>
          <cell r="B335">
            <v>819</v>
          </cell>
          <cell r="C335" t="str">
            <v>A</v>
          </cell>
          <cell r="D335" t="str">
            <v>Fatmah Khameis Alhassani</v>
          </cell>
          <cell r="E335" t="str">
            <v>فاطمة خميس الحساني</v>
          </cell>
          <cell r="F335">
            <v>41637</v>
          </cell>
          <cell r="G335" t="str">
            <v>50000946</v>
          </cell>
          <cell r="H335" t="str">
            <v>Licensing Services Executive</v>
          </cell>
          <cell r="I335" t="str">
            <v>تنفيذي خدمات الترخيص</v>
          </cell>
          <cell r="J335" t="str">
            <v>On-Chart</v>
          </cell>
          <cell r="K335" t="str">
            <v>DCT Payroll</v>
          </cell>
          <cell r="L335" t="str">
            <v>A1</v>
          </cell>
          <cell r="M335" t="str">
            <v>Department of Culture and Tourism</v>
          </cell>
          <cell r="N335" t="str">
            <v>Tourism</v>
          </cell>
          <cell r="O335" t="str">
            <v>السياحة</v>
          </cell>
          <cell r="P335" t="str">
            <v>Licensing &amp; Regulatory Compliance</v>
          </cell>
          <cell r="Q335" t="str">
            <v>الرقابة والترخيص</v>
          </cell>
          <cell r="R335" t="str">
            <v>Licensing</v>
          </cell>
          <cell r="S335" t="str">
            <v>الترخيص</v>
          </cell>
          <cell r="T335" t="str">
            <v>Licensing Services</v>
          </cell>
          <cell r="U335" t="str">
            <v>خدمات الترخيص</v>
          </cell>
          <cell r="V335" t="str">
            <v>Abu Dhabi</v>
          </cell>
          <cell r="W335" t="str">
            <v/>
          </cell>
          <cell r="X335" t="str">
            <v>4510170</v>
          </cell>
          <cell r="Y335" t="str">
            <v>Compliance,Governance&amp;Protocol_Licensing &amp; Regulatory Compliance- (Follow-up and Reporting) _Professional Assistant</v>
          </cell>
          <cell r="Z335" t="str">
            <v>Professional</v>
          </cell>
          <cell r="AA335" t="str">
            <v>4B</v>
          </cell>
        </row>
        <row r="336">
          <cell r="A336">
            <v>821</v>
          </cell>
          <cell r="B336">
            <v>821</v>
          </cell>
          <cell r="C336" t="str">
            <v>A</v>
          </cell>
          <cell r="D336" t="str">
            <v>Mohammed Tareq Al Yousefi</v>
          </cell>
          <cell r="E336" t="str">
            <v>محمد طارق اليوسفي</v>
          </cell>
          <cell r="F336">
            <v>41637</v>
          </cell>
          <cell r="G336" t="str">
            <v>50003820</v>
          </cell>
          <cell r="H336" t="str">
            <v>Recruitment Operations Unit Head</v>
          </cell>
          <cell r="I336" t="str">
            <v>رئيس وحدة عمليات التوظيف</v>
          </cell>
          <cell r="J336" t="str">
            <v>On-Chart</v>
          </cell>
          <cell r="K336" t="str">
            <v>DCT Payroll</v>
          </cell>
          <cell r="L336" t="str">
            <v>A1</v>
          </cell>
          <cell r="M336" t="str">
            <v>Department of Culture and Tourism</v>
          </cell>
          <cell r="N336" t="str">
            <v>Support Services</v>
          </cell>
          <cell r="O336" t="str">
            <v>الخدمات المساندة</v>
          </cell>
          <cell r="P336" t="str">
            <v>People &amp; Performance</v>
          </cell>
          <cell r="Q336" t="str">
            <v>إدارة الكوادر البشرية والأداء</v>
          </cell>
          <cell r="R336" t="str">
            <v>Talent Acquisition</v>
          </cell>
          <cell r="S336" t="str">
            <v>قسم استقطاب المواهب</v>
          </cell>
          <cell r="T336" t="str">
            <v>Recruitment Operations</v>
          </cell>
          <cell r="U336" t="str">
            <v/>
          </cell>
          <cell r="V336" t="str">
            <v>Abu Dhabi</v>
          </cell>
          <cell r="W336" t="str">
            <v/>
          </cell>
          <cell r="X336" t="str">
            <v>4510220</v>
          </cell>
          <cell r="Y336" t="str">
            <v>People &amp; Performance _HR Resources Operations &amp; Administration _Unit Head</v>
          </cell>
          <cell r="Z336" t="str">
            <v>Unit Head</v>
          </cell>
          <cell r="AA336" t="str">
            <v>3A</v>
          </cell>
        </row>
        <row r="337">
          <cell r="A337">
            <v>824</v>
          </cell>
          <cell r="B337">
            <v>824</v>
          </cell>
          <cell r="C337" t="str">
            <v>A</v>
          </cell>
          <cell r="D337" t="str">
            <v>Salama Sultan Alnuaimi</v>
          </cell>
          <cell r="E337" t="str">
            <v>سلامة سلطان النعيمي</v>
          </cell>
          <cell r="F337">
            <v>41645</v>
          </cell>
          <cell r="G337" t="str">
            <v>50004161</v>
          </cell>
          <cell r="H337" t="str">
            <v>Niche Markets &amp; Holiday Homes Lead</v>
          </cell>
          <cell r="I337" t="str">
            <v>أخصائي رئيسي الأسواق المتخصصة والمنازل السياحية</v>
          </cell>
          <cell r="J337" t="str">
            <v>On-Chart</v>
          </cell>
          <cell r="K337" t="str">
            <v>DCT Payroll</v>
          </cell>
          <cell r="L337" t="str">
            <v>A1</v>
          </cell>
          <cell r="M337" t="str">
            <v>Department of Culture and Tourism</v>
          </cell>
          <cell r="N337" t="str">
            <v>Tourism</v>
          </cell>
          <cell r="O337" t="str">
            <v>السياحة</v>
          </cell>
          <cell r="P337" t="str">
            <v>Tourism Products Development</v>
          </cell>
          <cell r="Q337" t="str">
            <v>تطوير المنتجات السياحية</v>
          </cell>
          <cell r="R337" t="str">
            <v>Niche Markets, Sports, &amp; Holiday Homes</v>
          </cell>
          <cell r="S337" t="str">
            <v>قسم الأسواق المتخصصة والرياضة والمنازل السياحية</v>
          </cell>
          <cell r="T337" t="str">
            <v/>
          </cell>
          <cell r="U337" t="str">
            <v/>
          </cell>
          <cell r="V337" t="str">
            <v>Abu Dhabi</v>
          </cell>
          <cell r="W337" t="str">
            <v/>
          </cell>
          <cell r="X337" t="str">
            <v>4515900</v>
          </cell>
          <cell r="Y337" t="str">
            <v>Commercial _Tourism Products Development _Senior Professional</v>
          </cell>
          <cell r="Z337" t="str">
            <v>Senior Professional</v>
          </cell>
          <cell r="AA337" t="str">
            <v>3A</v>
          </cell>
        </row>
        <row r="338">
          <cell r="A338">
            <v>827</v>
          </cell>
          <cell r="B338">
            <v>827</v>
          </cell>
          <cell r="C338" t="str">
            <v>A</v>
          </cell>
          <cell r="D338" t="str">
            <v>Tamaa Rashed Al Dhaheri</v>
          </cell>
          <cell r="E338" t="str">
            <v>طماعة راشد الظاهري</v>
          </cell>
          <cell r="F338">
            <v>41630</v>
          </cell>
          <cell r="G338" t="str">
            <v>10004401</v>
          </cell>
          <cell r="H338" t="str">
            <v>Artisan</v>
          </cell>
          <cell r="I338" t="str">
            <v>حرفي</v>
          </cell>
          <cell r="J338" t="str">
            <v>Off-Chart</v>
          </cell>
          <cell r="K338" t="str">
            <v>DCT Payroll</v>
          </cell>
          <cell r="L338" t="str">
            <v>A1</v>
          </cell>
          <cell r="M338" t="str">
            <v>Department of Culture and Tourism</v>
          </cell>
          <cell r="N338" t="str">
            <v>Culture</v>
          </cell>
          <cell r="O338" t="str">
            <v>الثقافة</v>
          </cell>
          <cell r="P338" t="str">
            <v>Intangible Cultural Heritage</v>
          </cell>
          <cell r="Q338" t="str">
            <v>التراث الثقافي المعنوي</v>
          </cell>
          <cell r="R338" t="str">
            <v>Handicrafts Development</v>
          </cell>
          <cell r="S338" t="str">
            <v>تطوير الحرف اليدوية</v>
          </cell>
          <cell r="T338" t="str">
            <v>Artisans Administration - Al Ain</v>
          </cell>
          <cell r="U338" t="str">
            <v>إدارة الحرفيين - العين</v>
          </cell>
          <cell r="V338" t="str">
            <v>Al Ain</v>
          </cell>
          <cell r="W338" t="str">
            <v/>
          </cell>
          <cell r="X338" t="str">
            <v>4511600</v>
          </cell>
          <cell r="Y338" t="str">
            <v>Content &amp; Care_World Heritage Sites Planning &amp; Monitoring _Professional</v>
          </cell>
          <cell r="Z338" t="str">
            <v>Professional Assistant</v>
          </cell>
          <cell r="AA338" t="str">
            <v>6A</v>
          </cell>
        </row>
        <row r="339">
          <cell r="A339">
            <v>831</v>
          </cell>
          <cell r="B339">
            <v>831</v>
          </cell>
          <cell r="C339" t="str">
            <v>A</v>
          </cell>
          <cell r="D339" t="str">
            <v>Shaikha Khalid Alkindi</v>
          </cell>
          <cell r="E339" t="str">
            <v>شيخة خالد الكندي</v>
          </cell>
          <cell r="F339">
            <v>41658</v>
          </cell>
          <cell r="G339" t="str">
            <v>50000818</v>
          </cell>
          <cell r="H339" t="str">
            <v>Environment, Health &amp; Safety Section Head</v>
          </cell>
          <cell r="I339" t="str">
            <v>رئيس قسم البيئة والصحة والسلامة</v>
          </cell>
          <cell r="J339" t="str">
            <v>On-Chart</v>
          </cell>
          <cell r="K339" t="str">
            <v>DCT Payroll</v>
          </cell>
          <cell r="L339" t="str">
            <v>A1</v>
          </cell>
          <cell r="M339" t="str">
            <v>Department of Culture and Tourism</v>
          </cell>
          <cell r="N339" t="str">
            <v>Tourism</v>
          </cell>
          <cell r="O339" t="str">
            <v>السياحة</v>
          </cell>
          <cell r="P339" t="str">
            <v>Licensing &amp; Regulatory Compliance</v>
          </cell>
          <cell r="Q339" t="str">
            <v>الرقابة والترخيص</v>
          </cell>
          <cell r="R339" t="str">
            <v>Environment, Health &amp; Safety</v>
          </cell>
          <cell r="S339" t="str">
            <v>البيئة والصحة والسلامة</v>
          </cell>
          <cell r="T339" t="str">
            <v/>
          </cell>
          <cell r="U339" t="str">
            <v/>
          </cell>
          <cell r="V339" t="str">
            <v>Abu Dhabi</v>
          </cell>
          <cell r="W339" t="str">
            <v/>
          </cell>
          <cell r="X339" t="str">
            <v>4510170</v>
          </cell>
          <cell r="Y339" t="str">
            <v>Compliance,Governance&amp;Protocol_Licensing Services &amp; Regulatory Compliance _Section Head</v>
          </cell>
          <cell r="Z339" t="str">
            <v>Section Manager</v>
          </cell>
          <cell r="AA339" t="str">
            <v>2A</v>
          </cell>
        </row>
        <row r="340">
          <cell r="A340">
            <v>832</v>
          </cell>
          <cell r="B340">
            <v>832</v>
          </cell>
          <cell r="C340" t="str">
            <v>A</v>
          </cell>
          <cell r="D340" t="str">
            <v>Eissa Sulaiman Bazgir</v>
          </cell>
          <cell r="E340" t="str">
            <v>عيسى سليمان بازكير</v>
          </cell>
          <cell r="F340">
            <v>41659</v>
          </cell>
          <cell r="G340" t="str">
            <v>50004136</v>
          </cell>
          <cell r="H340" t="str">
            <v>Operations Officer</v>
          </cell>
          <cell r="I340" t="str">
            <v>ضابط عمليات</v>
          </cell>
          <cell r="J340" t="str">
            <v>On-Chart</v>
          </cell>
          <cell r="K340" t="str">
            <v>DCT Payroll</v>
          </cell>
          <cell r="L340" t="str">
            <v>A1</v>
          </cell>
          <cell r="M340" t="str">
            <v>Department of Culture and Tourism</v>
          </cell>
          <cell r="N340" t="str">
            <v>Culture</v>
          </cell>
          <cell r="O340" t="str">
            <v>الثقافة</v>
          </cell>
          <cell r="P340" t="str">
            <v>Culture Sites Management</v>
          </cell>
          <cell r="Q340" t="str">
            <v>إدارة المواقع الثقافية</v>
          </cell>
          <cell r="R340" t="str">
            <v>Al Ain Operations</v>
          </cell>
          <cell r="S340" t="str">
            <v>العمليات - العين</v>
          </cell>
          <cell r="T340" t="str">
            <v>Operations</v>
          </cell>
          <cell r="U340" t="str">
            <v>العمليات</v>
          </cell>
          <cell r="V340" t="str">
            <v>Abu Dhabi</v>
          </cell>
          <cell r="W340" t="str">
            <v/>
          </cell>
          <cell r="X340" t="str">
            <v>4511250</v>
          </cell>
          <cell r="Y340" t="str">
            <v/>
          </cell>
          <cell r="Z340" t="str">
            <v>Professional</v>
          </cell>
          <cell r="AA340" t="str">
            <v>4A</v>
          </cell>
        </row>
        <row r="341">
          <cell r="A341">
            <v>833</v>
          </cell>
          <cell r="B341">
            <v>833</v>
          </cell>
          <cell r="C341" t="str">
            <v>A</v>
          </cell>
          <cell r="D341" t="str">
            <v>Khameis Ali Alhefeiti</v>
          </cell>
          <cell r="E341" t="str">
            <v>خميس علي الحفيتي</v>
          </cell>
          <cell r="F341">
            <v>41665</v>
          </cell>
          <cell r="G341" t="str">
            <v>10007211</v>
          </cell>
          <cell r="H341" t="str">
            <v>Cruise Senior Executive</v>
          </cell>
          <cell r="I341" t="str">
            <v>تنفيذي أول الرحلات البحرية</v>
          </cell>
          <cell r="J341" t="str">
            <v>On-Chart</v>
          </cell>
          <cell r="K341" t="str">
            <v>DCT Payroll</v>
          </cell>
          <cell r="L341" t="str">
            <v>A1</v>
          </cell>
          <cell r="M341" t="str">
            <v>Department of Culture and Tourism</v>
          </cell>
          <cell r="N341" t="str">
            <v>Tourism</v>
          </cell>
          <cell r="O341" t="str">
            <v>السياحة</v>
          </cell>
          <cell r="P341" t="str">
            <v>Tourism Products Development</v>
          </cell>
          <cell r="Q341" t="str">
            <v>تطوير المنتجات السياحية</v>
          </cell>
          <cell r="R341" t="str">
            <v>Aviation, Cruise, &amp; Global Partnerships</v>
          </cell>
          <cell r="S341" t="str">
            <v>الطيران والرحلات البحرية والشراكات العالمية</v>
          </cell>
          <cell r="T341" t="str">
            <v>Cruise</v>
          </cell>
          <cell r="U341" t="str">
            <v>الرحلات البحرية</v>
          </cell>
          <cell r="V341" t="str">
            <v>Abu Dhabi</v>
          </cell>
          <cell r="W341" t="str">
            <v/>
          </cell>
          <cell r="X341" t="str">
            <v>4515100</v>
          </cell>
          <cell r="Y341" t="str">
            <v>Compliance,Governance&amp;Protocol_Policy (Culture/Tourism _Senior Professional</v>
          </cell>
          <cell r="Z341" t="str">
            <v>Senior Professional</v>
          </cell>
          <cell r="AA341" t="str">
            <v>3B</v>
          </cell>
        </row>
        <row r="342">
          <cell r="A342">
            <v>834</v>
          </cell>
          <cell r="B342">
            <v>834</v>
          </cell>
          <cell r="C342" t="str">
            <v>A</v>
          </cell>
          <cell r="D342" t="str">
            <v>Mohamed Ibrahim Alshaibani</v>
          </cell>
          <cell r="E342" t="str">
            <v>محمد ابراهيم الشيباني</v>
          </cell>
          <cell r="F342">
            <v>41665</v>
          </cell>
          <cell r="G342" t="str">
            <v>50002398</v>
          </cell>
          <cell r="H342" t="str">
            <v>Inspection Unit Head (Day Events)</v>
          </cell>
          <cell r="I342" t="str">
            <v>(رئيس وحدة التفتيش لأبوظبي (الفعاليات النهارية</v>
          </cell>
          <cell r="J342" t="str">
            <v>On-Chart</v>
          </cell>
          <cell r="K342" t="str">
            <v>DCT Payroll</v>
          </cell>
          <cell r="L342" t="str">
            <v>A1</v>
          </cell>
          <cell r="M342" t="str">
            <v>Department of Culture and Tourism</v>
          </cell>
          <cell r="N342" t="str">
            <v>Tourism</v>
          </cell>
          <cell r="O342" t="str">
            <v>السياحة</v>
          </cell>
          <cell r="P342" t="str">
            <v>Licensing &amp; Regulatory Compliance</v>
          </cell>
          <cell r="Q342" t="str">
            <v>الرقابة والترخيص</v>
          </cell>
          <cell r="R342" t="str">
            <v>Abu Dhabi Inspection</v>
          </cell>
          <cell r="S342" t="str">
            <v>التفتيش</v>
          </cell>
          <cell r="T342" t="str">
            <v/>
          </cell>
          <cell r="U342" t="str">
            <v/>
          </cell>
          <cell r="V342" t="str">
            <v>Abu Dhabi</v>
          </cell>
          <cell r="W342" t="str">
            <v/>
          </cell>
          <cell r="X342" t="str">
            <v>4510170</v>
          </cell>
          <cell r="Y342" t="str">
            <v>Compliance,Governance&amp;Protocol_Licensing &amp; Regulatory Compliance_Unit Head</v>
          </cell>
          <cell r="Z342" t="str">
            <v>Unit Head</v>
          </cell>
          <cell r="AA342" t="str">
            <v>3A</v>
          </cell>
        </row>
        <row r="343">
          <cell r="A343">
            <v>837</v>
          </cell>
          <cell r="B343">
            <v>837</v>
          </cell>
          <cell r="C343" t="str">
            <v>A</v>
          </cell>
          <cell r="D343" t="str">
            <v>Mariam Mubarak Alhameli</v>
          </cell>
          <cell r="E343" t="str">
            <v>مريم مبارك الهاملي</v>
          </cell>
          <cell r="F343">
            <v>41672</v>
          </cell>
          <cell r="G343" t="str">
            <v>47700301</v>
          </cell>
          <cell r="H343" t="str">
            <v>Inspector</v>
          </cell>
          <cell r="I343" t="str">
            <v>مفتش</v>
          </cell>
          <cell r="J343" t="str">
            <v>On-Chart</v>
          </cell>
          <cell r="K343" t="str">
            <v>DCT Payroll</v>
          </cell>
          <cell r="L343" t="str">
            <v>A1</v>
          </cell>
          <cell r="M343" t="str">
            <v>Department of Culture and Tourism</v>
          </cell>
          <cell r="N343" t="str">
            <v>Tourism</v>
          </cell>
          <cell r="O343" t="str">
            <v>السياحة</v>
          </cell>
          <cell r="P343" t="str">
            <v>Licensing &amp; Regulatory Compliance</v>
          </cell>
          <cell r="Q343" t="str">
            <v>الرقابة والترخيص</v>
          </cell>
          <cell r="R343" t="str">
            <v>Abu Dhabi Inspection</v>
          </cell>
          <cell r="S343" t="str">
            <v>التفتيش</v>
          </cell>
          <cell r="T343" t="str">
            <v>Abu Dhabi Inspection</v>
          </cell>
          <cell r="U343" t="str">
            <v>التفتيش لأبوظبي</v>
          </cell>
          <cell r="V343" t="str">
            <v>Abu Dhabi</v>
          </cell>
          <cell r="W343" t="str">
            <v/>
          </cell>
          <cell r="X343" t="str">
            <v>4510170</v>
          </cell>
          <cell r="Y343" t="str">
            <v>Compliance,Governance&amp;Protocol_Licensing &amp; Regulatory Compliance- (Follow-up and Reporting) _Professional Assistant</v>
          </cell>
          <cell r="Z343" t="str">
            <v>Professional</v>
          </cell>
          <cell r="AA343" t="str">
            <v>4B</v>
          </cell>
        </row>
        <row r="344">
          <cell r="A344">
            <v>838</v>
          </cell>
          <cell r="B344">
            <v>838</v>
          </cell>
          <cell r="C344" t="str">
            <v>A</v>
          </cell>
          <cell r="D344" t="str">
            <v>Moaza Matar Saif</v>
          </cell>
          <cell r="E344" t="str">
            <v>موزة مطر سيف</v>
          </cell>
          <cell r="F344">
            <v>41672</v>
          </cell>
          <cell r="G344" t="str">
            <v>50000465</v>
          </cell>
          <cell r="H344" t="str">
            <v>Exhibitions &amp; Display Section Head</v>
          </cell>
          <cell r="I344" t="str">
            <v>رئيس قسم المعارض وعرض المقتنيات</v>
          </cell>
          <cell r="J344" t="str">
            <v>On-Chart</v>
          </cell>
          <cell r="K344" t="str">
            <v>MSS Direct Hires</v>
          </cell>
          <cell r="L344" t="str">
            <v>M1</v>
          </cell>
          <cell r="M344" t="str">
            <v>Department of Culture and Tourism</v>
          </cell>
          <cell r="N344" t="str">
            <v>Zayed National Museum</v>
          </cell>
          <cell r="O344" t="str">
            <v>متحف زايد الوطني</v>
          </cell>
          <cell r="P344" t="str">
            <v>Curatorial &amp; Collection Management</v>
          </cell>
          <cell r="Q344" t="str">
            <v>أمناء المتحف وإدارة المقتنيات</v>
          </cell>
          <cell r="R344" t="str">
            <v>Exhibitions &amp; Display</v>
          </cell>
          <cell r="S344" t="str">
            <v>المعارض وعرض المقتنيات</v>
          </cell>
          <cell r="T344" t="str">
            <v/>
          </cell>
          <cell r="U344" t="str">
            <v/>
          </cell>
          <cell r="V344" t="str">
            <v>Abu Dhabi</v>
          </cell>
          <cell r="W344" t="str">
            <v/>
          </cell>
          <cell r="X344" t="str">
            <v>4510181</v>
          </cell>
          <cell r="Y344" t="str">
            <v>Content &amp; Care_Curatorial   Management (All areas)_Section Head</v>
          </cell>
          <cell r="Z344" t="str">
            <v>Section Manager</v>
          </cell>
          <cell r="AA344" t="str">
            <v>2A</v>
          </cell>
        </row>
        <row r="345">
          <cell r="A345">
            <v>840</v>
          </cell>
          <cell r="B345">
            <v>840</v>
          </cell>
          <cell r="C345" t="str">
            <v>A</v>
          </cell>
          <cell r="D345" t="str">
            <v>Mouza Mohammed Alnuaimi</v>
          </cell>
          <cell r="E345" t="str">
            <v>موزة محمد النعيمي</v>
          </cell>
          <cell r="F345">
            <v>41672</v>
          </cell>
          <cell r="G345" t="str">
            <v>50003730</v>
          </cell>
          <cell r="H345" t="str">
            <v>ICH Research Unit Head</v>
          </cell>
          <cell r="I345" t="str">
            <v>رئيس وحدة بحوث التراث المعنوي الثقافي</v>
          </cell>
          <cell r="J345" t="str">
            <v>On-Chart</v>
          </cell>
          <cell r="K345" t="str">
            <v>DCT Payroll</v>
          </cell>
          <cell r="L345" t="str">
            <v>A1</v>
          </cell>
          <cell r="M345" t="str">
            <v>Department of Culture and Tourism</v>
          </cell>
          <cell r="N345" t="str">
            <v>Culture</v>
          </cell>
          <cell r="O345" t="str">
            <v>الثقافة</v>
          </cell>
          <cell r="P345" t="str">
            <v>Intangible Cultural Heritage</v>
          </cell>
          <cell r="Q345" t="str">
            <v>التراث الثقافي المعنوي</v>
          </cell>
          <cell r="R345" t="str">
            <v>ICH Research &amp; Documentation</v>
          </cell>
          <cell r="S345" t="str">
            <v>بحوث وتوثيق التراث الثقافي المعنوي</v>
          </cell>
          <cell r="T345" t="str">
            <v>ICH Research</v>
          </cell>
          <cell r="U345" t="str">
            <v>بحوث التراث الثقافي المعنوي</v>
          </cell>
          <cell r="V345" t="str">
            <v>Al Ain</v>
          </cell>
          <cell r="W345" t="str">
            <v/>
          </cell>
          <cell r="X345" t="str">
            <v>4511600</v>
          </cell>
          <cell r="Y345" t="str">
            <v>Content &amp; Care_World Heritage Planning &amp; Monitoring _Unit Head</v>
          </cell>
          <cell r="Z345" t="str">
            <v>Unit Head</v>
          </cell>
          <cell r="AA345" t="str">
            <v>3A</v>
          </cell>
        </row>
        <row r="346">
          <cell r="A346">
            <v>841</v>
          </cell>
          <cell r="B346">
            <v>841</v>
          </cell>
          <cell r="C346" t="str">
            <v>A</v>
          </cell>
          <cell r="D346" t="str">
            <v>Muza Ahmed Alshafee</v>
          </cell>
          <cell r="E346" t="str">
            <v>موزة أحمد الشافعي</v>
          </cell>
          <cell r="F346">
            <v>41672</v>
          </cell>
          <cell r="G346" t="str">
            <v>10005438</v>
          </cell>
          <cell r="H346" t="str">
            <v>Programming Unit Head</v>
          </cell>
          <cell r="I346" t="str">
            <v>رئيس وحدة برامج المكتبات</v>
          </cell>
          <cell r="J346" t="str">
            <v>On-Chart</v>
          </cell>
          <cell r="K346" t="str">
            <v>DCT Payroll</v>
          </cell>
          <cell r="L346" t="str">
            <v>A1</v>
          </cell>
          <cell r="M346" t="str">
            <v>Department of Culture and Tourism</v>
          </cell>
          <cell r="N346" t="str">
            <v>Culture</v>
          </cell>
          <cell r="O346" t="str">
            <v>الثقافة</v>
          </cell>
          <cell r="P346" t="str">
            <v>Library Management</v>
          </cell>
          <cell r="Q346" t="str">
            <v>إدارة المكتبات</v>
          </cell>
          <cell r="R346" t="str">
            <v>Branches Library</v>
          </cell>
          <cell r="S346" t="str">
            <v>فروع المكتبات</v>
          </cell>
          <cell r="T346" t="str">
            <v>Programming</v>
          </cell>
          <cell r="U346" t="str">
            <v>برامج المكتبات</v>
          </cell>
          <cell r="V346" t="str">
            <v>Abu Dhabi</v>
          </cell>
          <cell r="W346" t="str">
            <v/>
          </cell>
          <cell r="X346" t="str">
            <v>4516100</v>
          </cell>
          <cell r="Y346" t="str">
            <v>Operations_Library Operational Management_Unit Head</v>
          </cell>
          <cell r="Z346" t="str">
            <v>Unit Head</v>
          </cell>
          <cell r="AA346" t="str">
            <v>3A</v>
          </cell>
        </row>
        <row r="347">
          <cell r="A347">
            <v>842</v>
          </cell>
          <cell r="B347">
            <v>842</v>
          </cell>
          <cell r="C347" t="str">
            <v>A</v>
          </cell>
          <cell r="D347" t="str">
            <v>Salem Saif Albusaeedi</v>
          </cell>
          <cell r="E347" t="str">
            <v>سالم سيف آل بوسعيدي</v>
          </cell>
          <cell r="F347">
            <v>41672</v>
          </cell>
          <cell r="G347" t="str">
            <v>50002028</v>
          </cell>
          <cell r="H347" t="str">
            <v>Acquisition Unit Head</v>
          </cell>
          <cell r="I347" t="str">
            <v>رئيس وحدة التزويد</v>
          </cell>
          <cell r="J347" t="str">
            <v>On-Chart</v>
          </cell>
          <cell r="K347" t="str">
            <v>DCT Payroll</v>
          </cell>
          <cell r="L347" t="str">
            <v>A1</v>
          </cell>
          <cell r="M347" t="str">
            <v>Department of Culture and Tourism</v>
          </cell>
          <cell r="N347" t="str">
            <v>Culture</v>
          </cell>
          <cell r="O347" t="str">
            <v>الثقافة</v>
          </cell>
          <cell r="P347" t="str">
            <v>Library Management</v>
          </cell>
          <cell r="Q347" t="str">
            <v>إدارة المكتبات</v>
          </cell>
          <cell r="R347" t="str">
            <v>Technical Services</v>
          </cell>
          <cell r="S347" t="str">
            <v>الخدمات الفنية</v>
          </cell>
          <cell r="T347" t="str">
            <v>Acquisition</v>
          </cell>
          <cell r="U347" t="str">
            <v>التزويد</v>
          </cell>
          <cell r="V347" t="str">
            <v>Abu Dhabi</v>
          </cell>
          <cell r="W347" t="str">
            <v/>
          </cell>
          <cell r="X347" t="str">
            <v>4516100</v>
          </cell>
          <cell r="Y347" t="str">
            <v>Operations_Library Operational Management_Unit Head</v>
          </cell>
          <cell r="Z347" t="str">
            <v>Unit Head</v>
          </cell>
          <cell r="AA347" t="str">
            <v>3A</v>
          </cell>
        </row>
        <row r="348">
          <cell r="A348">
            <v>845</v>
          </cell>
          <cell r="B348">
            <v>845</v>
          </cell>
          <cell r="C348" t="str">
            <v>A</v>
          </cell>
          <cell r="D348" t="str">
            <v>Feras Mohammed Almomani</v>
          </cell>
          <cell r="E348" t="str">
            <v>فراس محمد المومني</v>
          </cell>
          <cell r="F348">
            <v>41679</v>
          </cell>
          <cell r="G348" t="str">
            <v>10010212</v>
          </cell>
          <cell r="H348" t="str">
            <v>Legislations, Litigation &amp; Government Affairs Senior Legal Counsel</v>
          </cell>
          <cell r="I348" t="str">
            <v>مستشار قانوني أول</v>
          </cell>
          <cell r="J348" t="str">
            <v>On-Chart</v>
          </cell>
          <cell r="K348" t="str">
            <v>DCT Payroll</v>
          </cell>
          <cell r="L348" t="str">
            <v>A1</v>
          </cell>
          <cell r="M348" t="str">
            <v>Department of Culture and Tourism</v>
          </cell>
          <cell r="N348" t="str">
            <v>Legal &amp; Government Affairs</v>
          </cell>
          <cell r="O348" t="str">
            <v>مكتب وكيل الدائرة</v>
          </cell>
          <cell r="P348" t="str">
            <v>Legal &amp; Government Affairs</v>
          </cell>
          <cell r="Q348" t="str">
            <v>الشؤون القانونية والحكومية</v>
          </cell>
          <cell r="R348" t="str">
            <v>Legislation, Litigation &amp; Government Affairs</v>
          </cell>
          <cell r="S348" t="str">
            <v>التشريعات والتقاضي والشؤون الحكومية</v>
          </cell>
          <cell r="T348" t="str">
            <v/>
          </cell>
          <cell r="U348" t="str">
            <v/>
          </cell>
          <cell r="V348" t="str">
            <v>Abu Dhabi</v>
          </cell>
          <cell r="W348" t="str">
            <v/>
          </cell>
          <cell r="X348" t="str">
            <v>4510160</v>
          </cell>
          <cell r="Y348" t="str">
            <v>Legal _Head of Legal_Section Head</v>
          </cell>
          <cell r="Z348" t="str">
            <v>Section Manager</v>
          </cell>
          <cell r="AA348" t="str">
            <v>2A</v>
          </cell>
        </row>
        <row r="349">
          <cell r="A349">
            <v>846</v>
          </cell>
          <cell r="B349">
            <v>846</v>
          </cell>
          <cell r="C349" t="str">
            <v>A</v>
          </cell>
          <cell r="D349" t="str">
            <v>Oliver Marcel Roland Heim</v>
          </cell>
          <cell r="E349" t="str">
            <v>أوليفر مارسيل رولاند هيم</v>
          </cell>
          <cell r="F349">
            <v>41680</v>
          </cell>
          <cell r="G349" t="str">
            <v>10004482</v>
          </cell>
          <cell r="H349" t="str">
            <v>Projects Director</v>
          </cell>
          <cell r="I349" t="str">
            <v>مدير مشاريع</v>
          </cell>
          <cell r="J349" t="str">
            <v>On-Chart</v>
          </cell>
          <cell r="K349" t="str">
            <v>DCT Payroll</v>
          </cell>
          <cell r="L349" t="str">
            <v>A1</v>
          </cell>
          <cell r="M349" t="str">
            <v>Department of Culture and Tourism</v>
          </cell>
          <cell r="N349" t="str">
            <v>Project Management &amp; Engineering</v>
          </cell>
          <cell r="O349" t="str">
            <v>مكتب وكيل الدائرة</v>
          </cell>
          <cell r="P349" t="str">
            <v>Project Management &amp; Engineering</v>
          </cell>
          <cell r="Q349" t="str">
            <v>هندسة وإدارة المشاريع</v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>Abu Dhabi</v>
          </cell>
          <cell r="W349" t="str">
            <v/>
          </cell>
          <cell r="X349" t="str">
            <v>4510150</v>
          </cell>
          <cell r="Y349" t="str">
            <v>Technical Safety &amp; Security_Engineering Project Management  _Section Head</v>
          </cell>
          <cell r="Z349" t="str">
            <v>Section Manager</v>
          </cell>
          <cell r="AA349" t="str">
            <v>2A</v>
          </cell>
        </row>
        <row r="350">
          <cell r="A350">
            <v>847</v>
          </cell>
          <cell r="B350">
            <v>847</v>
          </cell>
          <cell r="C350" t="str">
            <v>A</v>
          </cell>
          <cell r="D350" t="str">
            <v>Noura Tawfeeq Almubarak</v>
          </cell>
          <cell r="E350" t="str">
            <v>نورة توفيق المبارك</v>
          </cell>
          <cell r="F350">
            <v>41693</v>
          </cell>
          <cell r="G350" t="str">
            <v>10006350</v>
          </cell>
          <cell r="H350" t="str">
            <v>Institutional &amp; International Affairs Section Head</v>
          </cell>
          <cell r="I350" t="str">
            <v>رئيس قسم شؤون العلاقات المؤسسية والدولية</v>
          </cell>
          <cell r="J350" t="str">
            <v>On-Chart</v>
          </cell>
          <cell r="K350" t="str">
            <v>MSS Direct Hires</v>
          </cell>
          <cell r="L350" t="str">
            <v>M1</v>
          </cell>
          <cell r="M350" t="str">
            <v>Department of Culture and Tourism</v>
          </cell>
          <cell r="N350" t="str">
            <v>Zayed National Museum</v>
          </cell>
          <cell r="O350" t="str">
            <v>متحف زايد الوطني</v>
          </cell>
          <cell r="P350" t="str">
            <v>Director’s Office</v>
          </cell>
          <cell r="Q350" t="str">
            <v>مكتب مدير المتحف</v>
          </cell>
          <cell r="R350" t="str">
            <v>Institutional &amp; International Affairs</v>
          </cell>
          <cell r="S350" t="str">
            <v>شؤون العلاقات المؤسسية والدولية</v>
          </cell>
          <cell r="T350" t="str">
            <v/>
          </cell>
          <cell r="U350" t="str">
            <v/>
          </cell>
          <cell r="V350" t="str">
            <v>Abu Dhabi</v>
          </cell>
          <cell r="W350" t="str">
            <v/>
          </cell>
          <cell r="X350" t="str">
            <v>4510180</v>
          </cell>
          <cell r="Y350" t="str">
            <v>Strategy, Planning, Project Mgt_Business Excellence &amp; Foresight Planning _Section Head</v>
          </cell>
          <cell r="Z350" t="str">
            <v>Section Manager</v>
          </cell>
          <cell r="AA350" t="str">
            <v>2A</v>
          </cell>
        </row>
        <row r="351">
          <cell r="A351">
            <v>849</v>
          </cell>
          <cell r="B351">
            <v>849</v>
          </cell>
          <cell r="C351" t="str">
            <v>A</v>
          </cell>
          <cell r="D351" t="str">
            <v>Maitha Ahmed Alameri</v>
          </cell>
          <cell r="E351" t="str">
            <v>ميثة أحمد العامري</v>
          </cell>
          <cell r="F351">
            <v>41700</v>
          </cell>
          <cell r="G351" t="str">
            <v>10005152</v>
          </cell>
          <cell r="H351" t="str">
            <v>Journey Design &amp; Development Senior Specialist</v>
          </cell>
          <cell r="I351" t="str">
            <v>أخصائي أول تصميم وتطويرالرحلات</v>
          </cell>
          <cell r="J351" t="str">
            <v>On-Chart</v>
          </cell>
          <cell r="K351" t="str">
            <v>DCT Payroll</v>
          </cell>
          <cell r="L351" t="str">
            <v>A1</v>
          </cell>
          <cell r="M351" t="str">
            <v>Department of Culture and Tourism</v>
          </cell>
          <cell r="N351" t="str">
            <v>Tourism</v>
          </cell>
          <cell r="O351" t="str">
            <v>السياحة</v>
          </cell>
          <cell r="P351" t="str">
            <v>Visitors Experience</v>
          </cell>
          <cell r="Q351" t="str">
            <v>تجربة الزوار</v>
          </cell>
          <cell r="R351" t="str">
            <v>Journey Design &amp; Development</v>
          </cell>
          <cell r="S351" t="str">
            <v>تصميم وتطوير الرحلات</v>
          </cell>
          <cell r="T351" t="str">
            <v>Journey Design &amp; Development Unit</v>
          </cell>
          <cell r="U351" t="str">
            <v>وحدة تصميم و تطوير الرحلات</v>
          </cell>
          <cell r="V351" t="str">
            <v>Abu Dhabi</v>
          </cell>
          <cell r="W351" t="str">
            <v/>
          </cell>
          <cell r="X351" t="str">
            <v>4515300</v>
          </cell>
          <cell r="Y351" t="str">
            <v>Design_Visitor Experience Design_Senior Professional</v>
          </cell>
          <cell r="Z351" t="str">
            <v>Senior Professional</v>
          </cell>
          <cell r="AA351" t="str">
            <v>3A</v>
          </cell>
        </row>
        <row r="352">
          <cell r="A352">
            <v>850</v>
          </cell>
          <cell r="B352">
            <v>850</v>
          </cell>
          <cell r="C352" t="str">
            <v>A</v>
          </cell>
          <cell r="D352" t="str">
            <v>Mariam Adel Alzarouni</v>
          </cell>
          <cell r="E352" t="str">
            <v>مريم عادل الزرعوني</v>
          </cell>
          <cell r="F352">
            <v>41700</v>
          </cell>
          <cell r="G352" t="str">
            <v>50000784</v>
          </cell>
          <cell r="H352" t="str">
            <v>Institutional Affairs Unit Head</v>
          </cell>
          <cell r="I352" t="str">
            <v>رئيس وحدة شؤون العلاقات المؤسسية والدولية</v>
          </cell>
          <cell r="J352" t="str">
            <v>On-Chart</v>
          </cell>
          <cell r="K352" t="str">
            <v>MSS Direct Hires</v>
          </cell>
          <cell r="L352" t="str">
            <v>M1</v>
          </cell>
          <cell r="M352" t="str">
            <v>Department of Culture and Tourism</v>
          </cell>
          <cell r="N352" t="str">
            <v>Zayed National Museum</v>
          </cell>
          <cell r="O352" t="str">
            <v>متحف زايد الوطني</v>
          </cell>
          <cell r="P352" t="str">
            <v>Director’s Office</v>
          </cell>
          <cell r="Q352" t="str">
            <v>مكتب مدير المتحف</v>
          </cell>
          <cell r="R352" t="str">
            <v>Institutional &amp; International Affairs</v>
          </cell>
          <cell r="S352" t="str">
            <v>شؤون العلاقات المؤسسية والدولية</v>
          </cell>
          <cell r="T352" t="str">
            <v>Institutional Affairs Unit</v>
          </cell>
          <cell r="U352" t="str">
            <v/>
          </cell>
          <cell r="V352" t="str">
            <v>Abu Dhabi</v>
          </cell>
          <cell r="W352" t="str">
            <v/>
          </cell>
          <cell r="X352" t="str">
            <v>4510180</v>
          </cell>
          <cell r="Y352" t="str">
            <v>Strategy, Planning, Project Mgt_Data Statisics, Analysis &amp; Reporting _Unit Head</v>
          </cell>
          <cell r="Z352" t="str">
            <v>Unit Head</v>
          </cell>
          <cell r="AA352" t="str">
            <v>3A</v>
          </cell>
        </row>
        <row r="353">
          <cell r="A353">
            <v>852</v>
          </cell>
          <cell r="B353">
            <v>852</v>
          </cell>
          <cell r="C353" t="str">
            <v>A</v>
          </cell>
          <cell r="D353" t="str">
            <v>Nesma Saber Osman</v>
          </cell>
          <cell r="E353" t="str">
            <v>نسمة صابر عثمان</v>
          </cell>
          <cell r="F353">
            <v>41702</v>
          </cell>
          <cell r="G353" t="str">
            <v>50002759</v>
          </cell>
          <cell r="H353" t="str">
            <v>Contracts System &amp; Reporting Section Head</v>
          </cell>
          <cell r="I353" t="str">
            <v>رئيس قسم العقود والأنظمة والتقارير</v>
          </cell>
          <cell r="J353" t="str">
            <v>On-Chart</v>
          </cell>
          <cell r="K353" t="str">
            <v>MSS Direct Hires</v>
          </cell>
          <cell r="L353" t="str">
            <v>M1</v>
          </cell>
          <cell r="M353" t="str">
            <v>Department of Culture and Tourism</v>
          </cell>
          <cell r="N353" t="str">
            <v>Museums Shared Services</v>
          </cell>
          <cell r="O353" t="str">
            <v>الخدمات المشتركة للمتاحف</v>
          </cell>
          <cell r="P353" t="str">
            <v>Supply Management - MSS</v>
          </cell>
          <cell r="Q353" t="str">
            <v>إدارة الإمداد - الخدمات المشتركة للمتاحف</v>
          </cell>
          <cell r="R353" t="str">
            <v>Contracts System &amp; Reporting Section</v>
          </cell>
          <cell r="S353" t="str">
            <v>قسم العقود والأنظمة والتقارير</v>
          </cell>
          <cell r="T353" t="str">
            <v/>
          </cell>
          <cell r="U353" t="str">
            <v/>
          </cell>
          <cell r="V353" t="str">
            <v>Abu Dhabi</v>
          </cell>
          <cell r="W353" t="str">
            <v/>
          </cell>
          <cell r="X353" t="str">
            <v>4514160</v>
          </cell>
          <cell r="Y353" t="str">
            <v>Information Technology_Procurement/Contracts Systems &amp; Reporting_Section Head</v>
          </cell>
          <cell r="Z353" t="str">
            <v>Section Manager</v>
          </cell>
          <cell r="AA353" t="str">
            <v>2A</v>
          </cell>
        </row>
        <row r="354">
          <cell r="A354">
            <v>854</v>
          </cell>
          <cell r="B354">
            <v>854</v>
          </cell>
          <cell r="C354" t="str">
            <v>A</v>
          </cell>
          <cell r="D354" t="str">
            <v>Jasem Mohammed Al Awadhi</v>
          </cell>
          <cell r="E354" t="str">
            <v>جاسم محمد العوضي</v>
          </cell>
          <cell r="F354">
            <v>41707</v>
          </cell>
          <cell r="G354" t="str">
            <v>10004558</v>
          </cell>
          <cell r="H354" t="str">
            <v>Library Management Operations Senior Specialist</v>
          </cell>
          <cell r="I354" t="str">
            <v>أخصائي أول عمليات إدارات المكتبات</v>
          </cell>
          <cell r="J354" t="str">
            <v>On-Chart</v>
          </cell>
          <cell r="K354" t="str">
            <v>DCT Payroll</v>
          </cell>
          <cell r="L354" t="str">
            <v>A1</v>
          </cell>
          <cell r="M354" t="str">
            <v>Department of Culture and Tourism</v>
          </cell>
          <cell r="N354" t="str">
            <v>Culture</v>
          </cell>
          <cell r="O354" t="str">
            <v>الثقافة</v>
          </cell>
          <cell r="P354" t="str">
            <v>Library Management</v>
          </cell>
          <cell r="Q354" t="str">
            <v>إدارة المكتبات</v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>Abu Dhabi</v>
          </cell>
          <cell r="W354" t="str">
            <v/>
          </cell>
          <cell r="X354" t="str">
            <v>4516100</v>
          </cell>
          <cell r="Y354" t="str">
            <v>Operations_Library Operational Management_Senior Professional</v>
          </cell>
          <cell r="Z354" t="str">
            <v>Senior Professional</v>
          </cell>
          <cell r="AA354" t="str">
            <v>3A</v>
          </cell>
        </row>
        <row r="355">
          <cell r="A355">
            <v>857</v>
          </cell>
          <cell r="B355">
            <v>857</v>
          </cell>
          <cell r="C355" t="str">
            <v>A</v>
          </cell>
          <cell r="D355" t="str">
            <v>Khawla Ismail AL Khoori</v>
          </cell>
          <cell r="E355" t="str">
            <v>خولة  اسماعيل الخوري</v>
          </cell>
          <cell r="F355">
            <v>41721</v>
          </cell>
          <cell r="G355" t="str">
            <v>50001733</v>
          </cell>
          <cell r="H355" t="str">
            <v>Compliance &amp; Quality Monitoring Lead</v>
          </cell>
          <cell r="I355" t="str">
            <v>تنفيذي رئيسي الامتثال ومراقبة الجودة</v>
          </cell>
          <cell r="J355" t="str">
            <v>On-Chart</v>
          </cell>
          <cell r="K355" t="str">
            <v>DCT Payroll</v>
          </cell>
          <cell r="L355" t="str">
            <v>A1</v>
          </cell>
          <cell r="M355" t="str">
            <v>Department of Culture and Tourism</v>
          </cell>
          <cell r="N355" t="str">
            <v>Tourism</v>
          </cell>
          <cell r="O355" t="str">
            <v>السياحة</v>
          </cell>
          <cell r="P355" t="str">
            <v>Licensing &amp; Regulatory Compliance</v>
          </cell>
          <cell r="Q355" t="str">
            <v>الرقابة والترخيص</v>
          </cell>
          <cell r="R355" t="str">
            <v>Compliance &amp; Quality Monitoring</v>
          </cell>
          <cell r="S355" t="str">
            <v>الامتثال ومراقبة الجودة</v>
          </cell>
          <cell r="T355" t="str">
            <v/>
          </cell>
          <cell r="U355" t="str">
            <v/>
          </cell>
          <cell r="V355" t="str">
            <v>Abu Dhabi</v>
          </cell>
          <cell r="W355" t="str">
            <v/>
          </cell>
          <cell r="X355" t="str">
            <v>4510170</v>
          </cell>
          <cell r="Y355" t="str">
            <v>Compliance,Governance&amp;Protocol_Licensing &amp; Regulatory Compliance_Unit Head</v>
          </cell>
          <cell r="Z355" t="str">
            <v>Unit Head</v>
          </cell>
          <cell r="AA355" t="str">
            <v>3A</v>
          </cell>
        </row>
        <row r="356">
          <cell r="A356">
            <v>858</v>
          </cell>
          <cell r="B356">
            <v>858</v>
          </cell>
          <cell r="C356" t="str">
            <v>A</v>
          </cell>
          <cell r="D356" t="str">
            <v>Azayez Al Shaiba Al Muharrami</v>
          </cell>
          <cell r="E356" t="str">
            <v>عزيز الشيبة المحرمي</v>
          </cell>
          <cell r="F356">
            <v>41728</v>
          </cell>
          <cell r="G356" t="str">
            <v>10007191</v>
          </cell>
          <cell r="H356" t="str">
            <v>BD &amp; Sales Lead</v>
          </cell>
          <cell r="I356" t="str">
            <v>تنفيذي رئيسي تطوير الأعمال والمبيعات</v>
          </cell>
          <cell r="J356" t="str">
            <v>On-Chart</v>
          </cell>
          <cell r="K356" t="str">
            <v>DCT Payroll</v>
          </cell>
          <cell r="L356" t="str">
            <v>A1</v>
          </cell>
          <cell r="M356" t="str">
            <v>Department of Culture and Tourism</v>
          </cell>
          <cell r="N356" t="str">
            <v>Tourism</v>
          </cell>
          <cell r="O356" t="str">
            <v>السياحة</v>
          </cell>
          <cell r="P356" t="str">
            <v>Abu Dhabi Conventions &amp; Exhibition Bureau</v>
          </cell>
          <cell r="Q356" t="str">
            <v>مكتب أبوظبي للمؤتمرات والمعارض</v>
          </cell>
          <cell r="R356" t="str">
            <v>Meetings, Incentives &amp; Weddings</v>
          </cell>
          <cell r="S356" t="str">
            <v>الاجتماعات، الحوافز وحفلات الزفاف</v>
          </cell>
          <cell r="T356" t="str">
            <v/>
          </cell>
          <cell r="U356" t="str">
            <v/>
          </cell>
          <cell r="V356" t="str">
            <v>Abu Dhabi</v>
          </cell>
          <cell r="W356" t="str">
            <v/>
          </cell>
          <cell r="X356" t="str">
            <v>4515400</v>
          </cell>
          <cell r="Y356" t="str">
            <v>Commercial _Conventions, Exhibitions, Events,Festivals Development &amp; Sales  _Senior Professional</v>
          </cell>
          <cell r="Z356" t="str">
            <v>Unit Head</v>
          </cell>
          <cell r="AA356" t="str">
            <v>3A</v>
          </cell>
        </row>
        <row r="357">
          <cell r="A357">
            <v>860</v>
          </cell>
          <cell r="B357">
            <v>860</v>
          </cell>
          <cell r="C357" t="str">
            <v>A</v>
          </cell>
          <cell r="D357" t="str">
            <v>Mouza Salem Al Ameri</v>
          </cell>
          <cell r="E357" t="str">
            <v>موزة سالم العامري</v>
          </cell>
          <cell r="F357">
            <v>41731</v>
          </cell>
          <cell r="G357" t="str">
            <v>10010032</v>
          </cell>
          <cell r="H357" t="str">
            <v>Operations Supervisor</v>
          </cell>
          <cell r="I357" t="str">
            <v>مشرف العمليات</v>
          </cell>
          <cell r="J357" t="str">
            <v>On-Chart</v>
          </cell>
          <cell r="K357" t="str">
            <v>DCT Payroll</v>
          </cell>
          <cell r="L357" t="str">
            <v>A1</v>
          </cell>
          <cell r="M357" t="str">
            <v>Department of Culture and Tourism</v>
          </cell>
          <cell r="N357" t="str">
            <v>Culture</v>
          </cell>
          <cell r="O357" t="str">
            <v>الثقافة</v>
          </cell>
          <cell r="P357" t="str">
            <v>Culture Sites Management</v>
          </cell>
          <cell r="Q357" t="str">
            <v>إدارة المواقع الثقافية</v>
          </cell>
          <cell r="R357" t="str">
            <v>Al Ain Operations</v>
          </cell>
          <cell r="S357" t="str">
            <v>العمليات - العين</v>
          </cell>
          <cell r="T357" t="str">
            <v>Operations</v>
          </cell>
          <cell r="U357" t="str">
            <v>العمليات</v>
          </cell>
          <cell r="V357" t="str">
            <v>Al Ain</v>
          </cell>
          <cell r="W357" t="str">
            <v/>
          </cell>
          <cell r="X357" t="str">
            <v>4511250</v>
          </cell>
          <cell r="Y357" t="str">
            <v>Compliance,Governance&amp;Protocol_Policy (Culture/Tourism _Senior Professional</v>
          </cell>
          <cell r="Z357" t="str">
            <v>Senior Professional</v>
          </cell>
          <cell r="AA357" t="str">
            <v>3A</v>
          </cell>
        </row>
        <row r="358">
          <cell r="A358">
            <v>861</v>
          </cell>
          <cell r="B358">
            <v>861</v>
          </cell>
          <cell r="C358" t="str">
            <v>A</v>
          </cell>
          <cell r="D358" t="str">
            <v>Muna Hamad Al Shamsi</v>
          </cell>
          <cell r="E358" t="str">
            <v>منى حمد الشامسي</v>
          </cell>
          <cell r="F358">
            <v>41735</v>
          </cell>
          <cell r="G358" t="str">
            <v>10004608</v>
          </cell>
          <cell r="H358" t="str">
            <v>Senior Researcher</v>
          </cell>
          <cell r="I358" t="str">
            <v>باحث أول</v>
          </cell>
          <cell r="J358" t="str">
            <v>On-Chart</v>
          </cell>
          <cell r="K358" t="str">
            <v>DCT Payroll</v>
          </cell>
          <cell r="L358" t="str">
            <v>A1</v>
          </cell>
          <cell r="M358" t="str">
            <v>Department of Culture and Tourism</v>
          </cell>
          <cell r="N358" t="str">
            <v>Culture</v>
          </cell>
          <cell r="O358" t="str">
            <v>الثقافة</v>
          </cell>
          <cell r="P358" t="str">
            <v>Intangible Cultural Heritage</v>
          </cell>
          <cell r="Q358" t="str">
            <v>التراث الثقافي المعنوي</v>
          </cell>
          <cell r="R358" t="str">
            <v>ICH Research &amp; Documentation</v>
          </cell>
          <cell r="S358" t="str">
            <v>بحوث وتوثيق التراث الثقافي المعنوي</v>
          </cell>
          <cell r="T358" t="str">
            <v>ICH Research</v>
          </cell>
          <cell r="U358" t="str">
            <v>بحوث التراث الثقافي المعنوي</v>
          </cell>
          <cell r="V358" t="str">
            <v>Al Ain</v>
          </cell>
          <cell r="W358" t="str">
            <v/>
          </cell>
          <cell r="X358" t="str">
            <v>4511600</v>
          </cell>
          <cell r="Y358" t="str">
            <v>Content &amp; Care_World Heritage Sites Planning &amp; Monitoring_Senior Professional</v>
          </cell>
          <cell r="Z358" t="str">
            <v>Senior Professional</v>
          </cell>
          <cell r="AA358" t="str">
            <v>3A</v>
          </cell>
        </row>
        <row r="359">
          <cell r="A359">
            <v>862</v>
          </cell>
          <cell r="B359">
            <v>862</v>
          </cell>
          <cell r="C359" t="str">
            <v>A</v>
          </cell>
          <cell r="D359" t="str">
            <v>Abdulaziz Abdulla Alobeidli</v>
          </cell>
          <cell r="E359" t="str">
            <v>عبد العزيز عبد الله العبيدلي</v>
          </cell>
          <cell r="F359">
            <v>41735</v>
          </cell>
          <cell r="G359" t="str">
            <v>10004575</v>
          </cell>
          <cell r="H359" t="str">
            <v>Inspector</v>
          </cell>
          <cell r="I359" t="str">
            <v>مفتش</v>
          </cell>
          <cell r="J359" t="str">
            <v>On-Chart</v>
          </cell>
          <cell r="K359" t="str">
            <v>DCT Payroll</v>
          </cell>
          <cell r="L359" t="str">
            <v>A1</v>
          </cell>
          <cell r="M359" t="str">
            <v>Department of Culture and Tourism</v>
          </cell>
          <cell r="N359" t="str">
            <v>Tourism</v>
          </cell>
          <cell r="O359" t="str">
            <v>السياحة</v>
          </cell>
          <cell r="P359" t="str">
            <v>Licensing &amp; Regulatory Compliance</v>
          </cell>
          <cell r="Q359" t="str">
            <v>الرقابة والترخيص</v>
          </cell>
          <cell r="R359" t="str">
            <v>Abu Dhabi Inspection</v>
          </cell>
          <cell r="S359" t="str">
            <v>التفتيش</v>
          </cell>
          <cell r="T359" t="str">
            <v>Abu Dhabi Inspection</v>
          </cell>
          <cell r="U359" t="str">
            <v>التفتيش لأبوظبي</v>
          </cell>
          <cell r="V359" t="str">
            <v>Abu Dhabi</v>
          </cell>
          <cell r="W359" t="str">
            <v/>
          </cell>
          <cell r="X359" t="str">
            <v>4510170</v>
          </cell>
          <cell r="Y359" t="str">
            <v>Compliance,Governance&amp;Protocol_Licensing &amp; Regulatory Compliance- (Follow-up and Reporting) _Professional Assistant</v>
          </cell>
          <cell r="Z359" t="str">
            <v>Professional</v>
          </cell>
          <cell r="AA359" t="str">
            <v>4B</v>
          </cell>
        </row>
        <row r="360">
          <cell r="A360">
            <v>863</v>
          </cell>
          <cell r="B360">
            <v>863</v>
          </cell>
          <cell r="C360" t="str">
            <v>A</v>
          </cell>
          <cell r="D360" t="str">
            <v>Asma Amer Al Saadi</v>
          </cell>
          <cell r="E360" t="str">
            <v>أسماء  عامر السعدي</v>
          </cell>
          <cell r="F360">
            <v>41735</v>
          </cell>
          <cell r="G360" t="str">
            <v>10005757</v>
          </cell>
          <cell r="H360" t="str">
            <v>Corporate Excellence Lead</v>
          </cell>
          <cell r="I360" t="str">
            <v>أخصائي رئيسي التميز المؤسسي</v>
          </cell>
          <cell r="J360" t="str">
            <v>On-Chart</v>
          </cell>
          <cell r="K360" t="str">
            <v>DCT Payroll</v>
          </cell>
          <cell r="L360" t="str">
            <v>A1</v>
          </cell>
          <cell r="M360" t="str">
            <v>Department of Culture and Tourism</v>
          </cell>
          <cell r="N360" t="str">
            <v>Strategic Affairs</v>
          </cell>
          <cell r="O360" t="str">
            <v>الشؤون الاستراتيجية</v>
          </cell>
          <cell r="P360" t="str">
            <v>Business Excellence &amp; Continuity</v>
          </cell>
          <cell r="Q360" t="str">
            <v>التميز المؤسسي واستمرارية الأعمال</v>
          </cell>
          <cell r="R360" t="str">
            <v>Corporate Excellence &amp; Foresight Planning</v>
          </cell>
          <cell r="S360" t="str">
            <v>التميز المؤسسي واستشراف المستقبل</v>
          </cell>
          <cell r="T360" t="str">
            <v/>
          </cell>
          <cell r="U360" t="str">
            <v/>
          </cell>
          <cell r="V360" t="str">
            <v>Abu Dhabi</v>
          </cell>
          <cell r="W360" t="str">
            <v/>
          </cell>
          <cell r="X360" t="str">
            <v>4512300</v>
          </cell>
          <cell r="Y360" t="str">
            <v>Strategy, Planning, Project Mgt_Business Excellence &amp; Foresight Planning _Senior Professional</v>
          </cell>
          <cell r="Z360" t="str">
            <v>Unit Head</v>
          </cell>
          <cell r="AA360" t="str">
            <v>3A</v>
          </cell>
        </row>
        <row r="361">
          <cell r="A361">
            <v>865</v>
          </cell>
          <cell r="B361">
            <v>865</v>
          </cell>
          <cell r="C361" t="str">
            <v>A</v>
          </cell>
          <cell r="D361" t="str">
            <v>Mariam Ahmed Al Nuaimi</v>
          </cell>
          <cell r="E361" t="str">
            <v>مريم   أحمد النعيمي</v>
          </cell>
          <cell r="F361">
            <v>41735</v>
          </cell>
          <cell r="G361" t="str">
            <v>10004606</v>
          </cell>
          <cell r="H361" t="str">
            <v>Videographer / Photographer</v>
          </cell>
          <cell r="I361" t="str">
            <v>مصور فوتوغرافي وفيديو</v>
          </cell>
          <cell r="J361" t="str">
            <v>On-Chart</v>
          </cell>
          <cell r="K361" t="str">
            <v>DCT Payroll</v>
          </cell>
          <cell r="L361" t="str">
            <v>A1</v>
          </cell>
          <cell r="M361" t="str">
            <v>Department of Culture and Tourism</v>
          </cell>
          <cell r="N361" t="str">
            <v>Strategic Marketing &amp; Communication</v>
          </cell>
          <cell r="O361" t="str">
            <v>التسويق والاتصال الاستراتيجي</v>
          </cell>
          <cell r="P361" t="str">
            <v>Creative &amp; Production</v>
          </cell>
          <cell r="Q361" t="str">
            <v>الإبداع والإنتاج</v>
          </cell>
          <cell r="R361" t="str">
            <v>Creative Content</v>
          </cell>
          <cell r="S361" t="str">
            <v>المحتوى الإبداعي</v>
          </cell>
          <cell r="T361" t="str">
            <v>Multimedia Design</v>
          </cell>
          <cell r="U361" t="str">
            <v>تصميم الوسائط المتعددة</v>
          </cell>
          <cell r="V361" t="str">
            <v>Abu Dhabi</v>
          </cell>
          <cell r="W361" t="str">
            <v/>
          </cell>
          <cell r="X361" t="str">
            <v>4513110</v>
          </cell>
          <cell r="Y361" t="str">
            <v>Specialization Marketing &amp; Communications</v>
          </cell>
          <cell r="Z361" t="str">
            <v>Professional</v>
          </cell>
          <cell r="AA361" t="str">
            <v>4A</v>
          </cell>
        </row>
        <row r="362">
          <cell r="A362">
            <v>867</v>
          </cell>
          <cell r="B362">
            <v>867</v>
          </cell>
          <cell r="C362" t="str">
            <v>A</v>
          </cell>
          <cell r="D362" t="str">
            <v>Amna Sakher Saif</v>
          </cell>
          <cell r="E362" t="str">
            <v>آمنة صخر سيف</v>
          </cell>
          <cell r="F362">
            <v>41749</v>
          </cell>
          <cell r="G362" t="str">
            <v>50001678</v>
          </cell>
          <cell r="H362" t="str">
            <v>Culture Policy Unit Head</v>
          </cell>
          <cell r="I362" t="str">
            <v>رئيس وحدة سياسات الثقافة</v>
          </cell>
          <cell r="J362" t="str">
            <v>On-Chart</v>
          </cell>
          <cell r="K362" t="str">
            <v>DCT Payroll</v>
          </cell>
          <cell r="L362" t="str">
            <v>A1</v>
          </cell>
          <cell r="M362" t="str">
            <v>Department of Culture and Tourism</v>
          </cell>
          <cell r="N362" t="str">
            <v>Culture</v>
          </cell>
          <cell r="O362" t="str">
            <v>الثقافة</v>
          </cell>
          <cell r="P362" t="str">
            <v>Culture Sector Policy and Development Office</v>
          </cell>
          <cell r="Q362" t="str">
            <v>مكتب إدارة سياسة وتطوير قطاع الثقافة</v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>Abu Dhabi</v>
          </cell>
          <cell r="W362" t="str">
            <v/>
          </cell>
          <cell r="X362" t="str">
            <v>4511150</v>
          </cell>
          <cell r="Y362" t="str">
            <v>Compliance,Governance&amp;Protocol_Policy  (Culture &amp; Tourism)_Unit Head</v>
          </cell>
          <cell r="Z362" t="str">
            <v>Unit Head</v>
          </cell>
          <cell r="AA362" t="str">
            <v>3A</v>
          </cell>
        </row>
        <row r="363">
          <cell r="A363">
            <v>874</v>
          </cell>
          <cell r="B363">
            <v>874</v>
          </cell>
          <cell r="C363" t="str">
            <v>A</v>
          </cell>
          <cell r="D363" t="str">
            <v>Nawwaf Mohamed Alharmi</v>
          </cell>
          <cell r="E363" t="str">
            <v>نواف محمد الحرمي</v>
          </cell>
          <cell r="F363">
            <v>41770</v>
          </cell>
          <cell r="G363" t="str">
            <v>10009285</v>
          </cell>
          <cell r="H363" t="str">
            <v>Adoption Lead</v>
          </cell>
          <cell r="I363" t="str">
            <v>أخصائي رئيسي التبني التكنولوجي</v>
          </cell>
          <cell r="J363" t="str">
            <v>On-Chart</v>
          </cell>
          <cell r="K363" t="str">
            <v>DCT Payroll</v>
          </cell>
          <cell r="L363" t="str">
            <v>A1</v>
          </cell>
          <cell r="M363" t="str">
            <v>Department of Culture and Tourism</v>
          </cell>
          <cell r="N363" t="str">
            <v>Support Services</v>
          </cell>
          <cell r="O363" t="str">
            <v>الخدمات المساندة</v>
          </cell>
          <cell r="P363" t="str">
            <v>Technology</v>
          </cell>
          <cell r="Q363" t="str">
            <v>التكنولوجيا</v>
          </cell>
          <cell r="R363" t="str">
            <v>Technology PMO</v>
          </cell>
          <cell r="S363" t="str">
            <v>مكتب إدارة مشاريع التكنولوجيا</v>
          </cell>
          <cell r="T363" t="str">
            <v/>
          </cell>
          <cell r="U363" t="str">
            <v/>
          </cell>
          <cell r="V363" t="str">
            <v>Abu Dhabi</v>
          </cell>
          <cell r="W363" t="str">
            <v/>
          </cell>
          <cell r="X363" t="str">
            <v>4510250</v>
          </cell>
          <cell r="Y363" t="str">
            <v>Information Technology_Adoption Lead_Unit Head</v>
          </cell>
          <cell r="Z363" t="str">
            <v>Unit Head</v>
          </cell>
          <cell r="AA363" t="str">
            <v>3A</v>
          </cell>
        </row>
        <row r="364">
          <cell r="A364">
            <v>877</v>
          </cell>
          <cell r="B364">
            <v>877</v>
          </cell>
          <cell r="C364" t="str">
            <v>A</v>
          </cell>
          <cell r="D364" t="str">
            <v>Ronald Franz Max Perlwitz</v>
          </cell>
          <cell r="E364" t="str">
            <v>رونالد فرانز بيرلوتز</v>
          </cell>
          <cell r="F364">
            <v>41785</v>
          </cell>
          <cell r="G364" t="str">
            <v>50001528</v>
          </cell>
          <cell r="H364" t="str">
            <v>Music Programmes  Section Head</v>
          </cell>
          <cell r="I364" t="str">
            <v>رئيس قسم برامج الموسيقى</v>
          </cell>
          <cell r="J364" t="str">
            <v>On-Chart</v>
          </cell>
          <cell r="K364" t="str">
            <v>DCT Payroll</v>
          </cell>
          <cell r="L364" t="str">
            <v>A1</v>
          </cell>
          <cell r="M364" t="str">
            <v>Department of Culture and Tourism</v>
          </cell>
          <cell r="N364" t="str">
            <v>Culture</v>
          </cell>
          <cell r="O364" t="str">
            <v>الثقافة</v>
          </cell>
          <cell r="P364" t="str">
            <v>Culture Programming</v>
          </cell>
          <cell r="Q364" t="str">
            <v>البرامج الثقافية</v>
          </cell>
          <cell r="R364" t="str">
            <v>Music Programmes</v>
          </cell>
          <cell r="S364" t="str">
            <v>برامج الموسيقى</v>
          </cell>
          <cell r="T364" t="str">
            <v/>
          </cell>
          <cell r="U364" t="str">
            <v/>
          </cell>
          <cell r="V364" t="str">
            <v>Abu Dhabi</v>
          </cell>
          <cell r="W364" t="str">
            <v/>
          </cell>
          <cell r="X364" t="str">
            <v>4511700</v>
          </cell>
          <cell r="Y364" t="str">
            <v>Compliance,Governance&amp;Protocol_Policy (Culture &amp; Tourism)_Section Head</v>
          </cell>
          <cell r="Z364" t="str">
            <v>Section Manager</v>
          </cell>
          <cell r="AA364" t="str">
            <v>2C</v>
          </cell>
        </row>
        <row r="365">
          <cell r="A365">
            <v>878</v>
          </cell>
          <cell r="B365">
            <v>878</v>
          </cell>
          <cell r="C365" t="str">
            <v>A</v>
          </cell>
          <cell r="D365" t="str">
            <v>Fatima Ali Alhosani</v>
          </cell>
          <cell r="E365" t="str">
            <v>فاطمة علي الحوسني</v>
          </cell>
          <cell r="F365">
            <v>41805</v>
          </cell>
          <cell r="G365" t="str">
            <v>10007200</v>
          </cell>
          <cell r="H365" t="str">
            <v>Tourism Policy Senior Specialist</v>
          </cell>
          <cell r="I365" t="str">
            <v>أخصائي أول سياسات السياحة</v>
          </cell>
          <cell r="J365" t="str">
            <v>On-Chart</v>
          </cell>
          <cell r="K365" t="str">
            <v>DCT Payroll</v>
          </cell>
          <cell r="L365" t="str">
            <v>A1</v>
          </cell>
          <cell r="M365" t="str">
            <v>Department of Culture and Tourism</v>
          </cell>
          <cell r="N365" t="str">
            <v>Tourism</v>
          </cell>
          <cell r="O365" t="str">
            <v>السياحة</v>
          </cell>
          <cell r="P365" t="str">
            <v>Tourism Sector Management Office</v>
          </cell>
          <cell r="Q365" t="str">
            <v>مكتب إدارة شؤون قطاع السياحة</v>
          </cell>
          <cell r="R365" t="str">
            <v>Tourism Policy &amp; Sustainability Section</v>
          </cell>
          <cell r="S365" t="str">
            <v>قسم  السياسات واستدامة السياحة</v>
          </cell>
          <cell r="T365" t="str">
            <v>Tourism Policy Unit</v>
          </cell>
          <cell r="U365" t="str">
            <v>رئيس وحدة سياسات السياحة</v>
          </cell>
          <cell r="V365" t="str">
            <v>Abu Dhabi</v>
          </cell>
          <cell r="W365" t="str">
            <v/>
          </cell>
          <cell r="X365" t="str">
            <v>4515010</v>
          </cell>
          <cell r="Y365" t="str">
            <v>Compliance,Governance&amp;Protocol_Policy (Culture/Tourism _Senior Professional</v>
          </cell>
          <cell r="Z365" t="str">
            <v>Senior Professional</v>
          </cell>
          <cell r="AA365" t="str">
            <v>3A</v>
          </cell>
        </row>
        <row r="366">
          <cell r="A366">
            <v>882</v>
          </cell>
          <cell r="B366">
            <v>882</v>
          </cell>
          <cell r="C366" t="str">
            <v>A</v>
          </cell>
          <cell r="D366" t="str">
            <v>Sara Suhail Alameri</v>
          </cell>
          <cell r="E366" t="str">
            <v>سارة سهيل العامري</v>
          </cell>
          <cell r="F366">
            <v>41819</v>
          </cell>
          <cell r="G366" t="str">
            <v>10010172</v>
          </cell>
          <cell r="H366" t="str">
            <v>Community Outreach Senior Specialist</v>
          </cell>
          <cell r="I366" t="str">
            <v>أخصائي أول التوعية المجتمعية</v>
          </cell>
          <cell r="J366" t="str">
            <v>On-Chart</v>
          </cell>
          <cell r="K366" t="str">
            <v>DCT Payroll</v>
          </cell>
          <cell r="L366" t="str">
            <v>A1</v>
          </cell>
          <cell r="M366" t="str">
            <v>Department of Culture and Tourism</v>
          </cell>
          <cell r="N366" t="str">
            <v>Culture</v>
          </cell>
          <cell r="O366" t="str">
            <v>الثقافة</v>
          </cell>
          <cell r="P366" t="str">
            <v>Culture Sites Management</v>
          </cell>
          <cell r="Q366" t="str">
            <v>إدارة المواقع الثقافية</v>
          </cell>
          <cell r="R366" t="str">
            <v>Al Ain Community Centers</v>
          </cell>
          <cell r="S366" t="str">
            <v>مراكز العين المجتمعية</v>
          </cell>
          <cell r="T366" t="str">
            <v>Al Qattara Arts Centre</v>
          </cell>
          <cell r="U366" t="str">
            <v>مركز القطارة للفنون</v>
          </cell>
          <cell r="V366" t="str">
            <v>Al Ain</v>
          </cell>
          <cell r="W366" t="str">
            <v/>
          </cell>
          <cell r="X366" t="str">
            <v>4511250</v>
          </cell>
          <cell r="Y366" t="str">
            <v>Compliance,Governance&amp;Protocol_Policy (Culture/Tourism _Senior Professional</v>
          </cell>
          <cell r="Z366" t="str">
            <v>Senior Professional</v>
          </cell>
          <cell r="AA366" t="str">
            <v>3A</v>
          </cell>
        </row>
        <row r="367">
          <cell r="A367">
            <v>883</v>
          </cell>
          <cell r="B367">
            <v>883</v>
          </cell>
          <cell r="C367" t="str">
            <v>A</v>
          </cell>
          <cell r="D367" t="str">
            <v>Samah Saeed Alebri</v>
          </cell>
          <cell r="E367" t="str">
            <v>سماح سعيد العبري</v>
          </cell>
          <cell r="F367">
            <v>41821</v>
          </cell>
          <cell r="G367" t="str">
            <v>10007209</v>
          </cell>
          <cell r="H367" t="str">
            <v>Employee Recognition &amp; Mobility Senior Specialist</v>
          </cell>
          <cell r="I367" t="str">
            <v>أخصائي أول المكافآت وتنقل الموظفين​</v>
          </cell>
          <cell r="J367" t="str">
            <v>On-Chart</v>
          </cell>
          <cell r="K367" t="str">
            <v>DCT Payroll</v>
          </cell>
          <cell r="L367" t="str">
            <v>A1</v>
          </cell>
          <cell r="M367" t="str">
            <v>Department of Culture and Tourism</v>
          </cell>
          <cell r="N367" t="str">
            <v>Support Services</v>
          </cell>
          <cell r="O367" t="str">
            <v>الخدمات المساندة</v>
          </cell>
          <cell r="P367" t="str">
            <v>People &amp; Performance</v>
          </cell>
          <cell r="Q367" t="str">
            <v>إدارة الكوادر البشرية والأداء</v>
          </cell>
          <cell r="R367" t="str">
            <v>Rewards &amp; Policy</v>
          </cell>
          <cell r="S367" t="str">
            <v>المكافآت والسياسات</v>
          </cell>
          <cell r="T367" t="str">
            <v>Rewards &amp; Recognition</v>
          </cell>
          <cell r="U367" t="str">
            <v>المكافآت</v>
          </cell>
          <cell r="V367" t="str">
            <v>Abu Dhabi</v>
          </cell>
          <cell r="W367" t="str">
            <v/>
          </cell>
          <cell r="X367" t="str">
            <v>4510220</v>
          </cell>
          <cell r="Y367" t="str">
            <v>People &amp; Performance _Rewards Policy &amp; Recognition _Senior Professional</v>
          </cell>
          <cell r="Z367" t="str">
            <v>Senior Professional</v>
          </cell>
          <cell r="AA367" t="str">
            <v>3A</v>
          </cell>
        </row>
        <row r="368">
          <cell r="A368">
            <v>884</v>
          </cell>
          <cell r="B368">
            <v>884</v>
          </cell>
          <cell r="C368" t="str">
            <v>A</v>
          </cell>
          <cell r="D368" t="str">
            <v>Ayesha Mubarak Aljneibi</v>
          </cell>
          <cell r="E368" t="str">
            <v>عايشة مبارك الجنيبي</v>
          </cell>
          <cell r="F368">
            <v>41821</v>
          </cell>
          <cell r="G368" t="str">
            <v>50000687</v>
          </cell>
          <cell r="H368" t="str">
            <v>Public Events Unit Head</v>
          </cell>
          <cell r="I368" t="str">
            <v>رئيس وحدة الفعاليات المجتمعية</v>
          </cell>
          <cell r="J368" t="str">
            <v>On-Chart</v>
          </cell>
          <cell r="K368" t="str">
            <v>MSS Direct Hires</v>
          </cell>
          <cell r="L368" t="str">
            <v>M1</v>
          </cell>
          <cell r="M368" t="str">
            <v>Department of Culture and Tourism</v>
          </cell>
          <cell r="N368" t="str">
            <v>Zayed National Museum</v>
          </cell>
          <cell r="O368" t="str">
            <v>متحف زايد الوطني</v>
          </cell>
          <cell r="P368" t="str">
            <v>Learning &amp; Public Engagement</v>
          </cell>
          <cell r="Q368" t="str">
            <v>التعليم والمشاركة المجتمعية</v>
          </cell>
          <cell r="R368" t="str">
            <v>Public Events</v>
          </cell>
          <cell r="S368" t="str">
            <v>الفعاليات المجتمعية</v>
          </cell>
          <cell r="T368" t="str">
            <v>Public Events</v>
          </cell>
          <cell r="U368" t="str">
            <v>الفعاليات المجتمعية</v>
          </cell>
          <cell r="V368" t="str">
            <v>Abu Dhabi</v>
          </cell>
          <cell r="W368" t="str">
            <v/>
          </cell>
          <cell r="X368" t="str">
            <v>4510182</v>
          </cell>
          <cell r="Y368" t="str">
            <v>Interpretation &amp; Engagement_Education &amp; Learning Development &amp;   Engagement(All)_Unit Head</v>
          </cell>
          <cell r="Z368" t="str">
            <v>Unit Head</v>
          </cell>
          <cell r="AA368" t="str">
            <v>3A</v>
          </cell>
        </row>
        <row r="369">
          <cell r="A369">
            <v>886</v>
          </cell>
          <cell r="B369">
            <v>886</v>
          </cell>
          <cell r="C369" t="str">
            <v>A</v>
          </cell>
          <cell r="D369" t="str">
            <v>Mariam Khamis Sultan</v>
          </cell>
          <cell r="E369" t="str">
            <v>مريم خميس سلطان</v>
          </cell>
          <cell r="F369">
            <v>41835</v>
          </cell>
          <cell r="G369" t="str">
            <v>50000663</v>
          </cell>
          <cell r="H369" t="str">
            <v>Registrar Unit Head</v>
          </cell>
          <cell r="I369" t="str">
            <v>رئيس وحدة تسجيل المقتنيات</v>
          </cell>
          <cell r="J369" t="str">
            <v>On-Chart</v>
          </cell>
          <cell r="K369" t="str">
            <v>MSS Direct Hires</v>
          </cell>
          <cell r="L369" t="str">
            <v>M1</v>
          </cell>
          <cell r="M369" t="str">
            <v>Department of Culture and Tourism</v>
          </cell>
          <cell r="N369" t="str">
            <v>Zayed National Museum</v>
          </cell>
          <cell r="O369" t="str">
            <v>متحف زايد الوطني</v>
          </cell>
          <cell r="P369" t="str">
            <v>Curatorial &amp; Collection Management</v>
          </cell>
          <cell r="Q369" t="str">
            <v>أمناء المتحف وإدارة المقتنيات</v>
          </cell>
          <cell r="R369" t="str">
            <v>Collections Managment &amp; Conservation</v>
          </cell>
          <cell r="S369" t="str">
            <v>إدارة وحفظ المقتنيات</v>
          </cell>
          <cell r="T369" t="str">
            <v>Registrar</v>
          </cell>
          <cell r="U369" t="str">
            <v>تسجيل المقتنيات</v>
          </cell>
          <cell r="V369" t="str">
            <v>Abu Dhabi</v>
          </cell>
          <cell r="W369" t="str">
            <v/>
          </cell>
          <cell r="X369" t="str">
            <v>4510181</v>
          </cell>
          <cell r="Y369" t="str">
            <v>Content &amp; Care_Curatorial  Management_Senior Professional</v>
          </cell>
          <cell r="Z369" t="str">
            <v>Unit Head</v>
          </cell>
          <cell r="AA369" t="str">
            <v>3A</v>
          </cell>
        </row>
        <row r="370">
          <cell r="A370">
            <v>889</v>
          </cell>
          <cell r="B370">
            <v>889</v>
          </cell>
          <cell r="C370" t="str">
            <v>A</v>
          </cell>
          <cell r="D370" t="str">
            <v>Saleh Saeed Almansoori</v>
          </cell>
          <cell r="E370" t="str">
            <v>صالح سعيد المنصوري</v>
          </cell>
          <cell r="F370">
            <v>41840</v>
          </cell>
          <cell r="G370" t="str">
            <v>10004769</v>
          </cell>
          <cell r="H370" t="str">
            <v>In Destination Operations Officer</v>
          </cell>
          <cell r="I370" t="str">
            <v>ضابط عمليات المكتب الداخلي</v>
          </cell>
          <cell r="J370" t="str">
            <v>On-Chart</v>
          </cell>
          <cell r="K370" t="str">
            <v>DCT Payroll</v>
          </cell>
          <cell r="L370" t="str">
            <v>A1</v>
          </cell>
          <cell r="M370" t="str">
            <v>Department of Culture and Tourism</v>
          </cell>
          <cell r="N370" t="str">
            <v>Tourism</v>
          </cell>
          <cell r="O370" t="str">
            <v>السياحة</v>
          </cell>
          <cell r="P370" t="str">
            <v>Visitors Experience</v>
          </cell>
          <cell r="Q370" t="str">
            <v>تجربة الزوار</v>
          </cell>
          <cell r="R370" t="str">
            <v>Visitors Information Center</v>
          </cell>
          <cell r="S370" t="str">
            <v>مركز معلومات الزوار</v>
          </cell>
          <cell r="T370" t="str">
            <v>Visitors Information Center</v>
          </cell>
          <cell r="U370" t="str">
            <v>مركز معلومات الزوار</v>
          </cell>
          <cell r="V370" t="str">
            <v>Abu Dhabi</v>
          </cell>
          <cell r="W370" t="str">
            <v/>
          </cell>
          <cell r="X370" t="str">
            <v>4515300</v>
          </cell>
          <cell r="Y370" t="str">
            <v>Design_Visitor Experience Design _Professional</v>
          </cell>
          <cell r="Z370" t="str">
            <v>Professional</v>
          </cell>
          <cell r="AA370" t="str">
            <v>4B</v>
          </cell>
        </row>
        <row r="371">
          <cell r="A371">
            <v>890</v>
          </cell>
          <cell r="B371">
            <v>890</v>
          </cell>
          <cell r="C371" t="str">
            <v>A</v>
          </cell>
          <cell r="D371" t="str">
            <v>Waad Saeed Aljaberi</v>
          </cell>
          <cell r="E371" t="str">
            <v>وعد سعيد الجابري</v>
          </cell>
          <cell r="F371">
            <v>41840</v>
          </cell>
          <cell r="G371" t="str">
            <v>10010828</v>
          </cell>
          <cell r="H371" t="str">
            <v>Projects Manager</v>
          </cell>
          <cell r="I371" t="str">
            <v>مدير مشاريع</v>
          </cell>
          <cell r="J371" t="str">
            <v>On-Chart</v>
          </cell>
          <cell r="K371" t="str">
            <v>DCT Payroll</v>
          </cell>
          <cell r="L371" t="str">
            <v>A1</v>
          </cell>
          <cell r="M371" t="str">
            <v>Department of Culture and Tourism</v>
          </cell>
          <cell r="N371" t="str">
            <v>Support Services</v>
          </cell>
          <cell r="O371" t="str">
            <v>الخدمات المساندة</v>
          </cell>
          <cell r="P371" t="str">
            <v>Technology</v>
          </cell>
          <cell r="Q371" t="str">
            <v>التكنولوجيا</v>
          </cell>
          <cell r="R371" t="str">
            <v>Technology PMO</v>
          </cell>
          <cell r="S371" t="str">
            <v>مكتب إدارة مشاريع التكنولوجيا</v>
          </cell>
          <cell r="T371" t="str">
            <v/>
          </cell>
          <cell r="U371" t="str">
            <v/>
          </cell>
          <cell r="V371" t="str">
            <v>Abu Dhabi</v>
          </cell>
          <cell r="W371" t="str">
            <v/>
          </cell>
          <cell r="X371" t="str">
            <v>4510250</v>
          </cell>
          <cell r="Y371" t="str">
            <v>Information Technology_Building Information Modelling Architecture / Development Unit Head_Unit Head</v>
          </cell>
          <cell r="Z371" t="str">
            <v>Unit Head</v>
          </cell>
          <cell r="AA371" t="str">
            <v>3A</v>
          </cell>
        </row>
        <row r="372">
          <cell r="A372">
            <v>891</v>
          </cell>
          <cell r="B372">
            <v>891</v>
          </cell>
          <cell r="C372" t="str">
            <v>A</v>
          </cell>
          <cell r="D372" t="str">
            <v>Reem Abdulla Almarzooqi</v>
          </cell>
          <cell r="E372" t="str">
            <v>ريم عبدالله المرزوقي</v>
          </cell>
          <cell r="F372">
            <v>41854</v>
          </cell>
          <cell r="G372" t="str">
            <v>50003719</v>
          </cell>
          <cell r="H372" t="str">
            <v>Employee Relations Project Manager</v>
          </cell>
          <cell r="I372" t="str">
            <v>مدير مشاريع شؤون الموظفين</v>
          </cell>
          <cell r="J372" t="str">
            <v>On-Chart</v>
          </cell>
          <cell r="K372" t="str">
            <v>DCT Payroll</v>
          </cell>
          <cell r="L372" t="str">
            <v>A1</v>
          </cell>
          <cell r="M372" t="str">
            <v>Department of Culture and Tourism</v>
          </cell>
          <cell r="N372" t="str">
            <v>Support Services</v>
          </cell>
          <cell r="O372" t="str">
            <v>الخدمات المساندة</v>
          </cell>
          <cell r="P372" t="str">
            <v>People &amp; Performance</v>
          </cell>
          <cell r="Q372" t="str">
            <v>إدارة الكوادر البشرية والأداء</v>
          </cell>
          <cell r="R372" t="str">
            <v>Employee Relations</v>
          </cell>
          <cell r="S372" t="str">
            <v>شؤون الموظفين</v>
          </cell>
          <cell r="T372" t="str">
            <v/>
          </cell>
          <cell r="U372" t="str">
            <v/>
          </cell>
          <cell r="V372" t="str">
            <v>Abu Dhabi</v>
          </cell>
          <cell r="W372" t="str">
            <v/>
          </cell>
          <cell r="X372" t="str">
            <v>4510220</v>
          </cell>
          <cell r="Y372" t="str">
            <v>People &amp; Performance _Employee Relations _Unit Head</v>
          </cell>
          <cell r="Z372" t="str">
            <v>Unit Head</v>
          </cell>
          <cell r="AA372" t="str">
            <v>3A</v>
          </cell>
        </row>
        <row r="373">
          <cell r="A373">
            <v>894</v>
          </cell>
          <cell r="B373">
            <v>894</v>
          </cell>
          <cell r="C373" t="str">
            <v>A</v>
          </cell>
          <cell r="D373" t="str">
            <v>Majed Mubarak Saeed Almansoori</v>
          </cell>
          <cell r="E373" t="str">
            <v>ماجد مبارك المنصوري</v>
          </cell>
          <cell r="F373">
            <v>41855</v>
          </cell>
          <cell r="G373" t="str">
            <v>10004804</v>
          </cell>
          <cell r="H373" t="str">
            <v>In Destination Operations Officer</v>
          </cell>
          <cell r="I373" t="str">
            <v>ضابط عمليات المكتب الداخلي</v>
          </cell>
          <cell r="J373" t="str">
            <v>On-Chart</v>
          </cell>
          <cell r="K373" t="str">
            <v>DCT Payroll</v>
          </cell>
          <cell r="L373" t="str">
            <v>A1</v>
          </cell>
          <cell r="M373" t="str">
            <v>Department of Culture and Tourism</v>
          </cell>
          <cell r="N373" t="str">
            <v>Tourism</v>
          </cell>
          <cell r="O373" t="str">
            <v>السياحة</v>
          </cell>
          <cell r="P373" t="str">
            <v>Visitors Experience</v>
          </cell>
          <cell r="Q373" t="str">
            <v>تجربة الزوار</v>
          </cell>
          <cell r="R373" t="str">
            <v>Visitors Information Center</v>
          </cell>
          <cell r="S373" t="str">
            <v>مركز معلومات الزوار</v>
          </cell>
          <cell r="T373" t="str">
            <v>Visitors Information Center</v>
          </cell>
          <cell r="U373" t="str">
            <v>مركز معلومات الزوار</v>
          </cell>
          <cell r="V373" t="str">
            <v>Abu Dhabi</v>
          </cell>
          <cell r="W373" t="str">
            <v/>
          </cell>
          <cell r="X373" t="str">
            <v>4515300</v>
          </cell>
          <cell r="Y373" t="str">
            <v>Design_Visitor Experience Design _Professional</v>
          </cell>
          <cell r="Z373" t="str">
            <v>Professional</v>
          </cell>
          <cell r="AA373" t="str">
            <v>4B</v>
          </cell>
        </row>
        <row r="374">
          <cell r="A374">
            <v>895</v>
          </cell>
          <cell r="B374">
            <v>895</v>
          </cell>
          <cell r="C374" t="str">
            <v>A</v>
          </cell>
          <cell r="D374" t="str">
            <v>Aysha Saleh Alghaithi</v>
          </cell>
          <cell r="E374" t="str">
            <v>عائشة صالح الغيثي</v>
          </cell>
          <cell r="F374">
            <v>41861</v>
          </cell>
          <cell r="G374" t="str">
            <v>10010905</v>
          </cell>
          <cell r="H374" t="str">
            <v>Enterprise Data Management Section Head</v>
          </cell>
          <cell r="I374" t="str">
            <v>رئيس قسم إدارة البيانات المؤسسية</v>
          </cell>
          <cell r="J374" t="str">
            <v>On-Chart</v>
          </cell>
          <cell r="K374" t="str">
            <v>DCT Payroll</v>
          </cell>
          <cell r="L374" t="str">
            <v>A1</v>
          </cell>
          <cell r="M374" t="str">
            <v>Department of Culture and Tourism</v>
          </cell>
          <cell r="N374" t="str">
            <v>Strategic Affairs</v>
          </cell>
          <cell r="O374" t="str">
            <v>الشؤون الاستراتيجية</v>
          </cell>
          <cell r="P374" t="str">
            <v>Data &amp; AI Department</v>
          </cell>
          <cell r="Q374" t="str">
            <v>إدارة البيانات والذكاء الاصطناعي</v>
          </cell>
          <cell r="R374" t="str">
            <v>Enterprise Data Management</v>
          </cell>
          <cell r="S374" t="str">
            <v>قسم إدارة البيانات المؤسسية</v>
          </cell>
          <cell r="T374" t="str">
            <v/>
          </cell>
          <cell r="U374" t="str">
            <v/>
          </cell>
          <cell r="V374" t="str">
            <v>Abu Dhabi</v>
          </cell>
          <cell r="W374" t="str">
            <v/>
          </cell>
          <cell r="X374" t="str">
            <v>4512200</v>
          </cell>
          <cell r="Y374" t="str">
            <v>Strategy, Planning, Project Mgt_Business/Market Intelligence  Analysis &amp; Planning _Section Head</v>
          </cell>
          <cell r="Z374" t="str">
            <v>Section Manager</v>
          </cell>
          <cell r="AA374" t="str">
            <v>2A</v>
          </cell>
        </row>
        <row r="375">
          <cell r="A375">
            <v>897</v>
          </cell>
          <cell r="B375">
            <v>897</v>
          </cell>
          <cell r="C375" t="str">
            <v>A</v>
          </cell>
          <cell r="D375" t="str">
            <v>Noura Rashed Alkaabi</v>
          </cell>
          <cell r="E375" t="str">
            <v>نورة راشد الكعبي</v>
          </cell>
          <cell r="F375">
            <v>41844</v>
          </cell>
          <cell r="G375" t="str">
            <v>10007189</v>
          </cell>
          <cell r="H375" t="str">
            <v>Public Engagement Programmes Senior Specialist</v>
          </cell>
          <cell r="I375" t="str">
            <v>أخصائي أول برامج المشاركة المجتمعية</v>
          </cell>
          <cell r="J375" t="str">
            <v>On-Chart</v>
          </cell>
          <cell r="K375" t="str">
            <v>DCT Payroll</v>
          </cell>
          <cell r="L375" t="str">
            <v>A1</v>
          </cell>
          <cell r="M375" t="str">
            <v>Department of Culture and Tourism</v>
          </cell>
          <cell r="N375" t="str">
            <v>Culture</v>
          </cell>
          <cell r="O375" t="str">
            <v>الثقافة</v>
          </cell>
          <cell r="P375" t="str">
            <v>Library Management</v>
          </cell>
          <cell r="Q375" t="str">
            <v>إدارة المكتبات</v>
          </cell>
          <cell r="R375" t="str">
            <v>Zayed Central Library - Al Ain</v>
          </cell>
          <cell r="S375" t="str">
            <v>مكتبة زايد المركزية - العين</v>
          </cell>
          <cell r="T375" t="str">
            <v>Public Engagement</v>
          </cell>
          <cell r="U375" t="str">
            <v>المشاركة المجتمعية</v>
          </cell>
          <cell r="V375" t="str">
            <v>Al Ain</v>
          </cell>
          <cell r="W375" t="str">
            <v/>
          </cell>
          <cell r="X375" t="str">
            <v>4516100</v>
          </cell>
          <cell r="Y375" t="str">
            <v>Operations_Library Operational Management_Senior Professional</v>
          </cell>
          <cell r="Z375" t="str">
            <v>Senior Professional</v>
          </cell>
          <cell r="AA375" t="str">
            <v>3A</v>
          </cell>
        </row>
        <row r="376">
          <cell r="A376">
            <v>899</v>
          </cell>
          <cell r="B376">
            <v>899</v>
          </cell>
          <cell r="C376" t="str">
            <v>A</v>
          </cell>
          <cell r="D376" t="str">
            <v>Khadeeja Husain Alhashmi</v>
          </cell>
          <cell r="E376" t="str">
            <v>خديجة حسين  الهاشمي</v>
          </cell>
          <cell r="F376">
            <v>41868</v>
          </cell>
          <cell r="G376" t="str">
            <v>50002478</v>
          </cell>
          <cell r="H376" t="str">
            <v>Fixed Assets Management Unit Head</v>
          </cell>
          <cell r="I376" t="str">
            <v>رئيس وحدة إدارة الأصول الثابتة</v>
          </cell>
          <cell r="J376" t="str">
            <v>On-Chart</v>
          </cell>
          <cell r="K376" t="str">
            <v>DCT Payroll</v>
          </cell>
          <cell r="L376" t="str">
            <v>A1</v>
          </cell>
          <cell r="M376" t="str">
            <v>Department of Culture and Tourism</v>
          </cell>
          <cell r="N376" t="str">
            <v>Support Services</v>
          </cell>
          <cell r="O376" t="str">
            <v>الخدمات المساندة</v>
          </cell>
          <cell r="P376" t="str">
            <v>Finance</v>
          </cell>
          <cell r="Q376" t="str">
            <v>إدارة المالية</v>
          </cell>
          <cell r="R376" t="str">
            <v>Finance Operations</v>
          </cell>
          <cell r="S376" t="str">
            <v>العمليات المالية</v>
          </cell>
          <cell r="T376" t="str">
            <v>Fixed Assets Management</v>
          </cell>
          <cell r="U376" t="str">
            <v>إدارة الأصول الثابتة</v>
          </cell>
          <cell r="V376" t="str">
            <v>Abu Dhabi</v>
          </cell>
          <cell r="W376" t="str">
            <v/>
          </cell>
          <cell r="X376" t="str">
            <v>4510210</v>
          </cell>
          <cell r="Y376" t="str">
            <v>Finance_Fixed Asset Management _Unit Head</v>
          </cell>
          <cell r="Z376" t="str">
            <v>Unit Head</v>
          </cell>
          <cell r="AA376" t="str">
            <v>3A</v>
          </cell>
        </row>
        <row r="377">
          <cell r="A377">
            <v>901</v>
          </cell>
          <cell r="B377">
            <v>901</v>
          </cell>
          <cell r="C377" t="str">
            <v>A</v>
          </cell>
          <cell r="D377" t="str">
            <v>Fahad Hashem Alhashmi</v>
          </cell>
          <cell r="E377" t="str">
            <v>فهد هاشم  الهاشمي</v>
          </cell>
          <cell r="F377">
            <v>41875</v>
          </cell>
          <cell r="G377" t="str">
            <v>50001722</v>
          </cell>
          <cell r="H377" t="str">
            <v>Revenue Assurance Unit Head (Hotels &amp; Cultural Establishments)</v>
          </cell>
          <cell r="I377" t="str">
            <v>(رئيس وحدة  تدقيق العائدات (الفنادق والمؤسسات الثقافي</v>
          </cell>
          <cell r="J377" t="str">
            <v>On-Chart</v>
          </cell>
          <cell r="K377" t="str">
            <v>DCT Payroll</v>
          </cell>
          <cell r="L377" t="str">
            <v>A1</v>
          </cell>
          <cell r="M377" t="str">
            <v>Department of Culture and Tourism</v>
          </cell>
          <cell r="N377" t="str">
            <v>Tourism</v>
          </cell>
          <cell r="O377" t="str">
            <v>السياحة</v>
          </cell>
          <cell r="P377" t="str">
            <v>Licensing &amp; Regulatory Compliance</v>
          </cell>
          <cell r="Q377" t="str">
            <v>الرقابة والترخيص</v>
          </cell>
          <cell r="R377" t="str">
            <v>Revenue Assurance</v>
          </cell>
          <cell r="S377" t="str">
            <v>تدقيق العائدات</v>
          </cell>
          <cell r="T377" t="str">
            <v>Revenue Assurance (Hotels &amp; Cultural Establishments)</v>
          </cell>
          <cell r="U377" t="str">
            <v>( وحدة  تدقيق العائدات (الفنادق والمؤسسات الثقافية</v>
          </cell>
          <cell r="V377" t="str">
            <v>Abu Dhabi</v>
          </cell>
          <cell r="W377" t="str">
            <v/>
          </cell>
          <cell r="X377" t="str">
            <v>4510170</v>
          </cell>
          <cell r="Y377" t="str">
            <v>Senior Specialization Governance &amp; Compliance</v>
          </cell>
          <cell r="Z377" t="str">
            <v>Unit Head</v>
          </cell>
          <cell r="AA377" t="str">
            <v>3A</v>
          </cell>
        </row>
        <row r="378">
          <cell r="A378">
            <v>903</v>
          </cell>
          <cell r="B378">
            <v>903</v>
          </cell>
          <cell r="C378" t="str">
            <v>A</v>
          </cell>
          <cell r="D378" t="str">
            <v>Abdulla Ismaeil Alblooshi</v>
          </cell>
          <cell r="E378" t="str">
            <v>عبدالله اسماعيل البلوشي</v>
          </cell>
          <cell r="F378">
            <v>41889</v>
          </cell>
          <cell r="G378" t="str">
            <v>10004861</v>
          </cell>
          <cell r="H378" t="str">
            <v>Visitor Information Center Unit Head</v>
          </cell>
          <cell r="I378" t="str">
            <v>رئيس وحدة مركز معلومات الزوار</v>
          </cell>
          <cell r="J378" t="str">
            <v>On-Chart</v>
          </cell>
          <cell r="K378" t="str">
            <v>DCT Payroll</v>
          </cell>
          <cell r="L378" t="str">
            <v>A1</v>
          </cell>
          <cell r="M378" t="str">
            <v>Department of Culture and Tourism</v>
          </cell>
          <cell r="N378" t="str">
            <v>Tourism</v>
          </cell>
          <cell r="O378" t="str">
            <v>السياحة</v>
          </cell>
          <cell r="P378" t="str">
            <v>Visitors Experience</v>
          </cell>
          <cell r="Q378" t="str">
            <v>تجربة الزوار</v>
          </cell>
          <cell r="R378" t="str">
            <v>Visitors Information Center</v>
          </cell>
          <cell r="S378" t="str">
            <v>مركز معلومات الزوار</v>
          </cell>
          <cell r="T378" t="str">
            <v>Visitors Information Center</v>
          </cell>
          <cell r="U378" t="str">
            <v>مركز معلومات الزوار</v>
          </cell>
          <cell r="V378" t="str">
            <v>Abu Dhabi</v>
          </cell>
          <cell r="W378" t="str">
            <v/>
          </cell>
          <cell r="X378" t="str">
            <v>4515300</v>
          </cell>
          <cell r="Y378" t="str">
            <v>Design_Visitor Experience Design_Unit Head</v>
          </cell>
          <cell r="Z378" t="str">
            <v>Unit Head</v>
          </cell>
          <cell r="AA378" t="str">
            <v>3A</v>
          </cell>
        </row>
        <row r="379">
          <cell r="A379">
            <v>906</v>
          </cell>
          <cell r="B379">
            <v>906</v>
          </cell>
          <cell r="C379" t="str">
            <v>A</v>
          </cell>
          <cell r="D379" t="str">
            <v>Baraa Husain Fadaaq</v>
          </cell>
          <cell r="E379" t="str">
            <v>براءة حسين  فدعق</v>
          </cell>
          <cell r="F379">
            <v>41889</v>
          </cell>
          <cell r="G379" t="str">
            <v>50002789</v>
          </cell>
          <cell r="H379" t="str">
            <v>Sourcing Unit Head</v>
          </cell>
          <cell r="I379" t="str">
            <v>رئيس وحدة توريد المشتريات</v>
          </cell>
          <cell r="J379" t="str">
            <v>On-Chart</v>
          </cell>
          <cell r="K379" t="str">
            <v>MSS Direct Hires</v>
          </cell>
          <cell r="L379" t="str">
            <v>M1</v>
          </cell>
          <cell r="M379" t="str">
            <v>Department of Culture and Tourism</v>
          </cell>
          <cell r="N379" t="str">
            <v>Museums Shared Services</v>
          </cell>
          <cell r="O379" t="str">
            <v>الخدمات المشتركة للمتاحف</v>
          </cell>
          <cell r="P379" t="str">
            <v>Supply Management - MSS</v>
          </cell>
          <cell r="Q379" t="str">
            <v>إدارة الإمداد - الخدمات المشتركة للمتاحف</v>
          </cell>
          <cell r="R379" t="str">
            <v>Supply Management Operations Section</v>
          </cell>
          <cell r="S379" t="str">
            <v>قسم عمليات إدارة الإمداد</v>
          </cell>
          <cell r="T379" t="str">
            <v>Sourcing Unit</v>
          </cell>
          <cell r="U379" t="str">
            <v>وحدة التوريد</v>
          </cell>
          <cell r="V379" t="str">
            <v>Abu Dhabi</v>
          </cell>
          <cell r="W379" t="str">
            <v/>
          </cell>
          <cell r="X379" t="str">
            <v>4514160</v>
          </cell>
          <cell r="Y379" t="str">
            <v>Procurement_Procurement General _Unit Head</v>
          </cell>
          <cell r="Z379" t="str">
            <v>Unit Head</v>
          </cell>
          <cell r="AA379" t="str">
            <v>3A</v>
          </cell>
        </row>
        <row r="380">
          <cell r="A380">
            <v>921</v>
          </cell>
          <cell r="B380">
            <v>921</v>
          </cell>
          <cell r="C380" t="str">
            <v>A</v>
          </cell>
          <cell r="D380" t="str">
            <v>Fatema Salem Alhosani</v>
          </cell>
          <cell r="E380" t="str">
            <v>فاطمة سالم الحوسني</v>
          </cell>
          <cell r="F380">
            <v>41931</v>
          </cell>
          <cell r="G380" t="str">
            <v>10011458</v>
          </cell>
          <cell r="H380" t="str">
            <v>Strategic Partnerships Lead</v>
          </cell>
          <cell r="I380" t="str">
            <v>أخصائي رئيسي الشراكات الاستراتيجية</v>
          </cell>
          <cell r="J380" t="str">
            <v>On-Chart</v>
          </cell>
          <cell r="K380" t="str">
            <v>DCT Payroll</v>
          </cell>
          <cell r="L380" t="str">
            <v>A1</v>
          </cell>
          <cell r="M380" t="str">
            <v>Department of Culture and Tourism</v>
          </cell>
          <cell r="N380" t="str">
            <v>Strategic Affairs</v>
          </cell>
          <cell r="O380" t="str">
            <v>الشؤون الاستراتيجية</v>
          </cell>
          <cell r="P380" t="str">
            <v>Strategic Planning</v>
          </cell>
          <cell r="Q380" t="str">
            <v>التخطيط الاستراتيجي</v>
          </cell>
          <cell r="R380" t="str">
            <v>Strategic Partnerships</v>
          </cell>
          <cell r="S380" t="str">
            <v>الشراكات الاستراتيجية</v>
          </cell>
          <cell r="T380" t="str">
            <v/>
          </cell>
          <cell r="U380" t="str">
            <v/>
          </cell>
          <cell r="V380" t="str">
            <v>Abu Dhabi</v>
          </cell>
          <cell r="W380" t="str">
            <v/>
          </cell>
          <cell r="X380" t="str">
            <v>4512100</v>
          </cell>
          <cell r="Y380" t="str">
            <v>Strategy, Planning, Project Mgt_Visitor Experience Monitoring _Section Head</v>
          </cell>
          <cell r="Z380" t="str">
            <v>Unit Head</v>
          </cell>
          <cell r="AA380" t="str">
            <v>3A</v>
          </cell>
        </row>
        <row r="381">
          <cell r="A381">
            <v>922</v>
          </cell>
          <cell r="B381">
            <v>922</v>
          </cell>
          <cell r="C381" t="str">
            <v>A</v>
          </cell>
          <cell r="D381" t="str">
            <v>Almas Naseem</v>
          </cell>
          <cell r="E381" t="str">
            <v>الماس  نسيم</v>
          </cell>
          <cell r="F381">
            <v>41945</v>
          </cell>
          <cell r="G381" t="str">
            <v>10008726</v>
          </cell>
          <cell r="H381" t="str">
            <v>Senior  English Editor</v>
          </cell>
          <cell r="I381" t="str">
            <v>محرر أول باللغة الإنجليزية</v>
          </cell>
          <cell r="J381" t="str">
            <v>On-Chart</v>
          </cell>
          <cell r="K381" t="str">
            <v>DCT Payroll</v>
          </cell>
          <cell r="L381" t="str">
            <v>A1</v>
          </cell>
          <cell r="M381" t="str">
            <v>Department of Culture and Tourism</v>
          </cell>
          <cell r="N381" t="str">
            <v>Strategic Marketing &amp; Communication</v>
          </cell>
          <cell r="O381" t="str">
            <v>التسويق والاتصال الاستراتيجي</v>
          </cell>
          <cell r="P381" t="str">
            <v>Creative &amp; Production</v>
          </cell>
          <cell r="Q381" t="str">
            <v>الإبداع والإنتاج</v>
          </cell>
          <cell r="R381" t="str">
            <v>Creative Content</v>
          </cell>
          <cell r="S381" t="str">
            <v>المحتوى الإبداعي</v>
          </cell>
          <cell r="T381" t="str">
            <v>Editorial</v>
          </cell>
          <cell r="U381" t="str">
            <v>التحرير</v>
          </cell>
          <cell r="V381" t="str">
            <v>Abu Dhabi</v>
          </cell>
          <cell r="W381" t="str">
            <v/>
          </cell>
          <cell r="X381" t="str">
            <v>4513110</v>
          </cell>
          <cell r="Y381" t="str">
            <v>Specialization Marketing &amp; Communications</v>
          </cell>
          <cell r="Z381" t="str">
            <v>Professional</v>
          </cell>
          <cell r="AA381" t="str">
            <v>3A</v>
          </cell>
        </row>
        <row r="382">
          <cell r="A382">
            <v>923</v>
          </cell>
          <cell r="B382">
            <v>923</v>
          </cell>
          <cell r="C382" t="str">
            <v>A</v>
          </cell>
          <cell r="D382" t="str">
            <v>Amal Abdulla Alshamsi</v>
          </cell>
          <cell r="E382" t="str">
            <v>أمل عبدالله الشامسي</v>
          </cell>
          <cell r="F382">
            <v>41945</v>
          </cell>
          <cell r="G382" t="str">
            <v>10010173</v>
          </cell>
          <cell r="H382" t="str">
            <v>Visitor Experience Supervisor</v>
          </cell>
          <cell r="I382" t="str">
            <v>مشرف تجربة الزوار</v>
          </cell>
          <cell r="J382" t="str">
            <v>On-Chart</v>
          </cell>
          <cell r="K382" t="str">
            <v>DCT Payroll</v>
          </cell>
          <cell r="L382" t="str">
            <v>A1</v>
          </cell>
          <cell r="M382" t="str">
            <v>Department of Culture and Tourism</v>
          </cell>
          <cell r="N382" t="str">
            <v>Culture</v>
          </cell>
          <cell r="O382" t="str">
            <v>الثقافة</v>
          </cell>
          <cell r="P382" t="str">
            <v>Culture Sites Management</v>
          </cell>
          <cell r="Q382" t="str">
            <v>إدارة المواقع الثقافية</v>
          </cell>
          <cell r="R382" t="str">
            <v>Al Ain Historical Sites</v>
          </cell>
          <cell r="S382" t="str">
            <v>مواقع العين التاريخية</v>
          </cell>
          <cell r="T382" t="str">
            <v>Al Jahili Fort</v>
          </cell>
          <cell r="U382" t="str">
            <v>قلعة الجاهلي</v>
          </cell>
          <cell r="V382" t="str">
            <v>Al Ain</v>
          </cell>
          <cell r="W382" t="str">
            <v/>
          </cell>
          <cell r="X382" t="str">
            <v>4511250</v>
          </cell>
          <cell r="Y382" t="str">
            <v>Compliance,Governance&amp;Protocol_Policy (Culture/Tourism _Senior Professional</v>
          </cell>
          <cell r="Z382" t="str">
            <v>Senior Professional</v>
          </cell>
          <cell r="AA382" t="str">
            <v>3A</v>
          </cell>
        </row>
        <row r="383">
          <cell r="A383">
            <v>928</v>
          </cell>
          <cell r="B383">
            <v>928</v>
          </cell>
          <cell r="C383" t="str">
            <v>A</v>
          </cell>
          <cell r="D383" t="str">
            <v>Irum Fawad Siddiqui</v>
          </cell>
          <cell r="E383" t="str">
            <v>آرم فؤاد صديقي</v>
          </cell>
          <cell r="F383">
            <v>41952</v>
          </cell>
          <cell r="G383" t="str">
            <v>50000469</v>
          </cell>
          <cell r="H383" t="str">
            <v>Outreach &amp; Partnerships Programme Section Head</v>
          </cell>
          <cell r="I383" t="str">
            <v>رئيس قسم برنامج التوعية والشراكات</v>
          </cell>
          <cell r="J383" t="str">
            <v>On-Chart</v>
          </cell>
          <cell r="K383" t="str">
            <v>ALC Direct Hires</v>
          </cell>
          <cell r="L383" t="str">
            <v>AL1</v>
          </cell>
          <cell r="M383" t="str">
            <v>Abu Dhabi Arabic Language Centre</v>
          </cell>
          <cell r="N383" t="str">
            <v>Abu Dhabi Arabic Language Centre</v>
          </cell>
          <cell r="O383" t="str">
            <v>مركز أبوظبي للغة العربية</v>
          </cell>
          <cell r="P383" t="str">
            <v>Literature Awards</v>
          </cell>
          <cell r="Q383" t="str">
            <v>الجوائز الأدبية</v>
          </cell>
          <cell r="R383" t="str">
            <v>Outreach &amp; Partnerships</v>
          </cell>
          <cell r="S383" t="str">
            <v>التوعية والشراكات</v>
          </cell>
          <cell r="T383" t="str">
            <v/>
          </cell>
          <cell r="U383" t="str">
            <v/>
          </cell>
          <cell r="V383" t="str">
            <v>Abu Dhabi</v>
          </cell>
          <cell r="W383" t="str">
            <v/>
          </cell>
          <cell r="X383" t="str">
            <v>4519201</v>
          </cell>
          <cell r="Y383" t="str">
            <v>Interpretation &amp; Engagement_Literature Award Nominations_Section Manager</v>
          </cell>
          <cell r="Z383" t="str">
            <v>Section Manager</v>
          </cell>
          <cell r="AA383" t="str">
            <v>2A</v>
          </cell>
        </row>
        <row r="384">
          <cell r="A384">
            <v>929</v>
          </cell>
          <cell r="B384">
            <v>929</v>
          </cell>
          <cell r="C384" t="str">
            <v>A</v>
          </cell>
          <cell r="D384" t="str">
            <v>Hamdan Mubarak Binhaidarah  Al Tamimi</v>
          </cell>
          <cell r="E384" t="str">
            <v>حمدان مبارك بن حيدره التميمي</v>
          </cell>
          <cell r="F384">
            <v>41953</v>
          </cell>
          <cell r="G384" t="str">
            <v>50002029</v>
          </cell>
          <cell r="H384" t="str">
            <v>Employee Relations Section Head</v>
          </cell>
          <cell r="I384" t="str">
            <v>رئيس قسم شؤون الموظفين​</v>
          </cell>
          <cell r="J384" t="str">
            <v>On-Chart</v>
          </cell>
          <cell r="K384" t="str">
            <v>DCT Payroll</v>
          </cell>
          <cell r="L384" t="str">
            <v>A1</v>
          </cell>
          <cell r="M384" t="str">
            <v>Department of Culture and Tourism</v>
          </cell>
          <cell r="N384" t="str">
            <v>Support Services</v>
          </cell>
          <cell r="O384" t="str">
            <v>الخدمات المساندة</v>
          </cell>
          <cell r="P384" t="str">
            <v>People &amp; Performance</v>
          </cell>
          <cell r="Q384" t="str">
            <v>إدارة الكوادر البشرية والأداء</v>
          </cell>
          <cell r="R384" t="str">
            <v>Employee Relations</v>
          </cell>
          <cell r="S384" t="str">
            <v>شؤون الموظفين</v>
          </cell>
          <cell r="T384" t="str">
            <v/>
          </cell>
          <cell r="U384" t="str">
            <v/>
          </cell>
          <cell r="V384" t="str">
            <v>Abu Dhabi</v>
          </cell>
          <cell r="W384" t="str">
            <v/>
          </cell>
          <cell r="X384" t="str">
            <v>4510220</v>
          </cell>
          <cell r="Y384" t="str">
            <v>People &amp; Performance _Employee Experience _Section Head</v>
          </cell>
          <cell r="Z384" t="str">
            <v>Section Manager</v>
          </cell>
          <cell r="AA384" t="str">
            <v>2A</v>
          </cell>
        </row>
        <row r="385">
          <cell r="A385">
            <v>933</v>
          </cell>
          <cell r="B385">
            <v>933</v>
          </cell>
          <cell r="C385" t="str">
            <v>A</v>
          </cell>
          <cell r="D385" t="str">
            <v>Shaikha Juma Aldhaheri</v>
          </cell>
          <cell r="E385" t="str">
            <v>شيخة جمعة  الظاهري</v>
          </cell>
          <cell r="F385">
            <v>41980</v>
          </cell>
          <cell r="G385" t="str">
            <v>10004851</v>
          </cell>
          <cell r="H385" t="str">
            <v>Employee Relations Senior Specialist</v>
          </cell>
          <cell r="I385" t="str">
            <v>أخصائي أول شؤون الموظفين</v>
          </cell>
          <cell r="J385" t="str">
            <v>On-Chart</v>
          </cell>
          <cell r="K385" t="str">
            <v>DCT Payroll</v>
          </cell>
          <cell r="L385" t="str">
            <v>A1</v>
          </cell>
          <cell r="M385" t="str">
            <v>Department of Culture and Tourism</v>
          </cell>
          <cell r="N385" t="str">
            <v>Support Services</v>
          </cell>
          <cell r="O385" t="str">
            <v>الخدمات المساندة</v>
          </cell>
          <cell r="P385" t="str">
            <v>People &amp; Performance</v>
          </cell>
          <cell r="Q385" t="str">
            <v>إدارة الكوادر البشرية والأداء</v>
          </cell>
          <cell r="R385" t="str">
            <v>Employee Relations</v>
          </cell>
          <cell r="S385" t="str">
            <v>شؤون الموظفين</v>
          </cell>
          <cell r="T385" t="str">
            <v>Employee Relations</v>
          </cell>
          <cell r="U385" t="str">
            <v>شؤون الموظفين</v>
          </cell>
          <cell r="V385" t="str">
            <v>Abu Dhabi</v>
          </cell>
          <cell r="W385" t="str">
            <v/>
          </cell>
          <cell r="X385" t="str">
            <v>4510220</v>
          </cell>
          <cell r="Y385" t="str">
            <v>People &amp; Performance _Employee Relations_Senior Professional</v>
          </cell>
          <cell r="Z385" t="str">
            <v>Senior Professional</v>
          </cell>
          <cell r="AA385" t="str">
            <v>3A</v>
          </cell>
        </row>
        <row r="386">
          <cell r="A386">
            <v>934</v>
          </cell>
          <cell r="B386">
            <v>934</v>
          </cell>
          <cell r="C386" t="str">
            <v>A</v>
          </cell>
          <cell r="D386" t="str">
            <v>Nasser Mohammed Aldhaheri</v>
          </cell>
          <cell r="E386" t="str">
            <v>ناصر محمد الظاهري</v>
          </cell>
          <cell r="F386">
            <v>41981</v>
          </cell>
          <cell r="G386" t="str">
            <v>10004988</v>
          </cell>
          <cell r="H386" t="str">
            <v>Al Dhafra Destination Management Lead</v>
          </cell>
          <cell r="I386" t="str">
            <v>رئيس قسم إدارة وجهة منطقة الظفرة</v>
          </cell>
          <cell r="J386" t="str">
            <v>On-Chart</v>
          </cell>
          <cell r="K386" t="str">
            <v>DCT Payroll</v>
          </cell>
          <cell r="L386" t="str">
            <v>A1</v>
          </cell>
          <cell r="M386" t="str">
            <v>Department of Culture and Tourism</v>
          </cell>
          <cell r="N386" t="str">
            <v>Tourism</v>
          </cell>
          <cell r="O386" t="str">
            <v>السياحة</v>
          </cell>
          <cell r="P386" t="str">
            <v>Destinations Management Department</v>
          </cell>
          <cell r="Q386" t="str">
            <v>إدارة الوجهات</v>
          </cell>
          <cell r="R386" t="str">
            <v>Al Dhafra Destination Management Section</v>
          </cell>
          <cell r="S386" t="str">
            <v>رئيس قسم إدارة وجهة منطقة الظفرة</v>
          </cell>
          <cell r="T386" t="str">
            <v/>
          </cell>
          <cell r="U386" t="str">
            <v/>
          </cell>
          <cell r="V386" t="str">
            <v>Abu Dhabi</v>
          </cell>
          <cell r="W386" t="str">
            <v/>
          </cell>
          <cell r="X386" t="str">
            <v>4515700</v>
          </cell>
          <cell r="Y386" t="str">
            <v>Commercial _Travel Trade &amp; Tourism  Market Development _Unit Head</v>
          </cell>
          <cell r="Z386" t="str">
            <v>Unit Head</v>
          </cell>
          <cell r="AA386" t="str">
            <v>3A</v>
          </cell>
        </row>
        <row r="387">
          <cell r="A387">
            <v>935</v>
          </cell>
          <cell r="B387">
            <v>935</v>
          </cell>
          <cell r="C387" t="str">
            <v>A</v>
          </cell>
          <cell r="D387" t="str">
            <v>Ahmed Mohamed Aljunaibi</v>
          </cell>
          <cell r="E387" t="str">
            <v>أحمد محمد الجنيبي</v>
          </cell>
          <cell r="F387">
            <v>41987</v>
          </cell>
          <cell r="G387" t="str">
            <v>50000896</v>
          </cell>
          <cell r="H387" t="str">
            <v>Library Officer</v>
          </cell>
          <cell r="I387" t="str">
            <v>ضابط شؤون المكتبة</v>
          </cell>
          <cell r="J387" t="str">
            <v>On-Chart</v>
          </cell>
          <cell r="K387" t="str">
            <v>DCT Payroll</v>
          </cell>
          <cell r="L387" t="str">
            <v>A1</v>
          </cell>
          <cell r="M387" t="str">
            <v>Department of Culture and Tourism</v>
          </cell>
          <cell r="N387" t="str">
            <v>Culture</v>
          </cell>
          <cell r="O387" t="str">
            <v>الثقافة</v>
          </cell>
          <cell r="P387" t="str">
            <v>Library Management</v>
          </cell>
          <cell r="Q387" t="str">
            <v>إدارة المكتبات</v>
          </cell>
          <cell r="R387" t="str">
            <v>Branches Library</v>
          </cell>
          <cell r="S387" t="str">
            <v>فروع المكتبات</v>
          </cell>
          <cell r="T387" t="str">
            <v>Al Marfaa Library</v>
          </cell>
          <cell r="U387" t="str">
            <v>مكتبة المرفى</v>
          </cell>
          <cell r="V387" t="str">
            <v>Abu Dhabi</v>
          </cell>
          <cell r="W387" t="str">
            <v/>
          </cell>
          <cell r="X387" t="str">
            <v>4516100</v>
          </cell>
          <cell r="Y387" t="str">
            <v>Interpretation &amp; Engagement_Library Service Delivery (Librarian)_Professional</v>
          </cell>
          <cell r="Z387" t="str">
            <v>Professional</v>
          </cell>
          <cell r="AA387" t="str">
            <v>4A</v>
          </cell>
        </row>
        <row r="388">
          <cell r="A388">
            <v>940</v>
          </cell>
          <cell r="B388">
            <v>940</v>
          </cell>
          <cell r="C388" t="str">
            <v>A</v>
          </cell>
          <cell r="D388" t="str">
            <v>Fatima Sultan Alkuwaiti</v>
          </cell>
          <cell r="E388" t="str">
            <v>فاطمة سلطان الكويتي</v>
          </cell>
          <cell r="F388">
            <v>42008</v>
          </cell>
          <cell r="G388" t="str">
            <v>50001876</v>
          </cell>
          <cell r="H388" t="str">
            <v>Public Engagement Programmes Senior Specialist</v>
          </cell>
          <cell r="I388" t="str">
            <v>أخصائي أول برامج المشاركة المجتمعية</v>
          </cell>
          <cell r="J388" t="str">
            <v>On-Chart</v>
          </cell>
          <cell r="K388" t="str">
            <v>DCT Payroll</v>
          </cell>
          <cell r="L388" t="str">
            <v>A1</v>
          </cell>
          <cell r="M388" t="str">
            <v>Department of Culture and Tourism</v>
          </cell>
          <cell r="N388" t="str">
            <v>Culture</v>
          </cell>
          <cell r="O388" t="str">
            <v>الثقافة</v>
          </cell>
          <cell r="P388" t="str">
            <v>Library Management</v>
          </cell>
          <cell r="Q388" t="str">
            <v>إدارة المكتبات</v>
          </cell>
          <cell r="R388" t="str">
            <v>Zayed Central Library - Al Ain</v>
          </cell>
          <cell r="S388" t="str">
            <v>مكتبة زايد المركزية - العين</v>
          </cell>
          <cell r="T388" t="str">
            <v>Public Engagement</v>
          </cell>
          <cell r="U388" t="str">
            <v>المشاركة المجتمعية</v>
          </cell>
          <cell r="V388" t="str">
            <v>Al Ain</v>
          </cell>
          <cell r="W388" t="str">
            <v/>
          </cell>
          <cell r="X388" t="str">
            <v>4516100</v>
          </cell>
          <cell r="Y388" t="str">
            <v>Operations_Library Operational Management_Senior Professional</v>
          </cell>
          <cell r="Z388" t="str">
            <v>Senior Professional</v>
          </cell>
          <cell r="AA388" t="str">
            <v>3B</v>
          </cell>
        </row>
        <row r="389">
          <cell r="A389">
            <v>941</v>
          </cell>
          <cell r="B389">
            <v>941</v>
          </cell>
          <cell r="C389" t="str">
            <v>A</v>
          </cell>
          <cell r="D389" t="str">
            <v>Khaled Sulaiman Alshamsi</v>
          </cell>
          <cell r="E389" t="str">
            <v>خالد سليمان الشامسي</v>
          </cell>
          <cell r="F389">
            <v>42008</v>
          </cell>
          <cell r="G389" t="str">
            <v>50003987</v>
          </cell>
          <cell r="H389" t="str">
            <v>Senior Inspector</v>
          </cell>
          <cell r="I389" t="str">
            <v/>
          </cell>
          <cell r="J389" t="str">
            <v>On-Chart</v>
          </cell>
          <cell r="K389" t="str">
            <v>DCT Payroll</v>
          </cell>
          <cell r="L389" t="str">
            <v>A1</v>
          </cell>
          <cell r="M389" t="str">
            <v>Department of Culture and Tourism</v>
          </cell>
          <cell r="N389" t="str">
            <v>Tourism</v>
          </cell>
          <cell r="O389" t="str">
            <v>السياحة</v>
          </cell>
          <cell r="P389" t="str">
            <v>Licensing &amp; Regulatory Compliance</v>
          </cell>
          <cell r="Q389" t="str">
            <v>الرقابة والترخيص</v>
          </cell>
          <cell r="R389" t="str">
            <v>Abu Dhabi Inspection</v>
          </cell>
          <cell r="S389" t="str">
            <v>التفتيش</v>
          </cell>
          <cell r="T389" t="str">
            <v>Abu Dhabi Inspection</v>
          </cell>
          <cell r="U389" t="str">
            <v>التفتيش لأبوظبي</v>
          </cell>
          <cell r="V389" t="str">
            <v>Abu Dhabi</v>
          </cell>
          <cell r="W389" t="str">
            <v/>
          </cell>
          <cell r="X389" t="str">
            <v>4510170</v>
          </cell>
          <cell r="Y389" t="str">
            <v>Compliance,Governance&amp;Protocol_Inspector _Senior Professional</v>
          </cell>
          <cell r="Z389" t="str">
            <v>Senior Professional</v>
          </cell>
          <cell r="AA389" t="str">
            <v>3C</v>
          </cell>
        </row>
        <row r="390">
          <cell r="A390">
            <v>942</v>
          </cell>
          <cell r="B390">
            <v>942</v>
          </cell>
          <cell r="C390" t="str">
            <v>A</v>
          </cell>
          <cell r="D390" t="str">
            <v>Mariam Saleh Aldhaheri</v>
          </cell>
          <cell r="E390" t="str">
            <v>مريم صالح الظاهري</v>
          </cell>
          <cell r="F390">
            <v>42008</v>
          </cell>
          <cell r="G390" t="str">
            <v>50001314</v>
          </cell>
          <cell r="H390" t="str">
            <v>Curatorial Assistant</v>
          </cell>
          <cell r="I390" t="str">
            <v>مساعد امين متحف</v>
          </cell>
          <cell r="J390" t="str">
            <v>On-Chart</v>
          </cell>
          <cell r="K390" t="str">
            <v>MSS Direct Hires</v>
          </cell>
          <cell r="L390" t="str">
            <v>M1</v>
          </cell>
          <cell r="M390" t="str">
            <v>Louvre Abu Dhabi</v>
          </cell>
          <cell r="N390" t="str">
            <v>Louvre Abu Dhabi</v>
          </cell>
          <cell r="O390" t="str">
            <v>متحف اللوفر أبوظبي</v>
          </cell>
          <cell r="P390" t="str">
            <v>Scientific, Curatorial &amp; Collection Management</v>
          </cell>
          <cell r="Q390" t="str">
            <v>إدارة المقتنيات العلمية والتنظيمية</v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>Abu Dhabi</v>
          </cell>
          <cell r="W390" t="str">
            <v/>
          </cell>
          <cell r="X390" t="str">
            <v>4510122</v>
          </cell>
          <cell r="Y390" t="str">
            <v>Content &amp; Care_Curatorial  Management  _Professional</v>
          </cell>
          <cell r="Z390" t="str">
            <v>Professional</v>
          </cell>
          <cell r="AA390" t="str">
            <v>3A</v>
          </cell>
        </row>
        <row r="391">
          <cell r="A391">
            <v>943</v>
          </cell>
          <cell r="B391">
            <v>943</v>
          </cell>
          <cell r="C391" t="str">
            <v>A</v>
          </cell>
          <cell r="D391" t="str">
            <v>Salem Ahmed Mubarak</v>
          </cell>
          <cell r="E391" t="str">
            <v>سالم أحمد مبارك</v>
          </cell>
          <cell r="F391">
            <v>42008</v>
          </cell>
          <cell r="G391" t="str">
            <v>50001076</v>
          </cell>
          <cell r="H391" t="str">
            <v>Collections Development &amp; Acquisition Unit Head</v>
          </cell>
          <cell r="I391" t="str">
            <v>رئيس وحدة التزويد وإدارة المقتنيات</v>
          </cell>
          <cell r="J391" t="str">
            <v>On-Chart</v>
          </cell>
          <cell r="K391" t="str">
            <v>ALC Direct Hires</v>
          </cell>
          <cell r="L391" t="str">
            <v>AL1</v>
          </cell>
          <cell r="M391" t="str">
            <v>Abu Dhabi Arabic Language Centre</v>
          </cell>
          <cell r="N391" t="str">
            <v>Abu Dhabi Arabic Language Centre</v>
          </cell>
          <cell r="O391" t="str">
            <v>مركز أبوظبي للغة العربية</v>
          </cell>
          <cell r="P391" t="str">
            <v>Specialized Library</v>
          </cell>
          <cell r="Q391" t="str">
            <v>المكتبات المتخصصة</v>
          </cell>
          <cell r="R391" t="str">
            <v>Technical Services - ALC</v>
          </cell>
          <cell r="S391" t="str">
            <v>الخدمات الفنية</v>
          </cell>
          <cell r="T391" t="str">
            <v>Collections Development &amp; Acquisition</v>
          </cell>
          <cell r="U391" t="str">
            <v>التزويد وإدارة المقتنيات</v>
          </cell>
          <cell r="V391" t="str">
            <v>Abu Dhabi</v>
          </cell>
          <cell r="W391" t="str">
            <v/>
          </cell>
          <cell r="X391" t="str">
            <v>4519202</v>
          </cell>
          <cell r="Y391" t="str">
            <v>Senior Specialization Content &amp; Care</v>
          </cell>
          <cell r="Z391" t="str">
            <v>Unit Head</v>
          </cell>
          <cell r="AA391" t="str">
            <v>3A</v>
          </cell>
        </row>
        <row r="392">
          <cell r="A392">
            <v>947</v>
          </cell>
          <cell r="B392">
            <v>947</v>
          </cell>
          <cell r="C392" t="str">
            <v>A</v>
          </cell>
          <cell r="D392" t="str">
            <v>Eida Rashed Aldhaheri</v>
          </cell>
          <cell r="E392" t="str">
            <v>عيده راشد الظاهري</v>
          </cell>
          <cell r="F392">
            <v>42015</v>
          </cell>
          <cell r="G392" t="str">
            <v>10110033</v>
          </cell>
          <cell r="H392" t="str">
            <v>Children Services Senior Specialist</v>
          </cell>
          <cell r="I392" t="str">
            <v>اخصائي أول خدمات الأطفال</v>
          </cell>
          <cell r="J392" t="str">
            <v>On-Chart</v>
          </cell>
          <cell r="K392" t="str">
            <v>DCT Payroll</v>
          </cell>
          <cell r="L392" t="str">
            <v>A1</v>
          </cell>
          <cell r="M392" t="str">
            <v>Department of Culture and Tourism</v>
          </cell>
          <cell r="N392" t="str">
            <v>Culture</v>
          </cell>
          <cell r="O392" t="str">
            <v>الثقافة</v>
          </cell>
          <cell r="P392" t="str">
            <v>Library Management</v>
          </cell>
          <cell r="Q392" t="str">
            <v>إدارة المكتبات</v>
          </cell>
          <cell r="R392" t="str">
            <v>Zayed Central Library - Al Ain</v>
          </cell>
          <cell r="S392" t="str">
            <v>مكتبة زايد المركزية - العين</v>
          </cell>
          <cell r="T392" t="str">
            <v>Children Services</v>
          </cell>
          <cell r="U392" t="str">
            <v>خدمات الأطفال</v>
          </cell>
          <cell r="V392" t="str">
            <v>Abu Dhabi</v>
          </cell>
          <cell r="W392" t="str">
            <v/>
          </cell>
          <cell r="X392" t="str">
            <v>4516100</v>
          </cell>
          <cell r="Y392" t="str">
            <v>Operations_Library Operational Management_Senior Professional</v>
          </cell>
          <cell r="Z392" t="str">
            <v>Senior Professional</v>
          </cell>
          <cell r="AA392" t="str">
            <v>3A</v>
          </cell>
        </row>
        <row r="393">
          <cell r="A393">
            <v>950</v>
          </cell>
          <cell r="B393">
            <v>950</v>
          </cell>
          <cell r="C393" t="str">
            <v>A</v>
          </cell>
          <cell r="D393" t="str">
            <v>Maryam Ali AlMeqbaali</v>
          </cell>
          <cell r="E393" t="str">
            <v>مريم علي المقبالي</v>
          </cell>
          <cell r="F393">
            <v>42015</v>
          </cell>
          <cell r="G393" t="str">
            <v>10006597</v>
          </cell>
          <cell r="H393" t="str">
            <v>Strategic Outreach and Business Development Section Head</v>
          </cell>
          <cell r="I393" t="str">
            <v>رئيس قسم التوعية الاستراتيجية وتطوير الأعمال</v>
          </cell>
          <cell r="J393" t="str">
            <v>On-Chart</v>
          </cell>
          <cell r="K393" t="str">
            <v>ALC Direct Hires</v>
          </cell>
          <cell r="L393" t="str">
            <v>AL1</v>
          </cell>
          <cell r="M393" t="str">
            <v>Abu Dhabi Arabic Language Centre</v>
          </cell>
          <cell r="N393" t="str">
            <v>Abu Dhabi Arabic Language Centre</v>
          </cell>
          <cell r="O393" t="str">
            <v>مركز أبوظبي للغة العربية</v>
          </cell>
          <cell r="P393" t="str">
            <v>Strategic Planning Office - ALC</v>
          </cell>
          <cell r="Q393" t="str">
            <v>مكتب التخطيط الاستراتيجي</v>
          </cell>
          <cell r="R393" t="str">
            <v>Strategic Alliances &amp; Outreach</v>
          </cell>
          <cell r="S393" t="str">
            <v>الاتفاقيات الاستراتيجية والتوعية</v>
          </cell>
          <cell r="T393" t="str">
            <v/>
          </cell>
          <cell r="U393" t="str">
            <v/>
          </cell>
          <cell r="V393" t="str">
            <v>Abu Dhabi</v>
          </cell>
          <cell r="W393" t="str">
            <v/>
          </cell>
          <cell r="X393" t="str">
            <v>4519203</v>
          </cell>
          <cell r="Y393" t="str">
            <v>Interpretation &amp; Engagement_Arabic Language Research &amp; Studies _Section Manager</v>
          </cell>
          <cell r="Z393" t="str">
            <v>Section Manager</v>
          </cell>
          <cell r="AA393" t="str">
            <v>2A</v>
          </cell>
        </row>
        <row r="394">
          <cell r="A394">
            <v>951</v>
          </cell>
          <cell r="B394">
            <v>951</v>
          </cell>
          <cell r="C394" t="str">
            <v>A</v>
          </cell>
          <cell r="D394" t="str">
            <v>Sheikh Faisal Saqer Al Qassimi</v>
          </cell>
          <cell r="E394" t="str">
            <v>فيصل صقر القاسمي</v>
          </cell>
          <cell r="F394">
            <v>42015</v>
          </cell>
          <cell r="G394" t="str">
            <v>50003162</v>
          </cell>
          <cell r="H394" t="str">
            <v>External Relations &amp; Government Affairs Specialist</v>
          </cell>
          <cell r="I394" t="str">
            <v>أخصائي العلاقات الخارجية والشؤون الحكومية</v>
          </cell>
          <cell r="J394" t="str">
            <v>On-Chart</v>
          </cell>
          <cell r="K394" t="str">
            <v>DCT Payroll</v>
          </cell>
          <cell r="L394" t="str">
            <v>A1</v>
          </cell>
          <cell r="M394" t="str">
            <v>Department of Culture and Tourism</v>
          </cell>
          <cell r="N394" t="str">
            <v>Strategic Marketing &amp; Communication</v>
          </cell>
          <cell r="O394" t="str">
            <v>التسويق والاتصال الاستراتيجي</v>
          </cell>
          <cell r="P394" t="str">
            <v>Strategic Communications</v>
          </cell>
          <cell r="Q394" t="str">
            <v>الاتصال الاستراتيجي</v>
          </cell>
          <cell r="R394" t="str">
            <v>Consumer Communications</v>
          </cell>
          <cell r="S394" t="str">
            <v>اتصالات المستهلكين</v>
          </cell>
          <cell r="T394" t="str">
            <v>External Relations &amp; Government Affairs</v>
          </cell>
          <cell r="U394" t="str">
            <v>العلاقات الخارجية والشؤون الحكومية</v>
          </cell>
          <cell r="V394" t="str">
            <v>Abu Dhabi</v>
          </cell>
          <cell r="W394" t="str">
            <v/>
          </cell>
          <cell r="X394" t="str">
            <v>4513120</v>
          </cell>
          <cell r="Y394" t="str">
            <v>Comms &amp; Marketing _Marketing &amp; Communications (All areas)_Senior Professional</v>
          </cell>
          <cell r="Z394" t="str">
            <v>Senior Professional</v>
          </cell>
          <cell r="AA394" t="str">
            <v>3B</v>
          </cell>
        </row>
        <row r="395">
          <cell r="A395">
            <v>953</v>
          </cell>
          <cell r="B395">
            <v>953</v>
          </cell>
          <cell r="C395" t="str">
            <v>A</v>
          </cell>
          <cell r="D395" t="str">
            <v>Sara Rashad Alafeefi</v>
          </cell>
          <cell r="E395" t="str">
            <v>سارة رشاد العفيفي</v>
          </cell>
          <cell r="F395">
            <v>42025</v>
          </cell>
          <cell r="G395" t="str">
            <v>10006269</v>
          </cell>
          <cell r="H395" t="str">
            <v>Facilities Management Senior Specialist</v>
          </cell>
          <cell r="I395" t="str">
            <v>أخصائي أول إدارة المرافق</v>
          </cell>
          <cell r="J395" t="str">
            <v>On-Chart</v>
          </cell>
          <cell r="K395" t="str">
            <v>DCT Payroll</v>
          </cell>
          <cell r="L395" t="str">
            <v>A1</v>
          </cell>
          <cell r="M395" t="str">
            <v>Department of Culture and Tourism</v>
          </cell>
          <cell r="N395" t="str">
            <v>Support Services</v>
          </cell>
          <cell r="O395" t="str">
            <v>الخدمات المساندة</v>
          </cell>
          <cell r="P395" t="str">
            <v>Supply Management</v>
          </cell>
          <cell r="Q395" t="str">
            <v>إدارة الإمداد</v>
          </cell>
          <cell r="R395" t="str">
            <v>Facilities Management</v>
          </cell>
          <cell r="S395" t="str">
            <v>إدارة المرافق</v>
          </cell>
          <cell r="T395" t="str">
            <v>Facilities Management (Abu Dhabi)</v>
          </cell>
          <cell r="U395" t="str">
            <v>إدارة المرافق - أبوظبي</v>
          </cell>
          <cell r="V395" t="str">
            <v>Abu Dhabi</v>
          </cell>
          <cell r="W395" t="str">
            <v/>
          </cell>
          <cell r="X395" t="str">
            <v>4510240</v>
          </cell>
          <cell r="Y395" t="str">
            <v>Procurement_Procurement General_Senior Professional</v>
          </cell>
          <cell r="Z395" t="str">
            <v>Senior Professional</v>
          </cell>
          <cell r="AA395" t="str">
            <v>3A</v>
          </cell>
        </row>
        <row r="396">
          <cell r="A396">
            <v>954</v>
          </cell>
          <cell r="B396">
            <v>954</v>
          </cell>
          <cell r="C396" t="str">
            <v>A</v>
          </cell>
          <cell r="D396" t="str">
            <v>Nassra Hasan Al Buainain</v>
          </cell>
          <cell r="E396" t="str">
            <v>نصره حسن البوعينين</v>
          </cell>
          <cell r="F396">
            <v>42029</v>
          </cell>
          <cell r="G396" t="str">
            <v>50000571</v>
          </cell>
          <cell r="H396" t="str">
            <v>Learning &amp; Public Engagement Department Director</v>
          </cell>
          <cell r="I396" t="str">
            <v>مدير إدارة التعلم والمشاركة العامة</v>
          </cell>
          <cell r="J396" t="str">
            <v>On-Chart</v>
          </cell>
          <cell r="K396" t="str">
            <v>MSS Direct Hires</v>
          </cell>
          <cell r="L396" t="str">
            <v>M1</v>
          </cell>
          <cell r="M396" t="str">
            <v>Department of Culture and Tourism</v>
          </cell>
          <cell r="N396" t="str">
            <v>Zayed National Museum</v>
          </cell>
          <cell r="O396" t="str">
            <v>متحف زايد الوطني</v>
          </cell>
          <cell r="P396" t="str">
            <v>Learning &amp; Public Engagement</v>
          </cell>
          <cell r="Q396" t="str">
            <v>التعليم والمشاركة المجتمعية</v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>Abu Dhabi</v>
          </cell>
          <cell r="W396" t="str">
            <v/>
          </cell>
          <cell r="X396" t="str">
            <v>4510182</v>
          </cell>
          <cell r="Y396" t="str">
            <v>Middle Management Interpretation &amp; Engagement</v>
          </cell>
          <cell r="Z396" t="str">
            <v>Director</v>
          </cell>
          <cell r="AA396" t="str">
            <v>1C</v>
          </cell>
        </row>
        <row r="397">
          <cell r="A397">
            <v>956</v>
          </cell>
          <cell r="B397">
            <v>956</v>
          </cell>
          <cell r="C397" t="str">
            <v>A</v>
          </cell>
          <cell r="D397" t="str">
            <v>Moza Humaid AlMazroua</v>
          </cell>
          <cell r="E397" t="str">
            <v>موزة حميد المزروع</v>
          </cell>
          <cell r="F397">
            <v>42036</v>
          </cell>
          <cell r="G397" t="str">
            <v>10005039</v>
          </cell>
          <cell r="H397" t="str">
            <v>Interpretation Unit Head (Abu Dhabi)</v>
          </cell>
          <cell r="I397" t="str">
            <v>رئيس وحدة الإرشاد الثقافي (أبوظبي)</v>
          </cell>
          <cell r="J397" t="str">
            <v>On-Chart</v>
          </cell>
          <cell r="K397" t="str">
            <v>DCT Payroll</v>
          </cell>
          <cell r="L397" t="str">
            <v>A1</v>
          </cell>
          <cell r="M397" t="str">
            <v>Department of Culture and Tourism</v>
          </cell>
          <cell r="N397" t="str">
            <v>Culture</v>
          </cell>
          <cell r="O397" t="str">
            <v>الثقافة</v>
          </cell>
          <cell r="P397" t="str">
            <v>Education &amp; Outreach</v>
          </cell>
          <cell r="Q397" t="str">
            <v>التعليم والتوعية الثقافية</v>
          </cell>
          <cell r="R397" t="str">
            <v>Interpretation - IH &amp; Historic Sites</v>
          </cell>
          <cell r="S397" t="str">
            <v>الإرشاد الثقافي - التراث المعنوي والمواقع التاريخية</v>
          </cell>
          <cell r="T397" t="str">
            <v>Interpretation (Abu Dhabi)</v>
          </cell>
          <cell r="U397" t="str">
            <v>الإرشاد الثقافي (أبوظبي)</v>
          </cell>
          <cell r="V397" t="str">
            <v>Abu Dhabi</v>
          </cell>
          <cell r="W397" t="str">
            <v/>
          </cell>
          <cell r="X397" t="str">
            <v>4511800</v>
          </cell>
          <cell r="Y397" t="str">
            <v>Interpretation &amp; Engagement_Outreach &amp; Cultural Engagement _Unit Head</v>
          </cell>
          <cell r="Z397" t="str">
            <v>Unit Head</v>
          </cell>
          <cell r="AA397" t="str">
            <v>3A</v>
          </cell>
        </row>
        <row r="398">
          <cell r="A398">
            <v>958</v>
          </cell>
          <cell r="B398">
            <v>958</v>
          </cell>
          <cell r="C398" t="str">
            <v>A</v>
          </cell>
          <cell r="D398" t="str">
            <v>AlAnoud Faris AlAli</v>
          </cell>
          <cell r="E398" t="str">
            <v>العنود فارس العلي</v>
          </cell>
          <cell r="F398">
            <v>42036</v>
          </cell>
          <cell r="G398" t="str">
            <v>10004997</v>
          </cell>
          <cell r="H398" t="str">
            <v>Events Licensing Executive</v>
          </cell>
          <cell r="I398" t="str">
            <v>تنفيذي ترخيص الفعاليات</v>
          </cell>
          <cell r="J398" t="str">
            <v>On-Chart</v>
          </cell>
          <cell r="K398" t="str">
            <v>DCT Payroll</v>
          </cell>
          <cell r="L398" t="str">
            <v>A1</v>
          </cell>
          <cell r="M398" t="str">
            <v>Department of Culture and Tourism</v>
          </cell>
          <cell r="N398" t="str">
            <v>Tourism</v>
          </cell>
          <cell r="O398" t="str">
            <v>السياحة</v>
          </cell>
          <cell r="P398" t="str">
            <v>Licensing &amp; Regulatory Compliance</v>
          </cell>
          <cell r="Q398" t="str">
            <v>الرقابة والترخيص</v>
          </cell>
          <cell r="R398" t="str">
            <v>Licensing</v>
          </cell>
          <cell r="S398" t="str">
            <v>الترخيص</v>
          </cell>
          <cell r="T398" t="str">
            <v>Events Licensing</v>
          </cell>
          <cell r="U398" t="str">
            <v>ترخيص الفعاليات</v>
          </cell>
          <cell r="V398" t="str">
            <v>Abu Dhabi</v>
          </cell>
          <cell r="W398" t="str">
            <v/>
          </cell>
          <cell r="X398" t="str">
            <v>4510170</v>
          </cell>
          <cell r="Y398" t="str">
            <v>Compliance,Governance&amp;Protocol_Licensing &amp; Regulatory Compliance- (Follow-up and Reporting) _Professional Assistant</v>
          </cell>
          <cell r="Z398" t="str">
            <v>Professional</v>
          </cell>
          <cell r="AA398" t="str">
            <v>4A</v>
          </cell>
        </row>
        <row r="399">
          <cell r="A399">
            <v>959</v>
          </cell>
          <cell r="B399">
            <v>959</v>
          </cell>
          <cell r="C399" t="str">
            <v>A</v>
          </cell>
          <cell r="D399" t="str">
            <v>Bakhita Hamad AlAmeri</v>
          </cell>
          <cell r="E399" t="str">
            <v>بخيتة حمد العامرى</v>
          </cell>
          <cell r="F399">
            <v>42036</v>
          </cell>
          <cell r="G399" t="str">
            <v>10010174</v>
          </cell>
          <cell r="H399" t="str">
            <v>Visitor Experience Senior Specialist</v>
          </cell>
          <cell r="I399" t="str">
            <v>أخصائي أول تجربة الزوار</v>
          </cell>
          <cell r="J399" t="str">
            <v>On-Chart</v>
          </cell>
          <cell r="K399" t="str">
            <v>DCT Payroll</v>
          </cell>
          <cell r="L399" t="str">
            <v>A1</v>
          </cell>
          <cell r="M399" t="str">
            <v>Department of Culture and Tourism</v>
          </cell>
          <cell r="N399" t="str">
            <v>Culture</v>
          </cell>
          <cell r="O399" t="str">
            <v>الثقافة</v>
          </cell>
          <cell r="P399" t="str">
            <v>Culture Sites Management</v>
          </cell>
          <cell r="Q399" t="str">
            <v>إدارة المواقع الثقافية</v>
          </cell>
          <cell r="R399" t="str">
            <v>Al Ain Historical Sites</v>
          </cell>
          <cell r="S399" t="str">
            <v>مواقع العين التاريخية</v>
          </cell>
          <cell r="T399" t="str">
            <v>Al Ain Palace Museum</v>
          </cell>
          <cell r="U399" t="str">
            <v>متحف قصر العين</v>
          </cell>
          <cell r="V399" t="str">
            <v>Al Ain</v>
          </cell>
          <cell r="W399" t="str">
            <v/>
          </cell>
          <cell r="X399" t="str">
            <v>4511250</v>
          </cell>
          <cell r="Y399" t="str">
            <v>Compliance,Governance&amp;Protocol_Policy (Culture/Tourism _Senior Professional</v>
          </cell>
          <cell r="Z399" t="str">
            <v>Senior Professional</v>
          </cell>
          <cell r="AA399" t="str">
            <v>3B</v>
          </cell>
        </row>
        <row r="400">
          <cell r="A400">
            <v>960</v>
          </cell>
          <cell r="B400">
            <v>960</v>
          </cell>
          <cell r="C400" t="str">
            <v>A</v>
          </cell>
          <cell r="D400" t="str">
            <v>Khaled Saeed AlFalahi</v>
          </cell>
          <cell r="E400" t="str">
            <v>خالد سعيد الفلاحي</v>
          </cell>
          <cell r="F400">
            <v>42036</v>
          </cell>
          <cell r="G400" t="str">
            <v>10006726</v>
          </cell>
          <cell r="H400" t="str">
            <v>Facilities Management Senior Specialist</v>
          </cell>
          <cell r="I400" t="str">
            <v>أخصائي أول إدارة المرافق</v>
          </cell>
          <cell r="J400" t="str">
            <v>On-Chart</v>
          </cell>
          <cell r="K400" t="str">
            <v>DCT Payroll</v>
          </cell>
          <cell r="L400" t="str">
            <v>A1</v>
          </cell>
          <cell r="M400" t="str">
            <v>Department of Culture and Tourism</v>
          </cell>
          <cell r="N400" t="str">
            <v>Support Services</v>
          </cell>
          <cell r="O400" t="str">
            <v>الخدمات المساندة</v>
          </cell>
          <cell r="P400" t="str">
            <v>Supply Management</v>
          </cell>
          <cell r="Q400" t="str">
            <v>إدارة الإمداد</v>
          </cell>
          <cell r="R400" t="str">
            <v>Facilities Management</v>
          </cell>
          <cell r="S400" t="str">
            <v>إدارة المرافق</v>
          </cell>
          <cell r="T400" t="str">
            <v>Facilities Management (Abu Dhabi)</v>
          </cell>
          <cell r="U400" t="str">
            <v>إدارة المرافق - أبوظبي</v>
          </cell>
          <cell r="V400" t="str">
            <v>Abu Dhabi</v>
          </cell>
          <cell r="W400" t="str">
            <v/>
          </cell>
          <cell r="X400" t="str">
            <v>4510240</v>
          </cell>
          <cell r="Y400" t="str">
            <v>Procurement_Procurement General_Senior Professional</v>
          </cell>
          <cell r="Z400" t="str">
            <v>Senior Professional</v>
          </cell>
          <cell r="AA400" t="str">
            <v>3A</v>
          </cell>
        </row>
        <row r="401">
          <cell r="A401">
            <v>961</v>
          </cell>
          <cell r="B401">
            <v>961</v>
          </cell>
          <cell r="C401" t="str">
            <v>A</v>
          </cell>
          <cell r="D401" t="str">
            <v>Meera Ateeq AlDhaheri</v>
          </cell>
          <cell r="E401" t="str">
            <v>ميره عتيق الظاهري</v>
          </cell>
          <cell r="F401">
            <v>42036</v>
          </cell>
          <cell r="G401" t="str">
            <v>10110034</v>
          </cell>
          <cell r="H401" t="str">
            <v>Children Services Senior Specialist</v>
          </cell>
          <cell r="I401" t="str">
            <v>أخصائي أول خدمات الأطفال</v>
          </cell>
          <cell r="J401" t="str">
            <v>On-Chart</v>
          </cell>
          <cell r="K401" t="str">
            <v>DCT Payroll</v>
          </cell>
          <cell r="L401" t="str">
            <v>A1</v>
          </cell>
          <cell r="M401" t="str">
            <v>Department of Culture and Tourism</v>
          </cell>
          <cell r="N401" t="str">
            <v>Culture</v>
          </cell>
          <cell r="O401" t="str">
            <v>الثقافة</v>
          </cell>
          <cell r="P401" t="str">
            <v>Library Management</v>
          </cell>
          <cell r="Q401" t="str">
            <v>إدارة المكتبات</v>
          </cell>
          <cell r="R401" t="str">
            <v>Zayed Central Library - Al Ain</v>
          </cell>
          <cell r="S401" t="str">
            <v>مكتبة زايد المركزية - العين</v>
          </cell>
          <cell r="T401" t="str">
            <v>Children Services</v>
          </cell>
          <cell r="U401" t="str">
            <v>خدمات الأطفال</v>
          </cell>
          <cell r="V401" t="str">
            <v>Abu Dhabi</v>
          </cell>
          <cell r="W401" t="str">
            <v/>
          </cell>
          <cell r="X401" t="str">
            <v>4516100</v>
          </cell>
          <cell r="Y401" t="str">
            <v>Operations_Library Operational Management_Senior Professional</v>
          </cell>
          <cell r="Z401" t="str">
            <v>Senior Professional</v>
          </cell>
          <cell r="AA401" t="str">
            <v>3A</v>
          </cell>
        </row>
        <row r="402">
          <cell r="A402">
            <v>962</v>
          </cell>
          <cell r="B402">
            <v>962</v>
          </cell>
          <cell r="C402" t="str">
            <v>A</v>
          </cell>
          <cell r="D402" t="str">
            <v>Mohamed Abdulla AlKhazraji</v>
          </cell>
          <cell r="E402" t="str">
            <v>محمد عبدالله الخزرجي</v>
          </cell>
          <cell r="F402">
            <v>42036</v>
          </cell>
          <cell r="G402" t="str">
            <v>10008841</v>
          </cell>
          <cell r="H402" t="str">
            <v>Compliance &amp; Quality Monitoring Lead</v>
          </cell>
          <cell r="I402" t="str">
            <v>تنفيذي رئيسي الامتثال ومراقبة الجودة</v>
          </cell>
          <cell r="J402" t="str">
            <v>On-Chart</v>
          </cell>
          <cell r="K402" t="str">
            <v>DCT Payroll</v>
          </cell>
          <cell r="L402" t="str">
            <v>A1</v>
          </cell>
          <cell r="M402" t="str">
            <v>Department of Culture and Tourism</v>
          </cell>
          <cell r="N402" t="str">
            <v>Tourism</v>
          </cell>
          <cell r="O402" t="str">
            <v>السياحة</v>
          </cell>
          <cell r="P402" t="str">
            <v>Licensing &amp; Regulatory Compliance</v>
          </cell>
          <cell r="Q402" t="str">
            <v>الرقابة والترخيص</v>
          </cell>
          <cell r="R402" t="str">
            <v>Compliance &amp; Quality Monitoring</v>
          </cell>
          <cell r="S402" t="str">
            <v>الامتثال ومراقبة الجودة</v>
          </cell>
          <cell r="T402" t="str">
            <v/>
          </cell>
          <cell r="U402" t="str">
            <v/>
          </cell>
          <cell r="V402" t="str">
            <v>Abu Dhabi</v>
          </cell>
          <cell r="W402" t="str">
            <v/>
          </cell>
          <cell r="X402" t="str">
            <v>4510170</v>
          </cell>
          <cell r="Y402" t="str">
            <v>Compliance,Governance&amp;Protocol_Licensing &amp; Regulatory Compliance_Unit Head</v>
          </cell>
          <cell r="Z402" t="str">
            <v>Unit Head</v>
          </cell>
          <cell r="AA402" t="str">
            <v>3A</v>
          </cell>
        </row>
        <row r="403">
          <cell r="A403">
            <v>963</v>
          </cell>
          <cell r="B403">
            <v>963</v>
          </cell>
          <cell r="C403" t="str">
            <v>A</v>
          </cell>
          <cell r="D403" t="str">
            <v>Iman Ali AlHammadi</v>
          </cell>
          <cell r="E403" t="str">
            <v>ايمان علي الحمادي</v>
          </cell>
          <cell r="F403">
            <v>42036</v>
          </cell>
          <cell r="G403" t="str">
            <v>10005050</v>
          </cell>
          <cell r="H403" t="str">
            <v>Programme Management Unit Head Unit Head</v>
          </cell>
          <cell r="I403" t="str">
            <v>رئيس وحدة إدارة البرامج</v>
          </cell>
          <cell r="J403" t="str">
            <v>On-Chart</v>
          </cell>
          <cell r="K403" t="str">
            <v>ALC Direct Hires</v>
          </cell>
          <cell r="L403" t="str">
            <v>AL1</v>
          </cell>
          <cell r="M403" t="str">
            <v>Abu Dhabi Arabic Language Centre</v>
          </cell>
          <cell r="N403" t="str">
            <v>Abu Dhabi Arabic Language Centre</v>
          </cell>
          <cell r="O403" t="str">
            <v>مركز أبوظبي للغة العربية</v>
          </cell>
          <cell r="P403" t="str">
            <v>Book Fairs &amp; Events</v>
          </cell>
          <cell r="Q403" t="str">
            <v>الفعاليات ومعارض الكتب</v>
          </cell>
          <cell r="R403" t="str">
            <v>Programmes</v>
          </cell>
          <cell r="S403" t="str">
            <v>الفعاليات ومعارض الكتاب</v>
          </cell>
          <cell r="T403" t="str">
            <v/>
          </cell>
          <cell r="U403" t="str">
            <v/>
          </cell>
          <cell r="V403" t="str">
            <v>Abu Dhabi</v>
          </cell>
          <cell r="W403" t="str">
            <v/>
          </cell>
          <cell r="X403" t="str">
            <v>4519200</v>
          </cell>
          <cell r="Y403" t="str">
            <v>Senior Specialization Festivals &amp; Events</v>
          </cell>
          <cell r="Z403" t="str">
            <v>Unit Head</v>
          </cell>
          <cell r="AA403" t="str">
            <v>3A</v>
          </cell>
        </row>
        <row r="404">
          <cell r="A404">
            <v>964</v>
          </cell>
          <cell r="B404">
            <v>964</v>
          </cell>
          <cell r="C404" t="str">
            <v>A</v>
          </cell>
          <cell r="D404" t="str">
            <v>Mariam Hashem AlMaazmi</v>
          </cell>
          <cell r="E404" t="str">
            <v>مريم هاشم المازمي</v>
          </cell>
          <cell r="F404">
            <v>42043</v>
          </cell>
          <cell r="G404" t="str">
            <v>50002918</v>
          </cell>
          <cell r="H404" t="str">
            <v>Visitor Experience Supervisor</v>
          </cell>
          <cell r="I404" t="str">
            <v>مشرف تجربة الزوار</v>
          </cell>
          <cell r="J404" t="str">
            <v>On-Chart</v>
          </cell>
          <cell r="K404" t="str">
            <v>DCT Payroll</v>
          </cell>
          <cell r="L404" t="str">
            <v>A1</v>
          </cell>
          <cell r="M404" t="str">
            <v>Department of Culture and Tourism</v>
          </cell>
          <cell r="N404" t="str">
            <v>Culture</v>
          </cell>
          <cell r="O404" t="str">
            <v>الثقافة</v>
          </cell>
          <cell r="P404" t="str">
            <v>Culture Sites Management</v>
          </cell>
          <cell r="Q404" t="str">
            <v>إدارة المواقع الثقافية</v>
          </cell>
          <cell r="R404" t="str">
            <v>Al Ain Community Centers</v>
          </cell>
          <cell r="S404" t="str">
            <v>مراكز العين المجتمعية</v>
          </cell>
          <cell r="T404" t="str">
            <v>Al Qattara Arts Centre</v>
          </cell>
          <cell r="U404" t="str">
            <v>مركز القطارة للفنون</v>
          </cell>
          <cell r="V404" t="str">
            <v>Abu Dhabi</v>
          </cell>
          <cell r="W404" t="str">
            <v/>
          </cell>
          <cell r="X404" t="str">
            <v>4511250</v>
          </cell>
          <cell r="Y404" t="str">
            <v>Compliance,Governance&amp;Protocol_Policy (Culture/Tourism _Senior Professional</v>
          </cell>
          <cell r="Z404" t="str">
            <v>Senior Professional</v>
          </cell>
          <cell r="AA404" t="str">
            <v>3A</v>
          </cell>
        </row>
        <row r="405">
          <cell r="A405">
            <v>965</v>
          </cell>
          <cell r="B405">
            <v>965</v>
          </cell>
          <cell r="C405" t="str">
            <v>A</v>
          </cell>
          <cell r="D405" t="str">
            <v>Bader Buti AlShamsi</v>
          </cell>
          <cell r="E405" t="str">
            <v>بدر بطي الشامسى</v>
          </cell>
          <cell r="F405">
            <v>42043</v>
          </cell>
          <cell r="G405" t="str">
            <v>10012308</v>
          </cell>
          <cell r="H405" t="str">
            <v>Operations Unit Head</v>
          </cell>
          <cell r="I405" t="str">
            <v>رئيس وحدة العمليات</v>
          </cell>
          <cell r="J405" t="str">
            <v>On-Chart</v>
          </cell>
          <cell r="K405" t="str">
            <v>DCT Payroll</v>
          </cell>
          <cell r="L405" t="str">
            <v>A1</v>
          </cell>
          <cell r="M405" t="str">
            <v>Department of Culture and Tourism</v>
          </cell>
          <cell r="N405" t="str">
            <v>Culture</v>
          </cell>
          <cell r="O405" t="str">
            <v>الثقافة</v>
          </cell>
          <cell r="P405" t="str">
            <v>Culture Sites Management</v>
          </cell>
          <cell r="Q405" t="str">
            <v>إدارة المواقع الثقافية</v>
          </cell>
          <cell r="R405" t="str">
            <v>Al Ain Operations</v>
          </cell>
          <cell r="S405" t="str">
            <v>العمليات - العين</v>
          </cell>
          <cell r="T405" t="str">
            <v>Operations</v>
          </cell>
          <cell r="U405" t="str">
            <v>العمليات</v>
          </cell>
          <cell r="V405" t="str">
            <v>Abu Dhabi</v>
          </cell>
          <cell r="W405" t="str">
            <v/>
          </cell>
          <cell r="X405" t="str">
            <v>4511250</v>
          </cell>
          <cell r="Y405" t="str">
            <v>Compliance,Governance&amp;Protocol_Policy  (Culture &amp; Tourism)_Unit Head</v>
          </cell>
          <cell r="Z405" t="str">
            <v>Unit Head</v>
          </cell>
          <cell r="AA405" t="str">
            <v>3A</v>
          </cell>
        </row>
        <row r="406">
          <cell r="A406">
            <v>966</v>
          </cell>
          <cell r="B406">
            <v>966</v>
          </cell>
          <cell r="C406" t="str">
            <v>A</v>
          </cell>
          <cell r="D406" t="str">
            <v>Shaikha Mohammed AlNasri</v>
          </cell>
          <cell r="E406" t="str">
            <v>شيخه محمد الناصرى</v>
          </cell>
          <cell r="F406">
            <v>42043</v>
          </cell>
          <cell r="G406" t="str">
            <v>10005081</v>
          </cell>
          <cell r="H406" t="str">
            <v>Historic Environment Lead</v>
          </cell>
          <cell r="I406" t="str">
            <v>أخصائي رئيسي البيئة التاريخية</v>
          </cell>
          <cell r="J406" t="str">
            <v>On-Chart</v>
          </cell>
          <cell r="K406" t="str">
            <v>DCT Payroll</v>
          </cell>
          <cell r="L406" t="str">
            <v>A1</v>
          </cell>
          <cell r="M406" t="str">
            <v>Department of Culture and Tourism</v>
          </cell>
          <cell r="N406" t="str">
            <v>Culture</v>
          </cell>
          <cell r="O406" t="str">
            <v>الثقافة</v>
          </cell>
          <cell r="P406" t="str">
            <v>Historic Environment</v>
          </cell>
          <cell r="Q406" t="str">
            <v>البيئة التاريخية</v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>Al Ain</v>
          </cell>
          <cell r="W406" t="str">
            <v/>
          </cell>
          <cell r="X406" t="str">
            <v>4511300</v>
          </cell>
          <cell r="Y406" t="str">
            <v>Compliance,Governance&amp;Protocol_Policy (Culture/Tourism _Senior Professional</v>
          </cell>
          <cell r="Z406" t="str">
            <v>Senior Professional</v>
          </cell>
          <cell r="AA406" t="str">
            <v>3A</v>
          </cell>
        </row>
        <row r="407">
          <cell r="A407">
            <v>969</v>
          </cell>
          <cell r="B407">
            <v>969</v>
          </cell>
          <cell r="C407" t="str">
            <v>A</v>
          </cell>
          <cell r="D407" t="str">
            <v>Hazza Saeed AlHanaee</v>
          </cell>
          <cell r="E407" t="str">
            <v>هزاع سعيد الهنائي</v>
          </cell>
          <cell r="F407">
            <v>42050</v>
          </cell>
          <cell r="G407" t="str">
            <v>50000843</v>
          </cell>
          <cell r="H407" t="str">
            <v>Abu Dhabi Inspection Unit Head  (Night Events)</v>
          </cell>
          <cell r="I407" t="str">
            <v>(رئيس وحدة التفتيش لأبوظبي (الفعاليات الليلية</v>
          </cell>
          <cell r="J407" t="str">
            <v>On-Chart</v>
          </cell>
          <cell r="K407" t="str">
            <v>DCT Payroll</v>
          </cell>
          <cell r="L407" t="str">
            <v>A1</v>
          </cell>
          <cell r="M407" t="str">
            <v>Department of Culture and Tourism</v>
          </cell>
          <cell r="N407" t="str">
            <v>Tourism</v>
          </cell>
          <cell r="O407" t="str">
            <v>السياحة</v>
          </cell>
          <cell r="P407" t="str">
            <v>Licensing &amp; Regulatory Compliance</v>
          </cell>
          <cell r="Q407" t="str">
            <v>الرقابة والترخيص</v>
          </cell>
          <cell r="R407" t="str">
            <v>Abu Dhabi Inspection</v>
          </cell>
          <cell r="S407" t="str">
            <v>التفتيش</v>
          </cell>
          <cell r="T407" t="str">
            <v>Abu Dhabi Inspection (Night Events)</v>
          </cell>
          <cell r="U407" t="str">
            <v>( التفتيش لأبوظبي (الفعاليات الليلية</v>
          </cell>
          <cell r="V407" t="str">
            <v>Abu Dhabi</v>
          </cell>
          <cell r="W407" t="str">
            <v/>
          </cell>
          <cell r="X407" t="str">
            <v>4510170</v>
          </cell>
          <cell r="Y407" t="str">
            <v>Compliance,Governance&amp;Protocol_Licensing &amp; Regulatory Compliance_Unit Head</v>
          </cell>
          <cell r="Z407" t="str">
            <v>Unit Head</v>
          </cell>
          <cell r="AA407" t="str">
            <v>3A</v>
          </cell>
        </row>
        <row r="408">
          <cell r="A408">
            <v>974</v>
          </cell>
          <cell r="B408">
            <v>974</v>
          </cell>
          <cell r="C408" t="str">
            <v>A</v>
          </cell>
          <cell r="D408" t="str">
            <v>Ayesha Rashed Almheiri</v>
          </cell>
          <cell r="E408" t="str">
            <v>عائشة راشد المهيري</v>
          </cell>
          <cell r="F408">
            <v>42071</v>
          </cell>
          <cell r="G408" t="str">
            <v>10005187</v>
          </cell>
          <cell r="H408" t="str">
            <v>Creative Unit Head</v>
          </cell>
          <cell r="I408" t="str">
            <v>رئيس وحدة الإبداع</v>
          </cell>
          <cell r="J408" t="str">
            <v>On-Chart</v>
          </cell>
          <cell r="K408" t="str">
            <v>ALC Direct Hires</v>
          </cell>
          <cell r="L408" t="str">
            <v>AL1</v>
          </cell>
          <cell r="M408" t="str">
            <v>Abu Dhabi Arabic Language Centre</v>
          </cell>
          <cell r="N408" t="str">
            <v>Abu Dhabi Arabic Language Centre</v>
          </cell>
          <cell r="O408" t="str">
            <v>مركز أبوظبي للغة العربية</v>
          </cell>
          <cell r="P408" t="str">
            <v>Marketing &amp; Communications</v>
          </cell>
          <cell r="Q408" t="str">
            <v>التسويق والاتصال</v>
          </cell>
          <cell r="R408" t="str">
            <v>Brand Development</v>
          </cell>
          <cell r="S408" t="str">
            <v>تطوير الهوية المؤسسية</v>
          </cell>
          <cell r="T408" t="str">
            <v>Creative</v>
          </cell>
          <cell r="U408" t="str">
            <v>الإبداع</v>
          </cell>
          <cell r="V408" t="str">
            <v>Abu Dhabi</v>
          </cell>
          <cell r="W408" t="str">
            <v/>
          </cell>
          <cell r="X408" t="str">
            <v>4519196</v>
          </cell>
          <cell r="Y408" t="str">
            <v>Comms &amp; Marketing _Communications (All Areas)_Unit Head</v>
          </cell>
          <cell r="Z408" t="str">
            <v>Unit Head</v>
          </cell>
          <cell r="AA408" t="str">
            <v>3A</v>
          </cell>
        </row>
        <row r="409">
          <cell r="A409">
            <v>975</v>
          </cell>
          <cell r="B409">
            <v>975</v>
          </cell>
          <cell r="C409" t="str">
            <v>A</v>
          </cell>
          <cell r="D409" t="str">
            <v>Mohamed Hussain Thabet</v>
          </cell>
          <cell r="E409" t="str">
            <v>محمد حسين ثابت</v>
          </cell>
          <cell r="F409">
            <v>42078</v>
          </cell>
          <cell r="G409" t="str">
            <v>10007332</v>
          </cell>
          <cell r="H409" t="str">
            <v>Accounts Payables Accountant</v>
          </cell>
          <cell r="I409" t="str">
            <v>محاسب الحسابات الدائنة</v>
          </cell>
          <cell r="J409" t="str">
            <v>On-Chart</v>
          </cell>
          <cell r="K409" t="str">
            <v>DCT Payroll</v>
          </cell>
          <cell r="L409" t="str">
            <v>A1</v>
          </cell>
          <cell r="M409" t="str">
            <v>Department of Culture and Tourism</v>
          </cell>
          <cell r="N409" t="str">
            <v>Support Services</v>
          </cell>
          <cell r="O409" t="str">
            <v>الخدمات المساندة</v>
          </cell>
          <cell r="P409" t="str">
            <v>Finance</v>
          </cell>
          <cell r="Q409" t="str">
            <v>إدارة المالية</v>
          </cell>
          <cell r="R409" t="str">
            <v>Payables Operations</v>
          </cell>
          <cell r="S409" t="str">
            <v>عمليات الحسابات الدائنة</v>
          </cell>
          <cell r="T409" t="str">
            <v>Accounts Payables</v>
          </cell>
          <cell r="U409" t="str">
            <v>حسابات دائنة</v>
          </cell>
          <cell r="V409" t="str">
            <v>Abu Dhabi</v>
          </cell>
          <cell r="W409" t="str">
            <v/>
          </cell>
          <cell r="X409" t="str">
            <v>4510210</v>
          </cell>
          <cell r="Y409" t="str">
            <v>Finance_Accountant _Professional Assistant</v>
          </cell>
          <cell r="Z409" t="str">
            <v>Professional</v>
          </cell>
          <cell r="AA409" t="str">
            <v>4A</v>
          </cell>
        </row>
        <row r="410">
          <cell r="A410">
            <v>977</v>
          </cell>
          <cell r="B410">
            <v>977</v>
          </cell>
          <cell r="C410" t="str">
            <v>A</v>
          </cell>
          <cell r="D410" t="str">
            <v>Mohamed Jasim Alhosani</v>
          </cell>
          <cell r="E410" t="str">
            <v>محمد جاسم الحوسني</v>
          </cell>
          <cell r="F410">
            <v>42095</v>
          </cell>
          <cell r="G410" t="str">
            <v>10007598</v>
          </cell>
          <cell r="H410" t="str">
            <v>Bait Al Oud Senior Specialist</v>
          </cell>
          <cell r="I410" t="str">
            <v>أخصائي أول بيت العود</v>
          </cell>
          <cell r="J410" t="str">
            <v>On-Chart</v>
          </cell>
          <cell r="K410" t="str">
            <v>DCT Payroll</v>
          </cell>
          <cell r="L410" t="str">
            <v>A1</v>
          </cell>
          <cell r="M410" t="str">
            <v>Department of Culture and Tourism</v>
          </cell>
          <cell r="N410" t="str">
            <v>Culture</v>
          </cell>
          <cell r="O410" t="str">
            <v>الثقافة</v>
          </cell>
          <cell r="P410" t="str">
            <v>Culture Sites Management</v>
          </cell>
          <cell r="Q410" t="str">
            <v>إدارة المواقع الثقافية</v>
          </cell>
          <cell r="R410" t="str">
            <v>Bait Al Oud</v>
          </cell>
          <cell r="S410" t="str">
            <v>بيت العود</v>
          </cell>
          <cell r="T410" t="str">
            <v>Administration</v>
          </cell>
          <cell r="U410" t="str">
            <v>الشؤون الإدارية</v>
          </cell>
          <cell r="V410" t="str">
            <v>Abu Dhabi</v>
          </cell>
          <cell r="W410" t="str">
            <v/>
          </cell>
          <cell r="X410" t="str">
            <v>4511250</v>
          </cell>
          <cell r="Y410" t="str">
            <v>Compliance,Governance&amp;Protocol_Policy (Culture/Tourism _Senior Professional</v>
          </cell>
          <cell r="Z410" t="str">
            <v>Senior Professional</v>
          </cell>
          <cell r="AA410" t="str">
            <v>3C</v>
          </cell>
        </row>
        <row r="411">
          <cell r="A411">
            <v>978</v>
          </cell>
          <cell r="B411">
            <v>978</v>
          </cell>
          <cell r="C411" t="str">
            <v>A</v>
          </cell>
          <cell r="D411" t="str">
            <v>Ameera Abdulla Al Mazrouei</v>
          </cell>
          <cell r="E411" t="str">
            <v>أميرة عبدالله المزروعي</v>
          </cell>
          <cell r="F411">
            <v>42095</v>
          </cell>
          <cell r="G411" t="str">
            <v>50001472</v>
          </cell>
          <cell r="H411" t="str">
            <v>Live Entertainment and Festivals Section Head</v>
          </cell>
          <cell r="I411" t="str">
            <v>رئيس قسم العروض الترفيهية والمهرجانات</v>
          </cell>
          <cell r="J411" t="str">
            <v>On-Chart</v>
          </cell>
          <cell r="K411" t="str">
            <v>DCT Payroll</v>
          </cell>
          <cell r="L411" t="str">
            <v>A1</v>
          </cell>
          <cell r="M411" t="str">
            <v>Department of Culture and Tourism</v>
          </cell>
          <cell r="N411" t="str">
            <v>Tourism</v>
          </cell>
          <cell r="O411" t="str">
            <v>السياحة</v>
          </cell>
          <cell r="P411" t="str">
            <v>Abu Dhabi Events Bureau</v>
          </cell>
          <cell r="Q411" t="str">
            <v>مكتب أبوظبي للفعاليات</v>
          </cell>
          <cell r="R411" t="str">
            <v>Live Entertainment and Festivals</v>
          </cell>
          <cell r="S411" t="str">
            <v>العروض الترفيهية والمهرجانات</v>
          </cell>
          <cell r="T411" t="str">
            <v/>
          </cell>
          <cell r="U411" t="str">
            <v/>
          </cell>
          <cell r="V411" t="str">
            <v>Abu Dhabi</v>
          </cell>
          <cell r="W411" t="str">
            <v/>
          </cell>
          <cell r="X411" t="str">
            <v>4515500</v>
          </cell>
          <cell r="Y411" t="str">
            <v>Commercial _Conventions, Exhibitions, Events,Festivals Development &amp; Sales  _Section Head</v>
          </cell>
          <cell r="Z411" t="str">
            <v>Section Manager</v>
          </cell>
          <cell r="AA411" t="str">
            <v>2A</v>
          </cell>
        </row>
        <row r="412">
          <cell r="A412">
            <v>979</v>
          </cell>
          <cell r="B412">
            <v>979</v>
          </cell>
          <cell r="C412" t="str">
            <v>A</v>
          </cell>
          <cell r="D412" t="str">
            <v>Fatima Hasan AlMaazmi</v>
          </cell>
          <cell r="E412" t="str">
            <v>فاطمة حسن المازمي</v>
          </cell>
          <cell r="F412">
            <v>42095</v>
          </cell>
          <cell r="G412" t="str">
            <v>10005289</v>
          </cell>
          <cell r="H412" t="str">
            <v>Compliance &amp; Quality Monitoring Senior Executive</v>
          </cell>
          <cell r="I412" t="str">
            <v>تنفيذي أول الامتثال ومراقبة الجودة</v>
          </cell>
          <cell r="J412" t="str">
            <v>On-Chart</v>
          </cell>
          <cell r="K412" t="str">
            <v>DCT Payroll</v>
          </cell>
          <cell r="L412" t="str">
            <v>A1</v>
          </cell>
          <cell r="M412" t="str">
            <v>Department of Culture and Tourism</v>
          </cell>
          <cell r="N412" t="str">
            <v>Tourism</v>
          </cell>
          <cell r="O412" t="str">
            <v>السياحة</v>
          </cell>
          <cell r="P412" t="str">
            <v>Licensing &amp; Regulatory Compliance</v>
          </cell>
          <cell r="Q412" t="str">
            <v>الرقابة والترخيص</v>
          </cell>
          <cell r="R412" t="str">
            <v>Compliance &amp; Quality Monitoring</v>
          </cell>
          <cell r="S412" t="str">
            <v>الامتثال ومراقبة الجودة</v>
          </cell>
          <cell r="T412" t="str">
            <v/>
          </cell>
          <cell r="U412" t="str">
            <v/>
          </cell>
          <cell r="V412" t="str">
            <v>Abu Dhabi</v>
          </cell>
          <cell r="W412" t="str">
            <v/>
          </cell>
          <cell r="X412" t="str">
            <v>4510170</v>
          </cell>
          <cell r="Y412" t="str">
            <v>Compliance,Governance&amp;Protocol_Licensing &amp; Regulatory Compliance _Senior Professional</v>
          </cell>
          <cell r="Z412" t="str">
            <v>Senior Professional</v>
          </cell>
          <cell r="AA412" t="str">
            <v>3B</v>
          </cell>
        </row>
        <row r="413">
          <cell r="A413">
            <v>980</v>
          </cell>
          <cell r="B413">
            <v>980</v>
          </cell>
          <cell r="C413" t="str">
            <v>A</v>
          </cell>
          <cell r="D413" t="str">
            <v>Amena Salem Al Hosani</v>
          </cell>
          <cell r="E413" t="str">
            <v>امنة سالم الحوسني</v>
          </cell>
          <cell r="F413">
            <v>42106</v>
          </cell>
          <cell r="G413" t="str">
            <v>10005209</v>
          </cell>
          <cell r="H413" t="str">
            <v>Corporate Audit Unit Head</v>
          </cell>
          <cell r="I413" t="str">
            <v>رئيس وحدة التدقيق الداخلي للدائرة</v>
          </cell>
          <cell r="J413" t="str">
            <v>On-Chart</v>
          </cell>
          <cell r="K413" t="str">
            <v>DCT Payroll</v>
          </cell>
          <cell r="L413" t="str">
            <v>A1</v>
          </cell>
          <cell r="M413" t="str">
            <v>Department of Culture and Tourism</v>
          </cell>
          <cell r="N413" t="str">
            <v>Internal Audit Office</v>
          </cell>
          <cell r="O413" t="str">
            <v>مكتب وكيل الدائرة</v>
          </cell>
          <cell r="P413" t="str">
            <v>Internal Audit Office</v>
          </cell>
          <cell r="Q413" t="str">
            <v>مكتب التدقيق الداخلي</v>
          </cell>
          <cell r="R413" t="str">
            <v>Corporate Entities Internal Audit</v>
          </cell>
          <cell r="S413" t="str">
            <v>التدقيق الداخلي للدائرة</v>
          </cell>
          <cell r="T413" t="str">
            <v>Corporate Audit</v>
          </cell>
          <cell r="U413" t="str">
            <v>التدقيق الداخلي للدائرة</v>
          </cell>
          <cell r="V413" t="str">
            <v>Abu Dhabi</v>
          </cell>
          <cell r="W413" t="str">
            <v/>
          </cell>
          <cell r="X413" t="str">
            <v>4510140</v>
          </cell>
          <cell r="Y413" t="str">
            <v>Compliance,Governance&amp;Protocol_Internal Audit _Senior Professional</v>
          </cell>
          <cell r="Z413" t="str">
            <v>Unit Head</v>
          </cell>
          <cell r="AA413" t="str">
            <v>3A</v>
          </cell>
        </row>
        <row r="414">
          <cell r="A414">
            <v>981</v>
          </cell>
          <cell r="B414">
            <v>981</v>
          </cell>
          <cell r="C414" t="str">
            <v>A</v>
          </cell>
          <cell r="D414" t="str">
            <v>Sara Mohamed Al Nadabi</v>
          </cell>
          <cell r="E414" t="str">
            <v>سارة محمد الندابي</v>
          </cell>
          <cell r="F414">
            <v>42113</v>
          </cell>
          <cell r="G414" t="str">
            <v>50003735</v>
          </cell>
          <cell r="H414" t="str">
            <v>International Operations (South Europe) Unit Head</v>
          </cell>
          <cell r="I414" t="str">
            <v>رئيس وحدة  العمليات الدولية (منطقة جنوب أوروبا)</v>
          </cell>
          <cell r="J414" t="str">
            <v>On-Chart</v>
          </cell>
          <cell r="K414" t="str">
            <v>DCT Payroll</v>
          </cell>
          <cell r="L414" t="str">
            <v>A1</v>
          </cell>
          <cell r="M414" t="str">
            <v>Department of Culture and Tourism</v>
          </cell>
          <cell r="N414" t="str">
            <v>Tourism</v>
          </cell>
          <cell r="O414" t="str">
            <v>السياحة</v>
          </cell>
          <cell r="P414" t="str">
            <v>International Operations</v>
          </cell>
          <cell r="Q414" t="str">
            <v>العمليات الدولية</v>
          </cell>
          <cell r="R414" t="str">
            <v>Europe</v>
          </cell>
          <cell r="S414" t="str">
            <v>منطقة أوروبا</v>
          </cell>
          <cell r="T414" t="str">
            <v>South Europe</v>
          </cell>
          <cell r="U414" t="str">
            <v>منطقة جنوب أوروبا</v>
          </cell>
          <cell r="V414" t="str">
            <v>Abu Dhabi</v>
          </cell>
          <cell r="W414" t="str">
            <v/>
          </cell>
          <cell r="X414" t="str">
            <v>4515100</v>
          </cell>
          <cell r="Y414" t="str">
            <v>Compliance,Governance&amp;Protocol_Policy  (Culture &amp; Tourism)_Unit Head</v>
          </cell>
          <cell r="Z414" t="str">
            <v>Unit Head</v>
          </cell>
          <cell r="AA414" t="str">
            <v>3A</v>
          </cell>
        </row>
        <row r="415">
          <cell r="A415">
            <v>982</v>
          </cell>
          <cell r="B415">
            <v>982</v>
          </cell>
          <cell r="C415" t="str">
            <v>A</v>
          </cell>
          <cell r="D415" t="str">
            <v>AlAnoud Ali Mousa</v>
          </cell>
          <cell r="E415" t="str">
            <v>العنود علي موسى</v>
          </cell>
          <cell r="F415">
            <v>42113</v>
          </cell>
          <cell r="G415" t="str">
            <v>47700087</v>
          </cell>
          <cell r="H415" t="str">
            <v>Travel &amp; Hospitality Unit Head</v>
          </cell>
          <cell r="I415" t="str">
            <v>رئيس وحدة شؤون السفر والضيافة</v>
          </cell>
          <cell r="J415" t="str">
            <v>On-Chart</v>
          </cell>
          <cell r="K415" t="str">
            <v>DCT Payroll</v>
          </cell>
          <cell r="L415" t="str">
            <v>A1</v>
          </cell>
          <cell r="M415" t="str">
            <v>Department of Culture and Tourism</v>
          </cell>
          <cell r="N415" t="str">
            <v>Support Services</v>
          </cell>
          <cell r="O415" t="str">
            <v>الخدمات المساندة</v>
          </cell>
          <cell r="P415" t="str">
            <v>People &amp; Performance</v>
          </cell>
          <cell r="Q415" t="str">
            <v>إدارة الكوادر البشرية والأداء</v>
          </cell>
          <cell r="R415" t="str">
            <v>Rewards &amp; Policy</v>
          </cell>
          <cell r="S415" t="str">
            <v>المكافآت والسياسات</v>
          </cell>
          <cell r="T415" t="str">
            <v>Travel &amp; Hospitality</v>
          </cell>
          <cell r="U415" t="str">
            <v>السفر والضيافة</v>
          </cell>
          <cell r="V415" t="str">
            <v>Abu Dhabi</v>
          </cell>
          <cell r="W415" t="str">
            <v/>
          </cell>
          <cell r="X415" t="str">
            <v>4510220</v>
          </cell>
          <cell r="Y415" t="str">
            <v>People &amp; Performance _Rewards Policy &amp; Recognition _Unit Head</v>
          </cell>
          <cell r="Z415" t="str">
            <v>Unit Head</v>
          </cell>
          <cell r="AA415" t="str">
            <v>3A</v>
          </cell>
        </row>
        <row r="416">
          <cell r="A416">
            <v>983</v>
          </cell>
          <cell r="B416">
            <v>983</v>
          </cell>
          <cell r="C416" t="str">
            <v>A</v>
          </cell>
          <cell r="D416" t="str">
            <v>Omar Saleh AlJawhari</v>
          </cell>
          <cell r="E416" t="str">
            <v>عمر صالح الجوهري</v>
          </cell>
          <cell r="F416">
            <v>42120</v>
          </cell>
          <cell r="G416" t="str">
            <v>50002030</v>
          </cell>
          <cell r="H416" t="str">
            <v>Rewards Section Head</v>
          </cell>
          <cell r="I416" t="str">
            <v>رئيس قسم المكافآت</v>
          </cell>
          <cell r="J416" t="str">
            <v>On-Chart</v>
          </cell>
          <cell r="K416" t="str">
            <v>DCT Payroll</v>
          </cell>
          <cell r="L416" t="str">
            <v>A1</v>
          </cell>
          <cell r="M416" t="str">
            <v>Department of Culture and Tourism</v>
          </cell>
          <cell r="N416" t="str">
            <v>Support Services</v>
          </cell>
          <cell r="O416" t="str">
            <v>الخدمات المساندة</v>
          </cell>
          <cell r="P416" t="str">
            <v>People &amp; Performance</v>
          </cell>
          <cell r="Q416" t="str">
            <v>إدارة الكوادر البشرية والأداء</v>
          </cell>
          <cell r="R416" t="str">
            <v>Rewards &amp; Policy</v>
          </cell>
          <cell r="S416" t="str">
            <v>المكافآت والسياسات</v>
          </cell>
          <cell r="T416" t="str">
            <v/>
          </cell>
          <cell r="U416" t="str">
            <v/>
          </cell>
          <cell r="V416" t="str">
            <v>Abu Dhabi</v>
          </cell>
          <cell r="W416" t="str">
            <v/>
          </cell>
          <cell r="X416" t="str">
            <v>4510220</v>
          </cell>
          <cell r="Y416" t="str">
            <v>People &amp; Performance _Rewards Policy &amp; Recognition _Section Head</v>
          </cell>
          <cell r="Z416" t="str">
            <v>Section Manager</v>
          </cell>
          <cell r="AA416" t="str">
            <v>2A</v>
          </cell>
        </row>
        <row r="417">
          <cell r="A417">
            <v>986</v>
          </cell>
          <cell r="B417">
            <v>986</v>
          </cell>
          <cell r="C417" t="str">
            <v>A</v>
          </cell>
          <cell r="D417" t="str">
            <v>Saif Seghayer Aldhaheri</v>
          </cell>
          <cell r="E417" t="str">
            <v>سيف صغير الظاهري</v>
          </cell>
          <cell r="F417">
            <v>42127</v>
          </cell>
          <cell r="G417" t="str">
            <v>10005255</v>
          </cell>
          <cell r="H417" t="str">
            <v>FM Assistant</v>
          </cell>
          <cell r="I417" t="str">
            <v>مساعد إدارة المرافق</v>
          </cell>
          <cell r="J417" t="str">
            <v>On-Chart</v>
          </cell>
          <cell r="K417" t="str">
            <v>DCT Payroll</v>
          </cell>
          <cell r="L417" t="str">
            <v>A1</v>
          </cell>
          <cell r="M417" t="str">
            <v>Department of Culture and Tourism</v>
          </cell>
          <cell r="N417" t="str">
            <v>Culture</v>
          </cell>
          <cell r="O417" t="str">
            <v>الثقافة</v>
          </cell>
          <cell r="P417" t="str">
            <v>Culture Sites Management</v>
          </cell>
          <cell r="Q417" t="str">
            <v>إدارة المواقع الثقافية</v>
          </cell>
          <cell r="R417" t="str">
            <v>Al Ain Operations</v>
          </cell>
          <cell r="S417" t="str">
            <v>العمليات - العين</v>
          </cell>
          <cell r="T417" t="str">
            <v>Operations</v>
          </cell>
          <cell r="U417" t="str">
            <v>العمليات</v>
          </cell>
          <cell r="V417" t="str">
            <v>Abu Dhabi</v>
          </cell>
          <cell r="W417" t="str">
            <v/>
          </cell>
          <cell r="X417" t="str">
            <v>4511250</v>
          </cell>
          <cell r="Y417" t="str">
            <v>Compliance,Governance&amp;Protocol_Policy (Culture/Tourism) _Professional</v>
          </cell>
          <cell r="Z417" t="str">
            <v>Jr. Professional Assistant</v>
          </cell>
          <cell r="AA417" t="str">
            <v>6B</v>
          </cell>
        </row>
        <row r="418">
          <cell r="A418">
            <v>989</v>
          </cell>
          <cell r="B418">
            <v>989</v>
          </cell>
          <cell r="C418" t="str">
            <v>A</v>
          </cell>
          <cell r="D418" t="str">
            <v>Noura Salem Alameri</v>
          </cell>
          <cell r="E418" t="str">
            <v>نورة سالم العامري</v>
          </cell>
          <cell r="F418">
            <v>42130</v>
          </cell>
          <cell r="G418" t="str">
            <v>10010248</v>
          </cell>
          <cell r="H418" t="str">
            <v>Visitor Experience Senior Specialist</v>
          </cell>
          <cell r="I418" t="str">
            <v>أخصائي أول تجربة الزوار</v>
          </cell>
          <cell r="J418" t="str">
            <v>On-Chart</v>
          </cell>
          <cell r="K418" t="str">
            <v>DCT Payroll</v>
          </cell>
          <cell r="L418" t="str">
            <v>A1</v>
          </cell>
          <cell r="M418" t="str">
            <v>Department of Culture and Tourism</v>
          </cell>
          <cell r="N418" t="str">
            <v>Culture</v>
          </cell>
          <cell r="O418" t="str">
            <v>الثقافة</v>
          </cell>
          <cell r="P418" t="str">
            <v>Culture Sites Management</v>
          </cell>
          <cell r="Q418" t="str">
            <v>إدارة المواقع الثقافية</v>
          </cell>
          <cell r="R418" t="str">
            <v>Al Ain Historical Sites</v>
          </cell>
          <cell r="S418" t="str">
            <v>مواقع العين التاريخية</v>
          </cell>
          <cell r="T418" t="str">
            <v>Al Ain Palace Museum</v>
          </cell>
          <cell r="U418" t="str">
            <v>متحف قصر العين</v>
          </cell>
          <cell r="V418" t="str">
            <v>Al Ain</v>
          </cell>
          <cell r="W418" t="str">
            <v/>
          </cell>
          <cell r="X418" t="str">
            <v>4511250</v>
          </cell>
          <cell r="Y418" t="str">
            <v>Compliance,Governance&amp;Protocol_Policy (Culture/Tourism _Senior Professional</v>
          </cell>
          <cell r="Z418" t="str">
            <v>Senior Professional</v>
          </cell>
          <cell r="AA418" t="str">
            <v>3A</v>
          </cell>
        </row>
        <row r="419">
          <cell r="A419">
            <v>990</v>
          </cell>
          <cell r="B419">
            <v>990</v>
          </cell>
          <cell r="C419" t="str">
            <v>A</v>
          </cell>
          <cell r="D419" t="str">
            <v>Nadia Khamis Alshamsi</v>
          </cell>
          <cell r="E419" t="str">
            <v>نادية خميس  الشامسي</v>
          </cell>
          <cell r="F419">
            <v>42134</v>
          </cell>
          <cell r="G419" t="str">
            <v>50001887</v>
          </cell>
          <cell r="H419" t="str">
            <v>Operations Officer</v>
          </cell>
          <cell r="I419" t="str">
            <v>ضابط عمليات</v>
          </cell>
          <cell r="J419" t="str">
            <v>On-Chart</v>
          </cell>
          <cell r="K419" t="str">
            <v>DCT Payroll</v>
          </cell>
          <cell r="L419" t="str">
            <v>A1</v>
          </cell>
          <cell r="M419" t="str">
            <v>Department of Culture and Tourism</v>
          </cell>
          <cell r="N419" t="str">
            <v>Culture</v>
          </cell>
          <cell r="O419" t="str">
            <v>الثقافة</v>
          </cell>
          <cell r="P419" t="str">
            <v>Culture Sites Management</v>
          </cell>
          <cell r="Q419" t="str">
            <v>إدارة المواقع الثقافية</v>
          </cell>
          <cell r="R419" t="str">
            <v>Al Ain Operations</v>
          </cell>
          <cell r="S419" t="str">
            <v>العمليات - العين</v>
          </cell>
          <cell r="T419" t="str">
            <v>Operations</v>
          </cell>
          <cell r="U419" t="str">
            <v>العمليات</v>
          </cell>
          <cell r="V419" t="str">
            <v>Al Ain</v>
          </cell>
          <cell r="W419" t="str">
            <v/>
          </cell>
          <cell r="X419" t="str">
            <v>4511250</v>
          </cell>
          <cell r="Y419" t="str">
            <v>Compliance,Governance&amp;Protocol_Policy (Culture/Tourism _Senior Professional</v>
          </cell>
          <cell r="Z419" t="str">
            <v>Professional</v>
          </cell>
          <cell r="AA419" t="str">
            <v>4B</v>
          </cell>
        </row>
        <row r="420">
          <cell r="A420">
            <v>992</v>
          </cell>
          <cell r="B420">
            <v>992</v>
          </cell>
          <cell r="C420" t="str">
            <v>A</v>
          </cell>
          <cell r="D420" t="str">
            <v>Mohamed Abed Rabboh AlMessabi</v>
          </cell>
          <cell r="E420" t="str">
            <v>محمد عبدربه المصعبي</v>
          </cell>
          <cell r="F420">
            <v>42134</v>
          </cell>
          <cell r="G420" t="str">
            <v>10005278</v>
          </cell>
          <cell r="H420" t="str">
            <v>Library Officer</v>
          </cell>
          <cell r="I420" t="str">
            <v>ضابط شؤون المكتبة</v>
          </cell>
          <cell r="J420" t="str">
            <v>On-Chart</v>
          </cell>
          <cell r="K420" t="str">
            <v>DCT Payroll</v>
          </cell>
          <cell r="L420" t="str">
            <v>A1</v>
          </cell>
          <cell r="M420" t="str">
            <v>Department of Culture and Tourism</v>
          </cell>
          <cell r="N420" t="str">
            <v>Culture</v>
          </cell>
          <cell r="O420" t="str">
            <v>الثقافة</v>
          </cell>
          <cell r="P420" t="str">
            <v>Library Management</v>
          </cell>
          <cell r="Q420" t="str">
            <v>إدارة المكتبات</v>
          </cell>
          <cell r="R420" t="str">
            <v>Branches Library</v>
          </cell>
          <cell r="S420" t="str">
            <v>فروع المكتبات</v>
          </cell>
          <cell r="T420" t="str">
            <v>Al Wathba Library</v>
          </cell>
          <cell r="U420" t="str">
            <v>مكتبة الوثبة</v>
          </cell>
          <cell r="V420" t="str">
            <v>Abu Dhabi</v>
          </cell>
          <cell r="W420" t="str">
            <v/>
          </cell>
          <cell r="X420" t="str">
            <v>4516100</v>
          </cell>
          <cell r="Y420" t="str">
            <v>Interpretation &amp; Engagement_Library Service Delivery (Librarian)_Professional</v>
          </cell>
          <cell r="Z420" t="str">
            <v>Professional</v>
          </cell>
          <cell r="AA420" t="str">
            <v>4A</v>
          </cell>
        </row>
        <row r="421">
          <cell r="A421">
            <v>993</v>
          </cell>
          <cell r="B421">
            <v>993</v>
          </cell>
          <cell r="C421" t="str">
            <v>A</v>
          </cell>
          <cell r="D421" t="str">
            <v>Manal Abdulhameed Alhosani</v>
          </cell>
          <cell r="E421" t="str">
            <v>منال عبد الحميد الحوسني</v>
          </cell>
          <cell r="F421">
            <v>42148</v>
          </cell>
          <cell r="G421" t="str">
            <v>10007502</v>
          </cell>
          <cell r="H421" t="str">
            <v>Spatial Intelligence and Data Discovery Unit Head</v>
          </cell>
          <cell r="I421" t="str">
            <v>رئيس وحدة الذكاء المكاني واكتشاف البيانات</v>
          </cell>
          <cell r="J421" t="str">
            <v>On-Chart</v>
          </cell>
          <cell r="K421" t="str">
            <v>DCT Payroll</v>
          </cell>
          <cell r="L421" t="str">
            <v>A1</v>
          </cell>
          <cell r="M421" t="str">
            <v>Department of Culture and Tourism</v>
          </cell>
          <cell r="N421" t="str">
            <v>Strategic Affairs</v>
          </cell>
          <cell r="O421" t="str">
            <v>الشؤون الاستراتيجية</v>
          </cell>
          <cell r="P421" t="str">
            <v>Data &amp; AI Department</v>
          </cell>
          <cell r="Q421" t="str">
            <v>إدارة البيانات والذكاء الاصطناعي</v>
          </cell>
          <cell r="R421" t="str">
            <v>Business Intelligence Section</v>
          </cell>
          <cell r="S421" t="str">
            <v>قسم الاستخبارات التجارية</v>
          </cell>
          <cell r="T421" t="str">
            <v>Spatial Intelligence and Data Discovery</v>
          </cell>
          <cell r="U421" t="str">
            <v>الذكاء المكاني واكتشاف البيانات</v>
          </cell>
          <cell r="V421" t="str">
            <v>Abu Dhabi</v>
          </cell>
          <cell r="W421" t="str">
            <v/>
          </cell>
          <cell r="X421" t="str">
            <v>4512200</v>
          </cell>
          <cell r="Y421" t="str">
            <v>Strategy, Planning, Project Mgt_Business &amp; Market Intelligence  Analysis &amp; Planning_Unit Head</v>
          </cell>
          <cell r="Z421" t="str">
            <v>Unit Head</v>
          </cell>
          <cell r="AA421" t="str">
            <v>3A</v>
          </cell>
        </row>
        <row r="422">
          <cell r="A422">
            <v>995</v>
          </cell>
          <cell r="B422">
            <v>995</v>
          </cell>
          <cell r="C422" t="str">
            <v>A</v>
          </cell>
          <cell r="D422" t="str">
            <v>Muna Nasser AlAmeri</v>
          </cell>
          <cell r="E422" t="str">
            <v>منى ناصر العامري</v>
          </cell>
          <cell r="F422">
            <v>42156</v>
          </cell>
          <cell r="G422" t="str">
            <v>10009808</v>
          </cell>
          <cell r="H422" t="str">
            <v>Data Engineering Unit Head</v>
          </cell>
          <cell r="I422" t="str">
            <v>رئيس وحدة هندسة البيانات</v>
          </cell>
          <cell r="J422" t="str">
            <v>On-Chart</v>
          </cell>
          <cell r="K422" t="str">
            <v>DCT Payroll</v>
          </cell>
          <cell r="L422" t="str">
            <v>A1</v>
          </cell>
          <cell r="M422" t="str">
            <v>Department of Culture and Tourism</v>
          </cell>
          <cell r="N422" t="str">
            <v>Strategic Affairs</v>
          </cell>
          <cell r="O422" t="str">
            <v>الشؤون الاستراتيجية</v>
          </cell>
          <cell r="P422" t="str">
            <v>Data &amp; AI Department</v>
          </cell>
          <cell r="Q422" t="str">
            <v>إدارة البيانات والذكاء الاصطناعي</v>
          </cell>
          <cell r="R422" t="str">
            <v>Enterprise Data Management</v>
          </cell>
          <cell r="S422" t="str">
            <v>قسم إدارة البيانات المؤسسية</v>
          </cell>
          <cell r="T422" t="str">
            <v>Data Management</v>
          </cell>
          <cell r="U422" t="str">
            <v>إدارة البيانات</v>
          </cell>
          <cell r="V422" t="str">
            <v>Abu Dhabi</v>
          </cell>
          <cell r="W422" t="str">
            <v/>
          </cell>
          <cell r="X422" t="str">
            <v>4512200</v>
          </cell>
          <cell r="Y422" t="str">
            <v>Strategy, Planning, Project Mgt_Business &amp; Market Intelligence  Analysis &amp; Planning_Unit Head</v>
          </cell>
          <cell r="Z422" t="str">
            <v>Unit Head</v>
          </cell>
          <cell r="AA422" t="str">
            <v>3A</v>
          </cell>
        </row>
        <row r="423">
          <cell r="A423">
            <v>998</v>
          </cell>
          <cell r="B423">
            <v>998</v>
          </cell>
          <cell r="C423" t="str">
            <v>A</v>
          </cell>
          <cell r="D423" t="str">
            <v>Hamda Rashed AlQubaisi</v>
          </cell>
          <cell r="E423" t="str">
            <v>حمده راشد القبيسي</v>
          </cell>
          <cell r="F423">
            <v>42162</v>
          </cell>
          <cell r="G423" t="str">
            <v>50000475</v>
          </cell>
          <cell r="H423" t="str">
            <v>Projects Specialist</v>
          </cell>
          <cell r="I423" t="str">
            <v>أخصائي مشاريع</v>
          </cell>
          <cell r="J423" t="str">
            <v>On-Chart</v>
          </cell>
          <cell r="K423" t="str">
            <v>DCT Payroll</v>
          </cell>
          <cell r="L423" t="str">
            <v>A1</v>
          </cell>
          <cell r="M423" t="str">
            <v>Department of Culture and Tourism</v>
          </cell>
          <cell r="N423" t="str">
            <v>Strategic Marketing &amp; Communication</v>
          </cell>
          <cell r="O423" t="str">
            <v>التسويق والاتصال الاستراتيجي</v>
          </cell>
          <cell r="P423" t="str">
            <v>Strategic Communications</v>
          </cell>
          <cell r="Q423" t="str">
            <v>الاتصال الاستراتيجي</v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>Abu Dhabi</v>
          </cell>
          <cell r="W423" t="str">
            <v/>
          </cell>
          <cell r="X423" t="str">
            <v>4513120</v>
          </cell>
          <cell r="Y423" t="str">
            <v>Comms &amp; Marketing _Marketing &amp; Communications (All)_Professional</v>
          </cell>
          <cell r="Z423" t="str">
            <v>Professional</v>
          </cell>
          <cell r="AA423" t="str">
            <v>3A</v>
          </cell>
        </row>
        <row r="424">
          <cell r="A424">
            <v>999</v>
          </cell>
          <cell r="B424">
            <v>999</v>
          </cell>
          <cell r="C424" t="str">
            <v>A</v>
          </cell>
          <cell r="D424" t="str">
            <v>Khalid Husain ALKhoori</v>
          </cell>
          <cell r="E424" t="str">
            <v>خالد حسين الخوري</v>
          </cell>
          <cell r="F424">
            <v>42162</v>
          </cell>
          <cell r="G424" t="str">
            <v>10005340</v>
          </cell>
          <cell r="H424" t="str">
            <v>Employee Recognition &amp; Mobility Senior Specialist</v>
          </cell>
          <cell r="I424" t="str">
            <v>أخصائي أول المكافآت وتنقل الموظفين​</v>
          </cell>
          <cell r="J424" t="str">
            <v>On-Chart</v>
          </cell>
          <cell r="K424" t="str">
            <v>DCT Payroll</v>
          </cell>
          <cell r="L424" t="str">
            <v>A1</v>
          </cell>
          <cell r="M424" t="str">
            <v>Department of Culture and Tourism</v>
          </cell>
          <cell r="N424" t="str">
            <v>Support Services</v>
          </cell>
          <cell r="O424" t="str">
            <v>الخدمات المساندة</v>
          </cell>
          <cell r="P424" t="str">
            <v>People &amp; Performance</v>
          </cell>
          <cell r="Q424" t="str">
            <v>إدارة الكوادر البشرية والأداء</v>
          </cell>
          <cell r="R424" t="str">
            <v>Rewards &amp; Policy</v>
          </cell>
          <cell r="S424" t="str">
            <v>المكافآت والسياسات</v>
          </cell>
          <cell r="T424" t="str">
            <v>Rewards &amp; Recognition</v>
          </cell>
          <cell r="U424" t="str">
            <v>المكافآت</v>
          </cell>
          <cell r="V424" t="str">
            <v>Abu Dhabi</v>
          </cell>
          <cell r="W424" t="str">
            <v/>
          </cell>
          <cell r="X424" t="str">
            <v>4510220</v>
          </cell>
          <cell r="Y424" t="str">
            <v>People &amp; Performance _Rewards Policy &amp; Recognition _Senior Professional</v>
          </cell>
          <cell r="Z424" t="str">
            <v>Senior Professional</v>
          </cell>
          <cell r="AA424" t="str">
            <v>3A</v>
          </cell>
        </row>
        <row r="425">
          <cell r="A425">
            <v>1000</v>
          </cell>
          <cell r="B425">
            <v>1000</v>
          </cell>
          <cell r="C425" t="str">
            <v>A</v>
          </cell>
          <cell r="D425" t="str">
            <v>Amna Hamad AlMehairi</v>
          </cell>
          <cell r="E425" t="str">
            <v>آمنة حمد المهيري</v>
          </cell>
          <cell r="F425">
            <v>42163</v>
          </cell>
          <cell r="G425" t="str">
            <v>10010030</v>
          </cell>
          <cell r="H425" t="str">
            <v>Children’s Library Programmes Senior Specialist</v>
          </cell>
          <cell r="I425" t="str">
            <v>أخصائي أول برامج مكتبة الأطفال</v>
          </cell>
          <cell r="J425" t="str">
            <v>On-Chart</v>
          </cell>
          <cell r="K425" t="str">
            <v>DCT Payroll</v>
          </cell>
          <cell r="L425" t="str">
            <v>A1</v>
          </cell>
          <cell r="M425" t="str">
            <v>Department of Culture and Tourism</v>
          </cell>
          <cell r="N425" t="str">
            <v>Culture</v>
          </cell>
          <cell r="O425" t="str">
            <v>الثقافة</v>
          </cell>
          <cell r="P425" t="str">
            <v>Culture Sites Management</v>
          </cell>
          <cell r="Q425" t="str">
            <v>إدارة المواقع الثقافية</v>
          </cell>
          <cell r="R425" t="str">
            <v>Cultural Foundation</v>
          </cell>
          <cell r="S425" t="str">
            <v>المجمع الثقافي</v>
          </cell>
          <cell r="T425" t="str">
            <v>Children's Library</v>
          </cell>
          <cell r="U425" t="str">
            <v>مكتبة الأطفال</v>
          </cell>
          <cell r="V425" t="str">
            <v>Al Ain</v>
          </cell>
          <cell r="W425" t="str">
            <v/>
          </cell>
          <cell r="X425" t="str">
            <v>4511250</v>
          </cell>
          <cell r="Y425" t="str">
            <v>Compliance,Governance&amp;Protocol_Policy (Culture/Tourism _Senior Professional</v>
          </cell>
          <cell r="Z425" t="str">
            <v>Senior Professional</v>
          </cell>
          <cell r="AA425" t="str">
            <v>3A</v>
          </cell>
        </row>
        <row r="426">
          <cell r="A426">
            <v>1001</v>
          </cell>
          <cell r="B426">
            <v>1001</v>
          </cell>
          <cell r="C426" t="str">
            <v>A</v>
          </cell>
          <cell r="D426" t="str">
            <v>Thikra Ahmed Alsuwaidi</v>
          </cell>
          <cell r="E426" t="str">
            <v>ذكرى أحمد السويدي</v>
          </cell>
          <cell r="F426">
            <v>42169</v>
          </cell>
          <cell r="G426" t="str">
            <v>47700711</v>
          </cell>
          <cell r="H426" t="str">
            <v>Senior Graphic Designer</v>
          </cell>
          <cell r="I426" t="str">
            <v>مصمم أول جرافيك</v>
          </cell>
          <cell r="J426" t="str">
            <v>On-Chart</v>
          </cell>
          <cell r="K426" t="str">
            <v>DCT Payroll</v>
          </cell>
          <cell r="L426" t="str">
            <v>A1</v>
          </cell>
          <cell r="M426" t="str">
            <v>Department of Culture and Tourism</v>
          </cell>
          <cell r="N426" t="str">
            <v>Strategic Marketing &amp; Communication</v>
          </cell>
          <cell r="O426" t="str">
            <v>التسويق والاتصال الاستراتيجي</v>
          </cell>
          <cell r="P426" t="str">
            <v>Creative &amp; Production</v>
          </cell>
          <cell r="Q426" t="str">
            <v>الإبداع والإنتاج</v>
          </cell>
          <cell r="R426" t="str">
            <v>Creative Content</v>
          </cell>
          <cell r="S426" t="str">
            <v>المحتوى الإبداعي</v>
          </cell>
          <cell r="T426" t="str">
            <v>Multimedia Design</v>
          </cell>
          <cell r="U426" t="str">
            <v>تصميم الوسائط المتعددة</v>
          </cell>
          <cell r="V426" t="str">
            <v>Abu Dhabi</v>
          </cell>
          <cell r="W426" t="str">
            <v/>
          </cell>
          <cell r="X426" t="str">
            <v>4513110</v>
          </cell>
          <cell r="Y426" t="str">
            <v>Senior Specialization Marketing &amp; Communications</v>
          </cell>
          <cell r="Z426" t="str">
            <v>Senior Professional</v>
          </cell>
          <cell r="AA426" t="str">
            <v>3A</v>
          </cell>
        </row>
        <row r="427">
          <cell r="A427">
            <v>1003</v>
          </cell>
          <cell r="B427">
            <v>1003</v>
          </cell>
          <cell r="C427" t="str">
            <v>A</v>
          </cell>
          <cell r="D427" t="str">
            <v>Hessa Khamis AlMazrouei</v>
          </cell>
          <cell r="E427" t="str">
            <v>حصة خميس المزروعي</v>
          </cell>
          <cell r="F427">
            <v>42166</v>
          </cell>
          <cell r="G427" t="str">
            <v>10005408</v>
          </cell>
          <cell r="H427" t="str">
            <v>Artisan</v>
          </cell>
          <cell r="I427" t="str">
            <v>حرفي</v>
          </cell>
          <cell r="J427" t="str">
            <v>Off-Chart</v>
          </cell>
          <cell r="K427" t="str">
            <v>DCT Payroll</v>
          </cell>
          <cell r="L427" t="str">
            <v>A1</v>
          </cell>
          <cell r="M427" t="str">
            <v>Department of Culture and Tourism</v>
          </cell>
          <cell r="N427" t="str">
            <v>Culture</v>
          </cell>
          <cell r="O427" t="str">
            <v>الثقافة</v>
          </cell>
          <cell r="P427" t="str">
            <v>Intangible Cultural Heritage</v>
          </cell>
          <cell r="Q427" t="str">
            <v>التراث الثقافي المعنوي</v>
          </cell>
          <cell r="R427" t="str">
            <v>Handicrafts Development</v>
          </cell>
          <cell r="S427" t="str">
            <v>تطوير الحرف اليدوية</v>
          </cell>
          <cell r="T427" t="str">
            <v>Artisans Administration - Al Ain</v>
          </cell>
          <cell r="U427" t="str">
            <v>إدارة الحرفيين - العين</v>
          </cell>
          <cell r="V427" t="str">
            <v>Abu Dhabi</v>
          </cell>
          <cell r="W427" t="str">
            <v/>
          </cell>
          <cell r="X427" t="str">
            <v>4511600</v>
          </cell>
          <cell r="Y427" t="str">
            <v>Content &amp; Care_World Heritage Sites Planning &amp; Monitoring _Professional</v>
          </cell>
          <cell r="Z427" t="str">
            <v>Assistant and Technical Staff</v>
          </cell>
          <cell r="AA427" t="str">
            <v>6A</v>
          </cell>
        </row>
        <row r="428">
          <cell r="A428">
            <v>1004</v>
          </cell>
          <cell r="B428">
            <v>1004</v>
          </cell>
          <cell r="C428" t="str">
            <v>A</v>
          </cell>
          <cell r="D428" t="str">
            <v>Fatema Jasem Alzaabi</v>
          </cell>
          <cell r="E428" t="str">
            <v>فاطمة جاسم الزعابي</v>
          </cell>
          <cell r="F428">
            <v>42183</v>
          </cell>
          <cell r="G428" t="str">
            <v>10007088</v>
          </cell>
          <cell r="H428" t="str">
            <v>Accounts Receivables Senior Accountant (Commercial)</v>
          </cell>
          <cell r="I428" t="str">
            <v>محاسب أول الحسابات المستحقة ( تجاري)</v>
          </cell>
          <cell r="J428" t="str">
            <v>On-Chart</v>
          </cell>
          <cell r="K428" t="str">
            <v>DCT Payroll</v>
          </cell>
          <cell r="L428" t="str">
            <v>A1</v>
          </cell>
          <cell r="M428" t="str">
            <v>Department of Culture and Tourism</v>
          </cell>
          <cell r="N428" t="str">
            <v>Support Services</v>
          </cell>
          <cell r="O428" t="str">
            <v>الخدمات المساندة</v>
          </cell>
          <cell r="P428" t="str">
            <v>Finance</v>
          </cell>
          <cell r="Q428" t="str">
            <v>إدارة المالية</v>
          </cell>
          <cell r="R428" t="str">
            <v>Receivables Operations</v>
          </cell>
          <cell r="S428" t="str">
            <v>عمليات الحسابات المستحقة</v>
          </cell>
          <cell r="T428" t="str">
            <v>Accounts Receivables</v>
          </cell>
          <cell r="U428" t="str">
            <v>حسابات مستحقة</v>
          </cell>
          <cell r="V428" t="str">
            <v>Abu Dhabi</v>
          </cell>
          <cell r="W428" t="str">
            <v/>
          </cell>
          <cell r="X428" t="str">
            <v>4510210</v>
          </cell>
          <cell r="Y428" t="str">
            <v>Finance_Accountant_Senior Professional</v>
          </cell>
          <cell r="Z428" t="str">
            <v>Senior Professional</v>
          </cell>
          <cell r="AA428" t="str">
            <v>3A</v>
          </cell>
        </row>
        <row r="429">
          <cell r="A429">
            <v>1005</v>
          </cell>
          <cell r="B429">
            <v>1005</v>
          </cell>
          <cell r="C429" t="str">
            <v>A</v>
          </cell>
          <cell r="D429" t="str">
            <v>Ayesha Jawhar Almarzooqi</v>
          </cell>
          <cell r="E429" t="str">
            <v>عائشة جوهر المرزوقي</v>
          </cell>
          <cell r="F429">
            <v>42186</v>
          </cell>
          <cell r="G429" t="str">
            <v>50001891</v>
          </cell>
          <cell r="H429" t="str">
            <v>Classes &amp; Workshops Coordinator</v>
          </cell>
          <cell r="I429" t="str">
            <v>منسق فصول وورش العمل</v>
          </cell>
          <cell r="J429" t="str">
            <v>On-Chart</v>
          </cell>
          <cell r="K429" t="str">
            <v>DCT Payroll</v>
          </cell>
          <cell r="L429" t="str">
            <v>A1</v>
          </cell>
          <cell r="M429" t="str">
            <v>Department of Culture and Tourism</v>
          </cell>
          <cell r="N429" t="str">
            <v>Culture</v>
          </cell>
          <cell r="O429" t="str">
            <v>الثقافة</v>
          </cell>
          <cell r="P429" t="str">
            <v>Education &amp; Outreach</v>
          </cell>
          <cell r="Q429" t="str">
            <v>التعليم والتوعية الثقافية</v>
          </cell>
          <cell r="R429" t="str">
            <v>Outreach</v>
          </cell>
          <cell r="S429" t="str">
            <v>التوعية الثقافية</v>
          </cell>
          <cell r="T429" t="str">
            <v>Talent Development Programmes</v>
          </cell>
          <cell r="U429" t="str">
            <v>برامج تطوير المواهب</v>
          </cell>
          <cell r="V429" t="str">
            <v>Abu Dhabi</v>
          </cell>
          <cell r="W429" t="str">
            <v/>
          </cell>
          <cell r="X429" t="str">
            <v>4511800</v>
          </cell>
          <cell r="Y429" t="str">
            <v>Interpretation &amp; Engagement_Outreach &amp; Cultural Engagement _Professional</v>
          </cell>
          <cell r="Z429" t="str">
            <v>Professional Assistant</v>
          </cell>
          <cell r="AA429" t="str">
            <v>5B</v>
          </cell>
        </row>
        <row r="430">
          <cell r="A430">
            <v>1006</v>
          </cell>
          <cell r="B430">
            <v>1006</v>
          </cell>
          <cell r="C430" t="str">
            <v>A</v>
          </cell>
          <cell r="D430" t="str">
            <v>Ahmed Abdullah Alali</v>
          </cell>
          <cell r="E430" t="str">
            <v>أحمد عبدالله العلي</v>
          </cell>
          <cell r="F430">
            <v>42190</v>
          </cell>
          <cell r="G430" t="str">
            <v>10005415</v>
          </cell>
          <cell r="H430" t="str">
            <v>Sourcing Specialist</v>
          </cell>
          <cell r="I430" t="str">
            <v>أخصائي التوريد</v>
          </cell>
          <cell r="J430" t="str">
            <v>On-Chart</v>
          </cell>
          <cell r="K430" t="str">
            <v>DCT Payroll</v>
          </cell>
          <cell r="L430" t="str">
            <v>A1</v>
          </cell>
          <cell r="M430" t="str">
            <v>Department of Culture and Tourism</v>
          </cell>
          <cell r="N430" t="str">
            <v>Support Services</v>
          </cell>
          <cell r="O430" t="str">
            <v>الخدمات المساندة</v>
          </cell>
          <cell r="P430" t="str">
            <v>Supply Management</v>
          </cell>
          <cell r="Q430" t="str">
            <v>إدارة الإمداد</v>
          </cell>
          <cell r="R430" t="str">
            <v>Sourcing</v>
          </cell>
          <cell r="S430" t="str">
            <v>التوريد</v>
          </cell>
          <cell r="T430" t="str">
            <v>Sourcing</v>
          </cell>
          <cell r="U430" t="str">
            <v>توريد المشتريات</v>
          </cell>
          <cell r="V430" t="str">
            <v>Abu Dhabi</v>
          </cell>
          <cell r="W430" t="str">
            <v/>
          </cell>
          <cell r="X430" t="str">
            <v>4510240</v>
          </cell>
          <cell r="Y430" t="str">
            <v>Procurement_Procurement General_Professional</v>
          </cell>
          <cell r="Z430" t="str">
            <v>Professional</v>
          </cell>
          <cell r="AA430" t="str">
            <v>4A</v>
          </cell>
        </row>
        <row r="431">
          <cell r="A431">
            <v>1007</v>
          </cell>
          <cell r="B431">
            <v>1007</v>
          </cell>
          <cell r="C431" t="str">
            <v>A</v>
          </cell>
          <cell r="D431" t="str">
            <v>Khawla Mohamed Alkindi</v>
          </cell>
          <cell r="E431" t="str">
            <v>خولة محمد الكندي</v>
          </cell>
          <cell r="F431">
            <v>42187</v>
          </cell>
          <cell r="G431" t="str">
            <v>10005419</v>
          </cell>
          <cell r="H431" t="str">
            <v>Employee Relations Senior Specialist</v>
          </cell>
          <cell r="I431" t="str">
            <v>أخصائي أول شؤون الموظفين</v>
          </cell>
          <cell r="J431" t="str">
            <v>On-Chart</v>
          </cell>
          <cell r="K431" t="str">
            <v>DCT Payroll</v>
          </cell>
          <cell r="L431" t="str">
            <v>A1</v>
          </cell>
          <cell r="M431" t="str">
            <v>Department of Culture and Tourism</v>
          </cell>
          <cell r="N431" t="str">
            <v>Support Services</v>
          </cell>
          <cell r="O431" t="str">
            <v>الخدمات المساندة</v>
          </cell>
          <cell r="P431" t="str">
            <v>People &amp; Performance</v>
          </cell>
          <cell r="Q431" t="str">
            <v>إدارة الكوادر البشرية والأداء</v>
          </cell>
          <cell r="R431" t="str">
            <v>Employee Relations</v>
          </cell>
          <cell r="S431" t="str">
            <v>شؤون الموظفين</v>
          </cell>
          <cell r="T431" t="str">
            <v>Employee Experience</v>
          </cell>
          <cell r="U431" t="str">
            <v>تجربة الموظفين</v>
          </cell>
          <cell r="V431" t="str">
            <v>Abu Dhabi</v>
          </cell>
          <cell r="W431" t="str">
            <v/>
          </cell>
          <cell r="X431" t="str">
            <v>4510220</v>
          </cell>
          <cell r="Y431" t="str">
            <v>People &amp; Performance _Employee Experience _Senior Professional</v>
          </cell>
          <cell r="Z431" t="str">
            <v>Senior Professional</v>
          </cell>
          <cell r="AA431" t="str">
            <v>3A</v>
          </cell>
        </row>
        <row r="432">
          <cell r="A432">
            <v>1009</v>
          </cell>
          <cell r="B432">
            <v>1009</v>
          </cell>
          <cell r="C432" t="str">
            <v>A</v>
          </cell>
          <cell r="D432" t="str">
            <v>Ali Ismail Almarzooqi</v>
          </cell>
          <cell r="E432" t="str">
            <v>علي اسماعيل المرزوقي</v>
          </cell>
          <cell r="F432">
            <v>42206</v>
          </cell>
          <cell r="G432" t="str">
            <v>50003092</v>
          </cell>
          <cell r="H432" t="str">
            <v>Vendor Onboarding Senior Specialist</v>
          </cell>
          <cell r="I432" t="str">
            <v>أخصائي أول تسجيل الموردين</v>
          </cell>
          <cell r="J432" t="str">
            <v>On-Chart</v>
          </cell>
          <cell r="K432" t="str">
            <v>DCT Payroll</v>
          </cell>
          <cell r="L432" t="str">
            <v>A1</v>
          </cell>
          <cell r="M432" t="str">
            <v>Department of Culture and Tourism</v>
          </cell>
          <cell r="N432" t="str">
            <v>Support Services</v>
          </cell>
          <cell r="O432" t="str">
            <v>الخدمات المساندة</v>
          </cell>
          <cell r="P432" t="str">
            <v>Supply Management</v>
          </cell>
          <cell r="Q432" t="str">
            <v>إدارة الإمداد</v>
          </cell>
          <cell r="R432" t="str">
            <v>Contracts, System &amp; Reporting</v>
          </cell>
          <cell r="S432" t="str">
            <v>العقود والأنظمة والتقارير</v>
          </cell>
          <cell r="T432" t="str">
            <v>Supplier Performance</v>
          </cell>
          <cell r="U432" t="str">
            <v>أداء الموردين</v>
          </cell>
          <cell r="V432" t="str">
            <v>Abu Dhabi</v>
          </cell>
          <cell r="W432" t="str">
            <v/>
          </cell>
          <cell r="X432" t="str">
            <v>4510240</v>
          </cell>
          <cell r="Y432" t="str">
            <v>Procurement_Procurement General_Senior Professional</v>
          </cell>
          <cell r="Z432" t="str">
            <v>Senior Professional</v>
          </cell>
          <cell r="AA432" t="str">
            <v>3A</v>
          </cell>
        </row>
        <row r="433">
          <cell r="A433">
            <v>1010</v>
          </cell>
          <cell r="B433">
            <v>1010</v>
          </cell>
          <cell r="C433" t="str">
            <v>A</v>
          </cell>
          <cell r="D433" t="str">
            <v>Oshba lafi Almhairi</v>
          </cell>
          <cell r="E433" t="str">
            <v>عشبة لافي المهيري</v>
          </cell>
          <cell r="F433">
            <v>42206</v>
          </cell>
          <cell r="G433" t="str">
            <v>10110035</v>
          </cell>
          <cell r="H433" t="str">
            <v>References &amp; Library Education Senior Specialist</v>
          </cell>
          <cell r="I433" t="str">
            <v>أخصائي أول المراجع والتعليم</v>
          </cell>
          <cell r="J433" t="str">
            <v>On-Chart</v>
          </cell>
          <cell r="K433" t="str">
            <v>DCT Payroll</v>
          </cell>
          <cell r="L433" t="str">
            <v>A1</v>
          </cell>
          <cell r="M433" t="str">
            <v>Department of Culture and Tourism</v>
          </cell>
          <cell r="N433" t="str">
            <v>Culture</v>
          </cell>
          <cell r="O433" t="str">
            <v>الثقافة</v>
          </cell>
          <cell r="P433" t="str">
            <v>Library Management</v>
          </cell>
          <cell r="Q433" t="str">
            <v>إدارة المكتبات</v>
          </cell>
          <cell r="R433" t="str">
            <v>Zayed Central Library - Al Ain</v>
          </cell>
          <cell r="S433" t="str">
            <v>مكتبة زايد المركزية - العين</v>
          </cell>
          <cell r="T433" t="str">
            <v>Reference &amp; Library Education</v>
          </cell>
          <cell r="U433" t="str">
            <v>المراجع والتعليم</v>
          </cell>
          <cell r="V433" t="str">
            <v>Abu Dhabi</v>
          </cell>
          <cell r="W433" t="str">
            <v/>
          </cell>
          <cell r="X433" t="str">
            <v>4516100</v>
          </cell>
          <cell r="Y433" t="str">
            <v>Operations_Library Operational Management_Senior Professional</v>
          </cell>
          <cell r="Z433" t="str">
            <v>Senior Professional</v>
          </cell>
          <cell r="AA433" t="str">
            <v>3A</v>
          </cell>
        </row>
        <row r="434">
          <cell r="A434">
            <v>1011</v>
          </cell>
          <cell r="B434">
            <v>1011</v>
          </cell>
          <cell r="C434" t="str">
            <v>A</v>
          </cell>
          <cell r="D434" t="str">
            <v>Fatima Hamad Almidfa</v>
          </cell>
          <cell r="E434" t="str">
            <v>فاطمة حمد المدفع</v>
          </cell>
          <cell r="F434">
            <v>42211</v>
          </cell>
          <cell r="G434" t="str">
            <v>10005947</v>
          </cell>
          <cell r="H434" t="str">
            <v>Correspondence and Admin Affairs Senior Specialist</v>
          </cell>
          <cell r="I434" t="str">
            <v>أخصائي أول المراسلات و الشؤون الإدارية</v>
          </cell>
          <cell r="J434" t="str">
            <v>On-Chart</v>
          </cell>
          <cell r="K434" t="str">
            <v>DCT Payroll</v>
          </cell>
          <cell r="L434" t="str">
            <v>A1</v>
          </cell>
          <cell r="M434" t="str">
            <v>Department of Culture and Tourism</v>
          </cell>
          <cell r="N434" t="str">
            <v>Executive Affairs</v>
          </cell>
          <cell r="O434" t="str">
            <v>مكتب رئيس الدائرة</v>
          </cell>
          <cell r="P434" t="str">
            <v>Executive Affairs</v>
          </cell>
          <cell r="Q434" t="str">
            <v>الشؤون التنفيذية</v>
          </cell>
          <cell r="R434" t="str">
            <v>Executive Operations</v>
          </cell>
          <cell r="S434" t="str">
            <v>العمليات التنفيذية</v>
          </cell>
          <cell r="T434" t="str">
            <v>Correspondence and Admin Affairs</v>
          </cell>
          <cell r="U434" t="str">
            <v>المراسلات و الشؤون الإدارية</v>
          </cell>
          <cell r="V434" t="str">
            <v>Abu Dhabi</v>
          </cell>
          <cell r="W434" t="str">
            <v/>
          </cell>
          <cell r="X434" t="str">
            <v>4510011</v>
          </cell>
          <cell r="Y434" t="str">
            <v>Stakeholder &amp; Partner Relations_International &amp; Institutional Affairs _Senior Professional</v>
          </cell>
          <cell r="Z434" t="str">
            <v>Senior Professional</v>
          </cell>
          <cell r="AA434" t="str">
            <v>3A</v>
          </cell>
        </row>
        <row r="435">
          <cell r="A435">
            <v>1013</v>
          </cell>
          <cell r="B435">
            <v>1013</v>
          </cell>
          <cell r="C435" t="str">
            <v>A</v>
          </cell>
          <cell r="D435" t="str">
            <v>Dalal Mohamed Shadid</v>
          </cell>
          <cell r="E435" t="str">
            <v>دلال محمد شديد</v>
          </cell>
          <cell r="F435">
            <v>42218</v>
          </cell>
          <cell r="G435" t="str">
            <v>50000492</v>
          </cell>
          <cell r="H435" t="str">
            <v>Commercial Development Unit Head</v>
          </cell>
          <cell r="I435" t="str">
            <v>رئيس وحدة التطوير التجاري</v>
          </cell>
          <cell r="J435" t="str">
            <v>On-Chart</v>
          </cell>
          <cell r="K435" t="str">
            <v>DCT Payroll</v>
          </cell>
          <cell r="L435" t="str">
            <v>A1</v>
          </cell>
          <cell r="M435" t="str">
            <v>Department of Culture and Tourism</v>
          </cell>
          <cell r="N435" t="str">
            <v>Culture</v>
          </cell>
          <cell r="O435" t="str">
            <v>الثقافة</v>
          </cell>
          <cell r="P435" t="str">
            <v>Culture Sites Management</v>
          </cell>
          <cell r="Q435" t="str">
            <v>إدارة المواقع الثقافية</v>
          </cell>
          <cell r="R435" t="str">
            <v>Commercial Development</v>
          </cell>
          <cell r="S435" t="str">
            <v>التطوير التجاري</v>
          </cell>
          <cell r="T435" t="str">
            <v/>
          </cell>
          <cell r="U435" t="str">
            <v/>
          </cell>
          <cell r="V435" t="str">
            <v>Abu Dhabi</v>
          </cell>
          <cell r="W435" t="str">
            <v/>
          </cell>
          <cell r="X435" t="str">
            <v>4511250</v>
          </cell>
          <cell r="Y435" t="str">
            <v>Compliance,Governance&amp;Protocol_Policy  (Culture &amp; Tourism)_Unit Head</v>
          </cell>
          <cell r="Z435" t="str">
            <v>Unit Head</v>
          </cell>
          <cell r="AA435" t="str">
            <v>3A</v>
          </cell>
        </row>
        <row r="436">
          <cell r="A436">
            <v>1015</v>
          </cell>
          <cell r="B436">
            <v>1015</v>
          </cell>
          <cell r="C436" t="str">
            <v>A</v>
          </cell>
          <cell r="D436" t="str">
            <v>Suaad Rashied AlMemari</v>
          </cell>
          <cell r="E436" t="str">
            <v>سعاد راشد المعمري</v>
          </cell>
          <cell r="F436">
            <v>42232</v>
          </cell>
          <cell r="G436" t="str">
            <v>50002335</v>
          </cell>
          <cell r="H436" t="str">
            <v>Strategic Integration &amp; Planning Unit Head</v>
          </cell>
          <cell r="I436" t="str">
            <v>رئيس وحدة دمج الأستراتيجية والتخطيط</v>
          </cell>
          <cell r="J436" t="str">
            <v>On-Chart</v>
          </cell>
          <cell r="K436" t="str">
            <v>DCT Payroll</v>
          </cell>
          <cell r="L436" t="str">
            <v>A1</v>
          </cell>
          <cell r="M436" t="str">
            <v>Department of Culture and Tourism</v>
          </cell>
          <cell r="N436" t="str">
            <v>Tourism</v>
          </cell>
          <cell r="O436" t="str">
            <v>السياحة</v>
          </cell>
          <cell r="P436" t="str">
            <v>Visitors Experience</v>
          </cell>
          <cell r="Q436" t="str">
            <v>تجربة الزوار</v>
          </cell>
          <cell r="R436" t="str">
            <v>Strategic Integration &amp; Planning</v>
          </cell>
          <cell r="S436" t="str">
            <v>دمج الاستراتيجية والتخطيط</v>
          </cell>
          <cell r="T436" t="str">
            <v>Strategic Integration &amp; Planning Unit</v>
          </cell>
          <cell r="U436" t="str">
            <v/>
          </cell>
          <cell r="V436" t="str">
            <v>Abu Dhabi</v>
          </cell>
          <cell r="W436" t="str">
            <v/>
          </cell>
          <cell r="X436" t="str">
            <v>4515300</v>
          </cell>
          <cell r="Y436" t="str">
            <v>Specialization Visitor Services &amp; Protocol</v>
          </cell>
          <cell r="Z436" t="str">
            <v>Unit Head</v>
          </cell>
          <cell r="AA436" t="str">
            <v>3A</v>
          </cell>
        </row>
        <row r="437">
          <cell r="A437">
            <v>1017</v>
          </cell>
          <cell r="B437">
            <v>1017</v>
          </cell>
          <cell r="C437" t="str">
            <v>A</v>
          </cell>
          <cell r="D437" t="str">
            <v>Saeed Abdullah Alameri</v>
          </cell>
          <cell r="E437" t="str">
            <v>سعيد عبد الله العامري</v>
          </cell>
          <cell r="F437">
            <v>42241</v>
          </cell>
          <cell r="G437" t="str">
            <v>10010767</v>
          </cell>
          <cell r="H437" t="str">
            <v>Culture Sites Protection Specialist</v>
          </cell>
          <cell r="I437" t="str">
            <v>أخصائي حماية المواقع الثقافية</v>
          </cell>
          <cell r="J437" t="str">
            <v>On-Chart</v>
          </cell>
          <cell r="K437" t="str">
            <v>DCT Payroll</v>
          </cell>
          <cell r="L437" t="str">
            <v>A1</v>
          </cell>
          <cell r="M437" t="str">
            <v>Department of Culture and Tourism</v>
          </cell>
          <cell r="N437" t="str">
            <v>Culture</v>
          </cell>
          <cell r="O437" t="str">
            <v>الثقافة</v>
          </cell>
          <cell r="P437" t="str">
            <v>Historic Environment</v>
          </cell>
          <cell r="Q437" t="str">
            <v>البيئة التاريخية</v>
          </cell>
          <cell r="R437" t="str">
            <v>Historic Buildings &amp; Landscapes</v>
          </cell>
          <cell r="S437" t="str">
            <v>المباني والمسطحات التاريخية</v>
          </cell>
          <cell r="T437" t="str">
            <v>Culture Sites Protection</v>
          </cell>
          <cell r="U437" t="str">
            <v>حماية المواقع الثقافية</v>
          </cell>
          <cell r="V437" t="str">
            <v>Al Ain</v>
          </cell>
          <cell r="W437" t="str">
            <v/>
          </cell>
          <cell r="X437" t="str">
            <v>4511300</v>
          </cell>
          <cell r="Y437" t="str">
            <v>Compliance,Governance&amp;Protocol_Policy (Culture/Tourism) _Professional</v>
          </cell>
          <cell r="Z437" t="str">
            <v>Professional</v>
          </cell>
          <cell r="AA437" t="str">
            <v>4A</v>
          </cell>
        </row>
        <row r="438">
          <cell r="A438">
            <v>1019</v>
          </cell>
          <cell r="B438">
            <v>1019</v>
          </cell>
          <cell r="C438" t="str">
            <v>A</v>
          </cell>
          <cell r="D438" t="str">
            <v>Mubarak Hamad Alameri</v>
          </cell>
          <cell r="E438" t="str">
            <v>مبارك حمد العامري</v>
          </cell>
          <cell r="F438">
            <v>42241</v>
          </cell>
          <cell r="G438" t="str">
            <v>50002412</v>
          </cell>
          <cell r="H438" t="str">
            <v>Events Licensing Senior Executive</v>
          </cell>
          <cell r="I438" t="str">
            <v>تنفيذي أول ترخيص الفعاليات</v>
          </cell>
          <cell r="J438" t="str">
            <v>On-Chart</v>
          </cell>
          <cell r="K438" t="str">
            <v>DCT Payroll</v>
          </cell>
          <cell r="L438" t="str">
            <v>A1</v>
          </cell>
          <cell r="M438" t="str">
            <v>Department of Culture and Tourism</v>
          </cell>
          <cell r="N438" t="str">
            <v>Tourism</v>
          </cell>
          <cell r="O438" t="str">
            <v>السياحة</v>
          </cell>
          <cell r="P438" t="str">
            <v>Licensing &amp; Regulatory Compliance</v>
          </cell>
          <cell r="Q438" t="str">
            <v>الرقابة والترخيص</v>
          </cell>
          <cell r="R438" t="str">
            <v>Licensing</v>
          </cell>
          <cell r="S438" t="str">
            <v>الترخيص</v>
          </cell>
          <cell r="T438" t="str">
            <v>Entertainment Licensing</v>
          </cell>
          <cell r="U438" t="str">
            <v>تراخيص الترفيه</v>
          </cell>
          <cell r="V438" t="str">
            <v>Abu Dhabi</v>
          </cell>
          <cell r="W438" t="str">
            <v/>
          </cell>
          <cell r="X438" t="str">
            <v>4510170</v>
          </cell>
          <cell r="Y438" t="str">
            <v>Senior Specialization Governance &amp; Compliance</v>
          </cell>
          <cell r="Z438" t="str">
            <v>Senior Professional</v>
          </cell>
          <cell r="AA438" t="str">
            <v>3A</v>
          </cell>
        </row>
        <row r="439">
          <cell r="A439">
            <v>1022</v>
          </cell>
          <cell r="B439">
            <v>1022</v>
          </cell>
          <cell r="C439" t="str">
            <v>A</v>
          </cell>
          <cell r="D439" t="str">
            <v>Amani Merza Alhendi</v>
          </cell>
          <cell r="E439" t="str">
            <v>أماني ميرزا الهندي</v>
          </cell>
          <cell r="F439">
            <v>42254</v>
          </cell>
          <cell r="G439" t="str">
            <v>10005035</v>
          </cell>
          <cell r="H439" t="str">
            <v>External Relations &amp; Government Affairs Unit Head</v>
          </cell>
          <cell r="I439" t="str">
            <v>رئيس وحدة العلاقات الخارجية والشؤون الحكومية</v>
          </cell>
          <cell r="J439" t="str">
            <v>On-Chart</v>
          </cell>
          <cell r="K439" t="str">
            <v>DCT Payroll</v>
          </cell>
          <cell r="L439" t="str">
            <v>A1</v>
          </cell>
          <cell r="M439" t="str">
            <v>Department of Culture and Tourism</v>
          </cell>
          <cell r="N439" t="str">
            <v>Strategic Marketing &amp; Communication</v>
          </cell>
          <cell r="O439" t="str">
            <v>التسويق والاتصال الاستراتيجي</v>
          </cell>
          <cell r="P439" t="str">
            <v>Strategic Communications</v>
          </cell>
          <cell r="Q439" t="str">
            <v>الاتصال الاستراتيجي</v>
          </cell>
          <cell r="R439" t="str">
            <v>Consumer Communications</v>
          </cell>
          <cell r="S439" t="str">
            <v>اتصالات المستهلكين</v>
          </cell>
          <cell r="T439" t="str">
            <v/>
          </cell>
          <cell r="U439" t="str">
            <v/>
          </cell>
          <cell r="V439" t="str">
            <v>Abu Dhabi</v>
          </cell>
          <cell r="W439" t="str">
            <v/>
          </cell>
          <cell r="X439" t="str">
            <v>4513120</v>
          </cell>
          <cell r="Y439" t="str">
            <v>Comms &amp; Marketing _Communications (All Areas)_Unit Head</v>
          </cell>
          <cell r="Z439" t="str">
            <v>Unit Head</v>
          </cell>
          <cell r="AA439" t="str">
            <v>3A</v>
          </cell>
        </row>
        <row r="440">
          <cell r="A440">
            <v>1023</v>
          </cell>
          <cell r="B440">
            <v>1023</v>
          </cell>
          <cell r="C440" t="str">
            <v>A</v>
          </cell>
          <cell r="D440" t="str">
            <v>Maitha Mohamed Al Beshr</v>
          </cell>
          <cell r="E440" t="str">
            <v>ميثاء محمد البشر</v>
          </cell>
          <cell r="F440">
            <v>42260</v>
          </cell>
          <cell r="G440" t="str">
            <v>50002014</v>
          </cell>
          <cell r="H440" t="str">
            <v>Procurement Projects Senior Specialist</v>
          </cell>
          <cell r="I440" t="str">
            <v>أخصائي أول مشاريع المشتريات</v>
          </cell>
          <cell r="J440" t="str">
            <v>On-Chart</v>
          </cell>
          <cell r="K440" t="str">
            <v>DCT Payroll</v>
          </cell>
          <cell r="L440" t="str">
            <v>A1</v>
          </cell>
          <cell r="M440" t="str">
            <v>Department of Culture and Tourism</v>
          </cell>
          <cell r="N440" t="str">
            <v>Support Services</v>
          </cell>
          <cell r="O440" t="str">
            <v>الخدمات المساندة</v>
          </cell>
          <cell r="P440" t="str">
            <v>Supply Management</v>
          </cell>
          <cell r="Q440" t="str">
            <v>إدارة الإمداد</v>
          </cell>
          <cell r="R440" t="str">
            <v>Contracts, System &amp; Reporting</v>
          </cell>
          <cell r="S440" t="str">
            <v>العقود والأنظمة والتقارير</v>
          </cell>
          <cell r="T440" t="str">
            <v>Procurement Projects</v>
          </cell>
          <cell r="U440" t="str">
            <v>مشاريع المشتريات</v>
          </cell>
          <cell r="V440" t="str">
            <v>Abu Dhabi</v>
          </cell>
          <cell r="W440" t="str">
            <v/>
          </cell>
          <cell r="X440" t="str">
            <v>4510240</v>
          </cell>
          <cell r="Y440" t="str">
            <v>Procurement_Procurement Projects _Senior Professional</v>
          </cell>
          <cell r="Z440" t="str">
            <v>Senior Professional</v>
          </cell>
          <cell r="AA440" t="str">
            <v>3B</v>
          </cell>
        </row>
        <row r="441">
          <cell r="A441">
            <v>1025</v>
          </cell>
          <cell r="B441">
            <v>1025</v>
          </cell>
          <cell r="C441" t="str">
            <v>A</v>
          </cell>
          <cell r="D441" t="str">
            <v>Samira Abdulrahim Alraeesi</v>
          </cell>
          <cell r="E441" t="str">
            <v>سميرة عبدالرحيم الرئيسي</v>
          </cell>
          <cell r="F441">
            <v>42255</v>
          </cell>
          <cell r="G441" t="str">
            <v>10005496</v>
          </cell>
          <cell r="H441" t="str">
            <v>Procurement Committee Unit Head</v>
          </cell>
          <cell r="I441" t="str">
            <v>رئيس وحدة  لجنة المشتريات</v>
          </cell>
          <cell r="J441" t="str">
            <v>On-Chart</v>
          </cell>
          <cell r="K441" t="str">
            <v>DCT Payroll</v>
          </cell>
          <cell r="L441" t="str">
            <v>A1</v>
          </cell>
          <cell r="M441" t="str">
            <v>Department of Culture and Tourism</v>
          </cell>
          <cell r="N441" t="str">
            <v>Support Services</v>
          </cell>
          <cell r="O441" t="str">
            <v>الخدمات المساندة</v>
          </cell>
          <cell r="P441" t="str">
            <v>Supply Management</v>
          </cell>
          <cell r="Q441" t="str">
            <v>إدارة الإمداد</v>
          </cell>
          <cell r="R441" t="str">
            <v>Business Partners</v>
          </cell>
          <cell r="S441" t="str">
            <v>شركاء أعمال</v>
          </cell>
          <cell r="T441" t="str">
            <v/>
          </cell>
          <cell r="U441" t="str">
            <v/>
          </cell>
          <cell r="V441" t="str">
            <v>Abu Dhabi</v>
          </cell>
          <cell r="W441" t="str">
            <v/>
          </cell>
          <cell r="X441" t="str">
            <v>4510240</v>
          </cell>
          <cell r="Y441" t="str">
            <v>Procurement_Procurement General _Unit Head</v>
          </cell>
          <cell r="Z441" t="str">
            <v>Unit Head</v>
          </cell>
          <cell r="AA441" t="str">
            <v>3A</v>
          </cell>
        </row>
        <row r="442">
          <cell r="A442">
            <v>1026</v>
          </cell>
          <cell r="B442">
            <v>1026</v>
          </cell>
          <cell r="C442" t="str">
            <v>A</v>
          </cell>
          <cell r="D442" t="str">
            <v>Ahoud Khaled Al Braiki</v>
          </cell>
          <cell r="E442" t="str">
            <v>عهود خالد البريكي</v>
          </cell>
          <cell r="F442">
            <v>42260</v>
          </cell>
          <cell r="G442" t="str">
            <v>50002401</v>
          </cell>
          <cell r="H442" t="str">
            <v>Inspector</v>
          </cell>
          <cell r="I442" t="str">
            <v>مفتش</v>
          </cell>
          <cell r="J442" t="str">
            <v>On-Chart</v>
          </cell>
          <cell r="K442" t="str">
            <v>DCT Payroll</v>
          </cell>
          <cell r="L442" t="str">
            <v>A1</v>
          </cell>
          <cell r="M442" t="str">
            <v>Department of Culture and Tourism</v>
          </cell>
          <cell r="N442" t="str">
            <v>Tourism</v>
          </cell>
          <cell r="O442" t="str">
            <v>السياحة</v>
          </cell>
          <cell r="P442" t="str">
            <v>Licensing &amp; Regulatory Compliance</v>
          </cell>
          <cell r="Q442" t="str">
            <v>الرقابة والترخيص</v>
          </cell>
          <cell r="R442" t="str">
            <v>Abu Dhabi Inspection</v>
          </cell>
          <cell r="S442" t="str">
            <v>التفتيش</v>
          </cell>
          <cell r="T442" t="str">
            <v>Abu Dhabi Inspection</v>
          </cell>
          <cell r="U442" t="str">
            <v>التفتيش أبوظبي</v>
          </cell>
          <cell r="V442" t="str">
            <v>Abu Dhabi</v>
          </cell>
          <cell r="W442" t="str">
            <v/>
          </cell>
          <cell r="X442" t="str">
            <v>4510170</v>
          </cell>
          <cell r="Y442" t="str">
            <v>Compliance,Governance&amp;Protocol_Licensing &amp; Regulatory Compliance- (Follow-up and Reporting) _Professional Assistant</v>
          </cell>
          <cell r="Z442" t="str">
            <v>Professional</v>
          </cell>
          <cell r="AA442" t="str">
            <v>4B</v>
          </cell>
        </row>
        <row r="443">
          <cell r="A443">
            <v>1028</v>
          </cell>
          <cell r="B443">
            <v>1028</v>
          </cell>
          <cell r="C443" t="str">
            <v>A</v>
          </cell>
          <cell r="D443" t="str">
            <v>Amal Tareq Bakran</v>
          </cell>
          <cell r="E443" t="str">
            <v>أمل طارق بكران</v>
          </cell>
          <cell r="F443">
            <v>42260</v>
          </cell>
          <cell r="G443" t="str">
            <v>10010214</v>
          </cell>
          <cell r="H443" t="str">
            <v>Music Programmer</v>
          </cell>
          <cell r="I443" t="str">
            <v>مبرمج موسيقى</v>
          </cell>
          <cell r="J443" t="str">
            <v>On-Chart</v>
          </cell>
          <cell r="K443" t="str">
            <v>DCT Payroll</v>
          </cell>
          <cell r="L443" t="str">
            <v>A1</v>
          </cell>
          <cell r="M443" t="str">
            <v>Department of Culture and Tourism</v>
          </cell>
          <cell r="N443" t="str">
            <v>Culture</v>
          </cell>
          <cell r="O443" t="str">
            <v>الثقافة</v>
          </cell>
          <cell r="P443" t="str">
            <v>Culture Programming</v>
          </cell>
          <cell r="Q443" t="str">
            <v>البرامج الثقافية</v>
          </cell>
          <cell r="R443" t="str">
            <v>Music Programmes</v>
          </cell>
          <cell r="S443" t="str">
            <v>برامج الموسيقى</v>
          </cell>
          <cell r="T443" t="str">
            <v/>
          </cell>
          <cell r="U443" t="str">
            <v/>
          </cell>
          <cell r="V443" t="str">
            <v>Abu Dhabi</v>
          </cell>
          <cell r="W443" t="str">
            <v/>
          </cell>
          <cell r="X443" t="str">
            <v>4511700</v>
          </cell>
          <cell r="Y443" t="str">
            <v>Compliance,Governance&amp;Protocol_Policy (Culture/Tourism) _Professional</v>
          </cell>
          <cell r="Z443" t="str">
            <v>Professional</v>
          </cell>
          <cell r="AA443" t="str">
            <v>4A</v>
          </cell>
        </row>
        <row r="444">
          <cell r="A444">
            <v>1032</v>
          </cell>
          <cell r="B444">
            <v>1032</v>
          </cell>
          <cell r="C444" t="str">
            <v>A</v>
          </cell>
          <cell r="D444" t="str">
            <v>Arwa Ali Abdulla</v>
          </cell>
          <cell r="E444" t="str">
            <v>أروى علي عبد الله</v>
          </cell>
          <cell r="F444">
            <v>42281</v>
          </cell>
          <cell r="G444" t="str">
            <v>10007114</v>
          </cell>
          <cell r="H444" t="str">
            <v>Partnerships Section Head</v>
          </cell>
          <cell r="I444" t="str">
            <v>رئيس قسم  الشراكات</v>
          </cell>
          <cell r="J444" t="str">
            <v>On-Chart</v>
          </cell>
          <cell r="K444" t="str">
            <v>MSS Direct Hires</v>
          </cell>
          <cell r="L444" t="str">
            <v>M1</v>
          </cell>
          <cell r="M444" t="str">
            <v>Department of Culture and Tourism</v>
          </cell>
          <cell r="N444" t="str">
            <v>Abrahamic Family House Center</v>
          </cell>
          <cell r="O444" t="str">
            <v>مركز بيت العائلة الإبراهيمية</v>
          </cell>
          <cell r="P444" t="str">
            <v>Education &amp; Dialogue</v>
          </cell>
          <cell r="Q444" t="str">
            <v>التعليم والحوار</v>
          </cell>
          <cell r="R444" t="str">
            <v>Partnerships</v>
          </cell>
          <cell r="S444" t="str">
            <v>الشراكات</v>
          </cell>
          <cell r="T444" t="str">
            <v/>
          </cell>
          <cell r="U444" t="str">
            <v/>
          </cell>
          <cell r="V444" t="str">
            <v>Abu Dhabi</v>
          </cell>
          <cell r="W444" t="str">
            <v/>
          </cell>
          <cell r="X444" t="str">
            <v>4514121</v>
          </cell>
          <cell r="Y444" t="str">
            <v>Interpretation &amp; Engagement_Education Learning &amp;  Engagement _Section Manager</v>
          </cell>
          <cell r="Z444" t="str">
            <v>Section Manager</v>
          </cell>
          <cell r="AA444" t="str">
            <v>2B</v>
          </cell>
        </row>
        <row r="445">
          <cell r="A445">
            <v>1033</v>
          </cell>
          <cell r="B445">
            <v>1033</v>
          </cell>
          <cell r="C445" t="str">
            <v>A</v>
          </cell>
          <cell r="D445" t="str">
            <v>Muna Salem Al Kindi</v>
          </cell>
          <cell r="E445" t="str">
            <v>منى سالم الكندي</v>
          </cell>
          <cell r="F445">
            <v>42278</v>
          </cell>
          <cell r="G445" t="str">
            <v>10005527</v>
          </cell>
          <cell r="H445" t="str">
            <v>References &amp; Library Education Senior Specialist</v>
          </cell>
          <cell r="I445" t="str">
            <v>أخصائي أول المراجع والتعليم</v>
          </cell>
          <cell r="J445" t="str">
            <v>On-Chart</v>
          </cell>
          <cell r="K445" t="str">
            <v>DCT Payroll</v>
          </cell>
          <cell r="L445" t="str">
            <v>A1</v>
          </cell>
          <cell r="M445" t="str">
            <v>Department of Culture and Tourism</v>
          </cell>
          <cell r="N445" t="str">
            <v>Culture</v>
          </cell>
          <cell r="O445" t="str">
            <v>الثقافة</v>
          </cell>
          <cell r="P445" t="str">
            <v>Library Management</v>
          </cell>
          <cell r="Q445" t="str">
            <v>إدارة المكتبات</v>
          </cell>
          <cell r="R445" t="str">
            <v>Zayed Central Library - Al Ain</v>
          </cell>
          <cell r="S445" t="str">
            <v>مكتبة زايد المركزية - العين</v>
          </cell>
          <cell r="T445" t="str">
            <v>Reference &amp; Library Education</v>
          </cell>
          <cell r="U445" t="str">
            <v>المراجع والتعليم</v>
          </cell>
          <cell r="V445" t="str">
            <v>Al Ain</v>
          </cell>
          <cell r="W445" t="str">
            <v/>
          </cell>
          <cell r="X445" t="str">
            <v>4516100</v>
          </cell>
          <cell r="Y445" t="str">
            <v>Operations_Library Operational Management_Senior Professional</v>
          </cell>
          <cell r="Z445" t="str">
            <v>Senior Professional</v>
          </cell>
          <cell r="AA445" t="str">
            <v>3A</v>
          </cell>
        </row>
        <row r="446">
          <cell r="A446">
            <v>1035</v>
          </cell>
          <cell r="B446">
            <v>1035</v>
          </cell>
          <cell r="C446" t="str">
            <v>A</v>
          </cell>
          <cell r="D446" t="str">
            <v>Mohamed Saeed Almansoori</v>
          </cell>
          <cell r="E446" t="str">
            <v>محمد سعيد المنصوري</v>
          </cell>
          <cell r="F446">
            <v>42281</v>
          </cell>
          <cell r="G446" t="str">
            <v>50001912</v>
          </cell>
          <cell r="H446" t="str">
            <v>Protocol Officer</v>
          </cell>
          <cell r="I446" t="str">
            <v>ضابط المراسم</v>
          </cell>
          <cell r="J446" t="str">
            <v>On-Chart</v>
          </cell>
          <cell r="K446" t="str">
            <v>DCT Payroll</v>
          </cell>
          <cell r="L446" t="str">
            <v>A1</v>
          </cell>
          <cell r="M446" t="str">
            <v>Department of Culture and Tourism</v>
          </cell>
          <cell r="N446" t="str">
            <v>Executive Affairs</v>
          </cell>
          <cell r="O446" t="str">
            <v>مكتب رئيس الدائرة</v>
          </cell>
          <cell r="P446" t="str">
            <v>Executive Affairs</v>
          </cell>
          <cell r="Q446" t="str">
            <v>الشؤون التنفيذية</v>
          </cell>
          <cell r="R446" t="str">
            <v>Protocol</v>
          </cell>
          <cell r="S446" t="str">
            <v>المراسم</v>
          </cell>
          <cell r="T446" t="str">
            <v/>
          </cell>
          <cell r="U446" t="str">
            <v/>
          </cell>
          <cell r="V446" t="str">
            <v>Abu Dhabi</v>
          </cell>
          <cell r="W446" t="str">
            <v/>
          </cell>
          <cell r="X446" t="str">
            <v>4510011</v>
          </cell>
          <cell r="Y446" t="str">
            <v>Stakeholder &amp; Partner Relations_International &amp; Institutional Affairs _Senior Professional</v>
          </cell>
          <cell r="Z446" t="str">
            <v>Senior Professional</v>
          </cell>
          <cell r="AA446" t="str">
            <v>4A</v>
          </cell>
        </row>
        <row r="447">
          <cell r="A447">
            <v>1036</v>
          </cell>
          <cell r="B447">
            <v>1036</v>
          </cell>
          <cell r="C447" t="str">
            <v>A</v>
          </cell>
          <cell r="D447" t="str">
            <v>Mohamed Abdulla Abdulrahman</v>
          </cell>
          <cell r="E447" t="str">
            <v>محمد عبد الله عبد الرحمن</v>
          </cell>
          <cell r="F447">
            <v>42281</v>
          </cell>
          <cell r="G447" t="str">
            <v>47700710</v>
          </cell>
          <cell r="H447" t="str">
            <v>Inspector</v>
          </cell>
          <cell r="I447" t="str">
            <v>مفتش</v>
          </cell>
          <cell r="J447" t="str">
            <v>On-Chart</v>
          </cell>
          <cell r="K447" t="str">
            <v>DCT Payroll</v>
          </cell>
          <cell r="L447" t="str">
            <v>A1</v>
          </cell>
          <cell r="M447" t="str">
            <v>Department of Culture and Tourism</v>
          </cell>
          <cell r="N447" t="str">
            <v>Tourism</v>
          </cell>
          <cell r="O447" t="str">
            <v>السياحة</v>
          </cell>
          <cell r="P447" t="str">
            <v>Licensing &amp; Regulatory Compliance</v>
          </cell>
          <cell r="Q447" t="str">
            <v>الرقابة والترخيص</v>
          </cell>
          <cell r="R447" t="str">
            <v>Abu Dhabi Inspection</v>
          </cell>
          <cell r="S447" t="str">
            <v>التفتيش</v>
          </cell>
          <cell r="T447" t="str">
            <v>Abu Dhabi Inspection (Night Events)</v>
          </cell>
          <cell r="U447" t="str">
            <v>( التفتيش لأبوظبي (الفعاليات الليلية</v>
          </cell>
          <cell r="V447" t="str">
            <v>Abu Dhabi</v>
          </cell>
          <cell r="W447" t="str">
            <v/>
          </cell>
          <cell r="X447" t="str">
            <v>4510170</v>
          </cell>
          <cell r="Y447" t="str">
            <v>Compliance,Governance&amp;Protocol_Licensing &amp; Regulatory Compliance- (Follow-up and Reporting) _Professional Assistant</v>
          </cell>
          <cell r="Z447" t="str">
            <v>Professional</v>
          </cell>
          <cell r="AA447" t="str">
            <v>4A</v>
          </cell>
        </row>
        <row r="448">
          <cell r="A448">
            <v>1038</v>
          </cell>
          <cell r="B448">
            <v>1038</v>
          </cell>
          <cell r="C448" t="str">
            <v>A</v>
          </cell>
          <cell r="D448" t="str">
            <v>Kamilia Essa Bal Ala</v>
          </cell>
          <cell r="E448" t="str">
            <v>كاميليا عيسى بلعلا</v>
          </cell>
          <cell r="F448">
            <v>42288</v>
          </cell>
          <cell r="G448" t="str">
            <v>50001906</v>
          </cell>
          <cell r="H448" t="str">
            <v>ICH Public Engagement Senior Specialist</v>
          </cell>
          <cell r="I448" t="str">
            <v>أخصائي أول المشاركة المجتمعية – التراث الثقافي المعنوي</v>
          </cell>
          <cell r="J448" t="str">
            <v>On-Chart</v>
          </cell>
          <cell r="K448" t="str">
            <v>DCT Payroll</v>
          </cell>
          <cell r="L448" t="str">
            <v>A1</v>
          </cell>
          <cell r="M448" t="str">
            <v>Department of Culture and Tourism</v>
          </cell>
          <cell r="N448" t="str">
            <v>Culture</v>
          </cell>
          <cell r="O448" t="str">
            <v>الثقافة</v>
          </cell>
          <cell r="P448" t="str">
            <v>Intangible Cultural Heritage</v>
          </cell>
          <cell r="Q448" t="str">
            <v>التراث الثقافي المعنوي</v>
          </cell>
          <cell r="R448" t="str">
            <v>ICH Interpretation &amp; Public Engagement</v>
          </cell>
          <cell r="S448" t="str">
            <v>تطوير محتوى التراث الثقافي المعنوي والمشاركة المجتمعية</v>
          </cell>
          <cell r="T448" t="str">
            <v>ICH Public Engagement</v>
          </cell>
          <cell r="U448" t="str">
            <v>المشاركة المجتمعية - التراث الثقافي المعنوي</v>
          </cell>
          <cell r="V448" t="str">
            <v>Abu Dhabi</v>
          </cell>
          <cell r="W448" t="str">
            <v/>
          </cell>
          <cell r="X448" t="str">
            <v>4511600</v>
          </cell>
          <cell r="Y448" t="str">
            <v>Content &amp; Care_World Heritage Sites Planning &amp; Monitoring_Senior Professional</v>
          </cell>
          <cell r="Z448" t="str">
            <v>Senior Professional</v>
          </cell>
          <cell r="AA448" t="str">
            <v>3A</v>
          </cell>
        </row>
        <row r="449">
          <cell r="A449">
            <v>1039</v>
          </cell>
          <cell r="B449">
            <v>1039</v>
          </cell>
          <cell r="C449" t="str">
            <v>A</v>
          </cell>
          <cell r="D449" t="str">
            <v>Hamad Mohammed Alsudain</v>
          </cell>
          <cell r="E449" t="str">
            <v>حمد محمد ال سويدان</v>
          </cell>
          <cell r="F449">
            <v>42295</v>
          </cell>
          <cell r="G449" t="str">
            <v>47700022</v>
          </cell>
          <cell r="H449" t="str">
            <v>Licensing &amp; Regulatory Compliance Department Director</v>
          </cell>
          <cell r="I449" t="str">
            <v>مدير إدارة الرقابة والترخيص</v>
          </cell>
          <cell r="J449" t="str">
            <v>On-Chart</v>
          </cell>
          <cell r="K449" t="str">
            <v>DCT Payroll</v>
          </cell>
          <cell r="L449" t="str">
            <v>A1</v>
          </cell>
          <cell r="M449" t="str">
            <v>Department of Culture and Tourism</v>
          </cell>
          <cell r="N449" t="str">
            <v>Tourism</v>
          </cell>
          <cell r="O449" t="str">
            <v>السياحة</v>
          </cell>
          <cell r="P449" t="str">
            <v>Licensing &amp; Regulatory Compliance</v>
          </cell>
          <cell r="Q449" t="str">
            <v>الرقابة والترخيص</v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>Abu Dhabi</v>
          </cell>
          <cell r="W449" t="str">
            <v/>
          </cell>
          <cell r="X449" t="str">
            <v>4510170</v>
          </cell>
          <cell r="Y449" t="str">
            <v>Compliance,Governance&amp;Protocol_Licensing &amp; Regulatory Compliance _Director</v>
          </cell>
          <cell r="Z449" t="str">
            <v>Director</v>
          </cell>
          <cell r="AA449" t="str">
            <v>1A</v>
          </cell>
        </row>
        <row r="450">
          <cell r="A450">
            <v>1040</v>
          </cell>
          <cell r="B450">
            <v>1040</v>
          </cell>
          <cell r="C450" t="str">
            <v>A</v>
          </cell>
          <cell r="D450" t="str">
            <v>Mohamed Abdulla Al Ali</v>
          </cell>
          <cell r="E450" t="str">
            <v>محمد عبد الله العلي</v>
          </cell>
          <cell r="F450">
            <v>42295</v>
          </cell>
          <cell r="G450" t="str">
            <v>50001082</v>
          </cell>
          <cell r="H450" t="str">
            <v>Community Outreach &amp; Cultural Engagement Unit Head</v>
          </cell>
          <cell r="I450" t="str">
            <v>رئيس وحدة المشاركة الثقافية والتوعية المجتمعية</v>
          </cell>
          <cell r="J450" t="str">
            <v>On-Chart</v>
          </cell>
          <cell r="K450" t="str">
            <v>ALC Direct Hires</v>
          </cell>
          <cell r="L450" t="str">
            <v>AL1</v>
          </cell>
          <cell r="M450" t="str">
            <v>Abu Dhabi Arabic Language Centre</v>
          </cell>
          <cell r="N450" t="str">
            <v>Abu Dhabi Arabic Language Centre</v>
          </cell>
          <cell r="O450" t="str">
            <v>مركز أبوظبي للغة العربية</v>
          </cell>
          <cell r="P450" t="str">
            <v>Specialized Library</v>
          </cell>
          <cell r="Q450" t="str">
            <v>المكتبات المتخصصة</v>
          </cell>
          <cell r="R450" t="str">
            <v>Library Services - ALC</v>
          </cell>
          <cell r="S450" t="str">
            <v>الخدمات المكتبية</v>
          </cell>
          <cell r="T450" t="str">
            <v>Community Outreach &amp; Cultural Engagement</v>
          </cell>
          <cell r="U450" t="str">
            <v>المشاركة الثقافية والتوعية المجتمعية</v>
          </cell>
          <cell r="V450" t="str">
            <v>Abu Dhabi</v>
          </cell>
          <cell r="W450" t="str">
            <v/>
          </cell>
          <cell r="X450" t="str">
            <v>4519202</v>
          </cell>
          <cell r="Y450" t="str">
            <v>Senior Specialization Interpretation &amp; Engagement</v>
          </cell>
          <cell r="Z450" t="str">
            <v>Unit Head</v>
          </cell>
          <cell r="AA450" t="str">
            <v>3A</v>
          </cell>
        </row>
        <row r="451">
          <cell r="A451">
            <v>1041</v>
          </cell>
          <cell r="B451">
            <v>1041</v>
          </cell>
          <cell r="C451" t="str">
            <v>A</v>
          </cell>
          <cell r="D451" t="str">
            <v>Fahad Mubarak Almansoori</v>
          </cell>
          <cell r="E451" t="str">
            <v>فهد مبارك المنصوري</v>
          </cell>
          <cell r="F451">
            <v>42297</v>
          </cell>
          <cell r="G451" t="str">
            <v>10005576</v>
          </cell>
          <cell r="H451" t="str">
            <v>In Destination Operations Officer</v>
          </cell>
          <cell r="I451" t="str">
            <v>ضابط عمليات المكتب الداخلي</v>
          </cell>
          <cell r="J451" t="str">
            <v>On-Chart</v>
          </cell>
          <cell r="K451" t="str">
            <v>DCT Payroll</v>
          </cell>
          <cell r="L451" t="str">
            <v>A1</v>
          </cell>
          <cell r="M451" t="str">
            <v>Department of Culture and Tourism</v>
          </cell>
          <cell r="N451" t="str">
            <v>Tourism</v>
          </cell>
          <cell r="O451" t="str">
            <v>السياحة</v>
          </cell>
          <cell r="P451" t="str">
            <v>Visitors Experience</v>
          </cell>
          <cell r="Q451" t="str">
            <v>تجربة الزوار</v>
          </cell>
          <cell r="R451" t="str">
            <v>Visitors Information Center</v>
          </cell>
          <cell r="S451" t="str">
            <v>مركز معلومات الزوار</v>
          </cell>
          <cell r="T451" t="str">
            <v>Visitors Information Center</v>
          </cell>
          <cell r="U451" t="str">
            <v>مركز معلومات الزوار</v>
          </cell>
          <cell r="V451" t="str">
            <v>Abu Dhabi</v>
          </cell>
          <cell r="W451" t="str">
            <v/>
          </cell>
          <cell r="X451" t="str">
            <v>4515300</v>
          </cell>
          <cell r="Y451" t="str">
            <v>Design_Visitor Experience Design _Professional</v>
          </cell>
          <cell r="Z451" t="str">
            <v>Professional</v>
          </cell>
          <cell r="AA451" t="str">
            <v>4B</v>
          </cell>
        </row>
        <row r="452">
          <cell r="A452">
            <v>1042</v>
          </cell>
          <cell r="B452">
            <v>1042</v>
          </cell>
          <cell r="C452" t="str">
            <v>A</v>
          </cell>
          <cell r="D452" t="str">
            <v>Hajer Salem Alhosani</v>
          </cell>
          <cell r="E452" t="str">
            <v>هاجر سالم الحوسني</v>
          </cell>
          <cell r="F452">
            <v>42302</v>
          </cell>
          <cell r="G452" t="str">
            <v>10005552</v>
          </cell>
          <cell r="H452" t="str">
            <v>Administrative Assistant</v>
          </cell>
          <cell r="I452" t="str">
            <v>مساعد إداري</v>
          </cell>
          <cell r="J452" t="str">
            <v>On-Chart</v>
          </cell>
          <cell r="K452" t="str">
            <v>DCT Payroll</v>
          </cell>
          <cell r="L452" t="str">
            <v>A1</v>
          </cell>
          <cell r="M452" t="str">
            <v>Department of Culture and Tourism</v>
          </cell>
          <cell r="N452" t="str">
            <v>Strategic Affairs</v>
          </cell>
          <cell r="O452" t="str">
            <v>الشؤون الاستراتيجية</v>
          </cell>
          <cell r="P452" t="str">
            <v>Data &amp; AI Department</v>
          </cell>
          <cell r="Q452" t="str">
            <v>إدارة البيانات والذكاء الاصطناعي</v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>Abu Dhabi</v>
          </cell>
          <cell r="W452" t="str">
            <v/>
          </cell>
          <cell r="X452" t="str">
            <v>4512200</v>
          </cell>
          <cell r="Y452" t="str">
            <v>Strategy, Planning, Project Mgt_Business &amp; Market Intelligence  Analysis &amp; Planning_Professional</v>
          </cell>
          <cell r="Z452" t="str">
            <v>Jr. Professional Assistant</v>
          </cell>
          <cell r="AA452" t="str">
            <v>6A</v>
          </cell>
        </row>
        <row r="453">
          <cell r="A453">
            <v>1043</v>
          </cell>
          <cell r="B453">
            <v>1043</v>
          </cell>
          <cell r="C453" t="str">
            <v>A</v>
          </cell>
          <cell r="D453" t="str">
            <v>Ahmed Ghanem Alseiari</v>
          </cell>
          <cell r="E453" t="str">
            <v>أحمد غانم الصيعري</v>
          </cell>
          <cell r="F453">
            <v>42309</v>
          </cell>
          <cell r="G453" t="str">
            <v>10007306</v>
          </cell>
          <cell r="H453" t="str">
            <v>Compensation Senior Specialist</v>
          </cell>
          <cell r="I453" t="str">
            <v>اخصائي أول المستحقات</v>
          </cell>
          <cell r="J453" t="str">
            <v>On-Chart</v>
          </cell>
          <cell r="K453" t="str">
            <v>DCT Payroll</v>
          </cell>
          <cell r="L453" t="str">
            <v>A1</v>
          </cell>
          <cell r="M453" t="str">
            <v>Department of Culture and Tourism</v>
          </cell>
          <cell r="N453" t="str">
            <v>Support Services</v>
          </cell>
          <cell r="O453" t="str">
            <v>الخدمات المساندة</v>
          </cell>
          <cell r="P453" t="str">
            <v>People &amp; Performance</v>
          </cell>
          <cell r="Q453" t="str">
            <v>إدارة الكوادر البشرية والأداء</v>
          </cell>
          <cell r="R453" t="str">
            <v>Rewards &amp; Policy</v>
          </cell>
          <cell r="S453" t="str">
            <v>المكافآت والسياسات</v>
          </cell>
          <cell r="T453" t="str">
            <v>Compensation &amp; Policy</v>
          </cell>
          <cell r="U453" t="str">
            <v>المستحقات والسياسات</v>
          </cell>
          <cell r="V453" t="str">
            <v>Abu Dhabi</v>
          </cell>
          <cell r="W453" t="str">
            <v/>
          </cell>
          <cell r="X453" t="str">
            <v>4510220</v>
          </cell>
          <cell r="Y453" t="str">
            <v>People &amp; Performance _Rewards Policy &amp; Recognition _Senior Professional</v>
          </cell>
          <cell r="Z453" t="str">
            <v>Senior Professional</v>
          </cell>
          <cell r="AA453" t="str">
            <v>3A</v>
          </cell>
        </row>
        <row r="454">
          <cell r="A454">
            <v>1044</v>
          </cell>
          <cell r="B454">
            <v>1044</v>
          </cell>
          <cell r="C454" t="str">
            <v>A</v>
          </cell>
          <cell r="D454" t="str">
            <v>Noura Abdulrahman Al Absi</v>
          </cell>
          <cell r="E454" t="str">
            <v>نورة عبد الرحمن العبسي</v>
          </cell>
          <cell r="F454">
            <v>42309</v>
          </cell>
          <cell r="G454" t="str">
            <v>50000664</v>
          </cell>
          <cell r="H454" t="str">
            <v>Registrar</v>
          </cell>
          <cell r="I454" t="str">
            <v>أخصائي تسجيل المقتنيات</v>
          </cell>
          <cell r="J454" t="str">
            <v>On-Chart</v>
          </cell>
          <cell r="K454" t="str">
            <v>MSS Direct Hires</v>
          </cell>
          <cell r="L454" t="str">
            <v>M1</v>
          </cell>
          <cell r="M454" t="str">
            <v>Department of Culture and Tourism</v>
          </cell>
          <cell r="N454" t="str">
            <v>Zayed National Museum</v>
          </cell>
          <cell r="O454" t="str">
            <v>متحف زايد الوطني</v>
          </cell>
          <cell r="P454" t="str">
            <v>Curatorial &amp; Collection Management</v>
          </cell>
          <cell r="Q454" t="str">
            <v>أمناء المتحف وإدارة المقتنيات</v>
          </cell>
          <cell r="R454" t="str">
            <v>Collections Managment &amp; Conservation</v>
          </cell>
          <cell r="S454" t="str">
            <v>إدارة وحفظ المقتنيات</v>
          </cell>
          <cell r="T454" t="str">
            <v>Registrar</v>
          </cell>
          <cell r="U454" t="str">
            <v>تسجيل المقتنيات</v>
          </cell>
          <cell r="V454" t="str">
            <v>Abu Dhabi</v>
          </cell>
          <cell r="W454" t="str">
            <v/>
          </cell>
          <cell r="X454" t="str">
            <v>4510181</v>
          </cell>
          <cell r="Y454" t="str">
            <v>Content &amp; Care_Curatorial  Management_Senior Professional</v>
          </cell>
          <cell r="Z454" t="str">
            <v>Senior Professional</v>
          </cell>
          <cell r="AA454" t="str">
            <v>3A</v>
          </cell>
        </row>
        <row r="455">
          <cell r="A455">
            <v>1045</v>
          </cell>
          <cell r="B455">
            <v>1045</v>
          </cell>
          <cell r="C455" t="str">
            <v>A</v>
          </cell>
          <cell r="D455" t="str">
            <v>Alreem Mubarak Alameri</v>
          </cell>
          <cell r="E455" t="str">
            <v>الريم مبارك العامري</v>
          </cell>
          <cell r="F455">
            <v>42309</v>
          </cell>
          <cell r="G455" t="str">
            <v>10010035</v>
          </cell>
          <cell r="H455" t="str">
            <v>Marketing &amp; Communications Senior Specialist</v>
          </cell>
          <cell r="I455" t="str">
            <v>أخصائي أول التسويق والاتصال</v>
          </cell>
          <cell r="J455" t="str">
            <v>On-Chart</v>
          </cell>
          <cell r="K455" t="str">
            <v>DCT Payroll</v>
          </cell>
          <cell r="L455" t="str">
            <v>A1</v>
          </cell>
          <cell r="M455" t="str">
            <v>Department of Culture and Tourism</v>
          </cell>
          <cell r="N455" t="str">
            <v>Culture</v>
          </cell>
          <cell r="O455" t="str">
            <v>الثقافة</v>
          </cell>
          <cell r="P455" t="str">
            <v>Culture Sector Marketing</v>
          </cell>
          <cell r="Q455" t="str">
            <v>التسويق لقطاع الثقافة</v>
          </cell>
          <cell r="R455" t="str">
            <v>-</v>
          </cell>
          <cell r="S455" t="str">
            <v>-</v>
          </cell>
          <cell r="T455" t="str">
            <v>Marketing &amp; Communications – Al Ain &amp; Al Dhafra Culture Sites</v>
          </cell>
          <cell r="U455" t="str">
            <v>التسويق والاتصال – المواقع الثقافية (العين والظفرة)</v>
          </cell>
          <cell r="V455" t="str">
            <v>Al Ain</v>
          </cell>
          <cell r="W455" t="str">
            <v/>
          </cell>
          <cell r="X455" t="str">
            <v>4511550</v>
          </cell>
          <cell r="Y455" t="str">
            <v>Compliance,Governance&amp;Protocol_Policy (Culture/Tourism _Senior Professional</v>
          </cell>
          <cell r="Z455" t="str">
            <v>Senior Professional</v>
          </cell>
          <cell r="AA455" t="str">
            <v>3A</v>
          </cell>
        </row>
        <row r="456">
          <cell r="A456">
            <v>1046</v>
          </cell>
          <cell r="B456">
            <v>1046</v>
          </cell>
          <cell r="C456" t="str">
            <v>A</v>
          </cell>
          <cell r="D456" t="str">
            <v>Fatema Mohamed Altahboush</v>
          </cell>
          <cell r="E456" t="str">
            <v>فاطمه محمد الطهبوش</v>
          </cell>
          <cell r="F456">
            <v>42309</v>
          </cell>
          <cell r="G456" t="str">
            <v>50001889</v>
          </cell>
          <cell r="H456" t="str">
            <v>Leasing &amp; Tenants Management Coordinator</v>
          </cell>
          <cell r="I456" t="str">
            <v>منسق إدارة التأجير والمستأجرين</v>
          </cell>
          <cell r="J456" t="str">
            <v>On-Chart</v>
          </cell>
          <cell r="K456" t="str">
            <v>DCT Payroll</v>
          </cell>
          <cell r="L456" t="str">
            <v>A1</v>
          </cell>
          <cell r="M456" t="str">
            <v>Department of Culture and Tourism</v>
          </cell>
          <cell r="N456" t="str">
            <v>Culture</v>
          </cell>
          <cell r="O456" t="str">
            <v>الثقافة</v>
          </cell>
          <cell r="P456" t="str">
            <v>Culture Sites Management</v>
          </cell>
          <cell r="Q456" t="str">
            <v>إدارة المواقع الثقافية</v>
          </cell>
          <cell r="R456" t="str">
            <v>Commercial Development</v>
          </cell>
          <cell r="S456" t="str">
            <v>التطوير التجاري</v>
          </cell>
          <cell r="T456" t="str">
            <v>Leasing &amp; Tenants Management</v>
          </cell>
          <cell r="U456" t="str">
            <v>إدارة التأجير والمستأجرين</v>
          </cell>
          <cell r="V456" t="str">
            <v>Abu Dhabi</v>
          </cell>
          <cell r="W456" t="str">
            <v/>
          </cell>
          <cell r="X456" t="str">
            <v>4511250</v>
          </cell>
          <cell r="Y456" t="str">
            <v>Compliance,Governance&amp;Protocol_Policy (Culture/Tourism) _Professional</v>
          </cell>
          <cell r="Z456" t="str">
            <v>Professional Assistant</v>
          </cell>
          <cell r="AA456" t="str">
            <v>5C</v>
          </cell>
        </row>
        <row r="457">
          <cell r="A457">
            <v>1047</v>
          </cell>
          <cell r="B457">
            <v>1047</v>
          </cell>
          <cell r="C457" t="str">
            <v>A</v>
          </cell>
          <cell r="D457" t="str">
            <v>Noura Mohamed Alqubaisi</v>
          </cell>
          <cell r="E457" t="str">
            <v>نورة محمد القبيسي</v>
          </cell>
          <cell r="F457">
            <v>42318</v>
          </cell>
          <cell r="G457" t="str">
            <v>10005678</v>
          </cell>
          <cell r="H457" t="str">
            <v>Employee Relations Specialist</v>
          </cell>
          <cell r="I457" t="str">
            <v>أخصائي شؤون الموظفين</v>
          </cell>
          <cell r="J457" t="str">
            <v>On-Chart</v>
          </cell>
          <cell r="K457" t="str">
            <v>DCT Payroll</v>
          </cell>
          <cell r="L457" t="str">
            <v>A1</v>
          </cell>
          <cell r="M457" t="str">
            <v>Department of Culture and Tourism</v>
          </cell>
          <cell r="N457" t="str">
            <v>Support Services</v>
          </cell>
          <cell r="O457" t="str">
            <v>الخدمات المساندة</v>
          </cell>
          <cell r="P457" t="str">
            <v>People &amp; Performance</v>
          </cell>
          <cell r="Q457" t="str">
            <v>إدارة الكوادر البشرية والأداء</v>
          </cell>
          <cell r="R457" t="str">
            <v>Employee Relations</v>
          </cell>
          <cell r="S457" t="str">
            <v>شؤون الموظفين</v>
          </cell>
          <cell r="T457" t="str">
            <v>Employee Experience</v>
          </cell>
          <cell r="U457" t="str">
            <v>تجربة الموظفين</v>
          </cell>
          <cell r="V457" t="str">
            <v>Abu Dhabi</v>
          </cell>
          <cell r="W457" t="str">
            <v/>
          </cell>
          <cell r="X457" t="str">
            <v>4510220</v>
          </cell>
          <cell r="Y457" t="str">
            <v>People &amp; Performance _Employee Experience _Professional</v>
          </cell>
          <cell r="Z457" t="str">
            <v>Professional</v>
          </cell>
          <cell r="AA457" t="str">
            <v>4B</v>
          </cell>
        </row>
        <row r="458">
          <cell r="A458">
            <v>1048</v>
          </cell>
          <cell r="B458">
            <v>1048</v>
          </cell>
          <cell r="C458" t="str">
            <v>A</v>
          </cell>
          <cell r="D458" t="str">
            <v>Asam Munir Sheikh</v>
          </cell>
          <cell r="E458" t="str">
            <v>عاصم منير شيخ</v>
          </cell>
          <cell r="F458">
            <v>42316</v>
          </cell>
          <cell r="G458" t="str">
            <v>10005681</v>
          </cell>
          <cell r="H458" t="str">
            <v>Senior Digital Designer</v>
          </cell>
          <cell r="I458" t="str">
            <v>مصمم رقمي أول</v>
          </cell>
          <cell r="J458" t="str">
            <v>On-Chart</v>
          </cell>
          <cell r="K458" t="str">
            <v>DCT Payroll</v>
          </cell>
          <cell r="L458" t="str">
            <v>A1</v>
          </cell>
          <cell r="M458" t="str">
            <v>Department of Culture and Tourism</v>
          </cell>
          <cell r="N458" t="str">
            <v>Strategic Marketing &amp; Communication</v>
          </cell>
          <cell r="O458" t="str">
            <v>التسويق والاتصال الاستراتيجي</v>
          </cell>
          <cell r="P458" t="str">
            <v>Creative &amp; Production</v>
          </cell>
          <cell r="Q458" t="str">
            <v>الإبداع والإنتاج</v>
          </cell>
          <cell r="R458" t="str">
            <v>Creative Content</v>
          </cell>
          <cell r="S458" t="str">
            <v>المحتوى الإبداعي</v>
          </cell>
          <cell r="T458" t="str">
            <v>Digital Design</v>
          </cell>
          <cell r="U458" t="str">
            <v>تصميم المحتوى الرقمي</v>
          </cell>
          <cell r="V458" t="str">
            <v>Abu Dhabi</v>
          </cell>
          <cell r="W458" t="str">
            <v/>
          </cell>
          <cell r="X458" t="str">
            <v>4513110</v>
          </cell>
          <cell r="Y458" t="str">
            <v>Senior Specialization Marketing &amp; Communications</v>
          </cell>
          <cell r="Z458" t="str">
            <v>Senior Professional</v>
          </cell>
          <cell r="AA458" t="str">
            <v>3A</v>
          </cell>
        </row>
        <row r="459">
          <cell r="A459">
            <v>1049</v>
          </cell>
          <cell r="B459">
            <v>1049</v>
          </cell>
          <cell r="C459" t="str">
            <v>A</v>
          </cell>
          <cell r="D459" t="str">
            <v>Reem Salem Al Jaberi</v>
          </cell>
          <cell r="E459" t="str">
            <v>ريم سالم الجابري</v>
          </cell>
          <cell r="F459">
            <v>42309</v>
          </cell>
          <cell r="G459" t="str">
            <v>50002358</v>
          </cell>
          <cell r="H459" t="str">
            <v>Brand Management Officer</v>
          </cell>
          <cell r="I459" t="str">
            <v>ضابط إدارة العلامات التجارية</v>
          </cell>
          <cell r="J459" t="str">
            <v>On-Chart</v>
          </cell>
          <cell r="K459" t="str">
            <v>DCT Payroll</v>
          </cell>
          <cell r="L459" t="str">
            <v>A1</v>
          </cell>
          <cell r="M459" t="str">
            <v>Department of Culture and Tourism</v>
          </cell>
          <cell r="N459" t="str">
            <v>Strategic Marketing &amp; Communication</v>
          </cell>
          <cell r="O459" t="str">
            <v>التسويق والاتصال الاستراتيجي</v>
          </cell>
          <cell r="P459" t="str">
            <v>Creative &amp; Production</v>
          </cell>
          <cell r="Q459" t="str">
            <v>الإبداع والإنتاج</v>
          </cell>
          <cell r="R459" t="str">
            <v>Creative Content</v>
          </cell>
          <cell r="S459" t="str">
            <v>المحتوى الإبداعي</v>
          </cell>
          <cell r="T459" t="str">
            <v>Brand Strategy</v>
          </cell>
          <cell r="U459" t="str">
            <v>استراتيجية العلامات التجارية</v>
          </cell>
          <cell r="V459" t="str">
            <v>Abu Dhabi</v>
          </cell>
          <cell r="W459" t="str">
            <v/>
          </cell>
          <cell r="X459" t="str">
            <v>4513110</v>
          </cell>
          <cell r="Y459" t="str">
            <v>Specialization Marketing &amp; Communications</v>
          </cell>
          <cell r="Z459" t="str">
            <v>Professional</v>
          </cell>
          <cell r="AA459" t="str">
            <v>4B</v>
          </cell>
        </row>
        <row r="460">
          <cell r="A460">
            <v>1052</v>
          </cell>
          <cell r="B460">
            <v>1052</v>
          </cell>
          <cell r="C460" t="str">
            <v>A</v>
          </cell>
          <cell r="D460" t="str">
            <v>Husain Ali Aljunaibi</v>
          </cell>
          <cell r="E460" t="str">
            <v>حسين علي الجنيبي</v>
          </cell>
          <cell r="F460">
            <v>42323</v>
          </cell>
          <cell r="G460" t="str">
            <v>10005726</v>
          </cell>
          <cell r="H460" t="str">
            <v>Public Engagement Programmes Senior Specialist</v>
          </cell>
          <cell r="I460" t="str">
            <v>أخصائي أول برامج المشاركة المجتمعية</v>
          </cell>
          <cell r="J460" t="str">
            <v>On-Chart</v>
          </cell>
          <cell r="K460" t="str">
            <v>DCT Payroll</v>
          </cell>
          <cell r="L460" t="str">
            <v>A1</v>
          </cell>
          <cell r="M460" t="str">
            <v>Department of Culture and Tourism</v>
          </cell>
          <cell r="N460" t="str">
            <v>Culture</v>
          </cell>
          <cell r="O460" t="str">
            <v>الثقافة</v>
          </cell>
          <cell r="P460" t="str">
            <v>Library Management</v>
          </cell>
          <cell r="Q460" t="str">
            <v>إدارة المكتبات</v>
          </cell>
          <cell r="R460" t="str">
            <v>Zayed Central Library - Al Ain</v>
          </cell>
          <cell r="S460" t="str">
            <v>مكتبة زايد المركزية - العين</v>
          </cell>
          <cell r="T460" t="str">
            <v>Public Engagement</v>
          </cell>
          <cell r="U460" t="str">
            <v>المشاركة المجتمعية</v>
          </cell>
          <cell r="V460" t="str">
            <v>Al Ain</v>
          </cell>
          <cell r="W460" t="str">
            <v/>
          </cell>
          <cell r="X460" t="str">
            <v>4516100</v>
          </cell>
          <cell r="Y460" t="str">
            <v>Operations_Library Operational Management_Senior Professional</v>
          </cell>
          <cell r="Z460" t="str">
            <v>Senior Professional</v>
          </cell>
          <cell r="AA460" t="str">
            <v>3A</v>
          </cell>
        </row>
        <row r="461">
          <cell r="A461">
            <v>1053</v>
          </cell>
          <cell r="B461">
            <v>1053</v>
          </cell>
          <cell r="C461" t="str">
            <v>A</v>
          </cell>
          <cell r="D461" t="str">
            <v>Mansoor Noor Alblooshi</v>
          </cell>
          <cell r="E461" t="str">
            <v>منصور نور البلوشي</v>
          </cell>
          <cell r="F461">
            <v>42338</v>
          </cell>
          <cell r="G461" t="str">
            <v>50002404</v>
          </cell>
          <cell r="H461" t="str">
            <v>Revenue Assurance Unit Head (Special Retails &amp; Events)</v>
          </cell>
          <cell r="I461" t="str">
            <v>رئيس وحدة  تدقيق العائدات (الأسواق والمتاجر الخاصة والفعاليات</v>
          </cell>
          <cell r="J461" t="str">
            <v>On-Chart</v>
          </cell>
          <cell r="K461" t="str">
            <v>DCT Payroll</v>
          </cell>
          <cell r="L461" t="str">
            <v>A1</v>
          </cell>
          <cell r="M461" t="str">
            <v>Department of Culture and Tourism</v>
          </cell>
          <cell r="N461" t="str">
            <v>Tourism</v>
          </cell>
          <cell r="O461" t="str">
            <v>السياحة</v>
          </cell>
          <cell r="P461" t="str">
            <v>Licensing &amp; Regulatory Compliance</v>
          </cell>
          <cell r="Q461" t="str">
            <v>الرقابة والترخيص</v>
          </cell>
          <cell r="R461" t="str">
            <v>Revenue Assurance</v>
          </cell>
          <cell r="S461" t="str">
            <v>تدقيق العائدات</v>
          </cell>
          <cell r="T461" t="str">
            <v>Revenue Assurance  (Special Retails &amp; Events)</v>
          </cell>
          <cell r="U461" t="str">
            <v>(وحدة  تدقيق العائدات (الأسواق والمتاجر الخاصة والفعاليات</v>
          </cell>
          <cell r="V461" t="str">
            <v>Abu Dhabi</v>
          </cell>
          <cell r="W461" t="str">
            <v/>
          </cell>
          <cell r="X461" t="str">
            <v>4510170</v>
          </cell>
          <cell r="Y461" t="str">
            <v>Senior Specialization Governance &amp; Compliance</v>
          </cell>
          <cell r="Z461" t="str">
            <v>Unit Head</v>
          </cell>
          <cell r="AA461" t="str">
            <v>3A</v>
          </cell>
        </row>
        <row r="462">
          <cell r="A462">
            <v>1054</v>
          </cell>
          <cell r="B462">
            <v>1054</v>
          </cell>
          <cell r="C462" t="str">
            <v>A</v>
          </cell>
          <cell r="D462" t="str">
            <v>Ayesha Abdulla Albudehaish</v>
          </cell>
          <cell r="E462" t="str">
            <v>عائشة عبد الله آل بو دهيش</v>
          </cell>
          <cell r="F462">
            <v>42344</v>
          </cell>
          <cell r="G462" t="str">
            <v>50000773</v>
          </cell>
          <cell r="H462" t="str">
            <v>Government Relations Unit Head</v>
          </cell>
          <cell r="I462" t="str">
            <v>رئيس وحدة العلاقات الحكومية</v>
          </cell>
          <cell r="J462" t="str">
            <v>On-Chart</v>
          </cell>
          <cell r="K462" t="str">
            <v>MSS Direct Hires</v>
          </cell>
          <cell r="L462" t="str">
            <v>M1</v>
          </cell>
          <cell r="M462" t="str">
            <v>Department of Culture and Tourism</v>
          </cell>
          <cell r="N462" t="str">
            <v>Zayed National Museum</v>
          </cell>
          <cell r="O462" t="str">
            <v>متحف زايد الوطني</v>
          </cell>
          <cell r="P462" t="str">
            <v>Director’s Office</v>
          </cell>
          <cell r="Q462" t="str">
            <v>مكتب مدير المتحف</v>
          </cell>
          <cell r="R462" t="str">
            <v>Institutional &amp; International Affairs</v>
          </cell>
          <cell r="S462" t="str">
            <v>شؤون العلاقات المؤسسية والدولية</v>
          </cell>
          <cell r="T462" t="str">
            <v/>
          </cell>
          <cell r="U462" t="str">
            <v/>
          </cell>
          <cell r="V462" t="str">
            <v>Abu Dhabi</v>
          </cell>
          <cell r="W462" t="str">
            <v/>
          </cell>
          <cell r="X462" t="str">
            <v>4510180</v>
          </cell>
          <cell r="Y462" t="str">
            <v>Strategy, Planning, Project Mgt_Strategy Planning Delivery &amp; Reporting_Professional</v>
          </cell>
          <cell r="Z462" t="str">
            <v>Professional</v>
          </cell>
          <cell r="AA462" t="str">
            <v>3A</v>
          </cell>
        </row>
        <row r="463">
          <cell r="A463">
            <v>1055</v>
          </cell>
          <cell r="B463">
            <v>1055</v>
          </cell>
          <cell r="C463" t="str">
            <v>A</v>
          </cell>
          <cell r="D463" t="str">
            <v>Abdulla Nasser Alblooshi</v>
          </cell>
          <cell r="E463" t="str">
            <v>عبد الله ناصر البلوشي</v>
          </cell>
          <cell r="F463">
            <v>42344</v>
          </cell>
          <cell r="G463" t="str">
            <v>10005429</v>
          </cell>
          <cell r="H463" t="str">
            <v>Business Excellence &amp; Continuity Department Director</v>
          </cell>
          <cell r="I463" t="str">
            <v>مدير إدارة التميز المؤسسي واستمرارية  الأعمال</v>
          </cell>
          <cell r="J463" t="str">
            <v>On-Chart</v>
          </cell>
          <cell r="K463" t="str">
            <v>DCT Payroll</v>
          </cell>
          <cell r="L463" t="str">
            <v>A1</v>
          </cell>
          <cell r="M463" t="str">
            <v>Department of Culture and Tourism</v>
          </cell>
          <cell r="N463" t="str">
            <v>Strategic Affairs</v>
          </cell>
          <cell r="O463" t="str">
            <v>الشؤون الاستراتيجية</v>
          </cell>
          <cell r="P463" t="str">
            <v>Business Excellence &amp; Continuity</v>
          </cell>
          <cell r="Q463" t="str">
            <v>التميز المؤسسي واستمرارية الأعمال</v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>Abu Dhabi</v>
          </cell>
          <cell r="W463" t="str">
            <v/>
          </cell>
          <cell r="X463" t="str">
            <v>4512300</v>
          </cell>
          <cell r="Y463" t="str">
            <v>Strategy, Planning, Project Mgt_Business Excellence &amp; Continuity Planning_Director</v>
          </cell>
          <cell r="Z463" t="str">
            <v>Director</v>
          </cell>
          <cell r="AA463" t="str">
            <v>1B</v>
          </cell>
        </row>
        <row r="464">
          <cell r="A464">
            <v>1056</v>
          </cell>
          <cell r="B464">
            <v>1056</v>
          </cell>
          <cell r="C464" t="str">
            <v>A</v>
          </cell>
          <cell r="D464" t="str">
            <v>Leqa Jawher Alzaabi</v>
          </cell>
          <cell r="E464" t="str">
            <v>لقاء جوهر الزعابي</v>
          </cell>
          <cell r="F464">
            <v>42351</v>
          </cell>
          <cell r="G464" t="str">
            <v>50000680</v>
          </cell>
          <cell r="H464" t="str">
            <v>Interpretation Unit Head (Experience)</v>
          </cell>
          <cell r="I464" t="str">
            <v>رئيس وحدة الإرشاد الثقافي (الخبرة)</v>
          </cell>
          <cell r="J464" t="str">
            <v>On-Chart</v>
          </cell>
          <cell r="K464" t="str">
            <v>MSS Direct Hires</v>
          </cell>
          <cell r="L464" t="str">
            <v>M1</v>
          </cell>
          <cell r="M464" t="str">
            <v>Department of Culture and Tourism</v>
          </cell>
          <cell r="N464" t="str">
            <v>Zayed National Museum</v>
          </cell>
          <cell r="O464" t="str">
            <v>متحف زايد الوطني</v>
          </cell>
          <cell r="P464" t="str">
            <v>Learning &amp; Public Engagement</v>
          </cell>
          <cell r="Q464" t="str">
            <v>التعليم والمشاركة المجتمعية</v>
          </cell>
          <cell r="R464" t="str">
            <v>Interpretation</v>
          </cell>
          <cell r="S464" t="str">
            <v>الإرشاد الثقافي</v>
          </cell>
          <cell r="T464" t="str">
            <v>Interpretation (Experience)</v>
          </cell>
          <cell r="U464" t="str">
            <v>الإرشاد الثقافي</v>
          </cell>
          <cell r="V464" t="str">
            <v>Abu Dhabi</v>
          </cell>
          <cell r="W464" t="str">
            <v/>
          </cell>
          <cell r="X464" t="str">
            <v>4510182</v>
          </cell>
          <cell r="Y464" t="str">
            <v>Senior Specialization Interpretation &amp; Engagement</v>
          </cell>
          <cell r="Z464" t="str">
            <v>Unit Head</v>
          </cell>
          <cell r="AA464" t="str">
            <v>3A</v>
          </cell>
        </row>
        <row r="465">
          <cell r="A465">
            <v>1057</v>
          </cell>
          <cell r="B465">
            <v>1057</v>
          </cell>
          <cell r="C465" t="str">
            <v>A</v>
          </cell>
          <cell r="D465" t="str">
            <v>Ahmed Abdulla Almuharaami</v>
          </cell>
          <cell r="E465" t="str">
            <v>أحمد عبد الله المحرمي</v>
          </cell>
          <cell r="F465">
            <v>42351</v>
          </cell>
          <cell r="G465" t="str">
            <v>10009023</v>
          </cell>
          <cell r="H465" t="str">
            <v>Visitor Experience Supervisor</v>
          </cell>
          <cell r="I465" t="str">
            <v>مشرف تجربة الزوار</v>
          </cell>
          <cell r="J465" t="str">
            <v>On-Chart</v>
          </cell>
          <cell r="K465" t="str">
            <v>DCT Payroll</v>
          </cell>
          <cell r="L465" t="str">
            <v>A1</v>
          </cell>
          <cell r="M465" t="str">
            <v>Department of Culture and Tourism</v>
          </cell>
          <cell r="N465" t="str">
            <v>Culture</v>
          </cell>
          <cell r="O465" t="str">
            <v>الثقافة</v>
          </cell>
          <cell r="P465" t="str">
            <v>Culture Sites Management</v>
          </cell>
          <cell r="Q465" t="str">
            <v>إدارة المواقع الثقافية</v>
          </cell>
          <cell r="R465" t="str">
            <v>Qasr Al Hosn</v>
          </cell>
          <cell r="S465" t="str">
            <v>قصر الحصن</v>
          </cell>
          <cell r="T465" t="str">
            <v>Visitor Experience</v>
          </cell>
          <cell r="U465" t="str">
            <v/>
          </cell>
          <cell r="V465" t="str">
            <v>Abu Dhabi</v>
          </cell>
          <cell r="W465" t="str">
            <v/>
          </cell>
          <cell r="X465" t="str">
            <v>4511250</v>
          </cell>
          <cell r="Y465" t="str">
            <v>Compliance,Governance&amp;Protocol_Policy (Culture/Tourism _Senior Professional</v>
          </cell>
          <cell r="Z465" t="str">
            <v>Senior Professional</v>
          </cell>
          <cell r="AA465" t="str">
            <v>3B</v>
          </cell>
        </row>
        <row r="466">
          <cell r="A466">
            <v>1059</v>
          </cell>
          <cell r="B466">
            <v>1059</v>
          </cell>
          <cell r="C466" t="str">
            <v>A</v>
          </cell>
          <cell r="D466" t="str">
            <v>Mohammed Hassan Almur</v>
          </cell>
          <cell r="E466" t="str">
            <v>محمد حسن المر</v>
          </cell>
          <cell r="F466">
            <v>42351</v>
          </cell>
          <cell r="G466" t="str">
            <v>10008868</v>
          </cell>
          <cell r="H466" t="str">
            <v>Inspector</v>
          </cell>
          <cell r="I466" t="str">
            <v>مفتش</v>
          </cell>
          <cell r="J466" t="str">
            <v>On-Chart</v>
          </cell>
          <cell r="K466" t="str">
            <v>DCT Payroll</v>
          </cell>
          <cell r="L466" t="str">
            <v>A1</v>
          </cell>
          <cell r="M466" t="str">
            <v>Department of Culture and Tourism</v>
          </cell>
          <cell r="N466" t="str">
            <v>Tourism</v>
          </cell>
          <cell r="O466" t="str">
            <v>السياحة</v>
          </cell>
          <cell r="P466" t="str">
            <v>Licensing &amp; Regulatory Compliance</v>
          </cell>
          <cell r="Q466" t="str">
            <v>الرقابة والترخيص</v>
          </cell>
          <cell r="R466" t="str">
            <v>Abu Dhabi Inspection</v>
          </cell>
          <cell r="S466" t="str">
            <v>التفتيش</v>
          </cell>
          <cell r="T466" t="str">
            <v>Abu Dhabi Inspection (Night Events)</v>
          </cell>
          <cell r="U466" t="str">
            <v>( التفتيش لأبوظبي (الفعاليات الليلية</v>
          </cell>
          <cell r="V466" t="str">
            <v>Abu Dhabi</v>
          </cell>
          <cell r="W466" t="str">
            <v/>
          </cell>
          <cell r="X466" t="str">
            <v>4510170</v>
          </cell>
          <cell r="Y466" t="str">
            <v>Compliance,Governance&amp;Protocol_Licensing &amp; Regulatory Compliance- (Follow-up and Reporting) _Professional Assistant</v>
          </cell>
          <cell r="Z466" t="str">
            <v>Professional</v>
          </cell>
          <cell r="AA466" t="str">
            <v>4A</v>
          </cell>
        </row>
        <row r="467">
          <cell r="A467">
            <v>1060</v>
          </cell>
          <cell r="B467">
            <v>1060</v>
          </cell>
          <cell r="C467" t="str">
            <v>A</v>
          </cell>
          <cell r="D467" t="str">
            <v>Ali Saif Alkaabi</v>
          </cell>
          <cell r="E467" t="str">
            <v>علي سيف الكعبي</v>
          </cell>
          <cell r="F467">
            <v>42351</v>
          </cell>
          <cell r="G467" t="str">
            <v>10009726</v>
          </cell>
          <cell r="H467" t="str">
            <v>Reference &amp; Library Education Unit Head</v>
          </cell>
          <cell r="I467" t="str">
            <v>رئيس وحدة المراجع والتعليم</v>
          </cell>
          <cell r="J467" t="str">
            <v>On-Chart</v>
          </cell>
          <cell r="K467" t="str">
            <v>DCT Payroll</v>
          </cell>
          <cell r="L467" t="str">
            <v>A1</v>
          </cell>
          <cell r="M467" t="str">
            <v>Department of Culture and Tourism</v>
          </cell>
          <cell r="N467" t="str">
            <v>Culture</v>
          </cell>
          <cell r="O467" t="str">
            <v>الثقافة</v>
          </cell>
          <cell r="P467" t="str">
            <v>Library Management</v>
          </cell>
          <cell r="Q467" t="str">
            <v>إدارة المكتبات</v>
          </cell>
          <cell r="R467" t="str">
            <v>Zayed Central Library - Al Ain</v>
          </cell>
          <cell r="S467" t="str">
            <v>مكتبة زايد المركزية - العين</v>
          </cell>
          <cell r="T467" t="str">
            <v>Reference &amp; Library Education</v>
          </cell>
          <cell r="U467" t="str">
            <v>المراجع والتعليم</v>
          </cell>
          <cell r="V467" t="str">
            <v>Abu Dhabi</v>
          </cell>
          <cell r="W467" t="str">
            <v/>
          </cell>
          <cell r="X467" t="str">
            <v>4516100</v>
          </cell>
          <cell r="Y467" t="str">
            <v>Operations_Library Operational Management_Unit Head</v>
          </cell>
          <cell r="Z467" t="str">
            <v>Unit Head</v>
          </cell>
          <cell r="AA467" t="str">
            <v>3A</v>
          </cell>
        </row>
        <row r="468">
          <cell r="A468">
            <v>1062</v>
          </cell>
          <cell r="B468">
            <v>1062</v>
          </cell>
          <cell r="C468" t="str">
            <v>A</v>
          </cell>
          <cell r="D468" t="str">
            <v>Hamad Ali Al Thawadi</v>
          </cell>
          <cell r="E468" t="str">
            <v>حمد علي الذوادي</v>
          </cell>
          <cell r="F468">
            <v>42353</v>
          </cell>
          <cell r="G468" t="str">
            <v>50001745</v>
          </cell>
          <cell r="H468" t="str">
            <v>Library Services Section Head</v>
          </cell>
          <cell r="I468" t="str">
            <v>رئيس قسم الخدمات المكتبية</v>
          </cell>
          <cell r="J468" t="str">
            <v>On-Chart</v>
          </cell>
          <cell r="K468" t="str">
            <v>ALC Direct Hires</v>
          </cell>
          <cell r="L468" t="str">
            <v>AL1</v>
          </cell>
          <cell r="M468" t="str">
            <v>Abu Dhabi Arabic Language Centre</v>
          </cell>
          <cell r="N468" t="str">
            <v>Abu Dhabi Arabic Language Centre</v>
          </cell>
          <cell r="O468" t="str">
            <v>مركز أبوظبي للغة العربية</v>
          </cell>
          <cell r="P468" t="str">
            <v>Specialized Library</v>
          </cell>
          <cell r="Q468" t="str">
            <v>المكتبات المتخصصة</v>
          </cell>
          <cell r="R468" t="str">
            <v>Library Services - ALC</v>
          </cell>
          <cell r="S468" t="str">
            <v>الخدمات المكتبية</v>
          </cell>
          <cell r="T468" t="str">
            <v/>
          </cell>
          <cell r="U468" t="str">
            <v/>
          </cell>
          <cell r="V468" t="str">
            <v>Abu Dhabi</v>
          </cell>
          <cell r="W468" t="str">
            <v/>
          </cell>
          <cell r="X468" t="str">
            <v>4519202</v>
          </cell>
          <cell r="Y468" t="str">
            <v>Interpretation &amp; Engagement_Arabic Language Research &amp; Studies _Section Manager</v>
          </cell>
          <cell r="Z468" t="str">
            <v>Section Manager</v>
          </cell>
          <cell r="AA468" t="str">
            <v>2A</v>
          </cell>
        </row>
        <row r="469">
          <cell r="A469">
            <v>1063</v>
          </cell>
          <cell r="B469">
            <v>1063</v>
          </cell>
          <cell r="C469" t="str">
            <v>A</v>
          </cell>
          <cell r="D469" t="str">
            <v>Yusuf Mohamed Alobaidli</v>
          </cell>
          <cell r="E469" t="str">
            <v>يوسف محمد العبيدلي</v>
          </cell>
          <cell r="F469">
            <v>42351</v>
          </cell>
          <cell r="G469" t="str">
            <v>10005735</v>
          </cell>
          <cell r="H469" t="str">
            <v>Library Senior Specialist</v>
          </cell>
          <cell r="I469" t="str">
            <v>أخصائي أول شؤون المكتبة</v>
          </cell>
          <cell r="J469" t="str">
            <v>On-Chart</v>
          </cell>
          <cell r="K469" t="str">
            <v>DCT Payroll</v>
          </cell>
          <cell r="L469" t="str">
            <v>A1</v>
          </cell>
          <cell r="M469" t="str">
            <v>Department of Culture and Tourism</v>
          </cell>
          <cell r="N469" t="str">
            <v>Culture</v>
          </cell>
          <cell r="O469" t="str">
            <v>الثقافة</v>
          </cell>
          <cell r="P469" t="str">
            <v>Library Management</v>
          </cell>
          <cell r="Q469" t="str">
            <v>إدارة المكتبات</v>
          </cell>
          <cell r="R469" t="str">
            <v>Branches Library</v>
          </cell>
          <cell r="S469" t="str">
            <v>فروع المكتبات</v>
          </cell>
          <cell r="T469" t="str">
            <v>Al Marfaa Library</v>
          </cell>
          <cell r="U469" t="str">
            <v>مكتبة المرفى</v>
          </cell>
          <cell r="V469" t="str">
            <v>Abu Dhabi</v>
          </cell>
          <cell r="W469" t="str">
            <v/>
          </cell>
          <cell r="X469" t="str">
            <v>4516100</v>
          </cell>
          <cell r="Y469" t="str">
            <v>Operations_Library Operational Management_Senior Professional</v>
          </cell>
          <cell r="Z469" t="str">
            <v>Senior Professional</v>
          </cell>
          <cell r="AA469" t="str">
            <v>3A</v>
          </cell>
        </row>
        <row r="470">
          <cell r="A470">
            <v>1064</v>
          </cell>
          <cell r="B470">
            <v>1064</v>
          </cell>
          <cell r="C470" t="str">
            <v>A</v>
          </cell>
          <cell r="D470" t="str">
            <v>Khaled Jumah Alyammahi</v>
          </cell>
          <cell r="E470" t="str">
            <v>خالد جمعه اليماحي</v>
          </cell>
          <cell r="F470">
            <v>42351</v>
          </cell>
          <cell r="G470" t="str">
            <v>10005737</v>
          </cell>
          <cell r="H470" t="str">
            <v>Library Senior Specialist</v>
          </cell>
          <cell r="I470" t="str">
            <v>أخصائي أول شؤون المكتبة</v>
          </cell>
          <cell r="J470" t="str">
            <v>On-Chart</v>
          </cell>
          <cell r="K470" t="str">
            <v>DCT Payroll</v>
          </cell>
          <cell r="L470" t="str">
            <v>A1</v>
          </cell>
          <cell r="M470" t="str">
            <v>Department of Culture and Tourism</v>
          </cell>
          <cell r="N470" t="str">
            <v>Culture</v>
          </cell>
          <cell r="O470" t="str">
            <v>الثقافة</v>
          </cell>
          <cell r="P470" t="str">
            <v>Library Management</v>
          </cell>
          <cell r="Q470" t="str">
            <v>إدارة المكتبات</v>
          </cell>
          <cell r="R470" t="str">
            <v>Branches Library</v>
          </cell>
          <cell r="S470" t="str">
            <v>فروع المكتبات</v>
          </cell>
          <cell r="T470" t="str">
            <v>Al Wathba Library</v>
          </cell>
          <cell r="U470" t="str">
            <v>مكتبة الوثبة</v>
          </cell>
          <cell r="V470" t="str">
            <v>Abu Dhabi</v>
          </cell>
          <cell r="W470" t="str">
            <v/>
          </cell>
          <cell r="X470" t="str">
            <v>4516100</v>
          </cell>
          <cell r="Y470" t="str">
            <v>Operations_Library Operational Management_Senior Professional</v>
          </cell>
          <cell r="Z470" t="str">
            <v>Senior Professional</v>
          </cell>
          <cell r="AA470" t="str">
            <v>3A</v>
          </cell>
        </row>
        <row r="471">
          <cell r="A471">
            <v>1065</v>
          </cell>
          <cell r="B471">
            <v>1065</v>
          </cell>
          <cell r="C471" t="str">
            <v>A</v>
          </cell>
          <cell r="D471" t="str">
            <v>Asma Mohamed Alzaabi</v>
          </cell>
          <cell r="E471" t="str">
            <v>أسماء محمد الزعابي</v>
          </cell>
          <cell r="F471">
            <v>42358</v>
          </cell>
          <cell r="G471" t="str">
            <v>50003977</v>
          </cell>
          <cell r="H471" t="str">
            <v>Senior Library Officer</v>
          </cell>
          <cell r="I471" t="str">
            <v>مسؤول المكتبة الأول</v>
          </cell>
          <cell r="J471" t="str">
            <v>On-Chart</v>
          </cell>
          <cell r="K471" t="str">
            <v>DCT Payroll</v>
          </cell>
          <cell r="L471" t="str">
            <v>A1</v>
          </cell>
          <cell r="M471" t="str">
            <v>Department of Culture and Tourism</v>
          </cell>
          <cell r="N471" t="str">
            <v>Culture</v>
          </cell>
          <cell r="O471" t="str">
            <v>الثقافة</v>
          </cell>
          <cell r="P471" t="str">
            <v>Library Management</v>
          </cell>
          <cell r="Q471" t="str">
            <v>إدارة المكتبات</v>
          </cell>
          <cell r="R471" t="str">
            <v>Branches Library</v>
          </cell>
          <cell r="S471" t="str">
            <v>فروع المكتبات</v>
          </cell>
          <cell r="T471" t="str">
            <v>Sheikh Khalifa Library</v>
          </cell>
          <cell r="U471" t="str">
            <v>مكتبة الشيخ خليفة</v>
          </cell>
          <cell r="V471" t="str">
            <v>Abu Dhabi</v>
          </cell>
          <cell r="W471" t="str">
            <v/>
          </cell>
          <cell r="X471" t="str">
            <v>4516100</v>
          </cell>
          <cell r="Y471" t="str">
            <v>Interpretation &amp; Engagement_Library Service Delivery (Librarian)_Senior Professional</v>
          </cell>
          <cell r="Z471" t="str">
            <v>Senior Professional</v>
          </cell>
          <cell r="AA471" t="str">
            <v>3A</v>
          </cell>
        </row>
        <row r="472">
          <cell r="A472">
            <v>1066</v>
          </cell>
          <cell r="B472">
            <v>1066</v>
          </cell>
          <cell r="C472" t="str">
            <v>A</v>
          </cell>
          <cell r="D472" t="str">
            <v>Muneera Saeed Al Eryani</v>
          </cell>
          <cell r="E472" t="str">
            <v>منيرة سعيد العرياني</v>
          </cell>
          <cell r="F472">
            <v>42358</v>
          </cell>
          <cell r="G472" t="str">
            <v>10005818</v>
          </cell>
          <cell r="H472" t="str">
            <v>In Destination Operations Senior Specialist</v>
          </cell>
          <cell r="I472" t="str">
            <v>أخصائي أول عمليات المكتب الداخلي</v>
          </cell>
          <cell r="J472" t="str">
            <v>On-Chart</v>
          </cell>
          <cell r="K472" t="str">
            <v>DCT Payroll</v>
          </cell>
          <cell r="L472" t="str">
            <v>A1</v>
          </cell>
          <cell r="M472" t="str">
            <v>Department of Culture and Tourism</v>
          </cell>
          <cell r="N472" t="str">
            <v>Tourism</v>
          </cell>
          <cell r="O472" t="str">
            <v>السياحة</v>
          </cell>
          <cell r="P472" t="str">
            <v>Visitors Experience</v>
          </cell>
          <cell r="Q472" t="str">
            <v>تجربة الزوار</v>
          </cell>
          <cell r="R472" t="str">
            <v>Visitors Information Center</v>
          </cell>
          <cell r="S472" t="str">
            <v>مركز معلومات الزوار</v>
          </cell>
          <cell r="T472" t="str">
            <v>Visitors Information Center</v>
          </cell>
          <cell r="U472" t="str">
            <v>مركز معلومات الزوار</v>
          </cell>
          <cell r="V472" t="str">
            <v>Al Ain</v>
          </cell>
          <cell r="W472" t="str">
            <v/>
          </cell>
          <cell r="X472" t="str">
            <v>4515300</v>
          </cell>
          <cell r="Y472" t="str">
            <v>Design_Visitor Experience Design_Senior Professional</v>
          </cell>
          <cell r="Z472" t="str">
            <v>Senior Professional</v>
          </cell>
          <cell r="AA472" t="str">
            <v>3A</v>
          </cell>
        </row>
        <row r="473">
          <cell r="A473">
            <v>1067</v>
          </cell>
          <cell r="B473">
            <v>1067</v>
          </cell>
          <cell r="C473" t="str">
            <v>A</v>
          </cell>
          <cell r="D473" t="str">
            <v>Abdulla Mohamed Alsheikh</v>
          </cell>
          <cell r="E473" t="str">
            <v>عبدالله محمد الشيخ</v>
          </cell>
          <cell r="F473">
            <v>42358</v>
          </cell>
          <cell r="G473" t="str">
            <v>50003326</v>
          </cell>
          <cell r="H473" t="str">
            <v>Payroll Management Senior Accountant</v>
          </cell>
          <cell r="I473" t="str">
            <v>محاسب أول إدارة الرواتب</v>
          </cell>
          <cell r="J473" t="str">
            <v>On-Chart</v>
          </cell>
          <cell r="K473" t="str">
            <v>DCT Payroll</v>
          </cell>
          <cell r="L473" t="str">
            <v>A1</v>
          </cell>
          <cell r="M473" t="str">
            <v>Department of Culture and Tourism</v>
          </cell>
          <cell r="N473" t="str">
            <v>Support Services</v>
          </cell>
          <cell r="O473" t="str">
            <v>الخدمات المساندة</v>
          </cell>
          <cell r="P473" t="str">
            <v>Finance</v>
          </cell>
          <cell r="Q473" t="str">
            <v>إدارة المالية</v>
          </cell>
          <cell r="R473" t="str">
            <v>Payables Operations</v>
          </cell>
          <cell r="S473" t="str">
            <v>عمليات الحسابات الدائنة</v>
          </cell>
          <cell r="T473" t="str">
            <v>Payroll Management</v>
          </cell>
          <cell r="U473" t="str">
            <v>إدارة الرواتب</v>
          </cell>
          <cell r="V473" t="str">
            <v>Abu Dhabi</v>
          </cell>
          <cell r="W473" t="str">
            <v/>
          </cell>
          <cell r="X473" t="str">
            <v>4510210</v>
          </cell>
          <cell r="Y473" t="str">
            <v>Finance_Payroll Management _Unit Head</v>
          </cell>
          <cell r="Z473" t="str">
            <v>Senior Professional</v>
          </cell>
          <cell r="AA473" t="str">
            <v>3B</v>
          </cell>
        </row>
        <row r="474">
          <cell r="A474">
            <v>1068</v>
          </cell>
          <cell r="B474">
            <v>1068</v>
          </cell>
          <cell r="C474" t="str">
            <v>A</v>
          </cell>
          <cell r="D474" t="str">
            <v>Moammar Mohammed Almarzouqi</v>
          </cell>
          <cell r="E474" t="str">
            <v>معمر محمد المرزوقي</v>
          </cell>
          <cell r="F474">
            <v>42358</v>
          </cell>
          <cell r="G474" t="str">
            <v>10007327</v>
          </cell>
          <cell r="H474" t="str">
            <v>Meetings, Incentives &amp; Weddings Section Head</v>
          </cell>
          <cell r="I474" t="str">
            <v>رئيس قسم الاجتماعات، الحوافز وحفلات الزفاف</v>
          </cell>
          <cell r="J474" t="str">
            <v>On-Chart</v>
          </cell>
          <cell r="K474" t="str">
            <v>DCT Payroll</v>
          </cell>
          <cell r="L474" t="str">
            <v>A1</v>
          </cell>
          <cell r="M474" t="str">
            <v>Department of Culture and Tourism</v>
          </cell>
          <cell r="N474" t="str">
            <v>Tourism</v>
          </cell>
          <cell r="O474" t="str">
            <v>السياحة</v>
          </cell>
          <cell r="P474" t="str">
            <v>Abu Dhabi Conventions &amp; Exhibition Bureau</v>
          </cell>
          <cell r="Q474" t="str">
            <v>مكتب أبوظبي للمؤتمرات والمعارض</v>
          </cell>
          <cell r="R474" t="str">
            <v>Meetings, Incentives &amp; Weddings</v>
          </cell>
          <cell r="S474" t="str">
            <v>الاجتماعات، الحوافز وحفلات الزفاف</v>
          </cell>
          <cell r="T474" t="str">
            <v/>
          </cell>
          <cell r="U474" t="str">
            <v/>
          </cell>
          <cell r="V474" t="str">
            <v>Abu Dhabi</v>
          </cell>
          <cell r="W474" t="str">
            <v/>
          </cell>
          <cell r="X474" t="str">
            <v>4515400</v>
          </cell>
          <cell r="Y474" t="str">
            <v>Commercial _Conventions, Exhibitions, Events,Festivals Development &amp; Sales  _Section Head</v>
          </cell>
          <cell r="Z474" t="str">
            <v>Section Manager</v>
          </cell>
          <cell r="AA474" t="str">
            <v>2B</v>
          </cell>
        </row>
        <row r="475">
          <cell r="A475">
            <v>1069</v>
          </cell>
          <cell r="B475">
            <v>1069</v>
          </cell>
          <cell r="C475" t="str">
            <v>A</v>
          </cell>
          <cell r="D475" t="str">
            <v>Ghaleya Saeed Almansoori</v>
          </cell>
          <cell r="E475" t="str">
            <v>غالية سعيد المنصوري</v>
          </cell>
          <cell r="F475">
            <v>42372</v>
          </cell>
          <cell r="G475" t="str">
            <v>10005824</v>
          </cell>
          <cell r="H475" t="str">
            <v>Children Art Centre Specialist</v>
          </cell>
          <cell r="I475" t="str">
            <v>أخصائي مركز الأطفال للفنون</v>
          </cell>
          <cell r="J475" t="str">
            <v>On-Chart</v>
          </cell>
          <cell r="K475" t="str">
            <v>DCT Payroll</v>
          </cell>
          <cell r="L475" t="str">
            <v>A1</v>
          </cell>
          <cell r="M475" t="str">
            <v>Department of Culture and Tourism</v>
          </cell>
          <cell r="N475" t="str">
            <v>Culture</v>
          </cell>
          <cell r="O475" t="str">
            <v>الثقافة</v>
          </cell>
          <cell r="P475" t="str">
            <v>Education &amp; Outreach</v>
          </cell>
          <cell r="Q475" t="str">
            <v>التعليم والتوعية الثقافية</v>
          </cell>
          <cell r="R475" t="str">
            <v>Interpretation - IH &amp; Historic Sites</v>
          </cell>
          <cell r="S475" t="str">
            <v>الإرشاد الثقافي - التراث المعنوي والمواقع التاريخية</v>
          </cell>
          <cell r="T475" t="str">
            <v>Interpretation (Abu Dhabi)</v>
          </cell>
          <cell r="U475" t="str">
            <v>الإرشاد الثقافي (أبوظبي)</v>
          </cell>
          <cell r="V475" t="str">
            <v>Abu Dhabi</v>
          </cell>
          <cell r="W475" t="str">
            <v/>
          </cell>
          <cell r="X475" t="str">
            <v>4511800</v>
          </cell>
          <cell r="Y475" t="str">
            <v>Interpretation &amp; Engagement_Outreach &amp; Cultural Engagement _Professional</v>
          </cell>
          <cell r="Z475" t="str">
            <v>Professional</v>
          </cell>
          <cell r="AA475" t="str">
            <v>4A</v>
          </cell>
        </row>
        <row r="476">
          <cell r="A476">
            <v>1070</v>
          </cell>
          <cell r="B476">
            <v>1070</v>
          </cell>
          <cell r="C476" t="str">
            <v>A</v>
          </cell>
          <cell r="D476" t="str">
            <v>Amna Khalifa Alfarsi</v>
          </cell>
          <cell r="E476" t="str">
            <v>أمنة خليفة الفارسي</v>
          </cell>
          <cell r="F476">
            <v>42369</v>
          </cell>
          <cell r="G476" t="str">
            <v>10005849</v>
          </cell>
          <cell r="H476" t="str">
            <v>Qasr Al Muwaiji Unit Head</v>
          </cell>
          <cell r="I476" t="str">
            <v>رئيس وحدة قصر المويجعي</v>
          </cell>
          <cell r="J476" t="str">
            <v>On-Chart</v>
          </cell>
          <cell r="K476" t="str">
            <v>DCT Payroll</v>
          </cell>
          <cell r="L476" t="str">
            <v>A1</v>
          </cell>
          <cell r="M476" t="str">
            <v>Department of Culture and Tourism</v>
          </cell>
          <cell r="N476" t="str">
            <v>Culture</v>
          </cell>
          <cell r="O476" t="str">
            <v>الثقافة</v>
          </cell>
          <cell r="P476" t="str">
            <v>Culture Sites Management</v>
          </cell>
          <cell r="Q476" t="str">
            <v>إدارة المواقع الثقافية</v>
          </cell>
          <cell r="R476" t="str">
            <v>Al Ain Historical Sites</v>
          </cell>
          <cell r="S476" t="str">
            <v>مواقع العين التاريخية</v>
          </cell>
          <cell r="T476" t="str">
            <v>Qasr Al Muwaiji</v>
          </cell>
          <cell r="U476" t="str">
            <v>قصر المويجعي</v>
          </cell>
          <cell r="V476" t="str">
            <v>Al Ain</v>
          </cell>
          <cell r="W476" t="str">
            <v/>
          </cell>
          <cell r="X476" t="str">
            <v>4511250</v>
          </cell>
          <cell r="Y476" t="str">
            <v>Senior Specialization Visitor Services &amp; Protocol</v>
          </cell>
          <cell r="Z476" t="str">
            <v>Unit Head</v>
          </cell>
          <cell r="AA476" t="str">
            <v>3A</v>
          </cell>
        </row>
        <row r="477">
          <cell r="A477">
            <v>1071</v>
          </cell>
          <cell r="B477">
            <v>1071</v>
          </cell>
          <cell r="C477" t="str">
            <v>A</v>
          </cell>
          <cell r="D477" t="str">
            <v>Shaikha Sultan Alameri</v>
          </cell>
          <cell r="E477" t="str">
            <v>شيخة سلطان العامري</v>
          </cell>
          <cell r="F477">
            <v>42369</v>
          </cell>
          <cell r="G477" t="str">
            <v>50001566</v>
          </cell>
          <cell r="H477" t="str">
            <v>Visitor Experience Supervisor</v>
          </cell>
          <cell r="I477" t="str">
            <v>مشرف تجربة الزوار</v>
          </cell>
          <cell r="J477" t="str">
            <v>On-Chart</v>
          </cell>
          <cell r="K477" t="str">
            <v>DCT Payroll</v>
          </cell>
          <cell r="L477" t="str">
            <v>A1</v>
          </cell>
          <cell r="M477" t="str">
            <v>Department of Culture and Tourism</v>
          </cell>
          <cell r="N477" t="str">
            <v>Culture</v>
          </cell>
          <cell r="O477" t="str">
            <v>الثقافة</v>
          </cell>
          <cell r="P477" t="str">
            <v>Culture Sites Management</v>
          </cell>
          <cell r="Q477" t="str">
            <v>إدارة المواقع الثقافية</v>
          </cell>
          <cell r="R477" t="str">
            <v>Al Ain Community Centers</v>
          </cell>
          <cell r="S477" t="str">
            <v>مراكز العين المجتمعية</v>
          </cell>
          <cell r="T477" t="str">
            <v>Al Qattara Arts Centre</v>
          </cell>
          <cell r="U477" t="str">
            <v>مركز القطارة للفنون</v>
          </cell>
          <cell r="V477" t="str">
            <v>Al Ain</v>
          </cell>
          <cell r="W477" t="str">
            <v/>
          </cell>
          <cell r="X477" t="str">
            <v>4511250</v>
          </cell>
          <cell r="Y477" t="str">
            <v>Compliance,Governance&amp;Protocol_Policy (Culture/Tourism _Senior Professional</v>
          </cell>
          <cell r="Z477" t="str">
            <v>Senior Professional</v>
          </cell>
          <cell r="AA477" t="str">
            <v>3A</v>
          </cell>
        </row>
        <row r="478">
          <cell r="A478">
            <v>1072</v>
          </cell>
          <cell r="B478">
            <v>1072</v>
          </cell>
          <cell r="C478" t="str">
            <v>A</v>
          </cell>
          <cell r="D478" t="str">
            <v>Ahmed Omar Aldhuhoori</v>
          </cell>
          <cell r="E478" t="str">
            <v>أحمد عمر الظهوري</v>
          </cell>
          <cell r="F478">
            <v>42372</v>
          </cell>
          <cell r="G478" t="str">
            <v>10005853</v>
          </cell>
          <cell r="H478" t="str">
            <v>Library Senior Specialist</v>
          </cell>
          <cell r="I478" t="str">
            <v>أخصائي أول شؤون المكتبة</v>
          </cell>
          <cell r="J478" t="str">
            <v>On-Chart</v>
          </cell>
          <cell r="K478" t="str">
            <v>DCT Payroll</v>
          </cell>
          <cell r="L478" t="str">
            <v>A1</v>
          </cell>
          <cell r="M478" t="str">
            <v>Department of Culture and Tourism</v>
          </cell>
          <cell r="N478" t="str">
            <v>Culture</v>
          </cell>
          <cell r="O478" t="str">
            <v>الثقافة</v>
          </cell>
          <cell r="P478" t="str">
            <v>Library Management</v>
          </cell>
          <cell r="Q478" t="str">
            <v>إدارة المكتبات</v>
          </cell>
          <cell r="R478" t="str">
            <v>Branches Library</v>
          </cell>
          <cell r="S478" t="str">
            <v>فروع المكتبات</v>
          </cell>
          <cell r="T478" t="str">
            <v>Sheikh Khalifa Library</v>
          </cell>
          <cell r="U478" t="str">
            <v>مكتبة الشيخ خليفة</v>
          </cell>
          <cell r="V478" t="str">
            <v>Abu Dhabi</v>
          </cell>
          <cell r="W478" t="str">
            <v/>
          </cell>
          <cell r="X478" t="str">
            <v>4516100</v>
          </cell>
          <cell r="Y478" t="str">
            <v>Operations_Library Operational Management_Senior Professional</v>
          </cell>
          <cell r="Z478" t="str">
            <v>Senior Professional</v>
          </cell>
          <cell r="AA478" t="str">
            <v>3A</v>
          </cell>
        </row>
        <row r="479">
          <cell r="A479">
            <v>1074</v>
          </cell>
          <cell r="B479">
            <v>1074</v>
          </cell>
          <cell r="C479" t="str">
            <v>A</v>
          </cell>
          <cell r="D479" t="str">
            <v>Budour Ali Alderei</v>
          </cell>
          <cell r="E479" t="str">
            <v>بدور علي الدرعي</v>
          </cell>
          <cell r="F479">
            <v>42372</v>
          </cell>
          <cell r="G479" t="str">
            <v>50003414</v>
          </cell>
          <cell r="H479" t="str">
            <v>Executive Affairs Senior Specialist</v>
          </cell>
          <cell r="I479" t="str">
            <v>أخصائي أول الشؤون التنفيذية</v>
          </cell>
          <cell r="J479" t="str">
            <v>On-Chart</v>
          </cell>
          <cell r="K479" t="str">
            <v>DCT Payroll</v>
          </cell>
          <cell r="L479" t="str">
            <v>A1</v>
          </cell>
          <cell r="M479" t="str">
            <v>Department of Culture and Tourism</v>
          </cell>
          <cell r="N479" t="str">
            <v>Executive Affairs</v>
          </cell>
          <cell r="O479" t="str">
            <v>مكتب رئيس الدائرة</v>
          </cell>
          <cell r="P479" t="str">
            <v>Executive Affairs</v>
          </cell>
          <cell r="Q479" t="str">
            <v>الشؤون التنفيذية</v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>Abu Dhabi</v>
          </cell>
          <cell r="W479" t="str">
            <v/>
          </cell>
          <cell r="X479" t="str">
            <v>4510011</v>
          </cell>
          <cell r="Y479" t="str">
            <v>Stakeholder &amp; Partner Relations_International &amp; Institutional Affairs _Senior Professional</v>
          </cell>
          <cell r="Z479" t="str">
            <v>Senior Professional</v>
          </cell>
          <cell r="AA479" t="str">
            <v>3C</v>
          </cell>
        </row>
        <row r="480">
          <cell r="A480">
            <v>1077</v>
          </cell>
          <cell r="B480">
            <v>1077</v>
          </cell>
          <cell r="C480" t="str">
            <v>A</v>
          </cell>
          <cell r="D480" t="str">
            <v>Layla Ahmed Alqatta</v>
          </cell>
          <cell r="E480" t="str">
            <v>ليلى أحمد القطاع</v>
          </cell>
          <cell r="F480">
            <v>42372</v>
          </cell>
          <cell r="G480" t="str">
            <v>10005860</v>
          </cell>
          <cell r="H480" t="str">
            <v>Tour Guides Training &amp; Licensing Unit Head</v>
          </cell>
          <cell r="I480" t="str">
            <v>رئيس وحدة تدريب وترخيص المرشدين السياحيين</v>
          </cell>
          <cell r="J480" t="str">
            <v>On-Chart</v>
          </cell>
          <cell r="K480" t="str">
            <v>DCT Payroll</v>
          </cell>
          <cell r="L480" t="str">
            <v>A1</v>
          </cell>
          <cell r="M480" t="str">
            <v>Department of Culture and Tourism</v>
          </cell>
          <cell r="N480" t="str">
            <v>Tourism</v>
          </cell>
          <cell r="O480" t="str">
            <v>السياحة</v>
          </cell>
          <cell r="P480" t="str">
            <v>Licensing &amp; Regulatory Compliance</v>
          </cell>
          <cell r="Q480" t="str">
            <v>الرقابة والترخيص</v>
          </cell>
          <cell r="R480" t="str">
            <v>Licensing</v>
          </cell>
          <cell r="S480" t="str">
            <v>الترخيص</v>
          </cell>
          <cell r="T480" t="str">
            <v>Tour Guides Training &amp; Licensing</v>
          </cell>
          <cell r="U480" t="str">
            <v/>
          </cell>
          <cell r="V480" t="str">
            <v>Abu Dhabi</v>
          </cell>
          <cell r="W480" t="str">
            <v/>
          </cell>
          <cell r="X480" t="str">
            <v>4510170</v>
          </cell>
          <cell r="Y480" t="str">
            <v>Commercial _Travel Trade &amp; Tourism  Market Development _Unit Head</v>
          </cell>
          <cell r="Z480" t="str">
            <v>Unit Head</v>
          </cell>
          <cell r="AA480" t="str">
            <v>3A</v>
          </cell>
        </row>
        <row r="481">
          <cell r="A481">
            <v>1078</v>
          </cell>
          <cell r="B481">
            <v>1078</v>
          </cell>
          <cell r="C481" t="str">
            <v>A</v>
          </cell>
          <cell r="D481" t="str">
            <v>Maha Fawzi Alhammadi</v>
          </cell>
          <cell r="E481" t="str">
            <v>مها فوزي الحمادي</v>
          </cell>
          <cell r="F481">
            <v>42372</v>
          </cell>
          <cell r="G481" t="str">
            <v>10005755</v>
          </cell>
          <cell r="H481" t="str">
            <v>Exhibitions Design Senior Specialist</v>
          </cell>
          <cell r="I481" t="str">
            <v>أخصائي أول تصميم المعارض</v>
          </cell>
          <cell r="J481" t="str">
            <v>On-Chart</v>
          </cell>
          <cell r="K481" t="str">
            <v>DCT Payroll</v>
          </cell>
          <cell r="L481" t="str">
            <v>A1</v>
          </cell>
          <cell r="M481" t="str">
            <v>Department of Culture and Tourism</v>
          </cell>
          <cell r="N481" t="str">
            <v>Culture</v>
          </cell>
          <cell r="O481" t="str">
            <v>الثقافة</v>
          </cell>
          <cell r="P481" t="str">
            <v>Scientific, Curatorial and Collection Department</v>
          </cell>
          <cell r="Q481" t="str">
            <v>إدارة البحث العلمي والمقتنيات</v>
          </cell>
          <cell r="R481" t="str">
            <v>Exhibitions Design</v>
          </cell>
          <cell r="S481" t="str">
            <v>تصميم المعارض</v>
          </cell>
          <cell r="T481" t="str">
            <v>Exhibitions Design</v>
          </cell>
          <cell r="U481" t="str">
            <v>تصميم المعارض</v>
          </cell>
          <cell r="V481" t="str">
            <v>Abu Dhabi</v>
          </cell>
          <cell r="W481" t="str">
            <v/>
          </cell>
          <cell r="X481" t="str">
            <v>4511150</v>
          </cell>
          <cell r="Y481" t="str">
            <v>Compliance,Governance&amp;Protocol_Policy (Culture/Tourism _Senior Professional</v>
          </cell>
          <cell r="Z481" t="str">
            <v>Senior Professional</v>
          </cell>
          <cell r="AA481" t="str">
            <v>3A</v>
          </cell>
        </row>
        <row r="482">
          <cell r="A482">
            <v>1080</v>
          </cell>
          <cell r="B482">
            <v>1080</v>
          </cell>
          <cell r="C482" t="str">
            <v>A</v>
          </cell>
          <cell r="D482" t="str">
            <v>Abdulla Mohammed Alhashmi</v>
          </cell>
          <cell r="E482" t="str">
            <v>عبدالله محمد الهاشمي</v>
          </cell>
          <cell r="F482">
            <v>42379</v>
          </cell>
          <cell r="G482" t="str">
            <v>47700326</v>
          </cell>
          <cell r="H482" t="str">
            <v>Inspector</v>
          </cell>
          <cell r="I482" t="str">
            <v>مفتش</v>
          </cell>
          <cell r="J482" t="str">
            <v>On-Chart</v>
          </cell>
          <cell r="K482" t="str">
            <v>DCT Payroll</v>
          </cell>
          <cell r="L482" t="str">
            <v>A1</v>
          </cell>
          <cell r="M482" t="str">
            <v>Department of Culture and Tourism</v>
          </cell>
          <cell r="N482" t="str">
            <v>Tourism</v>
          </cell>
          <cell r="O482" t="str">
            <v>السياحة</v>
          </cell>
          <cell r="P482" t="str">
            <v>Licensing &amp; Regulatory Compliance</v>
          </cell>
          <cell r="Q482" t="str">
            <v>الرقابة والترخيص</v>
          </cell>
          <cell r="R482" t="str">
            <v>Al Ain &amp; Al Dhafra Inspection</v>
          </cell>
          <cell r="S482" t="str">
            <v>التفتيش لمنطقتي العين والظفرة</v>
          </cell>
          <cell r="T482" t="str">
            <v>Al Dhafra Inspection</v>
          </cell>
          <cell r="U482" t="str">
            <v>وحدة تفتيش منطقة الظفرة</v>
          </cell>
          <cell r="V482" t="str">
            <v>Al Ain</v>
          </cell>
          <cell r="W482" t="str">
            <v/>
          </cell>
          <cell r="X482" t="str">
            <v>4510170</v>
          </cell>
          <cell r="Y482" t="str">
            <v>Compliance,Governance&amp;Protocol_Licensing &amp; Regulatory Compliance- (Follow-up and Reporting) _Professional Assistant</v>
          </cell>
          <cell r="Z482" t="str">
            <v>Professional</v>
          </cell>
          <cell r="AA482" t="str">
            <v>4A</v>
          </cell>
        </row>
        <row r="483">
          <cell r="A483">
            <v>1081</v>
          </cell>
          <cell r="B483">
            <v>1081</v>
          </cell>
          <cell r="C483" t="str">
            <v>A</v>
          </cell>
          <cell r="D483" t="str">
            <v>Ayesha Abdulla Albeshr</v>
          </cell>
          <cell r="E483" t="str">
            <v>عائشة عبدالله البشر</v>
          </cell>
          <cell r="F483">
            <v>42379</v>
          </cell>
          <cell r="G483" t="str">
            <v>10004307</v>
          </cell>
          <cell r="H483" t="str">
            <v>Employee Relations Specialist</v>
          </cell>
          <cell r="I483" t="str">
            <v>أخصائي شؤون الموظفين</v>
          </cell>
          <cell r="J483" t="str">
            <v>On-Chart</v>
          </cell>
          <cell r="K483" t="str">
            <v>DCT Payroll</v>
          </cell>
          <cell r="L483" t="str">
            <v>A1</v>
          </cell>
          <cell r="M483" t="str">
            <v>Department of Culture and Tourism</v>
          </cell>
          <cell r="N483" t="str">
            <v>Support Services</v>
          </cell>
          <cell r="O483" t="str">
            <v>الخدمات المساندة</v>
          </cell>
          <cell r="P483" t="str">
            <v>People &amp; Performance</v>
          </cell>
          <cell r="Q483" t="str">
            <v>إدارة الكوادر البشرية والأداء</v>
          </cell>
          <cell r="R483" t="str">
            <v>Employee Relations</v>
          </cell>
          <cell r="S483" t="str">
            <v>شؤون الموظفين</v>
          </cell>
          <cell r="T483" t="str">
            <v>Employee Relations</v>
          </cell>
          <cell r="U483" t="str">
            <v>شؤون الموظفين</v>
          </cell>
          <cell r="V483" t="str">
            <v>Abu Dhabi</v>
          </cell>
          <cell r="W483" t="str">
            <v/>
          </cell>
          <cell r="X483" t="str">
            <v>4510220</v>
          </cell>
          <cell r="Y483" t="str">
            <v>Specialization HR</v>
          </cell>
          <cell r="Z483" t="str">
            <v>Professional Assistant</v>
          </cell>
          <cell r="AA483" t="str">
            <v>4A</v>
          </cell>
        </row>
        <row r="484">
          <cell r="A484">
            <v>1083</v>
          </cell>
          <cell r="B484">
            <v>1083</v>
          </cell>
          <cell r="C484" t="str">
            <v>A</v>
          </cell>
          <cell r="D484" t="str">
            <v>Khamis Ismail Alhosani</v>
          </cell>
          <cell r="E484" t="str">
            <v>خميس اسماعيل الحوسني</v>
          </cell>
          <cell r="F484">
            <v>42379</v>
          </cell>
          <cell r="G484" t="str">
            <v>10005871</v>
          </cell>
          <cell r="H484" t="str">
            <v>Sourcing Specialist</v>
          </cell>
          <cell r="I484" t="str">
            <v>أخصائي التوريد</v>
          </cell>
          <cell r="J484" t="str">
            <v>On-Chart</v>
          </cell>
          <cell r="K484" t="str">
            <v>DCT Payroll</v>
          </cell>
          <cell r="L484" t="str">
            <v>A1</v>
          </cell>
          <cell r="M484" t="str">
            <v>Department of Culture and Tourism</v>
          </cell>
          <cell r="N484" t="str">
            <v>Support Services</v>
          </cell>
          <cell r="O484" t="str">
            <v>الخدمات المساندة</v>
          </cell>
          <cell r="P484" t="str">
            <v>Supply Management</v>
          </cell>
          <cell r="Q484" t="str">
            <v>إدارة الإمداد</v>
          </cell>
          <cell r="R484" t="str">
            <v>Sourcing</v>
          </cell>
          <cell r="S484" t="str">
            <v>التوريد</v>
          </cell>
          <cell r="T484" t="str">
            <v>Sourcing</v>
          </cell>
          <cell r="U484" t="str">
            <v>توريد المشتريات</v>
          </cell>
          <cell r="V484" t="str">
            <v>Abu Dhabi</v>
          </cell>
          <cell r="W484" t="str">
            <v/>
          </cell>
          <cell r="X484" t="str">
            <v>4510240</v>
          </cell>
          <cell r="Y484" t="str">
            <v>Procurement_Procurement General_Professional</v>
          </cell>
          <cell r="Z484" t="str">
            <v>Professional</v>
          </cell>
          <cell r="AA484" t="str">
            <v>4A</v>
          </cell>
        </row>
        <row r="485">
          <cell r="A485">
            <v>1085</v>
          </cell>
          <cell r="B485">
            <v>1085</v>
          </cell>
          <cell r="C485" t="str">
            <v>A</v>
          </cell>
          <cell r="D485" t="str">
            <v>Abdulla Sultan Alsuwaidi</v>
          </cell>
          <cell r="E485" t="str">
            <v>عبدالله سلطان السويدي</v>
          </cell>
          <cell r="F485">
            <v>42390</v>
          </cell>
          <cell r="G485" t="str">
            <v>10009299</v>
          </cell>
          <cell r="H485" t="str">
            <v>Operations Lead</v>
          </cell>
          <cell r="I485" t="str">
            <v>أخصائي رئيسي العمليات</v>
          </cell>
          <cell r="J485" t="str">
            <v>On-Chart</v>
          </cell>
          <cell r="K485" t="str">
            <v>DCT Payroll</v>
          </cell>
          <cell r="L485" t="str">
            <v>A1</v>
          </cell>
          <cell r="M485" t="str">
            <v>Department of Culture and Tourism</v>
          </cell>
          <cell r="N485" t="str">
            <v>Culture</v>
          </cell>
          <cell r="O485" t="str">
            <v>الثقافة</v>
          </cell>
          <cell r="P485" t="str">
            <v>Culture Sites Management</v>
          </cell>
          <cell r="Q485" t="str">
            <v>إدارة المواقع الثقافية</v>
          </cell>
          <cell r="R485" t="str">
            <v>Al Ain Operations</v>
          </cell>
          <cell r="S485" t="str">
            <v>العمليات - العين</v>
          </cell>
          <cell r="T485" t="str">
            <v/>
          </cell>
          <cell r="U485" t="str">
            <v/>
          </cell>
          <cell r="V485" t="str">
            <v>Abu Dhabi</v>
          </cell>
          <cell r="W485" t="str">
            <v/>
          </cell>
          <cell r="X485" t="str">
            <v>4511250</v>
          </cell>
          <cell r="Y485" t="str">
            <v>Compliance,Governance&amp;Protocol_Policy  (Culture &amp; Tourism)_Unit Head</v>
          </cell>
          <cell r="Z485" t="str">
            <v>Unit Head</v>
          </cell>
          <cell r="AA485" t="str">
            <v>3A</v>
          </cell>
        </row>
        <row r="486">
          <cell r="A486">
            <v>1086</v>
          </cell>
          <cell r="B486">
            <v>1086</v>
          </cell>
          <cell r="C486" t="str">
            <v>A</v>
          </cell>
          <cell r="D486" t="str">
            <v>Fatima Rashed Almazrouei</v>
          </cell>
          <cell r="E486" t="str">
            <v>فاطمة راشد المزروعي</v>
          </cell>
          <cell r="F486">
            <v>42401</v>
          </cell>
          <cell r="G486" t="str">
            <v>50001716</v>
          </cell>
          <cell r="H486" t="str">
            <v>Leasing &amp; Tenants Management Senior Specialist</v>
          </cell>
          <cell r="I486" t="str">
            <v>أخصائي أول التأجير والمستأجرين</v>
          </cell>
          <cell r="J486" t="str">
            <v>On-Chart</v>
          </cell>
          <cell r="K486" t="str">
            <v>DCT Payroll</v>
          </cell>
          <cell r="L486" t="str">
            <v>A1</v>
          </cell>
          <cell r="M486" t="str">
            <v>Department of Culture and Tourism</v>
          </cell>
          <cell r="N486" t="str">
            <v>Support Services</v>
          </cell>
          <cell r="O486" t="str">
            <v>الخدمات المساندة</v>
          </cell>
          <cell r="P486" t="str">
            <v>Supply Management</v>
          </cell>
          <cell r="Q486" t="str">
            <v>إدارة الإمداد</v>
          </cell>
          <cell r="R486" t="str">
            <v>Facilities Management</v>
          </cell>
          <cell r="S486" t="str">
            <v>إدارة المرافق</v>
          </cell>
          <cell r="T486" t="str">
            <v/>
          </cell>
          <cell r="U486" t="str">
            <v/>
          </cell>
          <cell r="V486" t="str">
            <v>Abu Dhabi</v>
          </cell>
          <cell r="W486" t="str">
            <v/>
          </cell>
          <cell r="X486" t="str">
            <v>4510240</v>
          </cell>
          <cell r="Y486" t="str">
            <v>Procurement_Leasing &amp; Tenants Management _Senior Professional</v>
          </cell>
          <cell r="Z486" t="str">
            <v>Senior Professional</v>
          </cell>
          <cell r="AA486" t="str">
            <v>3A</v>
          </cell>
        </row>
        <row r="487">
          <cell r="A487">
            <v>1088</v>
          </cell>
          <cell r="B487">
            <v>1088</v>
          </cell>
          <cell r="C487" t="str">
            <v>A</v>
          </cell>
          <cell r="D487" t="str">
            <v>Hessa Salem Alkhyeli</v>
          </cell>
          <cell r="E487" t="str">
            <v>حصة سالم الخييلي</v>
          </cell>
          <cell r="F487">
            <v>42401</v>
          </cell>
          <cell r="G487" t="str">
            <v>10005839</v>
          </cell>
          <cell r="H487" t="str">
            <v>Artisan</v>
          </cell>
          <cell r="I487" t="str">
            <v>حرفي</v>
          </cell>
          <cell r="J487" t="str">
            <v>Off-Chart</v>
          </cell>
          <cell r="K487" t="str">
            <v>DCT Payroll</v>
          </cell>
          <cell r="L487" t="str">
            <v>A1</v>
          </cell>
          <cell r="M487" t="str">
            <v>Department of Culture and Tourism</v>
          </cell>
          <cell r="N487" t="str">
            <v>Culture</v>
          </cell>
          <cell r="O487" t="str">
            <v>الثقافة</v>
          </cell>
          <cell r="P487" t="str">
            <v>Intangible Cultural Heritage</v>
          </cell>
          <cell r="Q487" t="str">
            <v>التراث الثقافي المعنوي</v>
          </cell>
          <cell r="R487" t="str">
            <v>Handicrafts Development</v>
          </cell>
          <cell r="S487" t="str">
            <v>تطوير الحرف اليدوية</v>
          </cell>
          <cell r="T487" t="str">
            <v>Artisans Administration - Al Ain</v>
          </cell>
          <cell r="U487" t="str">
            <v>إدارة الحرفيين - العين</v>
          </cell>
          <cell r="V487" t="str">
            <v>Al Ain</v>
          </cell>
          <cell r="W487" t="str">
            <v/>
          </cell>
          <cell r="X487" t="str">
            <v>4511600</v>
          </cell>
          <cell r="Y487" t="str">
            <v>Content &amp; Care_World Heritage Sites Planning &amp; Monitoring _Professional</v>
          </cell>
          <cell r="Z487" t="str">
            <v>Assistant and Technical Staff</v>
          </cell>
          <cell r="AA487" t="str">
            <v>7A</v>
          </cell>
        </row>
        <row r="488">
          <cell r="A488">
            <v>1090</v>
          </cell>
          <cell r="B488">
            <v>1090</v>
          </cell>
          <cell r="C488" t="str">
            <v>A</v>
          </cell>
          <cell r="D488" t="str">
            <v>Shaikha Saif Alnuaimi</v>
          </cell>
          <cell r="E488" t="str">
            <v>شيخة سيف النعيمي</v>
          </cell>
          <cell r="F488">
            <v>42401</v>
          </cell>
          <cell r="G488" t="str">
            <v>10005842</v>
          </cell>
          <cell r="H488" t="str">
            <v>Artisan</v>
          </cell>
          <cell r="I488" t="str">
            <v>حرفي</v>
          </cell>
          <cell r="J488" t="str">
            <v>Off-Chart</v>
          </cell>
          <cell r="K488" t="str">
            <v>DCT Payroll</v>
          </cell>
          <cell r="L488" t="str">
            <v>A1</v>
          </cell>
          <cell r="M488" t="str">
            <v>Department of Culture and Tourism</v>
          </cell>
          <cell r="N488" t="str">
            <v>Culture</v>
          </cell>
          <cell r="O488" t="str">
            <v>الثقافة</v>
          </cell>
          <cell r="P488" t="str">
            <v>Intangible Cultural Heritage</v>
          </cell>
          <cell r="Q488" t="str">
            <v>التراث الثقافي المعنوي</v>
          </cell>
          <cell r="R488" t="str">
            <v>Handicrafts Development</v>
          </cell>
          <cell r="S488" t="str">
            <v>تطوير الحرف اليدوية</v>
          </cell>
          <cell r="T488" t="str">
            <v>Artisans Administration - Al Ain</v>
          </cell>
          <cell r="U488" t="str">
            <v>إدارة الحرفيين - العين</v>
          </cell>
          <cell r="V488" t="str">
            <v>Al Ain</v>
          </cell>
          <cell r="W488" t="str">
            <v/>
          </cell>
          <cell r="X488" t="str">
            <v>4511600</v>
          </cell>
          <cell r="Y488" t="str">
            <v>Content &amp; Care_World Heritage Sites Planning &amp; Monitoring _Professional</v>
          </cell>
          <cell r="Z488" t="str">
            <v>Assistant and Technical Staff</v>
          </cell>
          <cell r="AA488" t="str">
            <v>7A</v>
          </cell>
        </row>
        <row r="489">
          <cell r="A489">
            <v>1091</v>
          </cell>
          <cell r="B489">
            <v>1091</v>
          </cell>
          <cell r="C489" t="str">
            <v>A</v>
          </cell>
          <cell r="D489" t="str">
            <v>Yaser Saeed Alneyadi</v>
          </cell>
          <cell r="E489" t="str">
            <v>ياسر سعيد النيادي</v>
          </cell>
          <cell r="F489">
            <v>42401</v>
          </cell>
          <cell r="G489" t="str">
            <v>50003088</v>
          </cell>
          <cell r="H489" t="str">
            <v>Public Engagement Unit Head</v>
          </cell>
          <cell r="I489" t="str">
            <v>رئيس وحدة المشاركة المجتمعية</v>
          </cell>
          <cell r="J489" t="str">
            <v>On-Chart</v>
          </cell>
          <cell r="K489" t="str">
            <v>DCT Payroll</v>
          </cell>
          <cell r="L489" t="str">
            <v>A1</v>
          </cell>
          <cell r="M489" t="str">
            <v>Department of Culture and Tourism</v>
          </cell>
          <cell r="N489" t="str">
            <v>Culture</v>
          </cell>
          <cell r="O489" t="str">
            <v>الثقافة</v>
          </cell>
          <cell r="P489" t="str">
            <v>Culture Sites Management</v>
          </cell>
          <cell r="Q489" t="str">
            <v>إدارة المواقع الثقافية</v>
          </cell>
          <cell r="R489" t="str">
            <v>Programming &amp; Public Engagement</v>
          </cell>
          <cell r="S489" t="str">
            <v>البرامج والمشاركة المجتمعية</v>
          </cell>
          <cell r="T489" t="str">
            <v>Public Engagement</v>
          </cell>
          <cell r="U489" t="str">
            <v>المشاركة المجتمعية</v>
          </cell>
          <cell r="V489" t="str">
            <v>Al Ain</v>
          </cell>
          <cell r="W489" t="str">
            <v/>
          </cell>
          <cell r="X489" t="str">
            <v>4511250</v>
          </cell>
          <cell r="Y489" t="str">
            <v>Compliance,Governance&amp;Protocol_Policy  (Culture &amp; Tourism)_Unit Head</v>
          </cell>
          <cell r="Z489" t="str">
            <v>Unit Head</v>
          </cell>
          <cell r="AA489" t="str">
            <v>3A</v>
          </cell>
        </row>
        <row r="490">
          <cell r="A490">
            <v>1092</v>
          </cell>
          <cell r="B490">
            <v>1092</v>
          </cell>
          <cell r="C490" t="str">
            <v>A</v>
          </cell>
          <cell r="D490" t="str">
            <v>Badreya Mohammed Almenhali</v>
          </cell>
          <cell r="E490" t="str">
            <v>بدرية محمد المنهالي</v>
          </cell>
          <cell r="F490">
            <v>42407</v>
          </cell>
          <cell r="G490" t="str">
            <v>50002033</v>
          </cell>
          <cell r="H490" t="str">
            <v>Al Ain Destination Management Section Head</v>
          </cell>
          <cell r="I490" t="str">
            <v>رئيس قسم إدارة وجهة منطقة العين</v>
          </cell>
          <cell r="J490" t="str">
            <v>On-Chart</v>
          </cell>
          <cell r="K490" t="str">
            <v>DCT Payroll</v>
          </cell>
          <cell r="L490" t="str">
            <v>A1</v>
          </cell>
          <cell r="M490" t="str">
            <v>Department of Culture and Tourism</v>
          </cell>
          <cell r="N490" t="str">
            <v>Tourism</v>
          </cell>
          <cell r="O490" t="str">
            <v>السياحة</v>
          </cell>
          <cell r="P490" t="str">
            <v>Destinations Management Department</v>
          </cell>
          <cell r="Q490" t="str">
            <v>إدارة الوجهات</v>
          </cell>
          <cell r="R490" t="str">
            <v>Al Ain Destination Management Section</v>
          </cell>
          <cell r="S490" t="str">
            <v>رئيس قسم إدارة وجهة منطقة العين</v>
          </cell>
          <cell r="T490" t="str">
            <v/>
          </cell>
          <cell r="U490" t="str">
            <v/>
          </cell>
          <cell r="V490" t="str">
            <v>Abu Dhabi</v>
          </cell>
          <cell r="W490" t="str">
            <v/>
          </cell>
          <cell r="X490" t="str">
            <v>4515700</v>
          </cell>
          <cell r="Y490" t="str">
            <v>Commercial _Travel Trade &amp; Tourism Market Development _Section Head</v>
          </cell>
          <cell r="Z490" t="str">
            <v>Section Manager</v>
          </cell>
          <cell r="AA490" t="str">
            <v>2A</v>
          </cell>
        </row>
        <row r="491">
          <cell r="A491">
            <v>1093</v>
          </cell>
          <cell r="B491">
            <v>1093</v>
          </cell>
          <cell r="C491" t="str">
            <v>A</v>
          </cell>
          <cell r="D491" t="str">
            <v>Noura Salem Alshamsi</v>
          </cell>
          <cell r="E491" t="str">
            <v>نورة سالم الشامسي</v>
          </cell>
          <cell r="F491">
            <v>42407</v>
          </cell>
          <cell r="G491" t="str">
            <v>50000943</v>
          </cell>
          <cell r="H491" t="str">
            <v>Al Ain Historical Sites Section Head</v>
          </cell>
          <cell r="I491" t="str">
            <v>رئيس قسم مواقع العين التاريخية</v>
          </cell>
          <cell r="J491" t="str">
            <v>On-Chart</v>
          </cell>
          <cell r="K491" t="str">
            <v>DCT Payroll</v>
          </cell>
          <cell r="L491" t="str">
            <v>A1</v>
          </cell>
          <cell r="M491" t="str">
            <v>Department of Culture and Tourism</v>
          </cell>
          <cell r="N491" t="str">
            <v>Culture</v>
          </cell>
          <cell r="O491" t="str">
            <v>الثقافة</v>
          </cell>
          <cell r="P491" t="str">
            <v>Culture Sites Management</v>
          </cell>
          <cell r="Q491" t="str">
            <v>إدارة المواقع الثقافية</v>
          </cell>
          <cell r="R491" t="str">
            <v>Al Ain Historical Sites</v>
          </cell>
          <cell r="S491" t="str">
            <v>مواقع العين التاريخية</v>
          </cell>
          <cell r="T491" t="str">
            <v/>
          </cell>
          <cell r="U491" t="str">
            <v/>
          </cell>
          <cell r="V491" t="str">
            <v>Al Ain</v>
          </cell>
          <cell r="W491" t="str">
            <v/>
          </cell>
          <cell r="X491" t="str">
            <v>4511250</v>
          </cell>
          <cell r="Y491" t="str">
            <v>Compliance,Governance&amp;Protocol_Policy (Culture &amp; Tourism)_Section Head</v>
          </cell>
          <cell r="Z491" t="str">
            <v>Section Manager</v>
          </cell>
          <cell r="AA491" t="str">
            <v>2A</v>
          </cell>
        </row>
        <row r="492">
          <cell r="A492">
            <v>1095</v>
          </cell>
          <cell r="B492">
            <v>1095</v>
          </cell>
          <cell r="C492" t="str">
            <v>A</v>
          </cell>
          <cell r="D492" t="str">
            <v>Lubna Ali Altenaiji</v>
          </cell>
          <cell r="E492" t="str">
            <v>لبنى علي الطنيجي</v>
          </cell>
          <cell r="F492">
            <v>42407</v>
          </cell>
          <cell r="G492" t="str">
            <v>10005903</v>
          </cell>
          <cell r="H492" t="str">
            <v>Outreach Section Head</v>
          </cell>
          <cell r="I492" t="str">
            <v>رئيس قسم التوعية الثقافية</v>
          </cell>
          <cell r="J492" t="str">
            <v>On-Chart</v>
          </cell>
          <cell r="K492" t="str">
            <v>DCT Payroll</v>
          </cell>
          <cell r="L492" t="str">
            <v>A1</v>
          </cell>
          <cell r="M492" t="str">
            <v>Department of Culture and Tourism</v>
          </cell>
          <cell r="N492" t="str">
            <v>Culture</v>
          </cell>
          <cell r="O492" t="str">
            <v>الثقافة</v>
          </cell>
          <cell r="P492" t="str">
            <v>Education &amp; Outreach</v>
          </cell>
          <cell r="Q492" t="str">
            <v>التعليم والتوعية الثقافية</v>
          </cell>
          <cell r="R492" t="str">
            <v>Outreach</v>
          </cell>
          <cell r="S492" t="str">
            <v>التوعية الثقافية</v>
          </cell>
          <cell r="T492" t="str">
            <v/>
          </cell>
          <cell r="U492" t="str">
            <v/>
          </cell>
          <cell r="V492" t="str">
            <v>Abu Dhabi</v>
          </cell>
          <cell r="W492" t="str">
            <v/>
          </cell>
          <cell r="X492" t="str">
            <v>4511800</v>
          </cell>
          <cell r="Y492" t="str">
            <v>Interpretation &amp; Engagement_Outreach &amp; Cultural Engagement_Section Manager</v>
          </cell>
          <cell r="Z492" t="str">
            <v>Section Manager</v>
          </cell>
          <cell r="AA492" t="str">
            <v>2A</v>
          </cell>
        </row>
        <row r="493">
          <cell r="A493">
            <v>1096</v>
          </cell>
          <cell r="B493">
            <v>1096</v>
          </cell>
          <cell r="C493" t="str">
            <v>A</v>
          </cell>
          <cell r="D493" t="str">
            <v>Hasna Ali Alameri</v>
          </cell>
          <cell r="E493" t="str">
            <v>حسنة علي العامري</v>
          </cell>
          <cell r="F493">
            <v>42407</v>
          </cell>
          <cell r="G493" t="str">
            <v>10005928</v>
          </cell>
          <cell r="H493" t="str">
            <v>Artisan</v>
          </cell>
          <cell r="I493" t="str">
            <v>حرفي</v>
          </cell>
          <cell r="J493" t="str">
            <v>Off-Chart</v>
          </cell>
          <cell r="K493" t="str">
            <v>DCT Payroll</v>
          </cell>
          <cell r="L493" t="str">
            <v>A1</v>
          </cell>
          <cell r="M493" t="str">
            <v>Department of Culture and Tourism</v>
          </cell>
          <cell r="N493" t="str">
            <v>Culture</v>
          </cell>
          <cell r="O493" t="str">
            <v>الثقافة</v>
          </cell>
          <cell r="P493" t="str">
            <v>Intangible Cultural Heritage</v>
          </cell>
          <cell r="Q493" t="str">
            <v>التراث الثقافي المعنوي</v>
          </cell>
          <cell r="R493" t="str">
            <v>Handicrafts Development</v>
          </cell>
          <cell r="S493" t="str">
            <v>تطوير الحرف اليدوية</v>
          </cell>
          <cell r="T493" t="str">
            <v>Artisans Administration - Al Ain</v>
          </cell>
          <cell r="U493" t="str">
            <v>إدارة الحرفيين - العين</v>
          </cell>
          <cell r="V493" t="str">
            <v>Al Ain</v>
          </cell>
          <cell r="W493" t="str">
            <v/>
          </cell>
          <cell r="X493" t="str">
            <v>4511600</v>
          </cell>
          <cell r="Y493" t="str">
            <v>Content &amp; Care_World Heritage Sites Planning &amp; Monitoring _Professional</v>
          </cell>
          <cell r="Z493" t="str">
            <v>Assistant and Technical Staff</v>
          </cell>
          <cell r="AA493" t="str">
            <v>7A</v>
          </cell>
        </row>
        <row r="494">
          <cell r="A494">
            <v>1097</v>
          </cell>
          <cell r="B494">
            <v>1097</v>
          </cell>
          <cell r="C494" t="str">
            <v>A</v>
          </cell>
          <cell r="D494" t="str">
            <v>Salama Abdulhakeem Alshamsi</v>
          </cell>
          <cell r="E494" t="str">
            <v>سلامة عبد الحكيم الشامسي</v>
          </cell>
          <cell r="F494">
            <v>42407</v>
          </cell>
          <cell r="G494" t="str">
            <v>10004635</v>
          </cell>
          <cell r="H494" t="str">
            <v>BD &amp; Sales Executive</v>
          </cell>
          <cell r="I494" t="str">
            <v>تنفيذي تطويرالأعمال والمبيعات</v>
          </cell>
          <cell r="J494" t="str">
            <v>On-Chart</v>
          </cell>
          <cell r="K494" t="str">
            <v>DCT Payroll</v>
          </cell>
          <cell r="L494" t="str">
            <v>A1</v>
          </cell>
          <cell r="M494" t="str">
            <v>Department of Culture and Tourism</v>
          </cell>
          <cell r="N494" t="str">
            <v>Tourism</v>
          </cell>
          <cell r="O494" t="str">
            <v>السياحة</v>
          </cell>
          <cell r="P494" t="str">
            <v>Abu Dhabi Conventions &amp; Exhibition Bureau</v>
          </cell>
          <cell r="Q494" t="str">
            <v>مكتب أبوظبي للمؤتمرات والمعارض</v>
          </cell>
          <cell r="R494" t="str">
            <v>Meetings, Incentives &amp; Weddings</v>
          </cell>
          <cell r="S494" t="str">
            <v>الاجتماعات، الحوافز وحفلات الزفاف</v>
          </cell>
          <cell r="T494" t="str">
            <v/>
          </cell>
          <cell r="U494" t="str">
            <v/>
          </cell>
          <cell r="V494" t="str">
            <v>Abu Dhabi</v>
          </cell>
          <cell r="W494" t="str">
            <v/>
          </cell>
          <cell r="X494" t="str">
            <v>4515400</v>
          </cell>
          <cell r="Y494" t="str">
            <v>Commercial _Conventions, Exhibitions, Events &amp; Festivals Development &amp; Sales  _Professional</v>
          </cell>
          <cell r="Z494" t="str">
            <v>Professional</v>
          </cell>
          <cell r="AA494" t="str">
            <v>4A</v>
          </cell>
        </row>
        <row r="495">
          <cell r="A495">
            <v>1098</v>
          </cell>
          <cell r="B495">
            <v>1098</v>
          </cell>
          <cell r="C495" t="str">
            <v>A</v>
          </cell>
          <cell r="D495" t="str">
            <v>Ibrahim Mohamed AlSalama</v>
          </cell>
          <cell r="E495" t="str">
            <v>إبراهيم محمد السلامه</v>
          </cell>
          <cell r="F495">
            <v>42401</v>
          </cell>
          <cell r="G495" t="str">
            <v>50001000</v>
          </cell>
          <cell r="H495" t="str">
            <v>Commercial &amp; Business Development Section Head</v>
          </cell>
          <cell r="I495" t="str">
            <v>رئيس قسم التنمية التجارية  وتطوير الأعمال</v>
          </cell>
          <cell r="J495" t="str">
            <v>On-Chart</v>
          </cell>
          <cell r="K495" t="str">
            <v>ALC Direct Hires</v>
          </cell>
          <cell r="L495" t="str">
            <v>AL1</v>
          </cell>
          <cell r="M495" t="str">
            <v>Abu Dhabi Arabic Language Centre</v>
          </cell>
          <cell r="N495" t="str">
            <v>Abu Dhabi Arabic Language Centre</v>
          </cell>
          <cell r="O495" t="str">
            <v>مركز أبوظبي للغة العربية</v>
          </cell>
          <cell r="P495" t="str">
            <v>Book Fairs &amp; Events</v>
          </cell>
          <cell r="Q495" t="str">
            <v>الفعاليات ومعارض الكتب</v>
          </cell>
          <cell r="R495" t="str">
            <v>Commercial &amp; Business Development - ALC</v>
          </cell>
          <cell r="S495" t="str">
            <v>التنمية التجارية وتطوير الأعمال</v>
          </cell>
          <cell r="T495" t="str">
            <v/>
          </cell>
          <cell r="U495" t="str">
            <v/>
          </cell>
          <cell r="V495" t="str">
            <v>Abu Dhabi</v>
          </cell>
          <cell r="W495" t="str">
            <v/>
          </cell>
          <cell r="X495" t="str">
            <v>4519200</v>
          </cell>
          <cell r="Y495" t="str">
            <v>Middle Management Commercial</v>
          </cell>
          <cell r="Z495" t="str">
            <v>Section Manager</v>
          </cell>
          <cell r="AA495" t="str">
            <v>2C</v>
          </cell>
        </row>
        <row r="496">
          <cell r="A496">
            <v>1100</v>
          </cell>
          <cell r="B496">
            <v>1100</v>
          </cell>
          <cell r="C496" t="str">
            <v>A</v>
          </cell>
          <cell r="D496" t="str">
            <v>Visam  AlHariri</v>
          </cell>
          <cell r="E496" t="str">
            <v>وسام  الحريري</v>
          </cell>
          <cell r="F496">
            <v>42401</v>
          </cell>
          <cell r="G496" t="str">
            <v>50002133</v>
          </cell>
          <cell r="H496" t="str">
            <v>Operations Management Section Head</v>
          </cell>
          <cell r="I496" t="str">
            <v>رئيس قسم إدارة العمليات</v>
          </cell>
          <cell r="J496" t="str">
            <v>On-Chart</v>
          </cell>
          <cell r="K496" t="str">
            <v>ALC Direct Hires</v>
          </cell>
          <cell r="L496" t="str">
            <v>AL1</v>
          </cell>
          <cell r="M496" t="str">
            <v>Abu Dhabi Arabic Language Centre</v>
          </cell>
          <cell r="N496" t="str">
            <v>Abu Dhabi Arabic Language Centre</v>
          </cell>
          <cell r="O496" t="str">
            <v>مركز أبوظبي للغة العربية</v>
          </cell>
          <cell r="P496" t="str">
            <v>Book Fairs &amp; Events</v>
          </cell>
          <cell r="Q496" t="str">
            <v>الفعاليات ومعارض الكتب</v>
          </cell>
          <cell r="R496" t="str">
            <v>Operations Management</v>
          </cell>
          <cell r="S496" t="str">
            <v>إدارة العمليات</v>
          </cell>
          <cell r="T496" t="str">
            <v/>
          </cell>
          <cell r="U496" t="str">
            <v/>
          </cell>
          <cell r="V496" t="str">
            <v>Abu Dhabi</v>
          </cell>
          <cell r="W496" t="str">
            <v/>
          </cell>
          <cell r="X496" t="str">
            <v>4519200</v>
          </cell>
          <cell r="Y496" t="str">
            <v>Middle Management Operations</v>
          </cell>
          <cell r="Z496" t="str">
            <v>Section Manager</v>
          </cell>
          <cell r="AA496" t="str">
            <v>2C</v>
          </cell>
        </row>
        <row r="497">
          <cell r="A497">
            <v>1105</v>
          </cell>
          <cell r="B497">
            <v>1105</v>
          </cell>
          <cell r="C497" t="str">
            <v>A</v>
          </cell>
          <cell r="D497" t="str">
            <v>Haya Mahdi Al Hajeri</v>
          </cell>
          <cell r="E497" t="str">
            <v>هيا مهدي الهاجري</v>
          </cell>
          <cell r="F497">
            <v>42463</v>
          </cell>
          <cell r="G497" t="str">
            <v>10005958</v>
          </cell>
          <cell r="H497" t="str">
            <v>Visitor Experience Specialist</v>
          </cell>
          <cell r="I497" t="str">
            <v>أخصائي تجربة الزوار</v>
          </cell>
          <cell r="J497" t="str">
            <v>On-Chart</v>
          </cell>
          <cell r="K497" t="str">
            <v>DCT Payroll</v>
          </cell>
          <cell r="L497" t="str">
            <v>A1</v>
          </cell>
          <cell r="M497" t="str">
            <v>Department of Culture and Tourism</v>
          </cell>
          <cell r="N497" t="str">
            <v>Culture</v>
          </cell>
          <cell r="O497" t="str">
            <v>الثقافة</v>
          </cell>
          <cell r="P497" t="str">
            <v>Culture Sites Management</v>
          </cell>
          <cell r="Q497" t="str">
            <v>إدارة المواقع الثقافية</v>
          </cell>
          <cell r="R497" t="str">
            <v>Al Ain Historical Sites</v>
          </cell>
          <cell r="S497" t="str">
            <v>مواقع العين التاريخية</v>
          </cell>
          <cell r="T497" t="str">
            <v>Qasr Al Muwaiji</v>
          </cell>
          <cell r="U497" t="str">
            <v>قصر المويجعي</v>
          </cell>
          <cell r="V497" t="str">
            <v>Al Ain</v>
          </cell>
          <cell r="W497" t="str">
            <v/>
          </cell>
          <cell r="X497" t="str">
            <v>4511250</v>
          </cell>
          <cell r="Y497" t="str">
            <v>Compliance,Governance&amp;Protocol_Policy (Culture/Tourism _Senior Professional</v>
          </cell>
          <cell r="Z497" t="str">
            <v>Professional</v>
          </cell>
          <cell r="AA497" t="str">
            <v>4A</v>
          </cell>
        </row>
        <row r="498">
          <cell r="A498">
            <v>1106</v>
          </cell>
          <cell r="B498">
            <v>1106</v>
          </cell>
          <cell r="C498" t="str">
            <v>A</v>
          </cell>
          <cell r="D498" t="str">
            <v>Shamsa Abdulla Alblooshi</v>
          </cell>
          <cell r="E498" t="str">
            <v>شمسة عبد الله البلوشي</v>
          </cell>
          <cell r="F498">
            <v>42463</v>
          </cell>
          <cell r="G498" t="str">
            <v>10005959</v>
          </cell>
          <cell r="H498" t="str">
            <v>Visitor Experience Supervisor</v>
          </cell>
          <cell r="I498" t="str">
            <v>مشرف تجربة زوار</v>
          </cell>
          <cell r="J498" t="str">
            <v>On-Chart</v>
          </cell>
          <cell r="K498" t="str">
            <v>DCT Payroll</v>
          </cell>
          <cell r="L498" t="str">
            <v>A1</v>
          </cell>
          <cell r="M498" t="str">
            <v>Department of Culture and Tourism</v>
          </cell>
          <cell r="N498" t="str">
            <v>Culture</v>
          </cell>
          <cell r="O498" t="str">
            <v>الثقافة</v>
          </cell>
          <cell r="P498" t="str">
            <v>Culture Sites Management</v>
          </cell>
          <cell r="Q498" t="str">
            <v>إدارة المواقع الثقافية</v>
          </cell>
          <cell r="R498" t="str">
            <v>Al Ain Historical Sites</v>
          </cell>
          <cell r="S498" t="str">
            <v>مواقع العين التاريخية</v>
          </cell>
          <cell r="T498" t="str">
            <v>Qasr Al Muwaiji</v>
          </cell>
          <cell r="U498" t="str">
            <v>قصر المويجعي</v>
          </cell>
          <cell r="V498" t="str">
            <v>Al Ain</v>
          </cell>
          <cell r="W498" t="str">
            <v/>
          </cell>
          <cell r="X498" t="str">
            <v>4511250</v>
          </cell>
          <cell r="Y498" t="str">
            <v>Specialization Visitor Services &amp; Protocol</v>
          </cell>
          <cell r="Z498" t="str">
            <v>Professional</v>
          </cell>
          <cell r="AA498" t="str">
            <v>3C</v>
          </cell>
        </row>
        <row r="499">
          <cell r="A499">
            <v>1107</v>
          </cell>
          <cell r="B499">
            <v>1107</v>
          </cell>
          <cell r="C499" t="str">
            <v>A</v>
          </cell>
          <cell r="D499" t="str">
            <v>Nasser Helal Al Kayoumi</v>
          </cell>
          <cell r="E499" t="str">
            <v>ناصر هلال الكيومي</v>
          </cell>
          <cell r="F499">
            <v>42477</v>
          </cell>
          <cell r="G499" t="str">
            <v>10009236</v>
          </cell>
          <cell r="H499" t="str">
            <v>Al Ain Operations Section Head</v>
          </cell>
          <cell r="I499" t="str">
            <v>رئيس قسم العمليات - العين</v>
          </cell>
          <cell r="J499" t="str">
            <v>On-Chart</v>
          </cell>
          <cell r="K499" t="str">
            <v>DCT Payroll</v>
          </cell>
          <cell r="L499" t="str">
            <v>A1</v>
          </cell>
          <cell r="M499" t="str">
            <v>Department of Culture and Tourism</v>
          </cell>
          <cell r="N499" t="str">
            <v>Culture</v>
          </cell>
          <cell r="O499" t="str">
            <v>الثقافة</v>
          </cell>
          <cell r="P499" t="str">
            <v>Culture Sites Management</v>
          </cell>
          <cell r="Q499" t="str">
            <v>إدارة المواقع الثقافية</v>
          </cell>
          <cell r="R499" t="str">
            <v>Al Ain Operations</v>
          </cell>
          <cell r="S499" t="str">
            <v>العمليات - العين</v>
          </cell>
          <cell r="T499" t="str">
            <v/>
          </cell>
          <cell r="U499" t="str">
            <v/>
          </cell>
          <cell r="V499" t="str">
            <v>Al Ain</v>
          </cell>
          <cell r="W499" t="str">
            <v/>
          </cell>
          <cell r="X499" t="str">
            <v>4511250</v>
          </cell>
          <cell r="Y499" t="str">
            <v>Compliance,Governance&amp;Protocol_Policy (Culture &amp; Tourism)_Section Head</v>
          </cell>
          <cell r="Z499" t="str">
            <v>Section Manager</v>
          </cell>
          <cell r="AA499" t="str">
            <v>2A</v>
          </cell>
        </row>
        <row r="500">
          <cell r="A500">
            <v>1108</v>
          </cell>
          <cell r="B500">
            <v>1108</v>
          </cell>
          <cell r="C500" t="str">
            <v>A</v>
          </cell>
          <cell r="D500" t="str">
            <v>Hussein Ali Al Attas</v>
          </cell>
          <cell r="E500" t="str">
            <v>حسين علي العطاس</v>
          </cell>
          <cell r="F500">
            <v>42491</v>
          </cell>
          <cell r="G500" t="str">
            <v>50000778</v>
          </cell>
          <cell r="H500" t="str">
            <v>Advisor</v>
          </cell>
          <cell r="I500" t="str">
            <v>مستشار</v>
          </cell>
          <cell r="J500" t="str">
            <v>On-Chart</v>
          </cell>
          <cell r="K500" t="str">
            <v>DCT Payroll</v>
          </cell>
          <cell r="L500" t="str">
            <v>A1</v>
          </cell>
          <cell r="M500" t="str">
            <v>Department of Culture and Tourism</v>
          </cell>
          <cell r="N500" t="str">
            <v>Strategic Affairs</v>
          </cell>
          <cell r="O500" t="str">
            <v>الشؤون الاستراتيجية</v>
          </cell>
          <cell r="P500" t="str">
            <v>Office of Strategic Affairs Executive Director</v>
          </cell>
          <cell r="Q500" t="str">
            <v>مكتب المدير التنفيذي لقطاع الشؤون الاستراتيجية</v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>Abu Dhabi</v>
          </cell>
          <cell r="W500" t="str">
            <v/>
          </cell>
          <cell r="X500" t="str">
            <v>4512300</v>
          </cell>
          <cell r="Y500" t="str">
            <v>Executive Management _Strategic Affairs _Executive Director</v>
          </cell>
          <cell r="Z500" t="str">
            <v>Section Manager</v>
          </cell>
          <cell r="AA500" t="str">
            <v>2A</v>
          </cell>
        </row>
        <row r="501">
          <cell r="A501">
            <v>1109</v>
          </cell>
          <cell r="B501">
            <v>1109</v>
          </cell>
          <cell r="C501" t="str">
            <v>A</v>
          </cell>
          <cell r="D501" t="str">
            <v>Darine Hassan Kassir</v>
          </cell>
          <cell r="E501" t="str">
            <v>دارين حسن قصير</v>
          </cell>
          <cell r="F501">
            <v>42491</v>
          </cell>
          <cell r="G501" t="str">
            <v>10004706</v>
          </cell>
          <cell r="H501" t="str">
            <v>Senior Arabic Editor</v>
          </cell>
          <cell r="I501" t="str">
            <v>محرر أول باللغة العربية</v>
          </cell>
          <cell r="J501" t="str">
            <v>On-Chart</v>
          </cell>
          <cell r="K501" t="str">
            <v>DCT Payroll</v>
          </cell>
          <cell r="L501" t="str">
            <v>A1</v>
          </cell>
          <cell r="M501" t="str">
            <v>Department of Culture and Tourism</v>
          </cell>
          <cell r="N501" t="str">
            <v>Strategic Marketing &amp; Communication</v>
          </cell>
          <cell r="O501" t="str">
            <v>التسويق والاتصال الاستراتيجي</v>
          </cell>
          <cell r="P501" t="str">
            <v>Creative &amp; Production</v>
          </cell>
          <cell r="Q501" t="str">
            <v>الإبداع والإنتاج</v>
          </cell>
          <cell r="R501" t="str">
            <v>Creative Content</v>
          </cell>
          <cell r="S501" t="str">
            <v>المحتوى الإبداعي</v>
          </cell>
          <cell r="T501" t="str">
            <v>Editorial</v>
          </cell>
          <cell r="U501" t="str">
            <v>التحرير</v>
          </cell>
          <cell r="V501" t="str">
            <v>Abu Dhabi</v>
          </cell>
          <cell r="W501" t="str">
            <v/>
          </cell>
          <cell r="X501" t="str">
            <v>4513110</v>
          </cell>
          <cell r="Y501" t="str">
            <v>Senior Specialization Marketing &amp; Communications</v>
          </cell>
          <cell r="Z501" t="str">
            <v>Senior Professional</v>
          </cell>
          <cell r="AA501" t="str">
            <v>3A</v>
          </cell>
        </row>
        <row r="502">
          <cell r="A502">
            <v>1111</v>
          </cell>
          <cell r="B502">
            <v>1111</v>
          </cell>
          <cell r="C502" t="str">
            <v>A</v>
          </cell>
          <cell r="D502" t="str">
            <v>Saood Abdulaziz Al Hosani</v>
          </cell>
          <cell r="E502" t="str">
            <v>سعود عبدالعزيز الحوسني</v>
          </cell>
          <cell r="F502">
            <v>42536</v>
          </cell>
          <cell r="G502" t="str">
            <v>47700001</v>
          </cell>
          <cell r="H502" t="str">
            <v>Undersecretary</v>
          </cell>
          <cell r="I502" t="str">
            <v>وكيل الدائرة</v>
          </cell>
          <cell r="J502" t="str">
            <v>On-Chart</v>
          </cell>
          <cell r="K502" t="str">
            <v>DCT Payroll</v>
          </cell>
          <cell r="L502" t="str">
            <v>A1</v>
          </cell>
          <cell r="M502" t="str">
            <v>Department of Culture and Tourism</v>
          </cell>
          <cell r="N502" t="str">
            <v>Office Of Undersecretary</v>
          </cell>
          <cell r="O502" t="str">
            <v>مكتب وكيل الدائرة</v>
          </cell>
          <cell r="P502" t="str">
            <v>Office Of Undersecretary</v>
          </cell>
          <cell r="Q502" t="str">
            <v>مكتب وكيل الدائرة</v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>Abu Dhabi</v>
          </cell>
          <cell r="W502" t="str">
            <v/>
          </cell>
          <cell r="X502" t="str">
            <v>4510110</v>
          </cell>
          <cell r="Y502" t="str">
            <v>Executive Management _Undersecretary_Undersecretary</v>
          </cell>
          <cell r="Z502" t="str">
            <v>Undersecretary</v>
          </cell>
          <cell r="AA502" t="str">
            <v>DG - A</v>
          </cell>
        </row>
        <row r="503">
          <cell r="A503">
            <v>1114</v>
          </cell>
          <cell r="B503">
            <v>1114</v>
          </cell>
          <cell r="C503" t="str">
            <v>A</v>
          </cell>
          <cell r="D503" t="str">
            <v>Mariam Abdulhameed Alhammadi</v>
          </cell>
          <cell r="E503" t="str">
            <v>مريم عبد الحميد الحمادي</v>
          </cell>
          <cell r="F503">
            <v>42631</v>
          </cell>
          <cell r="G503" t="str">
            <v>10006076</v>
          </cell>
          <cell r="H503" t="str">
            <v>Events Licensing Assistant Executive</v>
          </cell>
          <cell r="I503" t="str">
            <v>مساعد تنفيذي ترخيص الفعاليات</v>
          </cell>
          <cell r="J503" t="str">
            <v>On-Chart</v>
          </cell>
          <cell r="K503" t="str">
            <v>DCT Payroll</v>
          </cell>
          <cell r="L503" t="str">
            <v>A1</v>
          </cell>
          <cell r="M503" t="str">
            <v>Department of Culture and Tourism</v>
          </cell>
          <cell r="N503" t="str">
            <v>Tourism</v>
          </cell>
          <cell r="O503" t="str">
            <v>السياحة</v>
          </cell>
          <cell r="P503" t="str">
            <v>Licensing &amp; Regulatory Compliance</v>
          </cell>
          <cell r="Q503" t="str">
            <v>الرقابة والترخيص</v>
          </cell>
          <cell r="R503" t="str">
            <v>Licensing</v>
          </cell>
          <cell r="S503" t="str">
            <v>الترخيص</v>
          </cell>
          <cell r="T503" t="str">
            <v>Entertainment Licensing</v>
          </cell>
          <cell r="U503" t="str">
            <v>تراخيص الترفيه</v>
          </cell>
          <cell r="V503" t="str">
            <v>Abu Dhabi</v>
          </cell>
          <cell r="W503" t="str">
            <v/>
          </cell>
          <cell r="X503" t="str">
            <v>4510170</v>
          </cell>
          <cell r="Y503" t="str">
            <v>Compliance,Governance&amp;Protocol_Licensing &amp; Regulatory Compliance- (Follow-up and Reporting) _Professional Assistant</v>
          </cell>
          <cell r="Z503" t="str">
            <v>Professional</v>
          </cell>
          <cell r="AA503" t="str">
            <v>5B</v>
          </cell>
        </row>
        <row r="504">
          <cell r="A504">
            <v>1115</v>
          </cell>
          <cell r="B504">
            <v>1115</v>
          </cell>
          <cell r="C504" t="str">
            <v>A</v>
          </cell>
          <cell r="D504" t="str">
            <v>Reem Mubarek Alatiqi</v>
          </cell>
          <cell r="E504" t="str">
            <v>ريم مبارك العتيقي</v>
          </cell>
          <cell r="F504">
            <v>42631</v>
          </cell>
          <cell r="G504" t="str">
            <v>47700556</v>
          </cell>
          <cell r="H504" t="str">
            <v>Sector Environment Health &amp; Safety Senior Executive</v>
          </cell>
          <cell r="I504" t="str">
            <v>تنفيذي أول البيئة والصحة والسلامة للقطاعات</v>
          </cell>
          <cell r="J504" t="str">
            <v>On-Chart</v>
          </cell>
          <cell r="K504" t="str">
            <v>DCT Payroll</v>
          </cell>
          <cell r="L504" t="str">
            <v>A1</v>
          </cell>
          <cell r="M504" t="str">
            <v>Department of Culture and Tourism</v>
          </cell>
          <cell r="N504" t="str">
            <v>Tourism</v>
          </cell>
          <cell r="O504" t="str">
            <v>السياحة</v>
          </cell>
          <cell r="P504" t="str">
            <v>Licensing &amp; Regulatory Compliance</v>
          </cell>
          <cell r="Q504" t="str">
            <v>الرقابة والترخيص</v>
          </cell>
          <cell r="R504" t="str">
            <v>Environment, Health &amp; Safety</v>
          </cell>
          <cell r="S504" t="str">
            <v>البيئة والصحة والسلامة</v>
          </cell>
          <cell r="T504" t="str">
            <v>Sector Environment, Health &amp; Safety</v>
          </cell>
          <cell r="U504" t="str">
            <v>البيئة والصحة والسلامة للقطاعات</v>
          </cell>
          <cell r="V504" t="str">
            <v>Abu Dhabi</v>
          </cell>
          <cell r="W504" t="str">
            <v/>
          </cell>
          <cell r="X504" t="str">
            <v>4510170</v>
          </cell>
          <cell r="Y504" t="str">
            <v>Compliance,Governance&amp;Protocol_Licensing &amp; Regulatory Compliance _Senior Professional</v>
          </cell>
          <cell r="Z504" t="str">
            <v>Senior Professional</v>
          </cell>
          <cell r="AA504" t="str">
            <v>3A</v>
          </cell>
        </row>
        <row r="505">
          <cell r="A505">
            <v>1116</v>
          </cell>
          <cell r="B505">
            <v>1116</v>
          </cell>
          <cell r="C505" t="str">
            <v>A</v>
          </cell>
          <cell r="D505" t="str">
            <v>Ali Salem Alashkhari</v>
          </cell>
          <cell r="E505" t="str">
            <v>علي سالم الاشخري</v>
          </cell>
          <cell r="F505">
            <v>42638</v>
          </cell>
          <cell r="G505" t="str">
            <v>50002409</v>
          </cell>
          <cell r="H505" t="str">
            <v>Entertainment Licensing Unit Head</v>
          </cell>
          <cell r="I505" t="str">
            <v>رئيس وحدة تراخيص الترفيه</v>
          </cell>
          <cell r="J505" t="str">
            <v>On-Chart</v>
          </cell>
          <cell r="K505" t="str">
            <v>DCT Payroll</v>
          </cell>
          <cell r="L505" t="str">
            <v>A1</v>
          </cell>
          <cell r="M505" t="str">
            <v>Department of Culture and Tourism</v>
          </cell>
          <cell r="N505" t="str">
            <v>Tourism</v>
          </cell>
          <cell r="O505" t="str">
            <v>السياحة</v>
          </cell>
          <cell r="P505" t="str">
            <v>Licensing &amp; Regulatory Compliance</v>
          </cell>
          <cell r="Q505" t="str">
            <v>الرقابة والترخيص</v>
          </cell>
          <cell r="R505" t="str">
            <v>Licensing</v>
          </cell>
          <cell r="S505" t="str">
            <v>الترخيص</v>
          </cell>
          <cell r="T505" t="str">
            <v>Entertainment Licensing</v>
          </cell>
          <cell r="U505" t="str">
            <v>تراخيص الترفيه</v>
          </cell>
          <cell r="V505" t="str">
            <v>Abu Dhabi</v>
          </cell>
          <cell r="W505" t="str">
            <v/>
          </cell>
          <cell r="X505" t="str">
            <v>4510170</v>
          </cell>
          <cell r="Y505" t="str">
            <v>Senior Specialization Governance &amp; Compliance</v>
          </cell>
          <cell r="Z505" t="str">
            <v>Unit Head</v>
          </cell>
          <cell r="AA505" t="str">
            <v>3A</v>
          </cell>
        </row>
        <row r="506">
          <cell r="A506">
            <v>1117</v>
          </cell>
          <cell r="B506">
            <v>1117</v>
          </cell>
          <cell r="C506" t="str">
            <v>A</v>
          </cell>
          <cell r="D506" t="str">
            <v>Huda Nasser Almemari</v>
          </cell>
          <cell r="E506" t="str">
            <v>هدى ناصر المعمري</v>
          </cell>
          <cell r="F506">
            <v>42652</v>
          </cell>
          <cell r="G506" t="str">
            <v>50003979</v>
          </cell>
          <cell r="H506" t="str">
            <v>Events Licensing Senior Executive</v>
          </cell>
          <cell r="I506" t="str">
            <v>تنفيذي أول ترخيص الفعاليات</v>
          </cell>
          <cell r="J506" t="str">
            <v>On-Chart</v>
          </cell>
          <cell r="K506" t="str">
            <v>DCT Payroll</v>
          </cell>
          <cell r="L506" t="str">
            <v>A1</v>
          </cell>
          <cell r="M506" t="str">
            <v>Department of Culture and Tourism</v>
          </cell>
          <cell r="N506" t="str">
            <v>Tourism</v>
          </cell>
          <cell r="O506" t="str">
            <v>السياحة</v>
          </cell>
          <cell r="P506" t="str">
            <v>Licensing &amp; Regulatory Compliance</v>
          </cell>
          <cell r="Q506" t="str">
            <v>الرقابة والترخيص</v>
          </cell>
          <cell r="R506" t="str">
            <v>Licensing</v>
          </cell>
          <cell r="S506" t="str">
            <v>الترخيص</v>
          </cell>
          <cell r="T506" t="str">
            <v>Events Licensing</v>
          </cell>
          <cell r="U506" t="str">
            <v>ترخيص الفعاليات</v>
          </cell>
          <cell r="V506" t="str">
            <v>Abu Dhabi</v>
          </cell>
          <cell r="W506" t="str">
            <v/>
          </cell>
          <cell r="X506" t="str">
            <v>4510170</v>
          </cell>
          <cell r="Y506" t="str">
            <v>Compliance,Governance&amp;Protocol_Licensing &amp; Regulatory Compliance _Senior Professional</v>
          </cell>
          <cell r="Z506" t="str">
            <v>Senior Professional</v>
          </cell>
          <cell r="AA506" t="str">
            <v>3A</v>
          </cell>
        </row>
        <row r="507">
          <cell r="A507">
            <v>1119</v>
          </cell>
          <cell r="B507">
            <v>1119</v>
          </cell>
          <cell r="C507" t="str">
            <v>A</v>
          </cell>
          <cell r="D507" t="str">
            <v>Khalifa Ali Almansoori</v>
          </cell>
          <cell r="E507" t="str">
            <v>خليفه علي المنصوري</v>
          </cell>
          <cell r="F507">
            <v>42675</v>
          </cell>
          <cell r="G507" t="str">
            <v>10006083</v>
          </cell>
          <cell r="H507" t="str">
            <v>Events Licensing Executive</v>
          </cell>
          <cell r="I507" t="str">
            <v>تنفيذي ترخيص الفعاليات</v>
          </cell>
          <cell r="J507" t="str">
            <v>On-Chart</v>
          </cell>
          <cell r="K507" t="str">
            <v>DCT Payroll</v>
          </cell>
          <cell r="L507" t="str">
            <v>A1</v>
          </cell>
          <cell r="M507" t="str">
            <v>Department of Culture and Tourism</v>
          </cell>
          <cell r="N507" t="str">
            <v>Tourism</v>
          </cell>
          <cell r="O507" t="str">
            <v>السياحة</v>
          </cell>
          <cell r="P507" t="str">
            <v>Licensing &amp; Regulatory Compliance</v>
          </cell>
          <cell r="Q507" t="str">
            <v>الرقابة والترخيص</v>
          </cell>
          <cell r="R507" t="str">
            <v>Licensing</v>
          </cell>
          <cell r="S507" t="str">
            <v>الترخيص</v>
          </cell>
          <cell r="T507" t="str">
            <v>Entertainment Licensing</v>
          </cell>
          <cell r="U507" t="str">
            <v>تراخيص الترفيه</v>
          </cell>
          <cell r="V507" t="str">
            <v>Abu Dhabi</v>
          </cell>
          <cell r="W507" t="str">
            <v/>
          </cell>
          <cell r="X507" t="str">
            <v>4510170</v>
          </cell>
          <cell r="Y507" t="str">
            <v>Compliance,Governance&amp;Protocol_Licensing &amp; Regulatory Compliance- (Follow-up and Reporting) _Professional Assistant</v>
          </cell>
          <cell r="Z507" t="str">
            <v>Professional</v>
          </cell>
          <cell r="AA507" t="str">
            <v>4B</v>
          </cell>
        </row>
        <row r="508">
          <cell r="A508">
            <v>1120</v>
          </cell>
          <cell r="B508">
            <v>1120</v>
          </cell>
          <cell r="C508" t="str">
            <v>A</v>
          </cell>
          <cell r="D508" t="str">
            <v>Aaesha Ahmed Alshehyari</v>
          </cell>
          <cell r="E508" t="str">
            <v>عائشة احمد الشهياري</v>
          </cell>
          <cell r="F508">
            <v>42675</v>
          </cell>
          <cell r="G508" t="str">
            <v>50004153</v>
          </cell>
          <cell r="H508" t="str">
            <v>Tourism Sustainability Specialist</v>
          </cell>
          <cell r="I508" t="str">
            <v>أخصائي استدامة السياحة</v>
          </cell>
          <cell r="J508" t="str">
            <v>On-Chart</v>
          </cell>
          <cell r="K508" t="str">
            <v>DCT Payroll</v>
          </cell>
          <cell r="L508" t="str">
            <v>A1</v>
          </cell>
          <cell r="M508" t="str">
            <v>Department of Culture and Tourism</v>
          </cell>
          <cell r="N508" t="str">
            <v>Tourism</v>
          </cell>
          <cell r="O508" t="str">
            <v>السياحة</v>
          </cell>
          <cell r="P508" t="str">
            <v>Tourism Sector Management Office</v>
          </cell>
          <cell r="Q508" t="str">
            <v>مكتب إدارة شؤون قطاع السياحة</v>
          </cell>
          <cell r="R508" t="str">
            <v>Tourism Policy &amp; Sustainability Section</v>
          </cell>
          <cell r="S508" t="str">
            <v>قسم  السياسات واستدامة السياحة</v>
          </cell>
          <cell r="T508" t="str">
            <v>Tourism Sustainability Unit</v>
          </cell>
          <cell r="U508" t="str">
            <v>رئيس وحدة استدامة السياحة</v>
          </cell>
          <cell r="V508" t="str">
            <v>Abu Dhabi</v>
          </cell>
          <cell r="W508" t="str">
            <v/>
          </cell>
          <cell r="X508" t="str">
            <v>4515010</v>
          </cell>
          <cell r="Y508" t="str">
            <v/>
          </cell>
          <cell r="Z508" t="str">
            <v>Professional</v>
          </cell>
          <cell r="AA508" t="str">
            <v>4A</v>
          </cell>
        </row>
        <row r="509">
          <cell r="A509">
            <v>1121</v>
          </cell>
          <cell r="B509">
            <v>1121</v>
          </cell>
          <cell r="C509" t="str">
            <v>A</v>
          </cell>
          <cell r="D509" t="str">
            <v>Ahmed Khamis Mohammed</v>
          </cell>
          <cell r="E509" t="str">
            <v>أحمد خميس محمد</v>
          </cell>
          <cell r="F509">
            <v>42675</v>
          </cell>
          <cell r="G509" t="str">
            <v>47700525</v>
          </cell>
          <cell r="H509" t="str">
            <v>Associate Registrar</v>
          </cell>
          <cell r="I509" t="str">
            <v>معاون أخصائي تسجيل المقتنيات</v>
          </cell>
          <cell r="J509" t="str">
            <v>On-Chart</v>
          </cell>
          <cell r="K509" t="str">
            <v>DCT Payroll</v>
          </cell>
          <cell r="L509" t="str">
            <v>A1</v>
          </cell>
          <cell r="M509" t="str">
            <v>Department of Culture and Tourism</v>
          </cell>
          <cell r="N509" t="str">
            <v>Culture</v>
          </cell>
          <cell r="O509" t="str">
            <v>الثقافة</v>
          </cell>
          <cell r="P509" t="str">
            <v>Scientific, Curatorial and Collection Department</v>
          </cell>
          <cell r="Q509" t="str">
            <v>إدارة البحث العلمي والمقتنيات</v>
          </cell>
          <cell r="R509" t="str">
            <v>Collections</v>
          </cell>
          <cell r="S509" t="str">
            <v>إدارة المقتنيات</v>
          </cell>
          <cell r="T509" t="str">
            <v>Collections Registration</v>
          </cell>
          <cell r="U509" t="str">
            <v>تسجيل المقتنيات</v>
          </cell>
          <cell r="V509" t="str">
            <v>Abu Dhabi</v>
          </cell>
          <cell r="W509" t="str">
            <v/>
          </cell>
          <cell r="X509" t="str">
            <v>4511150</v>
          </cell>
          <cell r="Y509" t="str">
            <v>Compliance,Governance&amp;Protocol_Policy (Culture/Tourism) _Professional</v>
          </cell>
          <cell r="Z509" t="str">
            <v>Professional</v>
          </cell>
          <cell r="AA509" t="str">
            <v>4A</v>
          </cell>
        </row>
        <row r="510">
          <cell r="A510">
            <v>1123</v>
          </cell>
          <cell r="B510">
            <v>1123</v>
          </cell>
          <cell r="C510" t="str">
            <v>A</v>
          </cell>
          <cell r="D510" t="str">
            <v>Dyala Zaki Nusseibeh</v>
          </cell>
          <cell r="E510" t="str">
            <v>ديالا زكي نسيبه</v>
          </cell>
          <cell r="F510">
            <v>42675</v>
          </cell>
          <cell r="G510" t="str">
            <v>10006102</v>
          </cell>
          <cell r="H510" t="str">
            <v>Abu Dhabi Art Director</v>
          </cell>
          <cell r="I510" t="str">
            <v>مدير فن أبوظبي</v>
          </cell>
          <cell r="J510" t="str">
            <v>On-Chart</v>
          </cell>
          <cell r="K510" t="str">
            <v>DCT Payroll</v>
          </cell>
          <cell r="L510" t="str">
            <v>A1</v>
          </cell>
          <cell r="M510" t="str">
            <v>Department of Culture and Tourism</v>
          </cell>
          <cell r="N510" t="str">
            <v>Culture</v>
          </cell>
          <cell r="O510" t="str">
            <v>الثقافة</v>
          </cell>
          <cell r="P510" t="str">
            <v>Culture Programming</v>
          </cell>
          <cell r="Q510" t="str">
            <v>البرامج الثقافية</v>
          </cell>
          <cell r="R510" t="str">
            <v>Abu Dhabi Art</v>
          </cell>
          <cell r="S510" t="str">
            <v>فن أبوظبي</v>
          </cell>
          <cell r="T510" t="str">
            <v/>
          </cell>
          <cell r="U510" t="str">
            <v/>
          </cell>
          <cell r="V510" t="str">
            <v>Abu Dhabi</v>
          </cell>
          <cell r="W510" t="str">
            <v/>
          </cell>
          <cell r="X510" t="str">
            <v>4511700</v>
          </cell>
          <cell r="Y510" t="str">
            <v>Compliance,Governance&amp;Protocol_Policy (Culture &amp; Tourism)_Section Head</v>
          </cell>
          <cell r="Z510" t="str">
            <v>Section Manager</v>
          </cell>
          <cell r="AA510" t="str">
            <v>2A</v>
          </cell>
        </row>
        <row r="511">
          <cell r="A511">
            <v>1125</v>
          </cell>
          <cell r="B511">
            <v>1125</v>
          </cell>
          <cell r="C511" t="str">
            <v>A</v>
          </cell>
          <cell r="D511" t="str">
            <v>Khader Issa Abu Ghannam</v>
          </cell>
          <cell r="E511" t="str">
            <v>خضر عيسى أبوغنام</v>
          </cell>
          <cell r="F511">
            <v>42711</v>
          </cell>
          <cell r="G511" t="str">
            <v>10006131</v>
          </cell>
          <cell r="H511" t="str">
            <v>Tendering &amp; Projects Control Department Director</v>
          </cell>
          <cell r="I511" t="str">
            <v>مدير إدارة المناقصات ومراقبة المشاريع</v>
          </cell>
          <cell r="J511" t="str">
            <v>On-Chart</v>
          </cell>
          <cell r="K511" t="str">
            <v>DCT Payroll</v>
          </cell>
          <cell r="L511" t="str">
            <v>A1</v>
          </cell>
          <cell r="M511" t="str">
            <v>Department of Culture and Tourism</v>
          </cell>
          <cell r="N511" t="str">
            <v>Tendering &amp; Projects Control</v>
          </cell>
          <cell r="O511" t="str">
            <v>مكتب وكيل الدائرة</v>
          </cell>
          <cell r="P511" t="str">
            <v>Tendering &amp; Projects Control</v>
          </cell>
          <cell r="Q511" t="str">
            <v>المناقصات ومراقبة المشاريع</v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>Abu Dhabi</v>
          </cell>
          <cell r="W511" t="str">
            <v/>
          </cell>
          <cell r="X511" t="str">
            <v>4510155</v>
          </cell>
          <cell r="Y511" t="str">
            <v>Procurement_Tendering &amp; Projects Control Department _Director SP</v>
          </cell>
          <cell r="Z511" t="str">
            <v>Director</v>
          </cell>
          <cell r="AA511" t="str">
            <v>1A</v>
          </cell>
        </row>
        <row r="512">
          <cell r="A512">
            <v>1128</v>
          </cell>
          <cell r="B512">
            <v>1128</v>
          </cell>
          <cell r="C512" t="str">
            <v>A</v>
          </cell>
          <cell r="D512" t="str">
            <v>Mariam Nabeel Abdulkarim</v>
          </cell>
          <cell r="E512" t="str">
            <v>مريم نبيل عبدالكريم</v>
          </cell>
          <cell r="F512">
            <v>42698</v>
          </cell>
          <cell r="G512" t="str">
            <v>50003412</v>
          </cell>
          <cell r="H512" t="str">
            <v>Festivals Senior Specialist</v>
          </cell>
          <cell r="I512" t="str">
            <v>أخصائي أول المهرجانات</v>
          </cell>
          <cell r="J512" t="str">
            <v>On-Chart</v>
          </cell>
          <cell r="K512" t="str">
            <v>DCT Payroll</v>
          </cell>
          <cell r="L512" t="str">
            <v>A1</v>
          </cell>
          <cell r="M512" t="str">
            <v>Department of Culture and Tourism</v>
          </cell>
          <cell r="N512" t="str">
            <v>Tourism</v>
          </cell>
          <cell r="O512" t="str">
            <v>السياحة</v>
          </cell>
          <cell r="P512" t="str">
            <v>Abu Dhabi Events Bureau</v>
          </cell>
          <cell r="Q512" t="str">
            <v>مكتب أبوظبي للفعاليات</v>
          </cell>
          <cell r="R512" t="str">
            <v>Live Entertainment and Festivals</v>
          </cell>
          <cell r="S512" t="str">
            <v>العروض الترفيهية والمهرجانات</v>
          </cell>
          <cell r="T512" t="str">
            <v>Festivals</v>
          </cell>
          <cell r="U512" t="str">
            <v>المهرجانات</v>
          </cell>
          <cell r="V512" t="str">
            <v>Abu Dhabi</v>
          </cell>
          <cell r="W512" t="str">
            <v/>
          </cell>
          <cell r="X512" t="str">
            <v>4515500</v>
          </cell>
          <cell r="Y512" t="str">
            <v>Specialization Festivals &amp; Events</v>
          </cell>
          <cell r="Z512" t="str">
            <v>Professional</v>
          </cell>
          <cell r="AA512" t="str">
            <v>3B</v>
          </cell>
        </row>
        <row r="513">
          <cell r="A513">
            <v>1131</v>
          </cell>
          <cell r="B513">
            <v>1131</v>
          </cell>
          <cell r="C513" t="str">
            <v>A</v>
          </cell>
          <cell r="D513" t="str">
            <v>Maha Khamis Al Mehairbi</v>
          </cell>
          <cell r="E513" t="str">
            <v>مها خميس المحيربي</v>
          </cell>
          <cell r="F513">
            <v>42716</v>
          </cell>
          <cell r="G513" t="str">
            <v>50002402</v>
          </cell>
          <cell r="H513" t="str">
            <v>Assistant Inspector</v>
          </cell>
          <cell r="I513" t="str">
            <v>مفتش مساعد</v>
          </cell>
          <cell r="J513" t="str">
            <v>On-Chart</v>
          </cell>
          <cell r="K513" t="str">
            <v>DCT Payroll</v>
          </cell>
          <cell r="L513" t="str">
            <v>A1</v>
          </cell>
          <cell r="M513" t="str">
            <v>Department of Culture and Tourism</v>
          </cell>
          <cell r="N513" t="str">
            <v>Tourism</v>
          </cell>
          <cell r="O513" t="str">
            <v>السياحة</v>
          </cell>
          <cell r="P513" t="str">
            <v>Licensing &amp; Regulatory Compliance</v>
          </cell>
          <cell r="Q513" t="str">
            <v>الرقابة والترخيص</v>
          </cell>
          <cell r="R513" t="str">
            <v>Abu Dhabi Inspection</v>
          </cell>
          <cell r="S513" t="str">
            <v>التفتيش</v>
          </cell>
          <cell r="T513" t="str">
            <v>Inspection Unit (Day Events)</v>
          </cell>
          <cell r="U513" t="str">
            <v>(التفتيش لأبوظبي (الفعاليات النهارية</v>
          </cell>
          <cell r="V513" t="str">
            <v>Abu Dhabi</v>
          </cell>
          <cell r="W513" t="str">
            <v/>
          </cell>
          <cell r="X513" t="str">
            <v>4510170</v>
          </cell>
          <cell r="Y513" t="str">
            <v>Specialization Governance &amp; Compliance</v>
          </cell>
          <cell r="Z513" t="str">
            <v>Professional Assistant</v>
          </cell>
          <cell r="AA513" t="str">
            <v>5A</v>
          </cell>
        </row>
        <row r="514">
          <cell r="A514">
            <v>1133</v>
          </cell>
          <cell r="B514">
            <v>1133</v>
          </cell>
          <cell r="C514" t="str">
            <v>A</v>
          </cell>
          <cell r="D514" t="str">
            <v>Hamad Ismail Al Balooshi</v>
          </cell>
          <cell r="E514" t="str">
            <v>حمد اسماعيل البلوشي</v>
          </cell>
          <cell r="F514">
            <v>42716</v>
          </cell>
          <cell r="G514" t="str">
            <v>10006168</v>
          </cell>
          <cell r="H514" t="str">
            <v>Visitor Experience Supervisor</v>
          </cell>
          <cell r="I514" t="str">
            <v>مشرف تجربة الزوار</v>
          </cell>
          <cell r="J514" t="str">
            <v>On-Chart</v>
          </cell>
          <cell r="K514" t="str">
            <v>DCT Payroll</v>
          </cell>
          <cell r="L514" t="str">
            <v>A1</v>
          </cell>
          <cell r="M514" t="str">
            <v>Department of Culture and Tourism</v>
          </cell>
          <cell r="N514" t="str">
            <v>Culture</v>
          </cell>
          <cell r="O514" t="str">
            <v>الثقافة</v>
          </cell>
          <cell r="P514" t="str">
            <v>Culture Sites Management</v>
          </cell>
          <cell r="Q514" t="str">
            <v>إدارة المواقع الثقافية</v>
          </cell>
          <cell r="R514" t="str">
            <v>Al Ain Historical Sites</v>
          </cell>
          <cell r="S514" t="str">
            <v>مواقع العين التاريخية</v>
          </cell>
          <cell r="T514" t="str">
            <v>Qasr Al Muwaiji</v>
          </cell>
          <cell r="U514" t="str">
            <v>قصر المويجعي</v>
          </cell>
          <cell r="V514" t="str">
            <v>Al Ain</v>
          </cell>
          <cell r="W514" t="str">
            <v/>
          </cell>
          <cell r="X514" t="str">
            <v>4511250</v>
          </cell>
          <cell r="Y514" t="str">
            <v>Compliance,Governance&amp;Protocol_Policy (Culture/Tourism _Senior Professional</v>
          </cell>
          <cell r="Z514" t="str">
            <v>Senior Professional</v>
          </cell>
          <cell r="AA514" t="str">
            <v>3A</v>
          </cell>
        </row>
        <row r="515">
          <cell r="A515">
            <v>1134</v>
          </cell>
          <cell r="B515">
            <v>1134</v>
          </cell>
          <cell r="C515" t="str">
            <v>A</v>
          </cell>
          <cell r="D515" t="str">
            <v>Mohamed Mahmood Alhammadi</v>
          </cell>
          <cell r="E515" t="str">
            <v>محمد محمود الحمادي</v>
          </cell>
          <cell r="F515">
            <v>42716</v>
          </cell>
          <cell r="G515" t="str">
            <v>10006170</v>
          </cell>
          <cell r="H515" t="str">
            <v>Inspector</v>
          </cell>
          <cell r="I515" t="str">
            <v>مفتش</v>
          </cell>
          <cell r="J515" t="str">
            <v>On-Chart</v>
          </cell>
          <cell r="K515" t="str">
            <v>DCT Payroll</v>
          </cell>
          <cell r="L515" t="str">
            <v>A1</v>
          </cell>
          <cell r="M515" t="str">
            <v>Department of Culture and Tourism</v>
          </cell>
          <cell r="N515" t="str">
            <v>Tourism</v>
          </cell>
          <cell r="O515" t="str">
            <v>السياحة</v>
          </cell>
          <cell r="P515" t="str">
            <v>Licensing &amp; Regulatory Compliance</v>
          </cell>
          <cell r="Q515" t="str">
            <v>الرقابة والترخيص</v>
          </cell>
          <cell r="R515" t="str">
            <v>Abu Dhabi Inspection</v>
          </cell>
          <cell r="S515" t="str">
            <v>التفتيش</v>
          </cell>
          <cell r="T515" t="str">
            <v>Inspection Unit (Day Events)</v>
          </cell>
          <cell r="U515" t="str">
            <v>(التفتيش لأبوظبي (الفعاليات النهارية</v>
          </cell>
          <cell r="V515" t="str">
            <v>Abu Dhabi</v>
          </cell>
          <cell r="W515" t="str">
            <v/>
          </cell>
          <cell r="X515" t="str">
            <v>4510170</v>
          </cell>
          <cell r="Y515" t="str">
            <v>Compliance,Governance&amp;Protocol_Licensing &amp; Regulatory Compliance- (Follow-up and Reporting) _Professional Assistant</v>
          </cell>
          <cell r="Z515" t="str">
            <v>Professional</v>
          </cell>
          <cell r="AA515" t="str">
            <v>4B</v>
          </cell>
        </row>
        <row r="516">
          <cell r="A516">
            <v>1135</v>
          </cell>
          <cell r="B516">
            <v>1135</v>
          </cell>
          <cell r="C516" t="str">
            <v>A</v>
          </cell>
          <cell r="D516" t="str">
            <v>Iman Abdul Karim Alsayed</v>
          </cell>
          <cell r="E516" t="str">
            <v>ايمان عبدالكريم السيد</v>
          </cell>
          <cell r="F516">
            <v>42722</v>
          </cell>
          <cell r="G516" t="str">
            <v>50001194</v>
          </cell>
          <cell r="H516" t="str">
            <v>Publishing &amp; Digitisation Section Head</v>
          </cell>
          <cell r="I516" t="str">
            <v>رئيس قسم النشر ورقمنة المحتوى</v>
          </cell>
          <cell r="J516" t="str">
            <v>On-Chart</v>
          </cell>
          <cell r="K516" t="str">
            <v>DCT Payroll</v>
          </cell>
          <cell r="L516" t="str">
            <v>A1</v>
          </cell>
          <cell r="M516" t="str">
            <v>Department of Culture and Tourism</v>
          </cell>
          <cell r="N516" t="str">
            <v>Culture</v>
          </cell>
          <cell r="O516" t="str">
            <v>الثقافة</v>
          </cell>
          <cell r="P516" t="str">
            <v>Scientific, Curatorial and Collection Department</v>
          </cell>
          <cell r="Q516" t="str">
            <v>إدارة البحث العلمي والمقتنيات</v>
          </cell>
          <cell r="R516" t="str">
            <v>Publishing &amp; Digitization</v>
          </cell>
          <cell r="S516" t="str">
            <v>النشر ورقمنة المحتوى</v>
          </cell>
          <cell r="T516" t="str">
            <v/>
          </cell>
          <cell r="U516" t="str">
            <v/>
          </cell>
          <cell r="V516" t="str">
            <v>Abu Dhabi</v>
          </cell>
          <cell r="W516" t="str">
            <v/>
          </cell>
          <cell r="X516" t="str">
            <v>4511150</v>
          </cell>
          <cell r="Y516" t="str">
            <v>Digital_E-Publishing &amp; Digitalization  _Section Head</v>
          </cell>
          <cell r="Z516" t="str">
            <v>Section Manager</v>
          </cell>
          <cell r="AA516" t="str">
            <v>2B</v>
          </cell>
        </row>
        <row r="517">
          <cell r="A517">
            <v>1136</v>
          </cell>
          <cell r="B517">
            <v>1136</v>
          </cell>
          <cell r="C517" t="str">
            <v>A</v>
          </cell>
          <cell r="D517" t="str">
            <v>Hamda Obaid Al Dhaheri</v>
          </cell>
          <cell r="E517" t="str">
            <v>حمدة عبيد  الظاهري</v>
          </cell>
          <cell r="F517">
            <v>42731</v>
          </cell>
          <cell r="G517" t="str">
            <v>50003696</v>
          </cell>
          <cell r="H517" t="str">
            <v>Public Engagement Senior Specialist</v>
          </cell>
          <cell r="I517" t="str">
            <v>أخصائي أول المشاركة المجتمعية</v>
          </cell>
          <cell r="J517" t="str">
            <v>On-Chart</v>
          </cell>
          <cell r="K517" t="str">
            <v>DCT Payroll</v>
          </cell>
          <cell r="L517" t="str">
            <v>A1</v>
          </cell>
          <cell r="M517" t="str">
            <v>Department of Culture and Tourism</v>
          </cell>
          <cell r="N517" t="str">
            <v>Culture</v>
          </cell>
          <cell r="O517" t="str">
            <v>الثقافة</v>
          </cell>
          <cell r="P517" t="str">
            <v>Culture Sites Management</v>
          </cell>
          <cell r="Q517" t="str">
            <v>إدارة المواقع الثقافية</v>
          </cell>
          <cell r="R517" t="str">
            <v>Programming &amp; Public Engagement</v>
          </cell>
          <cell r="S517" t="str">
            <v>البرامج والمشاركة المجتمعية</v>
          </cell>
          <cell r="T517" t="str">
            <v/>
          </cell>
          <cell r="U517" t="str">
            <v/>
          </cell>
          <cell r="V517" t="str">
            <v>Al Ain</v>
          </cell>
          <cell r="W517" t="str">
            <v/>
          </cell>
          <cell r="X517" t="str">
            <v>4511250</v>
          </cell>
          <cell r="Y517" t="str">
            <v>Compliance,Governance&amp;Protocol_Policy (Culture/Tourism _Senior Professional</v>
          </cell>
          <cell r="Z517" t="str">
            <v>Senior Professional</v>
          </cell>
          <cell r="AA517" t="str">
            <v>3B</v>
          </cell>
        </row>
        <row r="518">
          <cell r="A518">
            <v>1138</v>
          </cell>
          <cell r="B518">
            <v>1138</v>
          </cell>
          <cell r="C518" t="str">
            <v>A</v>
          </cell>
          <cell r="D518" t="str">
            <v>Mohammed Khamis Al Shamsi</v>
          </cell>
          <cell r="E518" t="str">
            <v>محمد خميس الشامسي</v>
          </cell>
          <cell r="F518">
            <v>42737</v>
          </cell>
          <cell r="G518" t="str">
            <v>10006205</v>
          </cell>
          <cell r="H518" t="str">
            <v>Operations Unit Head</v>
          </cell>
          <cell r="I518" t="str">
            <v>رئيس وحدة العمليات</v>
          </cell>
          <cell r="J518" t="str">
            <v>On-Chart</v>
          </cell>
          <cell r="K518" t="str">
            <v>DCT Payroll</v>
          </cell>
          <cell r="L518" t="str">
            <v>A1</v>
          </cell>
          <cell r="M518" t="str">
            <v>Department of Culture and Tourism</v>
          </cell>
          <cell r="N518" t="str">
            <v>Culture</v>
          </cell>
          <cell r="O518" t="str">
            <v>الثقافة</v>
          </cell>
          <cell r="P518" t="str">
            <v>Culture Sites Management</v>
          </cell>
          <cell r="Q518" t="str">
            <v>إدارة المواقع الثقافية</v>
          </cell>
          <cell r="R518" t="str">
            <v>Al Ain Operations</v>
          </cell>
          <cell r="S518" t="str">
            <v>العمليات - العين</v>
          </cell>
          <cell r="T518" t="str">
            <v>Operations</v>
          </cell>
          <cell r="U518" t="str">
            <v>العمليات</v>
          </cell>
          <cell r="V518" t="str">
            <v>Al Ain</v>
          </cell>
          <cell r="W518" t="str">
            <v/>
          </cell>
          <cell r="X518" t="str">
            <v>4511250</v>
          </cell>
          <cell r="Y518" t="str">
            <v>Compliance,Governance&amp;Protocol_Policy  (Culture &amp; Tourism)_Unit Head</v>
          </cell>
          <cell r="Z518" t="str">
            <v>Unit Head</v>
          </cell>
          <cell r="AA518" t="str">
            <v>3A</v>
          </cell>
        </row>
        <row r="519">
          <cell r="A519">
            <v>1139</v>
          </cell>
          <cell r="B519">
            <v>1139</v>
          </cell>
          <cell r="C519" t="str">
            <v>A</v>
          </cell>
          <cell r="D519" t="str">
            <v>Mohammed Sultan Ahmed</v>
          </cell>
          <cell r="E519" t="str">
            <v>محمد سلطان أحمد</v>
          </cell>
          <cell r="F519">
            <v>42737</v>
          </cell>
          <cell r="G519" t="str">
            <v>50000869</v>
          </cell>
          <cell r="H519" t="str">
            <v>World Heritage Monitoring Unit Head</v>
          </cell>
          <cell r="I519" t="str">
            <v>رئيس وحدة مراقبة مواقع التراث العالمي</v>
          </cell>
          <cell r="J519" t="str">
            <v>On-Chart</v>
          </cell>
          <cell r="K519" t="str">
            <v>DCT Payroll</v>
          </cell>
          <cell r="L519" t="str">
            <v>A1</v>
          </cell>
          <cell r="M519" t="str">
            <v>Department of Culture and Tourism</v>
          </cell>
          <cell r="N519" t="str">
            <v>Culture</v>
          </cell>
          <cell r="O519" t="str">
            <v>الثقافة</v>
          </cell>
          <cell r="P519" t="str">
            <v>Historic Environment</v>
          </cell>
          <cell r="Q519" t="str">
            <v>البيئة التاريخية</v>
          </cell>
          <cell r="R519" t="str">
            <v>World Heritage Sites Management</v>
          </cell>
          <cell r="S519" t="str">
            <v>إدارة مواقع التراث العالمي</v>
          </cell>
          <cell r="T519" t="str">
            <v>World Heritage Monitoring</v>
          </cell>
          <cell r="U519" t="str">
            <v>مراقبة مواقع التراث العالمي</v>
          </cell>
          <cell r="V519" t="str">
            <v>Al Ain</v>
          </cell>
          <cell r="W519" t="str">
            <v/>
          </cell>
          <cell r="X519" t="str">
            <v>4511300</v>
          </cell>
          <cell r="Y519" t="str">
            <v>Compliance,Governance&amp;Protocol_Policy  (Culture &amp; Tourism)_Unit Head</v>
          </cell>
          <cell r="Z519" t="str">
            <v>Unit Head</v>
          </cell>
          <cell r="AA519" t="str">
            <v>3A</v>
          </cell>
        </row>
        <row r="520">
          <cell r="A520">
            <v>1140</v>
          </cell>
          <cell r="B520">
            <v>1140</v>
          </cell>
          <cell r="C520" t="str">
            <v>A</v>
          </cell>
          <cell r="D520" t="str">
            <v>Said Ali Al-Khatib</v>
          </cell>
          <cell r="E520" t="str">
            <v>سعيد علي الخطيب</v>
          </cell>
          <cell r="F520">
            <v>42737</v>
          </cell>
          <cell r="G520" t="str">
            <v>10006177</v>
          </cell>
          <cell r="H520" t="str">
            <v>Project Management &amp; Engineering Department Director</v>
          </cell>
          <cell r="I520" t="str">
            <v>مدير إدارة هندسة وإدارة المشاريع</v>
          </cell>
          <cell r="J520" t="str">
            <v>On-Chart</v>
          </cell>
          <cell r="K520" t="str">
            <v>DCT Payroll</v>
          </cell>
          <cell r="L520" t="str">
            <v>A1</v>
          </cell>
          <cell r="M520" t="str">
            <v>Department of Culture and Tourism</v>
          </cell>
          <cell r="N520" t="str">
            <v>Project Management &amp; Engineering</v>
          </cell>
          <cell r="O520" t="str">
            <v>مكتب وكيل الدائرة</v>
          </cell>
          <cell r="P520" t="str">
            <v>Project Management &amp; Engineering</v>
          </cell>
          <cell r="Q520" t="str">
            <v>هندسة وإدارة المشاريع</v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>Abu Dhabi</v>
          </cell>
          <cell r="W520" t="str">
            <v/>
          </cell>
          <cell r="X520" t="str">
            <v>4510150</v>
          </cell>
          <cell r="Y520" t="str">
            <v>Technical Safety &amp; Security_Engineering Project Management Department _Director</v>
          </cell>
          <cell r="Z520" t="str">
            <v>Director</v>
          </cell>
          <cell r="AA520" t="str">
            <v>1A</v>
          </cell>
        </row>
        <row r="521">
          <cell r="A521">
            <v>1142</v>
          </cell>
          <cell r="B521">
            <v>1142</v>
          </cell>
          <cell r="C521" t="str">
            <v>A</v>
          </cell>
          <cell r="D521" t="str">
            <v>Alia Abdulla Al Neyadi</v>
          </cell>
          <cell r="E521" t="str">
            <v>عليا عبدالله النيادي</v>
          </cell>
          <cell r="F521">
            <v>42737</v>
          </cell>
          <cell r="G521" t="str">
            <v>50001989</v>
          </cell>
          <cell r="H521" t="str">
            <v>Music Programmes Lead</v>
          </cell>
          <cell r="I521" t="str">
            <v>مبرمج موسيقى رئيسي</v>
          </cell>
          <cell r="J521" t="str">
            <v>On-Chart</v>
          </cell>
          <cell r="K521" t="str">
            <v>DCT Payroll</v>
          </cell>
          <cell r="L521" t="str">
            <v>A1</v>
          </cell>
          <cell r="M521" t="str">
            <v>Department of Culture and Tourism</v>
          </cell>
          <cell r="N521" t="str">
            <v>Culture</v>
          </cell>
          <cell r="O521" t="str">
            <v>الثقافة</v>
          </cell>
          <cell r="P521" t="str">
            <v>Culture Programming</v>
          </cell>
          <cell r="Q521" t="str">
            <v>البرامج الثقافية</v>
          </cell>
          <cell r="R521" t="str">
            <v>Music Programmes</v>
          </cell>
          <cell r="S521" t="str">
            <v>برامج الموسيقى</v>
          </cell>
          <cell r="T521" t="str">
            <v/>
          </cell>
          <cell r="U521" t="str">
            <v/>
          </cell>
          <cell r="V521" t="str">
            <v>Abu Dhabi</v>
          </cell>
          <cell r="W521" t="str">
            <v/>
          </cell>
          <cell r="X521" t="str">
            <v>4511700</v>
          </cell>
          <cell r="Y521" t="str">
            <v>Compliance,Governance&amp;Protocol_Policy  (Culture &amp; Tourism)_Unit Head</v>
          </cell>
          <cell r="Z521" t="str">
            <v>Unit Head</v>
          </cell>
          <cell r="AA521" t="str">
            <v>3A</v>
          </cell>
        </row>
        <row r="522">
          <cell r="A522">
            <v>1143</v>
          </cell>
          <cell r="B522">
            <v>1143</v>
          </cell>
          <cell r="C522" t="str">
            <v>A</v>
          </cell>
          <cell r="D522" t="str">
            <v>Halima Dahi Al Hassani</v>
          </cell>
          <cell r="E522" t="str">
            <v>حليمة ضاحي الحساني</v>
          </cell>
          <cell r="F522">
            <v>42737</v>
          </cell>
          <cell r="G522" t="str">
            <v>10006183</v>
          </cell>
          <cell r="H522" t="str">
            <v>Visitors Experience Specialist</v>
          </cell>
          <cell r="I522" t="str">
            <v>أخصائي تجربة الزوار</v>
          </cell>
          <cell r="J522" t="str">
            <v>On-Chart</v>
          </cell>
          <cell r="K522" t="str">
            <v>DCT Payroll</v>
          </cell>
          <cell r="L522" t="str">
            <v>A1</v>
          </cell>
          <cell r="M522" t="str">
            <v>Department of Culture and Tourism</v>
          </cell>
          <cell r="N522" t="str">
            <v>Culture</v>
          </cell>
          <cell r="O522" t="str">
            <v>الثقافة</v>
          </cell>
          <cell r="P522" t="str">
            <v>Culture Sites Management</v>
          </cell>
          <cell r="Q522" t="str">
            <v>إدارة المواقع الثقافية</v>
          </cell>
          <cell r="R522" t="str">
            <v>Al Ain Community Centers</v>
          </cell>
          <cell r="S522" t="str">
            <v>مراكز العين المجتمعية</v>
          </cell>
          <cell r="T522" t="str">
            <v>Al Ain Oasis</v>
          </cell>
          <cell r="U522" t="str">
            <v>واحة العين</v>
          </cell>
          <cell r="V522" t="str">
            <v>Al Ain</v>
          </cell>
          <cell r="W522" t="str">
            <v/>
          </cell>
          <cell r="X522" t="str">
            <v>4511250</v>
          </cell>
          <cell r="Y522" t="str">
            <v>Compliance,Governance&amp;Protocol_Policy (Culture/Tourism _Senior Professional</v>
          </cell>
          <cell r="Z522" t="str">
            <v>Professional</v>
          </cell>
          <cell r="AA522" t="str">
            <v>4A</v>
          </cell>
        </row>
        <row r="523">
          <cell r="A523">
            <v>1144</v>
          </cell>
          <cell r="B523">
            <v>1144</v>
          </cell>
          <cell r="C523" t="str">
            <v>A</v>
          </cell>
          <cell r="D523" t="str">
            <v>Ahmed Hasan Al Zaabi</v>
          </cell>
          <cell r="E523" t="str">
            <v>أحمد حسن الزعابي</v>
          </cell>
          <cell r="F523">
            <v>42737</v>
          </cell>
          <cell r="G523" t="str">
            <v>10008315</v>
          </cell>
          <cell r="H523" t="str">
            <v>Security Supervisor</v>
          </cell>
          <cell r="I523" t="str">
            <v>مشرف أمن</v>
          </cell>
          <cell r="J523" t="str">
            <v>On-Chart</v>
          </cell>
          <cell r="K523" t="str">
            <v>DCT Payroll</v>
          </cell>
          <cell r="L523" t="str">
            <v>A1</v>
          </cell>
          <cell r="M523" t="str">
            <v>Department of Culture and Tourism</v>
          </cell>
          <cell r="N523" t="str">
            <v>Culture</v>
          </cell>
          <cell r="O523" t="str">
            <v>الثقافة</v>
          </cell>
          <cell r="P523" t="str">
            <v>Culture Sites Management</v>
          </cell>
          <cell r="Q523" t="str">
            <v>إدارة المواقع الثقافية</v>
          </cell>
          <cell r="R523" t="str">
            <v>Al Ain Operations</v>
          </cell>
          <cell r="S523" t="str">
            <v>العمليات - العين</v>
          </cell>
          <cell r="T523" t="str">
            <v/>
          </cell>
          <cell r="U523" t="str">
            <v/>
          </cell>
          <cell r="V523" t="str">
            <v>Abu Dhabi</v>
          </cell>
          <cell r="W523" t="str">
            <v/>
          </cell>
          <cell r="X523" t="str">
            <v>4511250</v>
          </cell>
          <cell r="Y523" t="str">
            <v>Compliance,Governance&amp;Protocol_Policy (Culture/Tourism _Senior Professional</v>
          </cell>
          <cell r="Z523" t="str">
            <v>Senior Professional</v>
          </cell>
          <cell r="AA523" t="str">
            <v>3A</v>
          </cell>
        </row>
        <row r="524">
          <cell r="A524">
            <v>1145</v>
          </cell>
          <cell r="B524">
            <v>1145</v>
          </cell>
          <cell r="C524" t="str">
            <v>A</v>
          </cell>
          <cell r="D524" t="str">
            <v>Abdulla Abdulraouf Alhammadi</v>
          </cell>
          <cell r="E524" t="str">
            <v>عبدالله عبدالرؤوف الحمادي</v>
          </cell>
          <cell r="F524">
            <v>42738</v>
          </cell>
          <cell r="G524" t="str">
            <v>10009028</v>
          </cell>
          <cell r="H524" t="str">
            <v>Visitor Experience Coordinator</v>
          </cell>
          <cell r="I524" t="str">
            <v>مساعد تجربة الزوار</v>
          </cell>
          <cell r="J524" t="str">
            <v>On-Chart</v>
          </cell>
          <cell r="K524" t="str">
            <v>DCT Payroll</v>
          </cell>
          <cell r="L524" t="str">
            <v>A1</v>
          </cell>
          <cell r="M524" t="str">
            <v>Department of Culture and Tourism</v>
          </cell>
          <cell r="N524" t="str">
            <v>Culture</v>
          </cell>
          <cell r="O524" t="str">
            <v>الثقافة</v>
          </cell>
          <cell r="P524" t="str">
            <v>Culture Sites Management</v>
          </cell>
          <cell r="Q524" t="str">
            <v>إدارة المواقع الثقافية</v>
          </cell>
          <cell r="R524" t="str">
            <v>Qasr Al Hosn</v>
          </cell>
          <cell r="S524" t="str">
            <v>قصر الحصن</v>
          </cell>
          <cell r="T524" t="str">
            <v>Visitor Experience</v>
          </cell>
          <cell r="U524" t="str">
            <v/>
          </cell>
          <cell r="V524" t="str">
            <v>Abu Dhabi</v>
          </cell>
          <cell r="W524" t="str">
            <v/>
          </cell>
          <cell r="X524" t="str">
            <v>4511250</v>
          </cell>
          <cell r="Y524" t="str">
            <v>Compliance,Governance&amp;Protocol_Policy (Culture/Tourism) _Professional</v>
          </cell>
          <cell r="Z524" t="str">
            <v>Jr. Professional Assistant</v>
          </cell>
          <cell r="AA524" t="str">
            <v>6A</v>
          </cell>
        </row>
        <row r="525">
          <cell r="A525">
            <v>1146</v>
          </cell>
          <cell r="B525">
            <v>1146</v>
          </cell>
          <cell r="C525" t="str">
            <v>A</v>
          </cell>
          <cell r="D525" t="str">
            <v>Ashwaq Ibrahim Alabdulmonem</v>
          </cell>
          <cell r="E525" t="str">
            <v>أشواق ابراهيم العبدالمنعم</v>
          </cell>
          <cell r="F525">
            <v>42743</v>
          </cell>
          <cell r="G525" t="str">
            <v>10007034</v>
          </cell>
          <cell r="H525" t="str">
            <v>Interpretation Senior Specialist</v>
          </cell>
          <cell r="I525" t="str">
            <v>أخصائي أول الإرشاد الثقافي</v>
          </cell>
          <cell r="J525" t="str">
            <v>On-Chart</v>
          </cell>
          <cell r="K525" t="str">
            <v>DCT Payroll</v>
          </cell>
          <cell r="L525" t="str">
            <v>A1</v>
          </cell>
          <cell r="M525" t="str">
            <v>Department of Culture and Tourism</v>
          </cell>
          <cell r="N525" t="str">
            <v>Culture</v>
          </cell>
          <cell r="O525" t="str">
            <v>الثقافة</v>
          </cell>
          <cell r="P525" t="str">
            <v>Education &amp; Outreach</v>
          </cell>
          <cell r="Q525" t="str">
            <v>التعليم والتوعية الثقافية</v>
          </cell>
          <cell r="R525" t="str">
            <v>Interpretation - Museums &amp; Exhibitions</v>
          </cell>
          <cell r="S525" t="str">
            <v>الإرشاد الثقافي - المتاحف والمعارض</v>
          </cell>
          <cell r="T525" t="str">
            <v>Interpretation (Museums &amp; Exhibitions)</v>
          </cell>
          <cell r="U525" t="str">
            <v>الإرشاد الثقافي (المتاحف والمعارض)</v>
          </cell>
          <cell r="V525" t="str">
            <v>Abu Dhabi</v>
          </cell>
          <cell r="W525" t="str">
            <v/>
          </cell>
          <cell r="X525" t="str">
            <v>4511800</v>
          </cell>
          <cell r="Y525" t="str">
            <v>Interpretation &amp; Engagement_Outreach &amp; Cultural Engagement _Senior Professional</v>
          </cell>
          <cell r="Z525" t="str">
            <v>Senior Professional</v>
          </cell>
          <cell r="AA525" t="str">
            <v>3C</v>
          </cell>
        </row>
        <row r="526">
          <cell r="A526">
            <v>1147</v>
          </cell>
          <cell r="B526">
            <v>1147</v>
          </cell>
          <cell r="C526" t="str">
            <v>A</v>
          </cell>
          <cell r="D526" t="str">
            <v>Bashayer Abdulla Alhammadi</v>
          </cell>
          <cell r="E526" t="str">
            <v>بشاير عبدالله الحمادي</v>
          </cell>
          <cell r="F526">
            <v>42750</v>
          </cell>
          <cell r="G526" t="str">
            <v>10006192</v>
          </cell>
          <cell r="H526" t="str">
            <v>In Destination Operations Officer</v>
          </cell>
          <cell r="I526" t="str">
            <v>ضابط عمليات المكتب الداخلي</v>
          </cell>
          <cell r="J526" t="str">
            <v>On-Chart</v>
          </cell>
          <cell r="K526" t="str">
            <v>DCT Payroll</v>
          </cell>
          <cell r="L526" t="str">
            <v>A1</v>
          </cell>
          <cell r="M526" t="str">
            <v>Department of Culture and Tourism</v>
          </cell>
          <cell r="N526" t="str">
            <v>Tourism</v>
          </cell>
          <cell r="O526" t="str">
            <v>السياحة</v>
          </cell>
          <cell r="P526" t="str">
            <v>Visitors Experience</v>
          </cell>
          <cell r="Q526" t="str">
            <v>تجربة الزوار</v>
          </cell>
          <cell r="R526" t="str">
            <v>Visitors Information Center</v>
          </cell>
          <cell r="S526" t="str">
            <v>مركز معلومات الزوار</v>
          </cell>
          <cell r="T526" t="str">
            <v>Visitors Information Center</v>
          </cell>
          <cell r="U526" t="str">
            <v>مركز معلومات الزوار</v>
          </cell>
          <cell r="V526" t="str">
            <v>Abu Dhabi</v>
          </cell>
          <cell r="W526" t="str">
            <v/>
          </cell>
          <cell r="X526" t="str">
            <v>4515300</v>
          </cell>
          <cell r="Y526" t="str">
            <v>Design_Visitor Experience Design _Professional</v>
          </cell>
          <cell r="Z526" t="str">
            <v>Professional</v>
          </cell>
          <cell r="AA526" t="str">
            <v>4B</v>
          </cell>
        </row>
        <row r="527">
          <cell r="A527">
            <v>1149</v>
          </cell>
          <cell r="B527">
            <v>1149</v>
          </cell>
          <cell r="C527" t="str">
            <v>A</v>
          </cell>
          <cell r="D527" t="str">
            <v>Abdulaziz Abdulla Al-Ali</v>
          </cell>
          <cell r="E527" t="str">
            <v>عبدالعزيز عبدالله ال علي</v>
          </cell>
          <cell r="F527">
            <v>42757</v>
          </cell>
          <cell r="G527" t="str">
            <v>10009617</v>
          </cell>
          <cell r="H527" t="str">
            <v>Library Officer</v>
          </cell>
          <cell r="I527" t="str">
            <v>ضابط شؤون المكتبة</v>
          </cell>
          <cell r="J527" t="str">
            <v>On-Chart</v>
          </cell>
          <cell r="K527" t="str">
            <v>DCT Payroll</v>
          </cell>
          <cell r="L527" t="str">
            <v>A1</v>
          </cell>
          <cell r="M527" t="str">
            <v>Department of Culture and Tourism</v>
          </cell>
          <cell r="N527" t="str">
            <v>Culture</v>
          </cell>
          <cell r="O527" t="str">
            <v>الثقافة</v>
          </cell>
          <cell r="P527" t="str">
            <v>Library Management</v>
          </cell>
          <cell r="Q527" t="str">
            <v>إدارة المكتبات</v>
          </cell>
          <cell r="R527" t="str">
            <v>Branches Library</v>
          </cell>
          <cell r="S527" t="str">
            <v>فروع المكتبات</v>
          </cell>
          <cell r="T527" t="str">
            <v>Sheikh Khalifa Library</v>
          </cell>
          <cell r="U527" t="str">
            <v>مكتبة الشيخ خليفة</v>
          </cell>
          <cell r="V527" t="str">
            <v>Abu Dhabi</v>
          </cell>
          <cell r="W527" t="str">
            <v/>
          </cell>
          <cell r="X527" t="str">
            <v>4516100</v>
          </cell>
          <cell r="Y527" t="str">
            <v>Interpretation &amp; Engagement_Library Service Delivery (Librarian)_Professional</v>
          </cell>
          <cell r="Z527" t="str">
            <v>Professional</v>
          </cell>
          <cell r="AA527" t="str">
            <v>4B</v>
          </cell>
        </row>
        <row r="528">
          <cell r="A528">
            <v>1150</v>
          </cell>
          <cell r="B528">
            <v>1150</v>
          </cell>
          <cell r="C528" t="str">
            <v>A</v>
          </cell>
          <cell r="D528" t="str">
            <v>Afra Alsghayer AlMuharrami</v>
          </cell>
          <cell r="E528" t="str">
            <v>عفراء الصغير المحرمي</v>
          </cell>
          <cell r="F528">
            <v>42767</v>
          </cell>
          <cell r="G528" t="str">
            <v>10006223</v>
          </cell>
          <cell r="H528" t="str">
            <v>Visitors Experience Specialist</v>
          </cell>
          <cell r="I528" t="str">
            <v>أخصائي تجربة الزوار</v>
          </cell>
          <cell r="J528" t="str">
            <v>On-Chart</v>
          </cell>
          <cell r="K528" t="str">
            <v>DCT Payroll</v>
          </cell>
          <cell r="L528" t="str">
            <v>A1</v>
          </cell>
          <cell r="M528" t="str">
            <v>Department of Culture and Tourism</v>
          </cell>
          <cell r="N528" t="str">
            <v>Culture</v>
          </cell>
          <cell r="O528" t="str">
            <v>الثقافة</v>
          </cell>
          <cell r="P528" t="str">
            <v>Culture Sites Management</v>
          </cell>
          <cell r="Q528" t="str">
            <v>إدارة المواقع الثقافية</v>
          </cell>
          <cell r="R528" t="str">
            <v>Al Ain Community Centers</v>
          </cell>
          <cell r="S528" t="str">
            <v>مراكز العين المجتمعية</v>
          </cell>
          <cell r="T528" t="str">
            <v>Al Ain Oasis</v>
          </cell>
          <cell r="U528" t="str">
            <v>واحة العين</v>
          </cell>
          <cell r="V528" t="str">
            <v>Al Ain</v>
          </cell>
          <cell r="W528" t="str">
            <v/>
          </cell>
          <cell r="X528" t="str">
            <v>4511250</v>
          </cell>
          <cell r="Y528" t="str">
            <v>Compliance,Governance&amp;Protocol_Policy (Culture/Tourism _Senior Professional</v>
          </cell>
          <cell r="Z528" t="str">
            <v>Professional</v>
          </cell>
          <cell r="AA528" t="str">
            <v>4A</v>
          </cell>
        </row>
        <row r="529">
          <cell r="A529">
            <v>1151</v>
          </cell>
          <cell r="B529">
            <v>1151</v>
          </cell>
          <cell r="C529" t="str">
            <v>A</v>
          </cell>
          <cell r="D529" t="str">
            <v>Helal Ahmed AlKuwaiti</v>
          </cell>
          <cell r="E529" t="str">
            <v>هلال أحمد الكويتي</v>
          </cell>
          <cell r="F529">
            <v>42771</v>
          </cell>
          <cell r="G529" t="str">
            <v>10006233</v>
          </cell>
          <cell r="H529" t="str">
            <v>Visitors Experience Supervisor</v>
          </cell>
          <cell r="I529" t="str">
            <v>مشرف تجربة الزوار</v>
          </cell>
          <cell r="J529" t="str">
            <v>On-Chart</v>
          </cell>
          <cell r="K529" t="str">
            <v>DCT Payroll</v>
          </cell>
          <cell r="L529" t="str">
            <v>A1</v>
          </cell>
          <cell r="M529" t="str">
            <v>Department of Culture and Tourism</v>
          </cell>
          <cell r="N529" t="str">
            <v>Culture</v>
          </cell>
          <cell r="O529" t="str">
            <v>الثقافة</v>
          </cell>
          <cell r="P529" t="str">
            <v>Culture Sites Management</v>
          </cell>
          <cell r="Q529" t="str">
            <v>إدارة المواقع الثقافية</v>
          </cell>
          <cell r="R529" t="str">
            <v>Al Ain Community Centers</v>
          </cell>
          <cell r="S529" t="str">
            <v>مراكز العين المجتمعية</v>
          </cell>
          <cell r="T529" t="str">
            <v>Al Ain Oasis</v>
          </cell>
          <cell r="U529" t="str">
            <v>واحة العين</v>
          </cell>
          <cell r="V529" t="str">
            <v>Al Ain</v>
          </cell>
          <cell r="W529" t="str">
            <v/>
          </cell>
          <cell r="X529" t="str">
            <v>4511250</v>
          </cell>
          <cell r="Y529" t="str">
            <v>Compliance,Governance&amp;Protocol_Policy (Culture/Tourism _Senior Professional</v>
          </cell>
          <cell r="Z529" t="str">
            <v>Senior Professional</v>
          </cell>
          <cell r="AA529" t="str">
            <v>3A</v>
          </cell>
        </row>
        <row r="530">
          <cell r="A530">
            <v>1155</v>
          </cell>
          <cell r="B530">
            <v>1155</v>
          </cell>
          <cell r="C530" t="str">
            <v>A</v>
          </cell>
          <cell r="D530" t="str">
            <v>Sarah Mary Collins</v>
          </cell>
          <cell r="E530" t="str">
            <v>سارة ماري  كولنز</v>
          </cell>
          <cell r="F530">
            <v>42778</v>
          </cell>
          <cell r="G530" t="str">
            <v>50001192</v>
          </cell>
          <cell r="H530" t="str">
            <v>Curatorial Research Section Head</v>
          </cell>
          <cell r="I530" t="str">
            <v>قسم البحوث وأمناء المتاحف بالإنابة</v>
          </cell>
          <cell r="J530" t="str">
            <v>On-Chart</v>
          </cell>
          <cell r="K530" t="str">
            <v>DCT Payroll</v>
          </cell>
          <cell r="L530" t="str">
            <v>A1</v>
          </cell>
          <cell r="M530" t="str">
            <v>Department of Culture and Tourism</v>
          </cell>
          <cell r="N530" t="str">
            <v>Culture</v>
          </cell>
          <cell r="O530" t="str">
            <v>الثقافة</v>
          </cell>
          <cell r="P530" t="str">
            <v>Scientific, Curatorial and Collection Department</v>
          </cell>
          <cell r="Q530" t="str">
            <v>إدارة البحث العلمي والمقتنيات</v>
          </cell>
          <cell r="R530" t="str">
            <v>Curatorial Research</v>
          </cell>
          <cell r="S530" t="str">
            <v>البحوث وأمناء المتاحف</v>
          </cell>
          <cell r="T530" t="str">
            <v/>
          </cell>
          <cell r="U530" t="str">
            <v/>
          </cell>
          <cell r="V530" t="str">
            <v>Abu Dhabi</v>
          </cell>
          <cell r="W530" t="str">
            <v/>
          </cell>
          <cell r="X530" t="str">
            <v>4511150</v>
          </cell>
          <cell r="Y530" t="str">
            <v>Content &amp; Care_Curatorial   Management (All areas)_Section Head</v>
          </cell>
          <cell r="Z530" t="str">
            <v>Section Manager</v>
          </cell>
          <cell r="AA530" t="str">
            <v>2A</v>
          </cell>
        </row>
        <row r="531">
          <cell r="A531">
            <v>1158</v>
          </cell>
          <cell r="B531">
            <v>1158</v>
          </cell>
          <cell r="C531" t="str">
            <v>A</v>
          </cell>
          <cell r="D531" t="str">
            <v>Mariam Musa Al Balooshi</v>
          </cell>
          <cell r="E531" t="str">
            <v>مريم موسى البلوشي</v>
          </cell>
          <cell r="F531">
            <v>42795</v>
          </cell>
          <cell r="G531" t="str">
            <v>10006253</v>
          </cell>
          <cell r="H531" t="str">
            <v>Events Licensing Executive</v>
          </cell>
          <cell r="I531" t="str">
            <v>تنفيذي ترخيص الفعاليات</v>
          </cell>
          <cell r="J531" t="str">
            <v>On-Chart</v>
          </cell>
          <cell r="K531" t="str">
            <v>DCT Payroll</v>
          </cell>
          <cell r="L531" t="str">
            <v>A1</v>
          </cell>
          <cell r="M531" t="str">
            <v>Department of Culture and Tourism</v>
          </cell>
          <cell r="N531" t="str">
            <v>Tourism</v>
          </cell>
          <cell r="O531" t="str">
            <v>السياحة</v>
          </cell>
          <cell r="P531" t="str">
            <v>Licensing &amp; Regulatory Compliance</v>
          </cell>
          <cell r="Q531" t="str">
            <v>الرقابة والترخيص</v>
          </cell>
          <cell r="R531" t="str">
            <v>Licensing</v>
          </cell>
          <cell r="S531" t="str">
            <v>الترخيص</v>
          </cell>
          <cell r="T531" t="str">
            <v>Events Licensing</v>
          </cell>
          <cell r="U531" t="str">
            <v>ترخيص الفعاليات</v>
          </cell>
          <cell r="V531" t="str">
            <v>Abu Dhabi</v>
          </cell>
          <cell r="W531" t="str">
            <v/>
          </cell>
          <cell r="X531" t="str">
            <v>4510170</v>
          </cell>
          <cell r="Y531" t="str">
            <v>Compliance,Governance&amp;Protocol_Licensing &amp; Regulatory Compliance- (Follow-up and Reporting) _Professional Assistant</v>
          </cell>
          <cell r="Z531" t="str">
            <v>Professional</v>
          </cell>
          <cell r="AA531" t="str">
            <v>4A</v>
          </cell>
        </row>
        <row r="532">
          <cell r="A532">
            <v>1159</v>
          </cell>
          <cell r="B532">
            <v>1159</v>
          </cell>
          <cell r="C532" t="str">
            <v>A</v>
          </cell>
          <cell r="D532" t="str">
            <v>Muna Masaoud Al Ghaithi</v>
          </cell>
          <cell r="E532" t="str">
            <v>منى مسعود الغيثي</v>
          </cell>
          <cell r="F532">
            <v>42795</v>
          </cell>
          <cell r="G532" t="str">
            <v>50003996</v>
          </cell>
          <cell r="H532" t="str">
            <v>Al Ain Community Centers Section Head</v>
          </cell>
          <cell r="I532" t="str">
            <v>رئيس قسم مراكز المجتمع في العين</v>
          </cell>
          <cell r="J532" t="str">
            <v>On-Chart</v>
          </cell>
          <cell r="K532" t="str">
            <v>DCT Payroll</v>
          </cell>
          <cell r="L532" t="str">
            <v>A1</v>
          </cell>
          <cell r="M532" t="str">
            <v>Department of Culture and Tourism</v>
          </cell>
          <cell r="N532" t="str">
            <v>Culture</v>
          </cell>
          <cell r="O532" t="str">
            <v>الثقافة</v>
          </cell>
          <cell r="P532" t="str">
            <v>Culture Sites Management</v>
          </cell>
          <cell r="Q532" t="str">
            <v>إدارة المواقع الثقافية</v>
          </cell>
          <cell r="R532" t="str">
            <v>Al Ain Community Centers</v>
          </cell>
          <cell r="S532" t="str">
            <v>مراكز العين المجتمعية</v>
          </cell>
          <cell r="T532" t="str">
            <v/>
          </cell>
          <cell r="U532" t="str">
            <v/>
          </cell>
          <cell r="V532" t="str">
            <v>Al Ain</v>
          </cell>
          <cell r="W532" t="str">
            <v/>
          </cell>
          <cell r="X532" t="str">
            <v>4511250</v>
          </cell>
          <cell r="Y532" t="str">
            <v>Compliance,Governance&amp;Protocol_Policy (Culture &amp; Tourism)_Section Head</v>
          </cell>
          <cell r="Z532" t="str">
            <v>Section Manager</v>
          </cell>
          <cell r="AA532" t="str">
            <v>2A</v>
          </cell>
        </row>
        <row r="533">
          <cell r="A533">
            <v>1160</v>
          </cell>
          <cell r="B533">
            <v>1160</v>
          </cell>
          <cell r="C533" t="str">
            <v>A</v>
          </cell>
          <cell r="D533" t="str">
            <v>Abdulla Saeed Al Ghafli</v>
          </cell>
          <cell r="E533" t="str">
            <v>عبدالله سعيد الغفلي</v>
          </cell>
          <cell r="F533">
            <v>42795</v>
          </cell>
          <cell r="G533" t="str">
            <v>10006255</v>
          </cell>
          <cell r="H533" t="str">
            <v>Al Ain Oasis Unit Head</v>
          </cell>
          <cell r="I533" t="str">
            <v>رئيس وحدة واحة العين</v>
          </cell>
          <cell r="J533" t="str">
            <v>On-Chart</v>
          </cell>
          <cell r="K533" t="str">
            <v>DCT Payroll</v>
          </cell>
          <cell r="L533" t="str">
            <v>A1</v>
          </cell>
          <cell r="M533" t="str">
            <v>Department of Culture and Tourism</v>
          </cell>
          <cell r="N533" t="str">
            <v>Culture</v>
          </cell>
          <cell r="O533" t="str">
            <v>الثقافة</v>
          </cell>
          <cell r="P533" t="str">
            <v>Culture Sites Management</v>
          </cell>
          <cell r="Q533" t="str">
            <v>إدارة المواقع الثقافية</v>
          </cell>
          <cell r="R533" t="str">
            <v>Al Ain Community Centers</v>
          </cell>
          <cell r="S533" t="str">
            <v>مراكز العين المجتمعية</v>
          </cell>
          <cell r="T533" t="str">
            <v>Al Ain Oasis</v>
          </cell>
          <cell r="U533" t="str">
            <v>واحة العين</v>
          </cell>
          <cell r="V533" t="str">
            <v>Al Ain</v>
          </cell>
          <cell r="W533" t="str">
            <v/>
          </cell>
          <cell r="X533" t="str">
            <v>4511250</v>
          </cell>
          <cell r="Y533" t="str">
            <v>Compliance,Governance&amp;Protocol_Policy  (Culture &amp; Tourism)_Unit Head</v>
          </cell>
          <cell r="Z533" t="str">
            <v>Unit Head</v>
          </cell>
          <cell r="AA533" t="str">
            <v>3A</v>
          </cell>
        </row>
        <row r="534">
          <cell r="A534">
            <v>1161</v>
          </cell>
          <cell r="B534">
            <v>1161</v>
          </cell>
          <cell r="C534" t="str">
            <v>A</v>
          </cell>
          <cell r="D534" t="str">
            <v>Reem Abdulaziz Al Afeefi</v>
          </cell>
          <cell r="E534" t="str">
            <v>ريم عبدالعزيز العفيفي</v>
          </cell>
          <cell r="F534">
            <v>42799</v>
          </cell>
          <cell r="G534" t="str">
            <v>47700757</v>
          </cell>
          <cell r="H534" t="str">
            <v>Risk &amp; Compliance Senior Specialist</v>
          </cell>
          <cell r="I534" t="str">
            <v>أخصائي أول المخاطر والامتثال</v>
          </cell>
          <cell r="J534" t="str">
            <v>On-Chart</v>
          </cell>
          <cell r="K534" t="str">
            <v>DCT Payroll</v>
          </cell>
          <cell r="L534" t="str">
            <v>A1</v>
          </cell>
          <cell r="M534" t="str">
            <v>Department of Culture and Tourism</v>
          </cell>
          <cell r="N534" t="str">
            <v>Office Of Undersecretary</v>
          </cell>
          <cell r="O534" t="str">
            <v>مكتب وكيل الدائرة</v>
          </cell>
          <cell r="P534" t="str">
            <v>Office Of Undersecretary</v>
          </cell>
          <cell r="Q534" t="str">
            <v>مكتب وكيل الدائرة</v>
          </cell>
          <cell r="R534" t="str">
            <v>Information Security</v>
          </cell>
          <cell r="S534" t="str">
            <v>أمن المعلومات</v>
          </cell>
          <cell r="T534" t="str">
            <v/>
          </cell>
          <cell r="U534" t="str">
            <v/>
          </cell>
          <cell r="V534" t="str">
            <v>Abu Dhabi</v>
          </cell>
          <cell r="W534" t="str">
            <v/>
          </cell>
          <cell r="X534" t="str">
            <v>4510250</v>
          </cell>
          <cell r="Y534" t="str">
            <v>Information Technology_Software Program Management _Senior Professional</v>
          </cell>
          <cell r="Z534" t="str">
            <v>Senior Professional</v>
          </cell>
          <cell r="AA534" t="str">
            <v>3A</v>
          </cell>
        </row>
        <row r="535">
          <cell r="A535">
            <v>1167</v>
          </cell>
          <cell r="B535">
            <v>1167</v>
          </cell>
          <cell r="C535" t="str">
            <v>A</v>
          </cell>
          <cell r="D535" t="str">
            <v>Safeya Abdulla Al Ameri</v>
          </cell>
          <cell r="E535" t="str">
            <v>صافية عبدالله العامري</v>
          </cell>
          <cell r="F535">
            <v>42828</v>
          </cell>
          <cell r="G535" t="str">
            <v>50004119</v>
          </cell>
          <cell r="H535" t="str">
            <v>Outreach Senior Specialist</v>
          </cell>
          <cell r="I535" t="str">
            <v>أخصائي أول التوعية الثقافية</v>
          </cell>
          <cell r="J535" t="str">
            <v>On-Chart</v>
          </cell>
          <cell r="K535" t="str">
            <v>DCT Payroll</v>
          </cell>
          <cell r="L535" t="str">
            <v>A1</v>
          </cell>
          <cell r="M535" t="str">
            <v>Department of Culture and Tourism</v>
          </cell>
          <cell r="N535" t="str">
            <v>Culture</v>
          </cell>
          <cell r="O535" t="str">
            <v>الثقافة</v>
          </cell>
          <cell r="P535" t="str">
            <v>Education &amp; Outreach</v>
          </cell>
          <cell r="Q535" t="str">
            <v>التعليم والتوعية الثقافية</v>
          </cell>
          <cell r="R535" t="str">
            <v>Outreach</v>
          </cell>
          <cell r="S535" t="str">
            <v>التوعية الثقافية</v>
          </cell>
          <cell r="T535" t="str">
            <v>Outreach - Schools</v>
          </cell>
          <cell r="U535" t="str">
            <v>التوعية الثقافية - المدارس</v>
          </cell>
          <cell r="V535" t="str">
            <v>Al Ain</v>
          </cell>
          <cell r="W535" t="str">
            <v/>
          </cell>
          <cell r="X535" t="str">
            <v>4511800</v>
          </cell>
          <cell r="Y535" t="str">
            <v>Interpretation &amp; Engagement_Outreach &amp; Cultural Engagement _Senior Professional</v>
          </cell>
          <cell r="Z535" t="str">
            <v>Senior Professional</v>
          </cell>
          <cell r="AA535" t="str">
            <v>3A</v>
          </cell>
        </row>
        <row r="536">
          <cell r="A536">
            <v>1168</v>
          </cell>
          <cell r="B536">
            <v>1168</v>
          </cell>
          <cell r="C536" t="str">
            <v>A</v>
          </cell>
          <cell r="D536" t="str">
            <v>Bashayer Mohamed Bin Amrou</v>
          </cell>
          <cell r="E536" t="str">
            <v>بشاير محمد بن عمرو</v>
          </cell>
          <cell r="F536">
            <v>42828</v>
          </cell>
          <cell r="G536" t="str">
            <v>50003686</v>
          </cell>
          <cell r="H536" t="str">
            <v>Programming Senior Specialist</v>
          </cell>
          <cell r="I536" t="str">
            <v>أخصائي أول البرامج</v>
          </cell>
          <cell r="J536" t="str">
            <v>On-Chart</v>
          </cell>
          <cell r="K536" t="str">
            <v>DCT Payroll</v>
          </cell>
          <cell r="L536" t="str">
            <v>A1</v>
          </cell>
          <cell r="M536" t="str">
            <v>Department of Culture and Tourism</v>
          </cell>
          <cell r="N536" t="str">
            <v>Culture</v>
          </cell>
          <cell r="O536" t="str">
            <v>الثقافة</v>
          </cell>
          <cell r="P536" t="str">
            <v>Culture Sites Management</v>
          </cell>
          <cell r="Q536" t="str">
            <v>إدارة المواقع الثقافية</v>
          </cell>
          <cell r="R536" t="str">
            <v>Programming &amp; Public Engagement</v>
          </cell>
          <cell r="S536" t="str">
            <v>البرامج والمشاركة المجتمعية</v>
          </cell>
          <cell r="T536" t="str">
            <v/>
          </cell>
          <cell r="U536" t="str">
            <v/>
          </cell>
          <cell r="V536" t="str">
            <v>Al Ain</v>
          </cell>
          <cell r="W536" t="str">
            <v/>
          </cell>
          <cell r="X536" t="str">
            <v>4511250</v>
          </cell>
          <cell r="Y536" t="str">
            <v>Compliance,Governance&amp;Protocol_Policy (Culture/Tourism _Senior Professional</v>
          </cell>
          <cell r="Z536" t="str">
            <v>Senior Professional</v>
          </cell>
          <cell r="AA536" t="str">
            <v>3C</v>
          </cell>
        </row>
        <row r="537">
          <cell r="A537">
            <v>1169</v>
          </cell>
          <cell r="B537">
            <v>1169</v>
          </cell>
          <cell r="C537" t="str">
            <v>A</v>
          </cell>
          <cell r="D537" t="str">
            <v>Alreem Hamad Al Ameri</v>
          </cell>
          <cell r="E537" t="str">
            <v>الريم حمد العامري</v>
          </cell>
          <cell r="F537">
            <v>42828</v>
          </cell>
          <cell r="G537" t="str">
            <v>10006341</v>
          </cell>
          <cell r="H537" t="str">
            <v>Programming Specialist</v>
          </cell>
          <cell r="I537" t="str">
            <v>أخصائي برامج</v>
          </cell>
          <cell r="J537" t="str">
            <v>On-Chart</v>
          </cell>
          <cell r="K537" t="str">
            <v>DCT Payroll</v>
          </cell>
          <cell r="L537" t="str">
            <v>A1</v>
          </cell>
          <cell r="M537" t="str">
            <v>Department of Culture and Tourism</v>
          </cell>
          <cell r="N537" t="str">
            <v>Culture</v>
          </cell>
          <cell r="O537" t="str">
            <v>الثقافة</v>
          </cell>
          <cell r="P537" t="str">
            <v>Culture Sites Management</v>
          </cell>
          <cell r="Q537" t="str">
            <v>إدارة المواقع الثقافية</v>
          </cell>
          <cell r="R537" t="str">
            <v>Programming &amp; Public Engagement</v>
          </cell>
          <cell r="S537" t="str">
            <v>البرامج والمشاركة المجتمعية</v>
          </cell>
          <cell r="T537" t="str">
            <v>Programming</v>
          </cell>
          <cell r="U537" t="str">
            <v>البرامج</v>
          </cell>
          <cell r="V537" t="str">
            <v>Al Ain</v>
          </cell>
          <cell r="W537" t="str">
            <v/>
          </cell>
          <cell r="X537" t="str">
            <v>4511250</v>
          </cell>
          <cell r="Y537" t="str">
            <v>Compliance,Governance&amp;Protocol_Policy (Culture/Tourism _Senior Professional</v>
          </cell>
          <cell r="Z537" t="str">
            <v>Professional</v>
          </cell>
          <cell r="AA537" t="str">
            <v>4A</v>
          </cell>
        </row>
        <row r="538">
          <cell r="A538">
            <v>1173</v>
          </cell>
          <cell r="B538">
            <v>1173</v>
          </cell>
          <cell r="C538" t="str">
            <v>A</v>
          </cell>
          <cell r="D538" t="str">
            <v>Alison Ruth Kelly</v>
          </cell>
          <cell r="E538" t="str">
            <v>اليسون روث  كلي</v>
          </cell>
          <cell r="F538">
            <v>42835</v>
          </cell>
          <cell r="G538" t="str">
            <v>47700918</v>
          </cell>
          <cell r="H538" t="str">
            <v>Senior Curator</v>
          </cell>
          <cell r="I538" t="str">
            <v>أمين متحف أول</v>
          </cell>
          <cell r="J538" t="str">
            <v>On-Chart</v>
          </cell>
          <cell r="K538" t="str">
            <v>MSS Direct Hires</v>
          </cell>
          <cell r="L538" t="str">
            <v>M1</v>
          </cell>
          <cell r="M538" t="str">
            <v>Department of Culture and Tourism</v>
          </cell>
          <cell r="N538" t="str">
            <v>Zayed National Museum</v>
          </cell>
          <cell r="O538" t="str">
            <v>متحف زايد الوطني</v>
          </cell>
          <cell r="P538" t="str">
            <v>Curatorial &amp; Collection Management</v>
          </cell>
          <cell r="Q538" t="str">
            <v>أمناء المتحف وإدارة المقتنيات</v>
          </cell>
          <cell r="R538" t="str">
            <v>Curatorial</v>
          </cell>
          <cell r="S538" t="str">
            <v>أمناء المتحف</v>
          </cell>
          <cell r="T538" t="str">
            <v/>
          </cell>
          <cell r="U538" t="str">
            <v/>
          </cell>
          <cell r="V538" t="str">
            <v>Abu Dhabi</v>
          </cell>
          <cell r="W538" t="str">
            <v/>
          </cell>
          <cell r="X538" t="str">
            <v>4510181</v>
          </cell>
          <cell r="Y538" t="str">
            <v>Content &amp; Care_Curatorial  Management_Senior Professional</v>
          </cell>
          <cell r="Z538" t="str">
            <v>Unit Head</v>
          </cell>
          <cell r="AA538" t="str">
            <v>3A</v>
          </cell>
        </row>
        <row r="539">
          <cell r="A539">
            <v>1174</v>
          </cell>
          <cell r="B539">
            <v>1174</v>
          </cell>
          <cell r="C539" t="str">
            <v>A</v>
          </cell>
          <cell r="D539" t="str">
            <v>Badar Salem Al Hameli</v>
          </cell>
          <cell r="E539" t="str">
            <v>بدر سالم الهاملي</v>
          </cell>
          <cell r="F539">
            <v>42842</v>
          </cell>
          <cell r="G539" t="str">
            <v>47700708</v>
          </cell>
          <cell r="H539" t="str">
            <v>Senior Inspector</v>
          </cell>
          <cell r="I539" t="str">
            <v>مفتش أول</v>
          </cell>
          <cell r="J539" t="str">
            <v>On-Chart</v>
          </cell>
          <cell r="K539" t="str">
            <v>DCT Payroll</v>
          </cell>
          <cell r="L539" t="str">
            <v>A1</v>
          </cell>
          <cell r="M539" t="str">
            <v>Department of Culture and Tourism</v>
          </cell>
          <cell r="N539" t="str">
            <v>Tourism</v>
          </cell>
          <cell r="O539" t="str">
            <v>السياحة</v>
          </cell>
          <cell r="P539" t="str">
            <v>Licensing &amp; Regulatory Compliance</v>
          </cell>
          <cell r="Q539" t="str">
            <v>الرقابة والترخيص</v>
          </cell>
          <cell r="R539" t="str">
            <v>Al Ain &amp; Al Dhafra Inspection</v>
          </cell>
          <cell r="S539" t="str">
            <v>التفتيش لمنطقتي العين والظفرة</v>
          </cell>
          <cell r="T539" t="str">
            <v>Al Ain Inspection</v>
          </cell>
          <cell r="U539" t="str">
            <v>وحدة تفتيش منطقة العين</v>
          </cell>
          <cell r="V539" t="str">
            <v>Abu Dhabi</v>
          </cell>
          <cell r="W539" t="str">
            <v/>
          </cell>
          <cell r="X539" t="str">
            <v>4510170</v>
          </cell>
          <cell r="Y539" t="str">
            <v>Compliance,Governance&amp;Protocol_Licensing &amp; Regulatory Compliance _Senior Professional</v>
          </cell>
          <cell r="Z539" t="str">
            <v>Senior Professional</v>
          </cell>
          <cell r="AA539" t="str">
            <v>3A</v>
          </cell>
        </row>
        <row r="540">
          <cell r="A540">
            <v>1178</v>
          </cell>
          <cell r="B540">
            <v>1178</v>
          </cell>
          <cell r="C540" t="str">
            <v>A</v>
          </cell>
          <cell r="D540" t="str">
            <v>Aseya Saleh Al Hajeri</v>
          </cell>
          <cell r="E540" t="str">
            <v>اسيه صالح الهاجري</v>
          </cell>
          <cell r="F540">
            <v>42856</v>
          </cell>
          <cell r="G540" t="str">
            <v>10011963</v>
          </cell>
          <cell r="H540" t="str">
            <v>Abu Dhabi Corporate Environment Health &amp; Safety Senior Executive</v>
          </cell>
          <cell r="I540" t="str">
            <v>تنفيذي أول البيئة والصحة والسلامة للدائرة لأبوظبي</v>
          </cell>
          <cell r="J540" t="str">
            <v>On-Chart</v>
          </cell>
          <cell r="K540" t="str">
            <v>DCT Payroll</v>
          </cell>
          <cell r="L540" t="str">
            <v>A1</v>
          </cell>
          <cell r="M540" t="str">
            <v>Department of Culture and Tourism</v>
          </cell>
          <cell r="N540" t="str">
            <v>Tourism</v>
          </cell>
          <cell r="O540" t="str">
            <v>السياحة</v>
          </cell>
          <cell r="P540" t="str">
            <v>Licensing &amp; Regulatory Compliance</v>
          </cell>
          <cell r="Q540" t="str">
            <v>الرقابة والترخيص</v>
          </cell>
          <cell r="R540" t="str">
            <v>Environment, Health &amp; Safety</v>
          </cell>
          <cell r="S540" t="str">
            <v>البيئة والصحة والسلامة</v>
          </cell>
          <cell r="T540" t="str">
            <v>Corporate Environment, Health &amp; Safety</v>
          </cell>
          <cell r="U540" t="str">
            <v>البيئة والصحة والسلامة للدائرة</v>
          </cell>
          <cell r="V540" t="str">
            <v>Abu Dhabi</v>
          </cell>
          <cell r="W540" t="str">
            <v/>
          </cell>
          <cell r="X540" t="str">
            <v>4510170</v>
          </cell>
          <cell r="Y540" t="str">
            <v>Compliance,Governance&amp;Protocol_Licensing &amp; Regulatory Compliance _Senior Professional</v>
          </cell>
          <cell r="Z540" t="str">
            <v>Senior Professional</v>
          </cell>
          <cell r="AA540" t="str">
            <v>3A</v>
          </cell>
        </row>
        <row r="541">
          <cell r="A541">
            <v>1181</v>
          </cell>
          <cell r="B541">
            <v>1181</v>
          </cell>
          <cell r="C541" t="str">
            <v>A</v>
          </cell>
          <cell r="D541" t="str">
            <v>Mohammed Ali Alshehhi</v>
          </cell>
          <cell r="E541" t="str">
            <v>محمد علي الشحي</v>
          </cell>
          <cell r="F541">
            <v>42870</v>
          </cell>
          <cell r="G541" t="str">
            <v>50001419</v>
          </cell>
          <cell r="H541" t="str">
            <v>Visitor Experience Senior Specialist</v>
          </cell>
          <cell r="I541" t="str">
            <v>أخصائي أول تجربة الزوار</v>
          </cell>
          <cell r="J541" t="str">
            <v>On-Chart</v>
          </cell>
          <cell r="K541" t="str">
            <v>DCT Payroll</v>
          </cell>
          <cell r="L541" t="str">
            <v>A1</v>
          </cell>
          <cell r="M541" t="str">
            <v>Department of Culture and Tourism</v>
          </cell>
          <cell r="N541" t="str">
            <v>Culture</v>
          </cell>
          <cell r="O541" t="str">
            <v>الثقافة</v>
          </cell>
          <cell r="P541" t="str">
            <v>Culture Sites Management</v>
          </cell>
          <cell r="Q541" t="str">
            <v>إدارة المواقع الثقافية</v>
          </cell>
          <cell r="R541" t="str">
            <v>Al Ain Historical Sites</v>
          </cell>
          <cell r="S541" t="str">
            <v>مواقع العين التاريخية</v>
          </cell>
          <cell r="T541" t="str">
            <v>Qasr Al Muwaiji</v>
          </cell>
          <cell r="U541" t="str">
            <v>قصر المويجعي</v>
          </cell>
          <cell r="V541" t="str">
            <v>Al Ain</v>
          </cell>
          <cell r="W541" t="str">
            <v/>
          </cell>
          <cell r="X541" t="str">
            <v>4511250</v>
          </cell>
          <cell r="Y541" t="str">
            <v>Compliance,Governance&amp;Protocol_Policy (Culture/Tourism _Senior Professional</v>
          </cell>
          <cell r="Z541" t="str">
            <v>Senior Professional</v>
          </cell>
          <cell r="AA541" t="str">
            <v>3C</v>
          </cell>
        </row>
        <row r="542">
          <cell r="A542">
            <v>1185</v>
          </cell>
          <cell r="B542">
            <v>1185</v>
          </cell>
          <cell r="C542" t="str">
            <v>A</v>
          </cell>
          <cell r="D542" t="str">
            <v>Fatema Ahmed Al Shehhi</v>
          </cell>
          <cell r="E542" t="str">
            <v>فاطمة أحمد الشحي</v>
          </cell>
          <cell r="F542">
            <v>42876</v>
          </cell>
          <cell r="G542" t="str">
            <v>50002270</v>
          </cell>
          <cell r="H542" t="str">
            <v>Outreach Senior Specialist</v>
          </cell>
          <cell r="I542" t="str">
            <v>أخصائي أول التوعية الثقافية</v>
          </cell>
          <cell r="J542" t="str">
            <v>On-Chart</v>
          </cell>
          <cell r="K542" t="str">
            <v>DCT Payroll</v>
          </cell>
          <cell r="L542" t="str">
            <v>A1</v>
          </cell>
          <cell r="M542" t="str">
            <v>Department of Culture and Tourism</v>
          </cell>
          <cell r="N542" t="str">
            <v>Culture</v>
          </cell>
          <cell r="O542" t="str">
            <v>الثقافة</v>
          </cell>
          <cell r="P542" t="str">
            <v>Education &amp; Outreach</v>
          </cell>
          <cell r="Q542" t="str">
            <v>التعليم والتوعية الثقافية</v>
          </cell>
          <cell r="R542" t="str">
            <v>Outreach</v>
          </cell>
          <cell r="S542" t="str">
            <v>التوعية الثقافية</v>
          </cell>
          <cell r="T542" t="str">
            <v>Outreach - Schools</v>
          </cell>
          <cell r="U542" t="str">
            <v>التوعية الثقافية - المدارس</v>
          </cell>
          <cell r="V542" t="str">
            <v>Abu Dhabi</v>
          </cell>
          <cell r="W542" t="str">
            <v/>
          </cell>
          <cell r="X542" t="str">
            <v>4511800</v>
          </cell>
          <cell r="Y542" t="str">
            <v>Interpretation &amp; Engagement_Outreach &amp; Cultural Engagement _Senior Professional</v>
          </cell>
          <cell r="Z542" t="str">
            <v>Senior Professional</v>
          </cell>
          <cell r="AA542" t="str">
            <v>3B</v>
          </cell>
        </row>
        <row r="543">
          <cell r="A543">
            <v>1186</v>
          </cell>
          <cell r="B543">
            <v>1186</v>
          </cell>
          <cell r="C543" t="str">
            <v>A</v>
          </cell>
          <cell r="D543" t="str">
            <v>Khulood Mannaa Al Khoori</v>
          </cell>
          <cell r="E543" t="str">
            <v>خلود مناع الخوري</v>
          </cell>
          <cell r="F543">
            <v>42876</v>
          </cell>
          <cell r="G543" t="str">
            <v>50003415</v>
          </cell>
          <cell r="H543" t="str">
            <v>Corporate Communications Specialist</v>
          </cell>
          <cell r="I543" t="str">
            <v>أخصائي التواصل المؤسسي</v>
          </cell>
          <cell r="J543" t="str">
            <v>On-Chart</v>
          </cell>
          <cell r="K543" t="str">
            <v>DCT Payroll</v>
          </cell>
          <cell r="L543" t="str">
            <v>A1</v>
          </cell>
          <cell r="M543" t="str">
            <v>Department of Culture and Tourism</v>
          </cell>
          <cell r="N543" t="str">
            <v>Strategic Marketing &amp; Communication</v>
          </cell>
          <cell r="O543" t="str">
            <v>التسويق والاتصال الاستراتيجي</v>
          </cell>
          <cell r="P543" t="str">
            <v>Strategic Communications</v>
          </cell>
          <cell r="Q543" t="str">
            <v>الاتصال الاستراتيجي</v>
          </cell>
          <cell r="R543" t="str">
            <v>Consumer Communications</v>
          </cell>
          <cell r="S543" t="str">
            <v>اتصالات المستهلكين</v>
          </cell>
          <cell r="T543" t="str">
            <v>Corporate PR</v>
          </cell>
          <cell r="U543" t="str">
            <v>العلاقات العامة مع الشركات</v>
          </cell>
          <cell r="V543" t="str">
            <v>Abu Dhabi</v>
          </cell>
          <cell r="W543" t="str">
            <v/>
          </cell>
          <cell r="X543" t="str">
            <v>4513120</v>
          </cell>
          <cell r="Y543" t="str">
            <v>Comms &amp; Marketing _Marketing &amp; Communications (All areas)_Senior Professional</v>
          </cell>
          <cell r="Z543" t="str">
            <v>Senior Professional</v>
          </cell>
          <cell r="AA543" t="str">
            <v>3B</v>
          </cell>
        </row>
        <row r="544">
          <cell r="A544">
            <v>1188</v>
          </cell>
          <cell r="B544">
            <v>1188</v>
          </cell>
          <cell r="C544" t="str">
            <v>A</v>
          </cell>
          <cell r="D544" t="str">
            <v>Haneen Mohammed Al Blooshi</v>
          </cell>
          <cell r="E544" t="str">
            <v>حنين محمد البلوشي</v>
          </cell>
          <cell r="F544">
            <v>42877</v>
          </cell>
          <cell r="G544" t="str">
            <v>50002072</v>
          </cell>
          <cell r="H544" t="str">
            <v>CF Strategic Projects Lead</v>
          </cell>
          <cell r="I544" t="str">
            <v>أخصائي رئيسي المشاريع الاستراتيجية - المجمع الثقافي</v>
          </cell>
          <cell r="J544" t="str">
            <v>On-Chart</v>
          </cell>
          <cell r="K544" t="str">
            <v>DCT Payroll</v>
          </cell>
          <cell r="L544" t="str">
            <v>A1</v>
          </cell>
          <cell r="M544" t="str">
            <v>Department of Culture and Tourism</v>
          </cell>
          <cell r="N544" t="str">
            <v>Culture</v>
          </cell>
          <cell r="O544" t="str">
            <v>الثقافة</v>
          </cell>
          <cell r="P544" t="str">
            <v>Culture Sites Management</v>
          </cell>
          <cell r="Q544" t="str">
            <v>إدارة المواقع الثقافية</v>
          </cell>
          <cell r="R544" t="str">
            <v>Cultural Foundation</v>
          </cell>
          <cell r="S544" t="str">
            <v>المجمع الثقافي</v>
          </cell>
          <cell r="T544" t="str">
            <v/>
          </cell>
          <cell r="U544" t="str">
            <v/>
          </cell>
          <cell r="V544" t="str">
            <v>Abu Dhabi</v>
          </cell>
          <cell r="W544" t="str">
            <v/>
          </cell>
          <cell r="X544" t="str">
            <v>4511250</v>
          </cell>
          <cell r="Y544" t="str">
            <v>Senior Specialization Content &amp; Care</v>
          </cell>
          <cell r="Z544" t="str">
            <v>Unit Head</v>
          </cell>
          <cell r="AA544" t="str">
            <v>3A</v>
          </cell>
        </row>
        <row r="545">
          <cell r="A545">
            <v>1190</v>
          </cell>
          <cell r="B545">
            <v>1190</v>
          </cell>
          <cell r="C545" t="str">
            <v>A</v>
          </cell>
          <cell r="D545" t="str">
            <v>Emma Phillis Thompson</v>
          </cell>
          <cell r="E545" t="str">
            <v>إيما فيليس ثومبسون</v>
          </cell>
          <cell r="F545">
            <v>42877</v>
          </cell>
          <cell r="G545" t="str">
            <v>10006548</v>
          </cell>
          <cell r="H545" t="str">
            <v>Acquisition &amp; Commission Lead</v>
          </cell>
          <cell r="I545" t="str">
            <v>أخصائي رئيسي الاقتناء والتفويض</v>
          </cell>
          <cell r="J545" t="str">
            <v>On-Chart</v>
          </cell>
          <cell r="K545" t="str">
            <v>MSS Direct Hires</v>
          </cell>
          <cell r="L545" t="str">
            <v>M1</v>
          </cell>
          <cell r="M545" t="str">
            <v>Department of Culture and Tourism</v>
          </cell>
          <cell r="N545" t="str">
            <v>Zayed National Museum</v>
          </cell>
          <cell r="O545" t="str">
            <v>متحف زايد الوطني</v>
          </cell>
          <cell r="P545" t="str">
            <v>Curatorial &amp; Collection Management</v>
          </cell>
          <cell r="Q545" t="str">
            <v>أمناء المتحف وإدارة المقتنيات</v>
          </cell>
          <cell r="R545" t="str">
            <v>Curatorial</v>
          </cell>
          <cell r="S545" t="str">
            <v>أمناء المتحف</v>
          </cell>
          <cell r="T545" t="str">
            <v>Acquisition &amp; Commission</v>
          </cell>
          <cell r="U545" t="str">
            <v>الاستحواذ والتفويض</v>
          </cell>
          <cell r="V545" t="str">
            <v>Abu Dhabi</v>
          </cell>
          <cell r="W545" t="str">
            <v/>
          </cell>
          <cell r="X545" t="str">
            <v>4510181</v>
          </cell>
          <cell r="Y545" t="str">
            <v>Content &amp; Care_Curatorial  Management_Senior Professional</v>
          </cell>
          <cell r="Z545" t="str">
            <v>Unit Head</v>
          </cell>
          <cell r="AA545" t="str">
            <v>3A</v>
          </cell>
        </row>
        <row r="546">
          <cell r="A546">
            <v>1191</v>
          </cell>
          <cell r="B546">
            <v>1191</v>
          </cell>
          <cell r="C546" t="str">
            <v>A</v>
          </cell>
          <cell r="D546" t="str">
            <v>Bassem Adnan Iskandarani</v>
          </cell>
          <cell r="E546" t="str">
            <v>باسم عدنان اسكندراني</v>
          </cell>
          <cell r="F546">
            <v>42883</v>
          </cell>
          <cell r="G546" t="str">
            <v>10006201</v>
          </cell>
          <cell r="H546" t="str">
            <v>Operational Planning Lead</v>
          </cell>
          <cell r="I546" t="str">
            <v>أخصائي رئيسي تخطيط العمليات</v>
          </cell>
          <cell r="J546" t="str">
            <v>On-Chart</v>
          </cell>
          <cell r="K546" t="str">
            <v>DCT Payroll</v>
          </cell>
          <cell r="L546" t="str">
            <v>A1</v>
          </cell>
          <cell r="M546" t="str">
            <v>Department of Culture and Tourism</v>
          </cell>
          <cell r="N546" t="str">
            <v>Culture</v>
          </cell>
          <cell r="O546" t="str">
            <v>الثقافة</v>
          </cell>
          <cell r="P546" t="str">
            <v>Culture Sector Policy and Development Office</v>
          </cell>
          <cell r="Q546" t="str">
            <v>مكتب إدارة سياسة وتطوير قطاع الثقافة</v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>Abu Dhabi</v>
          </cell>
          <cell r="W546" t="str">
            <v/>
          </cell>
          <cell r="X546" t="str">
            <v>4511150</v>
          </cell>
          <cell r="Y546" t="str">
            <v>Compliance,Governance&amp;Protocol_Policy  (Culture &amp; Tourism)_Unit Head</v>
          </cell>
          <cell r="Z546" t="str">
            <v>Unit Head</v>
          </cell>
          <cell r="AA546" t="str">
            <v>3A</v>
          </cell>
        </row>
        <row r="547">
          <cell r="A547">
            <v>1194</v>
          </cell>
          <cell r="B547">
            <v>1194</v>
          </cell>
          <cell r="C547" t="str">
            <v>A</v>
          </cell>
          <cell r="D547" t="str">
            <v>Eman Mohammed Al Balooshi</v>
          </cell>
          <cell r="E547" t="str">
            <v>ايمان محمد البلوشي</v>
          </cell>
          <cell r="F547">
            <v>42918</v>
          </cell>
          <cell r="G547" t="str">
            <v>50002035</v>
          </cell>
          <cell r="H547" t="str">
            <v>Editorial Project Manager</v>
          </cell>
          <cell r="I547" t="str">
            <v>مدير مشاريع التحرير</v>
          </cell>
          <cell r="J547" t="str">
            <v>On-Chart</v>
          </cell>
          <cell r="K547" t="str">
            <v>ALC Direct Hires</v>
          </cell>
          <cell r="L547" t="str">
            <v>AL1</v>
          </cell>
          <cell r="M547" t="str">
            <v>Abu Dhabi Arabic Language Centre</v>
          </cell>
          <cell r="N547" t="str">
            <v>Abu Dhabi Arabic Language Centre</v>
          </cell>
          <cell r="O547" t="str">
            <v>مركز أبوظبي للغة العربية</v>
          </cell>
          <cell r="P547" t="str">
            <v>Creative Content</v>
          </cell>
          <cell r="Q547" t="str">
            <v>المحتوى الإبداعي</v>
          </cell>
          <cell r="R547" t="str">
            <v>Publishing Programmes - ALC</v>
          </cell>
          <cell r="S547" t="str">
            <v>برامج النشر</v>
          </cell>
          <cell r="T547" t="str">
            <v/>
          </cell>
          <cell r="U547" t="str">
            <v/>
          </cell>
          <cell r="V547" t="str">
            <v>Abu Dhabi</v>
          </cell>
          <cell r="W547" t="str">
            <v/>
          </cell>
          <cell r="X547" t="str">
            <v>4519199</v>
          </cell>
          <cell r="Y547" t="str">
            <v>Interpretation &amp; Engagement_Arabic Language Forum &amp; Events_Unit Head</v>
          </cell>
          <cell r="Z547" t="str">
            <v>Unit Head</v>
          </cell>
          <cell r="AA547" t="str">
            <v>3A</v>
          </cell>
        </row>
        <row r="548">
          <cell r="A548">
            <v>1198</v>
          </cell>
          <cell r="B548">
            <v>1198</v>
          </cell>
          <cell r="C548" t="str">
            <v>A</v>
          </cell>
          <cell r="D548" t="str">
            <v>Ghassan Ahmad Chehade</v>
          </cell>
          <cell r="E548" t="str">
            <v>غسان احمد شحادة</v>
          </cell>
          <cell r="F548">
            <v>42948</v>
          </cell>
          <cell r="G548" t="str">
            <v>10006693</v>
          </cell>
          <cell r="H548" t="str">
            <v>Project Controls Director</v>
          </cell>
          <cell r="I548" t="str">
            <v>مدير مراقبة المشاريع</v>
          </cell>
          <cell r="J548" t="str">
            <v>On-Chart</v>
          </cell>
          <cell r="K548" t="str">
            <v>DCT Payroll</v>
          </cell>
          <cell r="L548" t="str">
            <v>A1</v>
          </cell>
          <cell r="M548" t="str">
            <v>Department of Culture and Tourism</v>
          </cell>
          <cell r="N548" t="str">
            <v>Tendering &amp; Projects Control</v>
          </cell>
          <cell r="O548" t="str">
            <v>مكتب وكيل الدائرة</v>
          </cell>
          <cell r="P548" t="str">
            <v>Tendering &amp; Projects Control</v>
          </cell>
          <cell r="Q548" t="str">
            <v>المناقصات ومراقبة المشاريع</v>
          </cell>
          <cell r="R548" t="str">
            <v>Project Controls</v>
          </cell>
          <cell r="S548" t="str">
            <v>مراقبة المشاريع</v>
          </cell>
          <cell r="T548" t="str">
            <v/>
          </cell>
          <cell r="U548" t="str">
            <v/>
          </cell>
          <cell r="V548" t="str">
            <v>Abu Dhabi</v>
          </cell>
          <cell r="W548" t="str">
            <v/>
          </cell>
          <cell r="X548" t="str">
            <v>4510155</v>
          </cell>
          <cell r="Y548" t="str">
            <v>Procurement_Tendering &amp; Project Control _Section Head</v>
          </cell>
          <cell r="Z548" t="str">
            <v>Section Manager</v>
          </cell>
          <cell r="AA548" t="str">
            <v>2A</v>
          </cell>
        </row>
        <row r="549">
          <cell r="A549">
            <v>1199</v>
          </cell>
          <cell r="B549">
            <v>1199</v>
          </cell>
          <cell r="C549" t="str">
            <v>A</v>
          </cell>
          <cell r="D549" t="str">
            <v>Kamal Nayef Obeid</v>
          </cell>
          <cell r="E549" t="str">
            <v>كمال نايف عبيد</v>
          </cell>
          <cell r="F549">
            <v>42954</v>
          </cell>
          <cell r="G549" t="str">
            <v>10008913</v>
          </cell>
          <cell r="H549" t="str">
            <v>Culture Statistics Senior Analyst</v>
          </cell>
          <cell r="I549" t="str">
            <v>محلل اول بحث وتحليل البيانات</v>
          </cell>
          <cell r="J549" t="str">
            <v>On-Chart</v>
          </cell>
          <cell r="K549" t="str">
            <v>DCT Payroll</v>
          </cell>
          <cell r="L549" t="str">
            <v>A1</v>
          </cell>
          <cell r="M549" t="str">
            <v>Department of Culture and Tourism</v>
          </cell>
          <cell r="N549" t="str">
            <v>Culture</v>
          </cell>
          <cell r="O549" t="str">
            <v>الثقافة</v>
          </cell>
          <cell r="P549" t="str">
            <v>Culture Sector Policy and Development Office</v>
          </cell>
          <cell r="Q549" t="str">
            <v>مكتب إدارة سياسة وتطوير قطاع الثقافة</v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>Abu Dhabi</v>
          </cell>
          <cell r="W549" t="str">
            <v/>
          </cell>
          <cell r="X549" t="str">
            <v>4511150</v>
          </cell>
          <cell r="Y549" t="str">
            <v>Senior Specialization Content &amp; Care</v>
          </cell>
          <cell r="Z549" t="str">
            <v>Senior Professional</v>
          </cell>
          <cell r="AA549" t="str">
            <v>3A</v>
          </cell>
        </row>
        <row r="550">
          <cell r="A550">
            <v>1200</v>
          </cell>
          <cell r="B550">
            <v>1200</v>
          </cell>
          <cell r="C550" t="str">
            <v>A</v>
          </cell>
          <cell r="D550" t="str">
            <v>Zenab Gharib Mohamed</v>
          </cell>
          <cell r="E550" t="str">
            <v>زينب غريب محمد</v>
          </cell>
          <cell r="F550">
            <v>42954</v>
          </cell>
          <cell r="G550" t="str">
            <v>10006697</v>
          </cell>
          <cell r="H550" t="str">
            <v>Marketing Research &amp; BD Lead</v>
          </cell>
          <cell r="I550" t="str">
            <v>تنفيذي رئيسي  تطوير المبيعات وأبحاث التسويق</v>
          </cell>
          <cell r="J550" t="str">
            <v>On-Chart</v>
          </cell>
          <cell r="K550" t="str">
            <v>DCT Payroll</v>
          </cell>
          <cell r="L550" t="str">
            <v>A1</v>
          </cell>
          <cell r="M550" t="str">
            <v>Department of Culture and Tourism</v>
          </cell>
          <cell r="N550" t="str">
            <v>Tourism</v>
          </cell>
          <cell r="O550" t="str">
            <v>السياحة</v>
          </cell>
          <cell r="P550" t="str">
            <v>Abu Dhabi Conventions &amp; Exhibition Bureau</v>
          </cell>
          <cell r="Q550" t="str">
            <v>مكتب أبوظبي للمؤتمرات والمعارض</v>
          </cell>
          <cell r="R550" t="str">
            <v>Conventions</v>
          </cell>
          <cell r="S550" t="str">
            <v>الاتفاقيات</v>
          </cell>
          <cell r="T550" t="str">
            <v/>
          </cell>
          <cell r="U550" t="str">
            <v/>
          </cell>
          <cell r="V550" t="str">
            <v>Abu Dhabi</v>
          </cell>
          <cell r="W550" t="str">
            <v/>
          </cell>
          <cell r="X550" t="str">
            <v>4515400</v>
          </cell>
          <cell r="Y550" t="str">
            <v>Commercial _Conventions, Exhibitions, Events,Festivals Development &amp; Sales  _Senior Professional</v>
          </cell>
          <cell r="Z550" t="str">
            <v>Unit Head</v>
          </cell>
          <cell r="AA550" t="str">
            <v>3A</v>
          </cell>
        </row>
        <row r="551">
          <cell r="A551">
            <v>1201</v>
          </cell>
          <cell r="B551">
            <v>1201</v>
          </cell>
          <cell r="C551" t="str">
            <v>A</v>
          </cell>
          <cell r="D551" t="str">
            <v>Abdulla Ahmed Al Marar</v>
          </cell>
          <cell r="E551" t="str">
            <v>عبدالله أحمد المرر</v>
          </cell>
          <cell r="F551">
            <v>42948</v>
          </cell>
          <cell r="G551" t="str">
            <v>10006831</v>
          </cell>
          <cell r="H551" t="str">
            <v>Events Senior Project Manager</v>
          </cell>
          <cell r="I551" t="str">
            <v>مدير مشاريع اول الفعاليات</v>
          </cell>
          <cell r="J551" t="str">
            <v>On-Chart</v>
          </cell>
          <cell r="K551" t="str">
            <v>DCT Payroll</v>
          </cell>
          <cell r="L551" t="str">
            <v>A1</v>
          </cell>
          <cell r="M551" t="str">
            <v>Department of Culture and Tourism</v>
          </cell>
          <cell r="N551" t="str">
            <v>Tourism</v>
          </cell>
          <cell r="O551" t="str">
            <v>السياحة</v>
          </cell>
          <cell r="P551" t="str">
            <v>Abu Dhabi Events Bureau</v>
          </cell>
          <cell r="Q551" t="str">
            <v>مكتب أبوظبي للفعاليات</v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>Abu Dhabi</v>
          </cell>
          <cell r="W551" t="str">
            <v/>
          </cell>
          <cell r="X551" t="str">
            <v>4515500</v>
          </cell>
          <cell r="Y551" t="str">
            <v>Commercial _Conventions, Exhibitions, Events,Festivals Development &amp; Sales  _Section Head</v>
          </cell>
          <cell r="Z551" t="str">
            <v>Section Manager</v>
          </cell>
          <cell r="AA551" t="str">
            <v>2A</v>
          </cell>
        </row>
        <row r="552">
          <cell r="A552">
            <v>1204</v>
          </cell>
          <cell r="B552">
            <v>1204</v>
          </cell>
          <cell r="C552" t="str">
            <v>A</v>
          </cell>
          <cell r="D552" t="str">
            <v>Saif Salem Al Neyadi</v>
          </cell>
          <cell r="E552" t="str">
            <v>سيف سالم النيادي</v>
          </cell>
          <cell r="F552">
            <v>42968</v>
          </cell>
          <cell r="G552" t="str">
            <v>10006780</v>
          </cell>
          <cell r="H552" t="str">
            <v>Inspector</v>
          </cell>
          <cell r="I552" t="str">
            <v>مفتش</v>
          </cell>
          <cell r="J552" t="str">
            <v>On-Chart</v>
          </cell>
          <cell r="K552" t="str">
            <v>DCT Payroll</v>
          </cell>
          <cell r="L552" t="str">
            <v>A1</v>
          </cell>
          <cell r="M552" t="str">
            <v>Department of Culture and Tourism</v>
          </cell>
          <cell r="N552" t="str">
            <v>Tourism</v>
          </cell>
          <cell r="O552" t="str">
            <v>السياحة</v>
          </cell>
          <cell r="P552" t="str">
            <v>Licensing &amp; Regulatory Compliance</v>
          </cell>
          <cell r="Q552" t="str">
            <v>الرقابة والترخيص</v>
          </cell>
          <cell r="R552" t="str">
            <v>Al Ain &amp; Al Dhafra Inspection</v>
          </cell>
          <cell r="S552" t="str">
            <v>التفتيش لمنطقتي العين والظفرة</v>
          </cell>
          <cell r="T552" t="str">
            <v>Al Ain Inspection</v>
          </cell>
          <cell r="U552" t="str">
            <v>وحدة تفتيش منطقة العين</v>
          </cell>
          <cell r="V552" t="str">
            <v>Al Ain</v>
          </cell>
          <cell r="W552" t="str">
            <v/>
          </cell>
          <cell r="X552" t="str">
            <v>4510170</v>
          </cell>
          <cell r="Y552" t="str">
            <v>Compliance,Governance&amp;Protocol_Licensing &amp; Regulatory Compliance- (Follow-up and Reporting) _Professional Assistant</v>
          </cell>
          <cell r="Z552" t="str">
            <v>Professional</v>
          </cell>
          <cell r="AA552" t="str">
            <v>4B</v>
          </cell>
        </row>
        <row r="553">
          <cell r="A553">
            <v>1206</v>
          </cell>
          <cell r="B553">
            <v>1206</v>
          </cell>
          <cell r="C553" t="str">
            <v>A</v>
          </cell>
          <cell r="D553" t="str">
            <v>Jayagopalan Ullattil</v>
          </cell>
          <cell r="E553" t="str">
            <v>جاياجوبالان  او لاتيل</v>
          </cell>
          <cell r="F553">
            <v>42984</v>
          </cell>
          <cell r="G553" t="str">
            <v>10006791</v>
          </cell>
          <cell r="H553" t="str">
            <v>Contracts Administration &amp; Cost Estimation Director</v>
          </cell>
          <cell r="I553" t="str">
            <v>مدير العقود وتقدير التكاليف</v>
          </cell>
          <cell r="J553" t="str">
            <v>On-Chart</v>
          </cell>
          <cell r="K553" t="str">
            <v>DCT Payroll</v>
          </cell>
          <cell r="L553" t="str">
            <v>A1</v>
          </cell>
          <cell r="M553" t="str">
            <v>Department of Culture and Tourism</v>
          </cell>
          <cell r="N553" t="str">
            <v>Tendering &amp; Projects Control</v>
          </cell>
          <cell r="O553" t="str">
            <v>مكتب وكيل الدائرة</v>
          </cell>
          <cell r="P553" t="str">
            <v>Tendering &amp; Projects Control</v>
          </cell>
          <cell r="Q553" t="str">
            <v>المناقصات ومراقبة المشاريع</v>
          </cell>
          <cell r="R553" t="str">
            <v>Contracts Administration &amp; Cost Estimation</v>
          </cell>
          <cell r="S553" t="str">
            <v>إدارة العقود وتقدير التكاليف</v>
          </cell>
          <cell r="T553" t="str">
            <v/>
          </cell>
          <cell r="U553" t="str">
            <v/>
          </cell>
          <cell r="V553" t="str">
            <v>Abu Dhabi</v>
          </cell>
          <cell r="W553" t="str">
            <v/>
          </cell>
          <cell r="X553" t="str">
            <v>4510155</v>
          </cell>
          <cell r="Y553" t="str">
            <v>Procurement_Tendering &amp; Project Control _Section Head</v>
          </cell>
          <cell r="Z553" t="str">
            <v>Section Manager</v>
          </cell>
          <cell r="AA553" t="str">
            <v>2A</v>
          </cell>
        </row>
        <row r="554">
          <cell r="A554">
            <v>1207</v>
          </cell>
          <cell r="B554">
            <v>1207</v>
          </cell>
          <cell r="C554" t="str">
            <v>A</v>
          </cell>
          <cell r="D554" t="str">
            <v>Fatema Najem Al Hosani</v>
          </cell>
          <cell r="E554" t="str">
            <v>فاطمة نجم الحوسني</v>
          </cell>
          <cell r="F554">
            <v>42989</v>
          </cell>
          <cell r="G554" t="str">
            <v>10006793</v>
          </cell>
          <cell r="H554" t="str">
            <v>Technical Support Officer</v>
          </cell>
          <cell r="I554" t="str">
            <v>ضابط الدعم الفني</v>
          </cell>
          <cell r="J554" t="str">
            <v>On-Chart</v>
          </cell>
          <cell r="K554" t="str">
            <v>DCT Payroll</v>
          </cell>
          <cell r="L554" t="str">
            <v>A1</v>
          </cell>
          <cell r="M554" t="str">
            <v>Department of Culture and Tourism</v>
          </cell>
          <cell r="N554" t="str">
            <v>Tendering &amp; Projects Control</v>
          </cell>
          <cell r="O554" t="str">
            <v>مكتب وكيل الدائرة</v>
          </cell>
          <cell r="P554" t="str">
            <v>Tendering &amp; Projects Control</v>
          </cell>
          <cell r="Q554" t="str">
            <v>المناقصات ومراقبة المشاريع</v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>Abu Dhabi</v>
          </cell>
          <cell r="W554" t="str">
            <v/>
          </cell>
          <cell r="X554" t="str">
            <v>4510155</v>
          </cell>
          <cell r="Y554" t="str">
            <v>Procurement_Tendering _Professional</v>
          </cell>
          <cell r="Z554" t="str">
            <v>Professional</v>
          </cell>
          <cell r="AA554" t="str">
            <v>4C</v>
          </cell>
        </row>
        <row r="555">
          <cell r="A555">
            <v>1208</v>
          </cell>
          <cell r="B555">
            <v>1208</v>
          </cell>
          <cell r="C555" t="str">
            <v>A</v>
          </cell>
          <cell r="D555" t="str">
            <v>Mouza Abdulla Al Qemzi</v>
          </cell>
          <cell r="E555" t="str">
            <v>موزه عبدالله القمزي</v>
          </cell>
          <cell r="F555">
            <v>42989</v>
          </cell>
          <cell r="G555" t="str">
            <v>10006795</v>
          </cell>
          <cell r="H555" t="str">
            <v>Projects Manager</v>
          </cell>
          <cell r="I555" t="str">
            <v>مدير مشاريع</v>
          </cell>
          <cell r="J555" t="str">
            <v>On-Chart</v>
          </cell>
          <cell r="K555" t="str">
            <v>DCT Payroll</v>
          </cell>
          <cell r="L555" t="str">
            <v>A1</v>
          </cell>
          <cell r="M555" t="str">
            <v>Department of Culture and Tourism</v>
          </cell>
          <cell r="N555" t="str">
            <v>Project Management &amp; Engineering</v>
          </cell>
          <cell r="O555" t="str">
            <v>مكتب وكيل الدائرة</v>
          </cell>
          <cell r="P555" t="str">
            <v>Project Management &amp; Engineering</v>
          </cell>
          <cell r="Q555" t="str">
            <v>هندسة وإدارة المشاريع</v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>Abu Dhabi</v>
          </cell>
          <cell r="W555" t="str">
            <v/>
          </cell>
          <cell r="X555" t="str">
            <v>4510150</v>
          </cell>
          <cell r="Y555" t="str">
            <v>Technical Safety &amp; Security_Engineering Project Management  _Unit Head</v>
          </cell>
          <cell r="Z555" t="str">
            <v>Unit Head</v>
          </cell>
          <cell r="AA555" t="str">
            <v>3A</v>
          </cell>
        </row>
        <row r="556">
          <cell r="A556">
            <v>1209</v>
          </cell>
          <cell r="B556">
            <v>1209</v>
          </cell>
          <cell r="C556" t="str">
            <v>A</v>
          </cell>
          <cell r="D556" t="str">
            <v>Richard Thorburn Cuttler</v>
          </cell>
          <cell r="E556" t="str">
            <v>ريتشارد ثوربرن كاتلر</v>
          </cell>
          <cell r="F556">
            <v>42995</v>
          </cell>
          <cell r="G556" t="str">
            <v>50003991</v>
          </cell>
          <cell r="H556" t="str">
            <v>Archaeology &amp; Paleontology Section Head</v>
          </cell>
          <cell r="I556" t="str">
            <v>رئيس قسم الآثار وعلم الحفريات</v>
          </cell>
          <cell r="J556" t="str">
            <v>On-Chart</v>
          </cell>
          <cell r="K556" t="str">
            <v>DCT Payroll</v>
          </cell>
          <cell r="L556" t="str">
            <v>A1</v>
          </cell>
          <cell r="M556" t="str">
            <v>Department of Culture and Tourism</v>
          </cell>
          <cell r="N556" t="str">
            <v>Culture</v>
          </cell>
          <cell r="O556" t="str">
            <v>الثقافة</v>
          </cell>
          <cell r="P556" t="str">
            <v>Historic Environment</v>
          </cell>
          <cell r="Q556" t="str">
            <v>البيئة التاريخية</v>
          </cell>
          <cell r="R556" t="str">
            <v>Archaeology &amp; Paleontology</v>
          </cell>
          <cell r="S556" t="str">
            <v>علم الآثار</v>
          </cell>
          <cell r="T556" t="str">
            <v/>
          </cell>
          <cell r="U556" t="str">
            <v/>
          </cell>
          <cell r="V556" t="str">
            <v>Abu Dhabi</v>
          </cell>
          <cell r="W556" t="str">
            <v/>
          </cell>
          <cell r="X556" t="str">
            <v>4511300</v>
          </cell>
          <cell r="Y556" t="str">
            <v>Content &amp; Care_Archaeology &amp; Paleontology _Section Head</v>
          </cell>
          <cell r="Z556" t="str">
            <v>Section Manager</v>
          </cell>
          <cell r="AA556" t="str">
            <v>2C</v>
          </cell>
        </row>
        <row r="557">
          <cell r="A557">
            <v>1211</v>
          </cell>
          <cell r="B557">
            <v>1211</v>
          </cell>
          <cell r="C557" t="str">
            <v>A</v>
          </cell>
          <cell r="D557" t="str">
            <v>Mufeez Ahmad Lebbe</v>
          </cell>
          <cell r="E557" t="str">
            <v>مفيض أحمد ليبي</v>
          </cell>
          <cell r="F557">
            <v>43003</v>
          </cell>
          <cell r="G557" t="str">
            <v>10006828</v>
          </cell>
          <cell r="H557" t="str">
            <v>Tendering Manager</v>
          </cell>
          <cell r="I557" t="str">
            <v>مدير المناقصات</v>
          </cell>
          <cell r="J557" t="str">
            <v>On-Chart</v>
          </cell>
          <cell r="K557" t="str">
            <v>DCT Payroll</v>
          </cell>
          <cell r="L557" t="str">
            <v>A1</v>
          </cell>
          <cell r="M557" t="str">
            <v>Department of Culture and Tourism</v>
          </cell>
          <cell r="N557" t="str">
            <v>Tendering &amp; Projects Control</v>
          </cell>
          <cell r="O557" t="str">
            <v>مكتب وكيل الدائرة</v>
          </cell>
          <cell r="P557" t="str">
            <v>Tendering &amp; Projects Control</v>
          </cell>
          <cell r="Q557" t="str">
            <v>المناقصات ومراقبة المشاريع</v>
          </cell>
          <cell r="R557" t="str">
            <v>Tendering</v>
          </cell>
          <cell r="S557" t="str">
            <v>المناقصات</v>
          </cell>
          <cell r="T557" t="str">
            <v/>
          </cell>
          <cell r="U557" t="str">
            <v/>
          </cell>
          <cell r="V557" t="str">
            <v>Abu Dhabi</v>
          </cell>
          <cell r="W557" t="str">
            <v/>
          </cell>
          <cell r="X557" t="str">
            <v>4510155</v>
          </cell>
          <cell r="Y557" t="str">
            <v>Procurement_Tendering _Unit Head</v>
          </cell>
          <cell r="Z557" t="str">
            <v>Unit Head</v>
          </cell>
          <cell r="AA557" t="str">
            <v>3A</v>
          </cell>
        </row>
        <row r="558">
          <cell r="A558">
            <v>1212</v>
          </cell>
          <cell r="B558">
            <v>1212</v>
          </cell>
          <cell r="C558" t="str">
            <v>A</v>
          </cell>
          <cell r="D558" t="str">
            <v>Farah Abdulhameed Al Bakoush</v>
          </cell>
          <cell r="E558" t="str">
            <v>فرح عبدالحميد البكوش</v>
          </cell>
          <cell r="F558">
            <v>43003</v>
          </cell>
          <cell r="G558" t="str">
            <v>50001149</v>
          </cell>
          <cell r="H558" t="str">
            <v>Culture Festivals &amp; Platforms Department Director</v>
          </cell>
          <cell r="I558" t="str">
            <v>مدير إدارة المهرجانات والمنصات الثقافية</v>
          </cell>
          <cell r="J558" t="str">
            <v>On-Chart</v>
          </cell>
          <cell r="K558" t="str">
            <v>DCT Payroll</v>
          </cell>
          <cell r="L558" t="str">
            <v>A1</v>
          </cell>
          <cell r="M558" t="str">
            <v>Department of Culture and Tourism</v>
          </cell>
          <cell r="N558" t="str">
            <v>Culture</v>
          </cell>
          <cell r="O558" t="str">
            <v>الثقافة</v>
          </cell>
          <cell r="P558" t="str">
            <v>Culture Festivals &amp; Platforms</v>
          </cell>
          <cell r="Q558" t="str">
            <v>المهرجانات والمنصات الثقافية</v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>Abu Dhabi</v>
          </cell>
          <cell r="W558" t="str">
            <v/>
          </cell>
          <cell r="X558" t="str">
            <v>4511750</v>
          </cell>
          <cell r="Y558" t="str">
            <v>Commercial _Culture Festivals &amp; Platforms Department Director</v>
          </cell>
          <cell r="Z558" t="str">
            <v>Director</v>
          </cell>
          <cell r="AA558" t="str">
            <v>1A</v>
          </cell>
        </row>
        <row r="559">
          <cell r="A559">
            <v>1213</v>
          </cell>
          <cell r="B559">
            <v>1213</v>
          </cell>
          <cell r="C559" t="str">
            <v>A</v>
          </cell>
          <cell r="D559" t="str">
            <v>Alia Abdulla Al Yasi</v>
          </cell>
          <cell r="E559" t="str">
            <v>عليا عبدالله الياسي</v>
          </cell>
          <cell r="F559">
            <v>43009</v>
          </cell>
          <cell r="G559" t="str">
            <v>50003098</v>
          </cell>
          <cell r="H559" t="str">
            <v>Experience Monitoring &amp; Reporting Senior Specialist</v>
          </cell>
          <cell r="I559" t="str">
            <v>أخصائي أول متابعة وتقرير التجارب</v>
          </cell>
          <cell r="J559" t="str">
            <v>On-Chart</v>
          </cell>
          <cell r="K559" t="str">
            <v>DCT Payroll</v>
          </cell>
          <cell r="L559" t="str">
            <v>A1</v>
          </cell>
          <cell r="M559" t="str">
            <v>Department of Culture and Tourism</v>
          </cell>
          <cell r="N559" t="str">
            <v>Tourism</v>
          </cell>
          <cell r="O559" t="str">
            <v>السياحة</v>
          </cell>
          <cell r="P559" t="str">
            <v>Visitors Experience</v>
          </cell>
          <cell r="Q559" t="str">
            <v>تجربة الزوار</v>
          </cell>
          <cell r="R559" t="str">
            <v>Experience Monitoring</v>
          </cell>
          <cell r="S559" t="str">
            <v>مراقبة تجربة الزوار</v>
          </cell>
          <cell r="T559" t="str">
            <v>Experience Monitoring &amp; Reporting Unit</v>
          </cell>
          <cell r="U559" t="str">
            <v>وحدة متابعة وتقرير التجارب</v>
          </cell>
          <cell r="V559" t="str">
            <v>Abu Dhabi</v>
          </cell>
          <cell r="W559" t="str">
            <v/>
          </cell>
          <cell r="X559" t="str">
            <v>4515300</v>
          </cell>
          <cell r="Y559" t="str">
            <v>Specialization Festivals &amp; Events</v>
          </cell>
          <cell r="Z559" t="str">
            <v>Professional</v>
          </cell>
          <cell r="AA559" t="str">
            <v>3C</v>
          </cell>
        </row>
        <row r="560">
          <cell r="A560">
            <v>1216</v>
          </cell>
          <cell r="B560">
            <v>1216</v>
          </cell>
          <cell r="C560" t="str">
            <v>A</v>
          </cell>
          <cell r="D560" t="str">
            <v>Audrey Gulay Yener</v>
          </cell>
          <cell r="E560" t="str">
            <v>اوداري جولاي يينير</v>
          </cell>
          <cell r="F560">
            <v>43037</v>
          </cell>
          <cell r="G560" t="str">
            <v>10006968</v>
          </cell>
          <cell r="H560" t="str">
            <v>ZNM Contracts Administration &amp; Claims Senior Manager</v>
          </cell>
          <cell r="I560" t="str">
            <v>مدير اول للعقود والمطالبات لمتحف زايد الوطني</v>
          </cell>
          <cell r="J560" t="str">
            <v>On-Chart</v>
          </cell>
          <cell r="K560" t="str">
            <v>DCT Payroll</v>
          </cell>
          <cell r="L560" t="str">
            <v>A1</v>
          </cell>
          <cell r="M560" t="str">
            <v>Department of Culture and Tourism</v>
          </cell>
          <cell r="N560" t="str">
            <v>Tendering &amp; Projects Control</v>
          </cell>
          <cell r="O560" t="str">
            <v>مكتب وكيل الدائرة</v>
          </cell>
          <cell r="P560" t="str">
            <v>Tendering &amp; Projects Control</v>
          </cell>
          <cell r="Q560" t="str">
            <v>المناقصات ومراقبة المشاريع</v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>Abu Dhabi</v>
          </cell>
          <cell r="W560" t="str">
            <v/>
          </cell>
          <cell r="X560" t="str">
            <v>4510155</v>
          </cell>
          <cell r="Y560" t="str">
            <v>Procurement_Tendering &amp; Project Control _Section Head</v>
          </cell>
          <cell r="Z560" t="str">
            <v>Section Manager</v>
          </cell>
          <cell r="AA560" t="str">
            <v>2A</v>
          </cell>
        </row>
        <row r="561">
          <cell r="A561">
            <v>1217</v>
          </cell>
          <cell r="B561">
            <v>1217</v>
          </cell>
          <cell r="C561" t="str">
            <v>A</v>
          </cell>
          <cell r="D561" t="str">
            <v>Ranya Camille Nasser</v>
          </cell>
          <cell r="E561" t="str">
            <v>رانيا كاميلي ناصر</v>
          </cell>
          <cell r="F561">
            <v>43040</v>
          </cell>
          <cell r="G561" t="str">
            <v>41000241</v>
          </cell>
          <cell r="H561" t="str">
            <v>Education &amp; Outreach Department Director</v>
          </cell>
          <cell r="I561" t="str">
            <v>مدير إدارة التعليم والتوعية الثقافية</v>
          </cell>
          <cell r="J561" t="str">
            <v>On-Chart</v>
          </cell>
          <cell r="K561" t="str">
            <v>DCT Payroll</v>
          </cell>
          <cell r="L561" t="str">
            <v>A1</v>
          </cell>
          <cell r="M561" t="str">
            <v>Department of Culture and Tourism</v>
          </cell>
          <cell r="N561" t="str">
            <v>Culture</v>
          </cell>
          <cell r="O561" t="str">
            <v>الثقافة</v>
          </cell>
          <cell r="P561" t="str">
            <v>Education &amp; Outreach</v>
          </cell>
          <cell r="Q561" t="str">
            <v>التعليم والتوعية الثقافية</v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>Abu Dhabi</v>
          </cell>
          <cell r="W561" t="str">
            <v/>
          </cell>
          <cell r="X561" t="str">
            <v>4511800</v>
          </cell>
          <cell r="Y561" t="str">
            <v>Stakeholder &amp; Partner Relations_External Affairs, Outreach and Cultural Engagement Director</v>
          </cell>
          <cell r="Z561" t="str">
            <v>Director</v>
          </cell>
          <cell r="AA561" t="str">
            <v>1A</v>
          </cell>
        </row>
        <row r="562">
          <cell r="A562">
            <v>1218</v>
          </cell>
          <cell r="B562">
            <v>1218</v>
          </cell>
          <cell r="C562" t="str">
            <v>A</v>
          </cell>
          <cell r="D562" t="str">
            <v>Maitha Saleh Al Mansoori</v>
          </cell>
          <cell r="E562" t="str">
            <v>ميثاء صالح المنصوري</v>
          </cell>
          <cell r="F562">
            <v>43045</v>
          </cell>
          <cell r="G562" t="str">
            <v>50000688</v>
          </cell>
          <cell r="H562" t="str">
            <v>Public Events Senior Specialist</v>
          </cell>
          <cell r="I562" t="str">
            <v>أخصائي أول الفعاليات المجتمعية</v>
          </cell>
          <cell r="J562" t="str">
            <v>On-Chart</v>
          </cell>
          <cell r="K562" t="str">
            <v>MSS Direct Hires</v>
          </cell>
          <cell r="L562" t="str">
            <v>M1</v>
          </cell>
          <cell r="M562" t="str">
            <v>Department of Culture and Tourism</v>
          </cell>
          <cell r="N562" t="str">
            <v>Zayed National Museum</v>
          </cell>
          <cell r="O562" t="str">
            <v>متحف زايد الوطني</v>
          </cell>
          <cell r="P562" t="str">
            <v>Learning &amp; Public Engagement</v>
          </cell>
          <cell r="Q562" t="str">
            <v>التعليم والمشاركة المجتمعية</v>
          </cell>
          <cell r="R562" t="str">
            <v>Public Events</v>
          </cell>
          <cell r="S562" t="str">
            <v>الفعاليات المجتمعية</v>
          </cell>
          <cell r="T562" t="str">
            <v>Public Events</v>
          </cell>
          <cell r="U562" t="str">
            <v>الفعاليات المجتمعية</v>
          </cell>
          <cell r="V562" t="str">
            <v>Abu Dhabi</v>
          </cell>
          <cell r="W562" t="str">
            <v/>
          </cell>
          <cell r="X562" t="str">
            <v>4510182</v>
          </cell>
          <cell r="Y562" t="str">
            <v>Interpretation &amp; Engagement_Education &amp; Learning Development &amp;   Engagement(All)_Unit Head</v>
          </cell>
          <cell r="Z562" t="str">
            <v>Senior Professional</v>
          </cell>
          <cell r="AA562" t="str">
            <v>3B</v>
          </cell>
        </row>
        <row r="563">
          <cell r="A563">
            <v>1222</v>
          </cell>
          <cell r="B563">
            <v>1222</v>
          </cell>
          <cell r="C563" t="str">
            <v>A</v>
          </cell>
          <cell r="D563" t="str">
            <v>Shaikha Saeed Al Zaabi</v>
          </cell>
          <cell r="E563" t="str">
            <v>شيخه سعيد الزعابي</v>
          </cell>
          <cell r="F563">
            <v>43052</v>
          </cell>
          <cell r="G563" t="str">
            <v>10007029</v>
          </cell>
          <cell r="H563" t="str">
            <v>Community Engagement Senior Specialist</v>
          </cell>
          <cell r="I563" t="str">
            <v>أخصائي أول المشاركة المجتمعية</v>
          </cell>
          <cell r="J563" t="str">
            <v>On-Chart</v>
          </cell>
          <cell r="K563" t="str">
            <v>DCT Payroll</v>
          </cell>
          <cell r="L563" t="str">
            <v>A1</v>
          </cell>
          <cell r="M563" t="str">
            <v>Department of Culture and Tourism</v>
          </cell>
          <cell r="N563" t="str">
            <v>Culture</v>
          </cell>
          <cell r="O563" t="str">
            <v>الثقافة</v>
          </cell>
          <cell r="P563" t="str">
            <v>Culture Sites Management</v>
          </cell>
          <cell r="Q563" t="str">
            <v>إدارة المواقع الثقافية</v>
          </cell>
          <cell r="R563" t="str">
            <v>Manarat Al Saadiyat</v>
          </cell>
          <cell r="S563" t="str">
            <v>منارة السعديات</v>
          </cell>
          <cell r="T563" t="str">
            <v>Art Studio</v>
          </cell>
          <cell r="U563" t="str">
            <v>استوديو الفنون</v>
          </cell>
          <cell r="V563" t="str">
            <v>Abu Dhabi</v>
          </cell>
          <cell r="W563" t="str">
            <v/>
          </cell>
          <cell r="X563" t="str">
            <v>4511250</v>
          </cell>
          <cell r="Y563" t="str">
            <v>Compliance,Governance&amp;Protocol_Policy (Culture/Tourism _Senior Professional</v>
          </cell>
          <cell r="Z563" t="str">
            <v>Senior Professional</v>
          </cell>
          <cell r="AA563" t="str">
            <v>3B</v>
          </cell>
        </row>
        <row r="564">
          <cell r="A564">
            <v>1223</v>
          </cell>
          <cell r="B564">
            <v>1223</v>
          </cell>
          <cell r="C564" t="str">
            <v>A</v>
          </cell>
          <cell r="D564" t="str">
            <v>Heba Mohamed Buhazza</v>
          </cell>
          <cell r="E564" t="str">
            <v>هبة محمد بو هزاع</v>
          </cell>
          <cell r="F564">
            <v>43053</v>
          </cell>
          <cell r="G564" t="str">
            <v>10004704</v>
          </cell>
          <cell r="H564" t="str">
            <v>Arts Studio Senior Specialist</v>
          </cell>
          <cell r="I564" t="str">
            <v>أخصائي أول استوديو الفنون</v>
          </cell>
          <cell r="J564" t="str">
            <v>On-Chart</v>
          </cell>
          <cell r="K564" t="str">
            <v>DCT Payroll</v>
          </cell>
          <cell r="L564" t="str">
            <v>A1</v>
          </cell>
          <cell r="M564" t="str">
            <v>Department of Culture and Tourism</v>
          </cell>
          <cell r="N564" t="str">
            <v>Culture</v>
          </cell>
          <cell r="O564" t="str">
            <v>الثقافة</v>
          </cell>
          <cell r="P564" t="str">
            <v>Culture Sites Management</v>
          </cell>
          <cell r="Q564" t="str">
            <v>إدارة المواقع الثقافية</v>
          </cell>
          <cell r="R564" t="str">
            <v>Manarat Al Saadiyat</v>
          </cell>
          <cell r="S564" t="str">
            <v>منارة السعديات</v>
          </cell>
          <cell r="T564" t="str">
            <v>Art Studio</v>
          </cell>
          <cell r="U564" t="str">
            <v>استوديو الفنون</v>
          </cell>
          <cell r="V564" t="str">
            <v>Abu Dhabi</v>
          </cell>
          <cell r="W564" t="str">
            <v/>
          </cell>
          <cell r="X564" t="str">
            <v>4511250</v>
          </cell>
          <cell r="Y564" t="str">
            <v>Compliance,Governance&amp;Protocol_Policy (Culture/Tourism _Senior Professional</v>
          </cell>
          <cell r="Z564" t="str">
            <v>Senior Professional</v>
          </cell>
          <cell r="AA564" t="str">
            <v>3A</v>
          </cell>
        </row>
        <row r="565">
          <cell r="A565">
            <v>1224</v>
          </cell>
          <cell r="B565">
            <v>1224</v>
          </cell>
          <cell r="C565" t="str">
            <v>A</v>
          </cell>
          <cell r="D565" t="str">
            <v>Anood Saleh Al Ameri</v>
          </cell>
          <cell r="E565" t="str">
            <v>عنود صالح العامري</v>
          </cell>
          <cell r="F565">
            <v>43059</v>
          </cell>
          <cell r="G565" t="str">
            <v>10007060</v>
          </cell>
          <cell r="H565" t="str">
            <v>Visitor Services Coordinator</v>
          </cell>
          <cell r="I565" t="str">
            <v>منسق خدمات الزوار</v>
          </cell>
          <cell r="J565" t="str">
            <v>On-Chart</v>
          </cell>
          <cell r="K565" t="str">
            <v>DCT Payroll</v>
          </cell>
          <cell r="L565" t="str">
            <v>A1</v>
          </cell>
          <cell r="M565" t="str">
            <v>Department of Culture and Tourism</v>
          </cell>
          <cell r="N565" t="str">
            <v>Culture</v>
          </cell>
          <cell r="O565" t="str">
            <v>الثقافة</v>
          </cell>
          <cell r="P565" t="str">
            <v>Culture Sites Management</v>
          </cell>
          <cell r="Q565" t="str">
            <v>إدارة المواقع الثقافية</v>
          </cell>
          <cell r="R565" t="str">
            <v>Manarat Al Saadiyat</v>
          </cell>
          <cell r="S565" t="str">
            <v>منارة السعديات</v>
          </cell>
          <cell r="T565" t="str">
            <v>Art Studio</v>
          </cell>
          <cell r="U565" t="str">
            <v>استوديو الفنون</v>
          </cell>
          <cell r="V565" t="str">
            <v>Abu Dhabi</v>
          </cell>
          <cell r="W565" t="str">
            <v/>
          </cell>
          <cell r="X565" t="str">
            <v>4511250</v>
          </cell>
          <cell r="Y565" t="str">
            <v>Compliance,Governance&amp;Protocol_Policy (Culture/Tourism) _Professional</v>
          </cell>
          <cell r="Z565" t="str">
            <v>Professional Assistant</v>
          </cell>
          <cell r="AA565" t="str">
            <v>5A</v>
          </cell>
        </row>
        <row r="566">
          <cell r="A566">
            <v>1225</v>
          </cell>
          <cell r="B566">
            <v>1225</v>
          </cell>
          <cell r="C566" t="str">
            <v>A</v>
          </cell>
          <cell r="D566" t="str">
            <v>Jameela Jameel Al Jneibi</v>
          </cell>
          <cell r="E566" t="str">
            <v>جميلة جميل الجنيبي</v>
          </cell>
          <cell r="F566">
            <v>43059</v>
          </cell>
          <cell r="G566" t="str">
            <v>10007061</v>
          </cell>
          <cell r="H566" t="str">
            <v>Visitor Services Coordinator</v>
          </cell>
          <cell r="I566" t="str">
            <v>منسق خدمات الزوار</v>
          </cell>
          <cell r="J566" t="str">
            <v>On-Chart</v>
          </cell>
          <cell r="K566" t="str">
            <v>DCT Payroll</v>
          </cell>
          <cell r="L566" t="str">
            <v>A1</v>
          </cell>
          <cell r="M566" t="str">
            <v>Department of Culture and Tourism</v>
          </cell>
          <cell r="N566" t="str">
            <v>Culture</v>
          </cell>
          <cell r="O566" t="str">
            <v>الثقافة</v>
          </cell>
          <cell r="P566" t="str">
            <v>Culture Sites Management</v>
          </cell>
          <cell r="Q566" t="str">
            <v>إدارة المواقع الثقافية</v>
          </cell>
          <cell r="R566" t="str">
            <v>Manarat Al Saadiyat</v>
          </cell>
          <cell r="S566" t="str">
            <v>منارة السعديات</v>
          </cell>
          <cell r="T566" t="str">
            <v>Art Studio</v>
          </cell>
          <cell r="U566" t="str">
            <v>استوديو الفنون</v>
          </cell>
          <cell r="V566" t="str">
            <v>Abu Dhabi</v>
          </cell>
          <cell r="W566" t="str">
            <v/>
          </cell>
          <cell r="X566" t="str">
            <v>4511250</v>
          </cell>
          <cell r="Y566" t="str">
            <v>Compliance,Governance&amp;Protocol_Policy (Culture/Tourism) _Professional</v>
          </cell>
          <cell r="Z566" t="str">
            <v>Professional Assistant</v>
          </cell>
          <cell r="AA566" t="str">
            <v>5A</v>
          </cell>
        </row>
        <row r="567">
          <cell r="A567">
            <v>1227</v>
          </cell>
          <cell r="B567">
            <v>1227</v>
          </cell>
          <cell r="C567" t="str">
            <v>A</v>
          </cell>
          <cell r="D567" t="str">
            <v>Sara Abdulla Alshamsi</v>
          </cell>
          <cell r="E567" t="str">
            <v>سارة عبدالله الشامسي</v>
          </cell>
          <cell r="F567">
            <v>43066</v>
          </cell>
          <cell r="G567" t="str">
            <v>10007134</v>
          </cell>
          <cell r="H567" t="str">
            <v>Books Design Officer</v>
          </cell>
          <cell r="I567" t="str">
            <v>ضابط تصميم الكتب</v>
          </cell>
          <cell r="J567" t="str">
            <v>On-Chart</v>
          </cell>
          <cell r="K567" t="str">
            <v>ALC Direct Hires</v>
          </cell>
          <cell r="L567" t="str">
            <v>AL1</v>
          </cell>
          <cell r="M567" t="str">
            <v>Abu Dhabi Arabic Language Centre</v>
          </cell>
          <cell r="N567" t="str">
            <v>Abu Dhabi Arabic Language Centre</v>
          </cell>
          <cell r="O567" t="str">
            <v>مركز أبوظبي للغة العربية</v>
          </cell>
          <cell r="P567" t="str">
            <v>Creative Content</v>
          </cell>
          <cell r="Q567" t="str">
            <v>المحتوى الإبداعي</v>
          </cell>
          <cell r="R567" t="str">
            <v>Publishing Programmes - ALC</v>
          </cell>
          <cell r="S567" t="str">
            <v>برامج النشر</v>
          </cell>
          <cell r="T567" t="str">
            <v/>
          </cell>
          <cell r="U567" t="str">
            <v/>
          </cell>
          <cell r="V567" t="str">
            <v>Abu Dhabi</v>
          </cell>
          <cell r="W567" t="str">
            <v/>
          </cell>
          <cell r="X567" t="str">
            <v>4519199</v>
          </cell>
          <cell r="Y567" t="str">
            <v>Interpretation &amp; Engagement_Arabic Language Research &amp; Studies_Professional</v>
          </cell>
          <cell r="Z567" t="str">
            <v>Professional</v>
          </cell>
          <cell r="AA567" t="str">
            <v>4A</v>
          </cell>
        </row>
        <row r="568">
          <cell r="A568">
            <v>1229</v>
          </cell>
          <cell r="B568">
            <v>1229</v>
          </cell>
          <cell r="C568" t="str">
            <v>A</v>
          </cell>
          <cell r="D568" t="str">
            <v>Abla Saleh Al Amri</v>
          </cell>
          <cell r="E568" t="str">
            <v>عبله صالح العامري</v>
          </cell>
          <cell r="F568">
            <v>43073</v>
          </cell>
          <cell r="G568" t="str">
            <v>10007141</v>
          </cell>
          <cell r="H568" t="str">
            <v>Administrative Assistant</v>
          </cell>
          <cell r="I568" t="str">
            <v>مساعد إداري</v>
          </cell>
          <cell r="J568" t="str">
            <v>On-Chart</v>
          </cell>
          <cell r="K568" t="str">
            <v>MSS Direct Hires</v>
          </cell>
          <cell r="L568" t="str">
            <v>M1</v>
          </cell>
          <cell r="M568" t="str">
            <v>Department of Culture and Tourism</v>
          </cell>
          <cell r="N568" t="str">
            <v>Zayed National Museum</v>
          </cell>
          <cell r="O568" t="str">
            <v>متحف زايد الوطني</v>
          </cell>
          <cell r="P568" t="str">
            <v>Curatorial &amp; Collection Management</v>
          </cell>
          <cell r="Q568" t="str">
            <v>أمناء المتحف وإدارة المقتنيات</v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>Abu Dhabi</v>
          </cell>
          <cell r="W568" t="str">
            <v/>
          </cell>
          <cell r="X568" t="str">
            <v>4510181</v>
          </cell>
          <cell r="Y568" t="str">
            <v>Content &amp; Care_Curatorial  Management  _Professional</v>
          </cell>
          <cell r="Z568" t="str">
            <v>Jr. Professional Assistant</v>
          </cell>
          <cell r="AA568" t="str">
            <v>6A</v>
          </cell>
        </row>
        <row r="569">
          <cell r="A569">
            <v>1231</v>
          </cell>
          <cell r="B569">
            <v>1231</v>
          </cell>
          <cell r="C569" t="str">
            <v>A</v>
          </cell>
          <cell r="D569" t="str">
            <v>Huthaifa Abdulla Al Zadjali</v>
          </cell>
          <cell r="E569" t="str">
            <v>حذيفة عبدالله الزدجالي</v>
          </cell>
          <cell r="F569">
            <v>43073</v>
          </cell>
          <cell r="G569" t="str">
            <v>50001883</v>
          </cell>
          <cell r="H569" t="str">
            <v>Circulation Senior Specialist</v>
          </cell>
          <cell r="I569" t="str">
            <v>أخصائي أول إعارة</v>
          </cell>
          <cell r="J569" t="str">
            <v>On-Chart</v>
          </cell>
          <cell r="K569" t="str">
            <v>DCT Payroll</v>
          </cell>
          <cell r="L569" t="str">
            <v>A1</v>
          </cell>
          <cell r="M569" t="str">
            <v>Department of Culture and Tourism</v>
          </cell>
          <cell r="N569" t="str">
            <v>Culture</v>
          </cell>
          <cell r="O569" t="str">
            <v>الثقافة</v>
          </cell>
          <cell r="P569" t="str">
            <v>Library Management</v>
          </cell>
          <cell r="Q569" t="str">
            <v>إدارة المكتبات</v>
          </cell>
          <cell r="R569" t="str">
            <v>Zayed Central Library - Al Ain</v>
          </cell>
          <cell r="S569" t="str">
            <v>مكتبة زايد المركزية - العين</v>
          </cell>
          <cell r="T569" t="str">
            <v>Circulation Services</v>
          </cell>
          <cell r="U569" t="str">
            <v>خدمات الإعارة</v>
          </cell>
          <cell r="V569" t="str">
            <v>Al Ain</v>
          </cell>
          <cell r="W569" t="str">
            <v/>
          </cell>
          <cell r="X569" t="str">
            <v>4516100</v>
          </cell>
          <cell r="Y569" t="str">
            <v>Operations_Library Operational Management_Senior Professional</v>
          </cell>
          <cell r="Z569" t="str">
            <v>Senior Professional</v>
          </cell>
          <cell r="AA569" t="str">
            <v>3B</v>
          </cell>
        </row>
        <row r="570">
          <cell r="A570">
            <v>1232</v>
          </cell>
          <cell r="B570">
            <v>1232</v>
          </cell>
          <cell r="C570" t="str">
            <v>A</v>
          </cell>
          <cell r="D570" t="str">
            <v>Rowda Rashed Al Mohain</v>
          </cell>
          <cell r="E570" t="str">
            <v>روضه راشد المحين</v>
          </cell>
          <cell r="F570">
            <v>43073</v>
          </cell>
          <cell r="G570" t="str">
            <v>10007177</v>
          </cell>
          <cell r="H570" t="str">
            <v>Visitor Services Coordinator</v>
          </cell>
          <cell r="I570" t="str">
            <v>منسق خدمات الزوار</v>
          </cell>
          <cell r="J570" t="str">
            <v>On-Chart</v>
          </cell>
          <cell r="K570" t="str">
            <v>DCT Payroll</v>
          </cell>
          <cell r="L570" t="str">
            <v>A1</v>
          </cell>
          <cell r="M570" t="str">
            <v>Department of Culture and Tourism</v>
          </cell>
          <cell r="N570" t="str">
            <v>Culture</v>
          </cell>
          <cell r="O570" t="str">
            <v>الثقافة</v>
          </cell>
          <cell r="P570" t="str">
            <v>Culture Sites Management</v>
          </cell>
          <cell r="Q570" t="str">
            <v>إدارة المواقع الثقافية</v>
          </cell>
          <cell r="R570" t="str">
            <v>Manarat Al Saadiyat</v>
          </cell>
          <cell r="S570" t="str">
            <v>منارة السعديات</v>
          </cell>
          <cell r="T570" t="str">
            <v>Art Studio</v>
          </cell>
          <cell r="U570" t="str">
            <v>استوديو الفنون</v>
          </cell>
          <cell r="V570" t="str">
            <v>Abu Dhabi</v>
          </cell>
          <cell r="W570" t="str">
            <v/>
          </cell>
          <cell r="X570" t="str">
            <v>4511250</v>
          </cell>
          <cell r="Y570" t="str">
            <v>Compliance,Governance&amp;Protocol_Policy (Culture/Tourism) _Professional</v>
          </cell>
          <cell r="Z570" t="str">
            <v>Professional Assistant</v>
          </cell>
          <cell r="AA570" t="str">
            <v>5A</v>
          </cell>
        </row>
        <row r="571">
          <cell r="A571">
            <v>1235</v>
          </cell>
          <cell r="B571">
            <v>1235</v>
          </cell>
          <cell r="C571" t="str">
            <v>A</v>
          </cell>
          <cell r="D571" t="str">
            <v>Shamma Mohamed Al Faheem</v>
          </cell>
          <cell r="E571" t="str">
            <v>شما محمد الفهيم</v>
          </cell>
          <cell r="F571">
            <v>43080</v>
          </cell>
          <cell r="G571" t="str">
            <v>10011671</v>
          </cell>
          <cell r="H571" t="str">
            <v>Programming Senior Specialist</v>
          </cell>
          <cell r="I571" t="str">
            <v>أخصائي أول البرامج</v>
          </cell>
          <cell r="J571" t="str">
            <v>On-Chart</v>
          </cell>
          <cell r="K571" t="str">
            <v>DCT Payroll</v>
          </cell>
          <cell r="L571" t="str">
            <v>A1</v>
          </cell>
          <cell r="M571" t="str">
            <v>Department of Culture and Tourism</v>
          </cell>
          <cell r="N571" t="str">
            <v>Culture</v>
          </cell>
          <cell r="O571" t="str">
            <v>الثقافة</v>
          </cell>
          <cell r="P571" t="str">
            <v>Culture Sites Management</v>
          </cell>
          <cell r="Q571" t="str">
            <v>إدارة المواقع الثقافية</v>
          </cell>
          <cell r="R571" t="str">
            <v>Qasr Al Hosn</v>
          </cell>
          <cell r="S571" t="str">
            <v>قصر الحصن</v>
          </cell>
          <cell r="T571" t="str">
            <v>Curatorial &amp; Public Engagement</v>
          </cell>
          <cell r="U571" t="str">
            <v>الاقتناء والمشاركة المجتمعية</v>
          </cell>
          <cell r="V571" t="str">
            <v>Abu Dhabi</v>
          </cell>
          <cell r="W571" t="str">
            <v/>
          </cell>
          <cell r="X571" t="str">
            <v>4511250</v>
          </cell>
          <cell r="Y571" t="str">
            <v>Compliance,Governance&amp;Protocol_Policy (Culture/Tourism _Senior Professional</v>
          </cell>
          <cell r="Z571" t="str">
            <v>Senior Professional</v>
          </cell>
          <cell r="AA571" t="str">
            <v>3B</v>
          </cell>
        </row>
        <row r="572">
          <cell r="A572">
            <v>1236</v>
          </cell>
          <cell r="B572">
            <v>1236</v>
          </cell>
          <cell r="C572" t="str">
            <v>A</v>
          </cell>
          <cell r="D572" t="str">
            <v>Tarfa Sultan Al Derei</v>
          </cell>
          <cell r="E572" t="str">
            <v>طرفة سلطان الدرعي</v>
          </cell>
          <cell r="F572">
            <v>43080</v>
          </cell>
          <cell r="G572" t="str">
            <v>10007202</v>
          </cell>
          <cell r="H572" t="str">
            <v>Children Services Specialist</v>
          </cell>
          <cell r="I572" t="str">
            <v>أخصائي خدمات الأطفال</v>
          </cell>
          <cell r="J572" t="str">
            <v>On-Chart</v>
          </cell>
          <cell r="K572" t="str">
            <v>DCT Payroll</v>
          </cell>
          <cell r="L572" t="str">
            <v>A1</v>
          </cell>
          <cell r="M572" t="str">
            <v>Department of Culture and Tourism</v>
          </cell>
          <cell r="N572" t="str">
            <v>Culture</v>
          </cell>
          <cell r="O572" t="str">
            <v>الثقافة</v>
          </cell>
          <cell r="P572" t="str">
            <v>Library Management</v>
          </cell>
          <cell r="Q572" t="str">
            <v>إدارة المكتبات</v>
          </cell>
          <cell r="R572" t="str">
            <v>Zayed Central Library - Al Ain</v>
          </cell>
          <cell r="S572" t="str">
            <v>مكتبة زايد المركزية - العين</v>
          </cell>
          <cell r="T572" t="str">
            <v>Children Services</v>
          </cell>
          <cell r="U572" t="str">
            <v>خدمات الأطفال</v>
          </cell>
          <cell r="V572" t="str">
            <v>Al Ain</v>
          </cell>
          <cell r="W572" t="str">
            <v/>
          </cell>
          <cell r="X572" t="str">
            <v>4516100</v>
          </cell>
          <cell r="Y572" t="str">
            <v>Interpretation &amp; Engagement_Library Service Delivery (Librarian)_Professional</v>
          </cell>
          <cell r="Z572" t="str">
            <v>Professional</v>
          </cell>
          <cell r="AA572" t="str">
            <v>4A</v>
          </cell>
        </row>
        <row r="573">
          <cell r="A573">
            <v>1238</v>
          </cell>
          <cell r="B573">
            <v>1238</v>
          </cell>
          <cell r="C573" t="str">
            <v>A</v>
          </cell>
          <cell r="D573" t="str">
            <v>Ghaneya Suhail Al Ameri</v>
          </cell>
          <cell r="E573" t="str">
            <v>غنية سهيل العامري</v>
          </cell>
          <cell r="F573">
            <v>43080</v>
          </cell>
          <cell r="G573" t="str">
            <v>10007205</v>
          </cell>
          <cell r="H573" t="str">
            <v>Children Services Specialist</v>
          </cell>
          <cell r="I573" t="str">
            <v>أخصائي خدمات الأطفال</v>
          </cell>
          <cell r="J573" t="str">
            <v>On-Chart</v>
          </cell>
          <cell r="K573" t="str">
            <v>DCT Payroll</v>
          </cell>
          <cell r="L573" t="str">
            <v>A1</v>
          </cell>
          <cell r="M573" t="str">
            <v>Department of Culture and Tourism</v>
          </cell>
          <cell r="N573" t="str">
            <v>Culture</v>
          </cell>
          <cell r="O573" t="str">
            <v>الثقافة</v>
          </cell>
          <cell r="P573" t="str">
            <v>Library Management</v>
          </cell>
          <cell r="Q573" t="str">
            <v>إدارة المكتبات</v>
          </cell>
          <cell r="R573" t="str">
            <v>Zayed Central Library - Al Ain</v>
          </cell>
          <cell r="S573" t="str">
            <v>مكتبة زايد المركزية - العين</v>
          </cell>
          <cell r="T573" t="str">
            <v>Children Services</v>
          </cell>
          <cell r="U573" t="str">
            <v>خدمات الأطفال</v>
          </cell>
          <cell r="V573" t="str">
            <v>Al Ain</v>
          </cell>
          <cell r="W573" t="str">
            <v/>
          </cell>
          <cell r="X573" t="str">
            <v>4516100</v>
          </cell>
          <cell r="Y573" t="str">
            <v>Interpretation &amp; Engagement_Library Service Delivery (Librarian)_Professional</v>
          </cell>
          <cell r="Z573" t="str">
            <v>Professional</v>
          </cell>
          <cell r="AA573" t="str">
            <v>4A</v>
          </cell>
        </row>
        <row r="574">
          <cell r="A574">
            <v>1240</v>
          </cell>
          <cell r="B574">
            <v>1240</v>
          </cell>
          <cell r="C574" t="str">
            <v>A</v>
          </cell>
          <cell r="D574" t="str">
            <v>Mahra Abdulla Binhussain</v>
          </cell>
          <cell r="E574" t="str">
            <v>مهره عبدالله بن حسين</v>
          </cell>
          <cell r="F574">
            <v>43094</v>
          </cell>
          <cell r="G574" t="str">
            <v>47700003</v>
          </cell>
          <cell r="H574" t="str">
            <v>Employee Relations Unit Head</v>
          </cell>
          <cell r="I574" t="str">
            <v>رئيس وحدة شؤون الموظفين</v>
          </cell>
          <cell r="J574" t="str">
            <v>On-Chart</v>
          </cell>
          <cell r="K574" t="str">
            <v>DCT Payroll</v>
          </cell>
          <cell r="L574" t="str">
            <v>A1</v>
          </cell>
          <cell r="M574" t="str">
            <v>Department of Culture and Tourism</v>
          </cell>
          <cell r="N574" t="str">
            <v>Support Services</v>
          </cell>
          <cell r="O574" t="str">
            <v>الخدمات المساندة</v>
          </cell>
          <cell r="P574" t="str">
            <v>People &amp; Performance</v>
          </cell>
          <cell r="Q574" t="str">
            <v>إدارة الكوادر البشرية والأداء</v>
          </cell>
          <cell r="R574" t="str">
            <v>Employee Relations</v>
          </cell>
          <cell r="S574" t="str">
            <v>شؤون الموظفين</v>
          </cell>
          <cell r="T574" t="str">
            <v>Employee Relations</v>
          </cell>
          <cell r="U574" t="str">
            <v>شؤون الموظفين</v>
          </cell>
          <cell r="V574" t="str">
            <v>Abu Dhabi</v>
          </cell>
          <cell r="W574" t="str">
            <v/>
          </cell>
          <cell r="X574" t="str">
            <v>4510220</v>
          </cell>
          <cell r="Y574" t="str">
            <v>People &amp; Performance _Employee Relations _Unit Head</v>
          </cell>
          <cell r="Z574" t="str">
            <v>Unit Head</v>
          </cell>
          <cell r="AA574" t="str">
            <v>3A</v>
          </cell>
        </row>
        <row r="575">
          <cell r="A575">
            <v>1242</v>
          </cell>
          <cell r="B575">
            <v>1242</v>
          </cell>
          <cell r="C575" t="str">
            <v>A</v>
          </cell>
          <cell r="D575" t="str">
            <v>Asma Mohammed Al Memari</v>
          </cell>
          <cell r="E575" t="str">
            <v>أسماء محمد المعمري</v>
          </cell>
          <cell r="F575">
            <v>43108</v>
          </cell>
          <cell r="G575" t="str">
            <v>10004363</v>
          </cell>
          <cell r="H575" t="str">
            <v>Library Officer</v>
          </cell>
          <cell r="I575" t="str">
            <v>ضابط شؤون المكتبة</v>
          </cell>
          <cell r="J575" t="str">
            <v>On-Chart</v>
          </cell>
          <cell r="K575" t="str">
            <v>DCT Payroll</v>
          </cell>
          <cell r="L575" t="str">
            <v>A1</v>
          </cell>
          <cell r="M575" t="str">
            <v>Department of Culture and Tourism</v>
          </cell>
          <cell r="N575" t="str">
            <v>Culture</v>
          </cell>
          <cell r="O575" t="str">
            <v>الثقافة</v>
          </cell>
          <cell r="P575" t="str">
            <v>Library Management</v>
          </cell>
          <cell r="Q575" t="str">
            <v>إدارة المكتبات</v>
          </cell>
          <cell r="R575" t="str">
            <v>Branches Library</v>
          </cell>
          <cell r="S575" t="str">
            <v>فروع المكتبات</v>
          </cell>
          <cell r="T575" t="str">
            <v>Al Bahia Library</v>
          </cell>
          <cell r="U575" t="str">
            <v>مكتبة الباهية</v>
          </cell>
          <cell r="V575" t="str">
            <v>Abu Dhabi</v>
          </cell>
          <cell r="W575" t="str">
            <v/>
          </cell>
          <cell r="X575" t="str">
            <v>4516100</v>
          </cell>
          <cell r="Y575" t="str">
            <v>Interpretation &amp; Engagement_Library Service Delivery (Librarian)_Professional</v>
          </cell>
          <cell r="Z575" t="str">
            <v>Professional</v>
          </cell>
          <cell r="AA575" t="str">
            <v>4A</v>
          </cell>
        </row>
        <row r="576">
          <cell r="A576">
            <v>1244</v>
          </cell>
          <cell r="B576">
            <v>1244</v>
          </cell>
          <cell r="C576" t="str">
            <v>A</v>
          </cell>
          <cell r="D576" t="str">
            <v>Felipe Andres Gutierrez</v>
          </cell>
          <cell r="E576" t="str">
            <v>فيليب اندريس جوتريز</v>
          </cell>
          <cell r="F576">
            <v>43122</v>
          </cell>
          <cell r="G576" t="str">
            <v>10009097</v>
          </cell>
          <cell r="H576" t="str">
            <v>Conservation - Archaeological Sites Unit Head</v>
          </cell>
          <cell r="I576" t="str">
            <v>رئيس وحدة حماية مواقع الآثار</v>
          </cell>
          <cell r="J576" t="str">
            <v>On-Chart</v>
          </cell>
          <cell r="K576" t="str">
            <v>DCT Payroll</v>
          </cell>
          <cell r="L576" t="str">
            <v>A1</v>
          </cell>
          <cell r="M576" t="str">
            <v>Department of Culture and Tourism</v>
          </cell>
          <cell r="N576" t="str">
            <v>Culture</v>
          </cell>
          <cell r="O576" t="str">
            <v>الثقافة</v>
          </cell>
          <cell r="P576" t="str">
            <v>Historic Environment</v>
          </cell>
          <cell r="Q576" t="str">
            <v>البيئة التاريخية</v>
          </cell>
          <cell r="R576" t="str">
            <v>Conservation</v>
          </cell>
          <cell r="S576" t="str">
            <v>الترميم</v>
          </cell>
          <cell r="T576" t="str">
            <v>Conservation – Archaeological Sites</v>
          </cell>
          <cell r="U576" t="str">
            <v>حماية مواقع الآثار</v>
          </cell>
          <cell r="V576" t="str">
            <v>Abu Dhabi</v>
          </cell>
          <cell r="W576" t="str">
            <v/>
          </cell>
          <cell r="X576" t="str">
            <v>4511300</v>
          </cell>
          <cell r="Y576" t="str">
            <v>Compliance,Governance&amp;Protocol_Policy (Culture/Tourism _Senior Professional</v>
          </cell>
          <cell r="Z576" t="str">
            <v>Unit Head</v>
          </cell>
          <cell r="AA576" t="str">
            <v>3A</v>
          </cell>
        </row>
        <row r="577">
          <cell r="A577">
            <v>1246</v>
          </cell>
          <cell r="B577">
            <v>1246</v>
          </cell>
          <cell r="C577" t="str">
            <v>A</v>
          </cell>
          <cell r="D577" t="str">
            <v>Sara Abdulla Alketbi</v>
          </cell>
          <cell r="E577" t="str">
            <v>سارة عبدالله الكتبي</v>
          </cell>
          <cell r="F577">
            <v>43136</v>
          </cell>
          <cell r="G577" t="str">
            <v>50004166</v>
          </cell>
          <cell r="H577" t="str">
            <v>Strategic Integration &amp; Planning Senior Specialist</v>
          </cell>
          <cell r="I577" t="str">
            <v>أخصائي أول دمج الأستراتيجية والتخطيط</v>
          </cell>
          <cell r="J577" t="str">
            <v>On-Chart</v>
          </cell>
          <cell r="K577" t="str">
            <v>DCT Payroll</v>
          </cell>
          <cell r="L577" t="str">
            <v>A1</v>
          </cell>
          <cell r="M577" t="str">
            <v>Department of Culture and Tourism</v>
          </cell>
          <cell r="N577" t="str">
            <v>Tourism</v>
          </cell>
          <cell r="O577" t="str">
            <v>السياحة</v>
          </cell>
          <cell r="P577" t="str">
            <v>Visitors Experience</v>
          </cell>
          <cell r="Q577" t="str">
            <v>تجربة الزوار</v>
          </cell>
          <cell r="R577" t="str">
            <v>Strategic Integration &amp; Planning</v>
          </cell>
          <cell r="S577" t="str">
            <v>دمج الاستراتيجية والتخطيط</v>
          </cell>
          <cell r="T577" t="str">
            <v>Strategic Integration &amp; Planning Unit</v>
          </cell>
          <cell r="U577" t="str">
            <v/>
          </cell>
          <cell r="V577" t="str">
            <v>Abu Dhabi</v>
          </cell>
          <cell r="W577" t="str">
            <v/>
          </cell>
          <cell r="X577" t="str">
            <v>4515300</v>
          </cell>
          <cell r="Y577" t="str">
            <v>Senior Specialization Visitor Services &amp; Protocol</v>
          </cell>
          <cell r="Z577" t="str">
            <v>Senior Professional</v>
          </cell>
          <cell r="AA577" t="str">
            <v>3A</v>
          </cell>
        </row>
        <row r="578">
          <cell r="A578">
            <v>1247</v>
          </cell>
          <cell r="B578">
            <v>1247</v>
          </cell>
          <cell r="C578" t="str">
            <v>A</v>
          </cell>
          <cell r="D578" t="str">
            <v>Fatema Mohamed AlBoushelaibi</v>
          </cell>
          <cell r="E578" t="str">
            <v>فاطمه محمد البوشليبي</v>
          </cell>
          <cell r="F578">
            <v>43136</v>
          </cell>
          <cell r="G578" t="str">
            <v>50003026</v>
          </cell>
          <cell r="H578" t="str">
            <v>Project Management Unit Head</v>
          </cell>
          <cell r="I578" t="str">
            <v>رئيس وحدة إدارة المشاريع</v>
          </cell>
          <cell r="J578" t="str">
            <v>On-Chart</v>
          </cell>
          <cell r="K578" t="str">
            <v>MSS Direct Hires</v>
          </cell>
          <cell r="L578" t="str">
            <v>M1</v>
          </cell>
          <cell r="M578" t="str">
            <v>Department of Culture and Tourism</v>
          </cell>
          <cell r="N578" t="str">
            <v>Abrahamic Family House Center</v>
          </cell>
          <cell r="O578" t="str">
            <v>مركز بيت العائلة الإبراهيمية</v>
          </cell>
          <cell r="P578" t="str">
            <v>Office of Executive Director</v>
          </cell>
          <cell r="Q578" t="str">
            <v>مكتب المدير التنفيذي</v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>Abu Dhabi</v>
          </cell>
          <cell r="W578" t="str">
            <v/>
          </cell>
          <cell r="X578" t="str">
            <v>4514121</v>
          </cell>
          <cell r="Y578" t="str">
            <v>Senior Specialization Project Management</v>
          </cell>
          <cell r="Z578" t="str">
            <v>Unit Head</v>
          </cell>
          <cell r="AA578" t="str">
            <v>3A</v>
          </cell>
        </row>
        <row r="579">
          <cell r="A579">
            <v>1248</v>
          </cell>
          <cell r="B579">
            <v>1248</v>
          </cell>
          <cell r="C579" t="str">
            <v>A</v>
          </cell>
          <cell r="D579" t="str">
            <v>Muneera Saif Al Aryani</v>
          </cell>
          <cell r="E579" t="str">
            <v>منيرة سيف العرياني</v>
          </cell>
          <cell r="F579">
            <v>43136</v>
          </cell>
          <cell r="G579" t="str">
            <v>50001515</v>
          </cell>
          <cell r="H579" t="str">
            <v>Circulation Specialist</v>
          </cell>
          <cell r="I579" t="str">
            <v>أخصائي إعارة</v>
          </cell>
          <cell r="J579" t="str">
            <v>On-Chart</v>
          </cell>
          <cell r="K579" t="str">
            <v>DCT Payroll</v>
          </cell>
          <cell r="L579" t="str">
            <v>A1</v>
          </cell>
          <cell r="M579" t="str">
            <v>Department of Culture and Tourism</v>
          </cell>
          <cell r="N579" t="str">
            <v>Culture</v>
          </cell>
          <cell r="O579" t="str">
            <v>الثقافة</v>
          </cell>
          <cell r="P579" t="str">
            <v>Library Management</v>
          </cell>
          <cell r="Q579" t="str">
            <v>إدارة المكتبات</v>
          </cell>
          <cell r="R579" t="str">
            <v>Zayed Central Library - Al Ain</v>
          </cell>
          <cell r="S579" t="str">
            <v>مكتبة زايد المركزية - العين</v>
          </cell>
          <cell r="T579" t="str">
            <v>Circulation Services</v>
          </cell>
          <cell r="U579" t="str">
            <v>خدمات الإعارة</v>
          </cell>
          <cell r="V579" t="str">
            <v>Abu Dhabi</v>
          </cell>
          <cell r="W579" t="str">
            <v/>
          </cell>
          <cell r="X579" t="str">
            <v>4516100</v>
          </cell>
          <cell r="Y579" t="str">
            <v>Interpretation &amp; Engagement_Library Service Delivery (Librarian)_Professional</v>
          </cell>
          <cell r="Z579" t="str">
            <v>Professional</v>
          </cell>
          <cell r="AA579" t="str">
            <v>4A</v>
          </cell>
        </row>
        <row r="580">
          <cell r="A580">
            <v>1250</v>
          </cell>
          <cell r="B580">
            <v>1250</v>
          </cell>
          <cell r="C580" t="str">
            <v>A</v>
          </cell>
          <cell r="D580" t="str">
            <v>Najeeb Fawzi Ghraizy</v>
          </cell>
          <cell r="E580" t="str">
            <v>نجيب فوزي غريزي</v>
          </cell>
          <cell r="F580">
            <v>43136</v>
          </cell>
          <cell r="G580" t="str">
            <v>41000154</v>
          </cell>
          <cell r="H580" t="str">
            <v>CWIP Manager</v>
          </cell>
          <cell r="I580" t="str">
            <v>مدير المشاريع الرأسمالية</v>
          </cell>
          <cell r="J580" t="str">
            <v>On-Chart</v>
          </cell>
          <cell r="K580" t="str">
            <v>DCT Payroll</v>
          </cell>
          <cell r="L580" t="str">
            <v>A1</v>
          </cell>
          <cell r="M580" t="str">
            <v>Department of Culture and Tourism</v>
          </cell>
          <cell r="N580" t="str">
            <v>Tendering &amp; Projects Control</v>
          </cell>
          <cell r="O580" t="str">
            <v>مكتب وكيل الدائرة</v>
          </cell>
          <cell r="P580" t="str">
            <v>Tendering &amp; Projects Control</v>
          </cell>
          <cell r="Q580" t="str">
            <v>المناقصات ومراقبة المشاريع</v>
          </cell>
          <cell r="R580" t="str">
            <v>Contracts Administration &amp; Cost Estimation</v>
          </cell>
          <cell r="S580" t="str">
            <v>إدارة العقود وتقدير التكاليف</v>
          </cell>
          <cell r="T580" t="str">
            <v/>
          </cell>
          <cell r="U580" t="str">
            <v/>
          </cell>
          <cell r="V580" t="str">
            <v>Abu Dhabi</v>
          </cell>
          <cell r="W580" t="str">
            <v/>
          </cell>
          <cell r="X580" t="str">
            <v>4510155</v>
          </cell>
          <cell r="Y580" t="str">
            <v>Procurement_Tendering_Senior Professional</v>
          </cell>
          <cell r="Z580" t="str">
            <v>Unit Head</v>
          </cell>
          <cell r="AA580" t="str">
            <v>3A</v>
          </cell>
        </row>
        <row r="581">
          <cell r="A581">
            <v>1253</v>
          </cell>
          <cell r="B581">
            <v>1253</v>
          </cell>
          <cell r="C581" t="str">
            <v>A</v>
          </cell>
          <cell r="D581" t="str">
            <v>Ali Hassan Alshaiba</v>
          </cell>
          <cell r="E581" t="str">
            <v>علي حسن الشيبه</v>
          </cell>
          <cell r="F581">
            <v>43160</v>
          </cell>
          <cell r="G581" t="str">
            <v>10010512</v>
          </cell>
          <cell r="H581" t="str">
            <v>Advisor</v>
          </cell>
          <cell r="I581" t="str">
            <v>مستشار</v>
          </cell>
          <cell r="J581" t="str">
            <v>Off-Chart</v>
          </cell>
          <cell r="K581" t="str">
            <v>DCT Payroll</v>
          </cell>
          <cell r="L581" t="str">
            <v>A1</v>
          </cell>
          <cell r="M581" t="str">
            <v>Department of Culture and Tourism</v>
          </cell>
          <cell r="N581" t="str">
            <v>Strategic Affairs</v>
          </cell>
          <cell r="O581" t="str">
            <v>الشؤون الاستراتيجية</v>
          </cell>
          <cell r="P581" t="str">
            <v>Office of Strategic Affairs Executive Director</v>
          </cell>
          <cell r="Q581" t="str">
            <v>مكتب المدير التنفيذي لقطاع الشؤون الاستراتيجية</v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>Abu Dhabi</v>
          </cell>
          <cell r="W581" t="str">
            <v/>
          </cell>
          <cell r="X581" t="str">
            <v>4512010</v>
          </cell>
          <cell r="Y581" t="str">
            <v>Executive Management _Strategic Affairs _Executive Director</v>
          </cell>
          <cell r="Z581" t="str">
            <v>Executive Director</v>
          </cell>
          <cell r="AA581" t="str">
            <v>ED - A</v>
          </cell>
        </row>
        <row r="582">
          <cell r="A582">
            <v>1255</v>
          </cell>
          <cell r="B582">
            <v>1255</v>
          </cell>
          <cell r="C582" t="str">
            <v>A</v>
          </cell>
          <cell r="D582" t="str">
            <v>Sara Abdulkareem Alzarouni</v>
          </cell>
          <cell r="E582" t="str">
            <v>سارة عبدالكريم الزرعوني</v>
          </cell>
          <cell r="F582">
            <v>43185</v>
          </cell>
          <cell r="G582" t="str">
            <v>50003194</v>
          </cell>
          <cell r="H582" t="str">
            <v>Brand Management Unit Head</v>
          </cell>
          <cell r="I582" t="str">
            <v>رئيس وحدة إدارة العلامات التجارية</v>
          </cell>
          <cell r="J582" t="str">
            <v>On-Chart</v>
          </cell>
          <cell r="K582" t="str">
            <v>DCT Payroll</v>
          </cell>
          <cell r="L582" t="str">
            <v>A1</v>
          </cell>
          <cell r="M582" t="str">
            <v>Department of Culture and Tourism</v>
          </cell>
          <cell r="N582" t="str">
            <v>Strategic Marketing &amp; Communication</v>
          </cell>
          <cell r="O582" t="str">
            <v>التسويق والاتصال الاستراتيجي</v>
          </cell>
          <cell r="P582" t="str">
            <v>Creative &amp; Production</v>
          </cell>
          <cell r="Q582" t="str">
            <v>الإبداع والإنتاج</v>
          </cell>
          <cell r="R582" t="str">
            <v>Creative Content</v>
          </cell>
          <cell r="S582" t="str">
            <v>المحتوى الإبداعي</v>
          </cell>
          <cell r="T582" t="str">
            <v>Brand Strategy</v>
          </cell>
          <cell r="U582" t="str">
            <v>استراتيجية العلامات التجارية</v>
          </cell>
          <cell r="V582" t="str">
            <v>Abu Dhabi</v>
          </cell>
          <cell r="W582" t="str">
            <v/>
          </cell>
          <cell r="X582" t="str">
            <v>4513110</v>
          </cell>
          <cell r="Y582" t="str">
            <v>Senior Specialization Marketing &amp; Communications</v>
          </cell>
          <cell r="Z582" t="str">
            <v>Unit Head</v>
          </cell>
          <cell r="AA582" t="str">
            <v>3A</v>
          </cell>
        </row>
        <row r="583">
          <cell r="A583">
            <v>1259</v>
          </cell>
          <cell r="B583">
            <v>1259</v>
          </cell>
          <cell r="C583" t="str">
            <v>A</v>
          </cell>
          <cell r="D583" t="str">
            <v>Ali Jassem Alzaabi</v>
          </cell>
          <cell r="E583" t="str">
            <v>علي جاسم الزعابي</v>
          </cell>
          <cell r="F583">
            <v>43212</v>
          </cell>
          <cell r="G583" t="str">
            <v>10008216</v>
          </cell>
          <cell r="H583" t="str">
            <v>Accounts Receivables Accountant</v>
          </cell>
          <cell r="I583" t="str">
            <v>محاسب الحسابات المستحقة</v>
          </cell>
          <cell r="J583" t="str">
            <v>On-Chart</v>
          </cell>
          <cell r="K583" t="str">
            <v>DCT Payroll</v>
          </cell>
          <cell r="L583" t="str">
            <v>A1</v>
          </cell>
          <cell r="M583" t="str">
            <v>Department of Culture and Tourism</v>
          </cell>
          <cell r="N583" t="str">
            <v>Support Services</v>
          </cell>
          <cell r="O583" t="str">
            <v>الخدمات المساندة</v>
          </cell>
          <cell r="P583" t="str">
            <v>Finance</v>
          </cell>
          <cell r="Q583" t="str">
            <v>إدارة المالية</v>
          </cell>
          <cell r="R583" t="str">
            <v>Receivables Operations</v>
          </cell>
          <cell r="S583" t="str">
            <v>عمليات الحسابات المستحقة</v>
          </cell>
          <cell r="T583" t="str">
            <v>Accounts Receivables</v>
          </cell>
          <cell r="U583" t="str">
            <v>حسابات مستحقة</v>
          </cell>
          <cell r="V583" t="str">
            <v>Abu Dhabi</v>
          </cell>
          <cell r="W583" t="str">
            <v/>
          </cell>
          <cell r="X583" t="str">
            <v>4510210</v>
          </cell>
          <cell r="Y583" t="str">
            <v>Finance_Accountant _Professional Assistant</v>
          </cell>
          <cell r="Z583" t="str">
            <v>Professional</v>
          </cell>
          <cell r="AA583" t="str">
            <v>4A</v>
          </cell>
        </row>
        <row r="584">
          <cell r="A584">
            <v>1261</v>
          </cell>
          <cell r="B584">
            <v>1261</v>
          </cell>
          <cell r="C584" t="str">
            <v>A</v>
          </cell>
          <cell r="D584" t="str">
            <v>Shamma Saeed Al Ghfeli</v>
          </cell>
          <cell r="E584" t="str">
            <v>شما سعيد الغفلي</v>
          </cell>
          <cell r="F584">
            <v>43221</v>
          </cell>
          <cell r="G584" t="str">
            <v>50002474</v>
          </cell>
          <cell r="H584" t="str">
            <v>School Programmes Senior Specialist</v>
          </cell>
          <cell r="I584" t="str">
            <v>أخصائي أول برامج المدارس</v>
          </cell>
          <cell r="J584" t="str">
            <v>On-Chart</v>
          </cell>
          <cell r="K584" t="str">
            <v>MSS Direct Hires</v>
          </cell>
          <cell r="L584" t="str">
            <v>M1</v>
          </cell>
          <cell r="M584" t="str">
            <v>Department of Culture and Tourism</v>
          </cell>
          <cell r="N584" t="str">
            <v>Zayed National Museum</v>
          </cell>
          <cell r="O584" t="str">
            <v>متحف زايد الوطني</v>
          </cell>
          <cell r="P584" t="str">
            <v>Learning &amp; Public Engagement</v>
          </cell>
          <cell r="Q584" t="str">
            <v>التعليم والمشاركة المجتمعية</v>
          </cell>
          <cell r="R584" t="str">
            <v>Learning &amp; Audience Engagement</v>
          </cell>
          <cell r="S584" t="str">
            <v>التعليم وإشراك الجمهور</v>
          </cell>
          <cell r="T584" t="str">
            <v>School Programmes</v>
          </cell>
          <cell r="U584" t="str">
            <v>برامج المدارس</v>
          </cell>
          <cell r="V584" t="str">
            <v>Abu Dhabi</v>
          </cell>
          <cell r="W584" t="str">
            <v/>
          </cell>
          <cell r="X584" t="str">
            <v>4510182</v>
          </cell>
          <cell r="Y584" t="str">
            <v>Interpretation &amp; Engagement_Education &amp; Learning Development &amp;   Engagement(All)_Unit Head</v>
          </cell>
          <cell r="Z584" t="str">
            <v>Senior Professional</v>
          </cell>
          <cell r="AA584" t="str">
            <v>3B</v>
          </cell>
        </row>
        <row r="585">
          <cell r="A585">
            <v>1262</v>
          </cell>
          <cell r="B585">
            <v>1262</v>
          </cell>
          <cell r="C585" t="str">
            <v>A</v>
          </cell>
          <cell r="D585" t="str">
            <v>Noura Hamad Al Hameli</v>
          </cell>
          <cell r="E585" t="str">
            <v>نورة حمد الهاملي</v>
          </cell>
          <cell r="F585">
            <v>43221</v>
          </cell>
          <cell r="G585" t="str">
            <v>10006393</v>
          </cell>
          <cell r="H585" t="str">
            <v>Archaeological Research Unit Head (Al Dhafra &amp; Abu Dhabi)</v>
          </cell>
          <cell r="I585" t="str">
            <v>رئيس وحدة البحوث الأثرية (الظفرة وأبو ظبي)</v>
          </cell>
          <cell r="J585" t="str">
            <v>On-Chart</v>
          </cell>
          <cell r="K585" t="str">
            <v>DCT Payroll</v>
          </cell>
          <cell r="L585" t="str">
            <v>A1</v>
          </cell>
          <cell r="M585" t="str">
            <v>Department of Culture and Tourism</v>
          </cell>
          <cell r="N585" t="str">
            <v>Culture</v>
          </cell>
          <cell r="O585" t="str">
            <v>الثقافة</v>
          </cell>
          <cell r="P585" t="str">
            <v>Historic Environment</v>
          </cell>
          <cell r="Q585" t="str">
            <v>البيئة التاريخية</v>
          </cell>
          <cell r="R585" t="str">
            <v>Archaeology &amp; Paleontology</v>
          </cell>
          <cell r="S585" t="str">
            <v>علم الآثار</v>
          </cell>
          <cell r="T585" t="str">
            <v>Archaeological Research (Al Dhafra &amp; Abu Dhabi)</v>
          </cell>
          <cell r="U585" t="str">
            <v>البحوث الأثرية (الظفرة وأبو ظبي)</v>
          </cell>
          <cell r="V585" t="str">
            <v>Al Ain</v>
          </cell>
          <cell r="W585" t="str">
            <v/>
          </cell>
          <cell r="X585" t="str">
            <v>4511300</v>
          </cell>
          <cell r="Y585" t="str">
            <v>Compliance,Governance&amp;Protocol_Policy  (Culture &amp; Tourism)_Unit Head</v>
          </cell>
          <cell r="Z585" t="str">
            <v>Unit Head</v>
          </cell>
          <cell r="AA585" t="str">
            <v>3A</v>
          </cell>
        </row>
        <row r="586">
          <cell r="A586">
            <v>1263</v>
          </cell>
          <cell r="B586">
            <v>1263</v>
          </cell>
          <cell r="C586" t="str">
            <v>A</v>
          </cell>
          <cell r="D586" t="str">
            <v>Wissam Halimi</v>
          </cell>
          <cell r="E586" t="str">
            <v>وسام  حليمي</v>
          </cell>
          <cell r="F586">
            <v>43221</v>
          </cell>
          <cell r="G586" t="str">
            <v>50004111</v>
          </cell>
          <cell r="H586" t="str">
            <v>Special Projects Director</v>
          </cell>
          <cell r="I586" t="str">
            <v>مدير المشاريع الخاصة</v>
          </cell>
          <cell r="J586" t="str">
            <v>On-Chart</v>
          </cell>
          <cell r="K586" t="str">
            <v>DCT Payroll</v>
          </cell>
          <cell r="L586" t="str">
            <v>A1</v>
          </cell>
          <cell r="M586" t="str">
            <v>Department of Culture and Tourism</v>
          </cell>
          <cell r="N586" t="str">
            <v>Office Of Undersecretary</v>
          </cell>
          <cell r="O586" t="str">
            <v>مكتب وكيل الدائرة</v>
          </cell>
          <cell r="P586" t="str">
            <v>Office Of Undersecretary</v>
          </cell>
          <cell r="Q586" t="str">
            <v>مكتب وكيل الدائرة</v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>Abu Dhabi</v>
          </cell>
          <cell r="W586" t="str">
            <v/>
          </cell>
          <cell r="X586" t="str">
            <v>4510110</v>
          </cell>
          <cell r="Y586" t="str">
            <v/>
          </cell>
          <cell r="Z586" t="str">
            <v>Director</v>
          </cell>
          <cell r="AA586" t="str">
            <v>1A</v>
          </cell>
        </row>
        <row r="587">
          <cell r="A587">
            <v>1264</v>
          </cell>
          <cell r="B587">
            <v>1264</v>
          </cell>
          <cell r="C587" t="str">
            <v>A</v>
          </cell>
          <cell r="D587" t="str">
            <v>Wail Alkayali Al Alem</v>
          </cell>
          <cell r="E587" t="str">
            <v>وائل  الخيلي العالم</v>
          </cell>
          <cell r="F587">
            <v>43221</v>
          </cell>
          <cell r="G587" t="str">
            <v>50001577</v>
          </cell>
          <cell r="H587" t="str">
            <v>Strategic Planning Department Director</v>
          </cell>
          <cell r="I587" t="str">
            <v>مدير إدارة التخطيط الاستراتيجي</v>
          </cell>
          <cell r="J587" t="str">
            <v>On-Chart</v>
          </cell>
          <cell r="K587" t="str">
            <v>DCT Payroll</v>
          </cell>
          <cell r="L587" t="str">
            <v>A1</v>
          </cell>
          <cell r="M587" t="str">
            <v>Department of Culture and Tourism</v>
          </cell>
          <cell r="N587" t="str">
            <v>Strategic Affairs</v>
          </cell>
          <cell r="O587" t="str">
            <v>الشؤون الاستراتيجية</v>
          </cell>
          <cell r="P587" t="str">
            <v>Strategic Planning</v>
          </cell>
          <cell r="Q587" t="str">
            <v>التخطيط الاستراتيجي</v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>Abu Dhabi</v>
          </cell>
          <cell r="W587" t="str">
            <v/>
          </cell>
          <cell r="X587" t="str">
            <v>4512100</v>
          </cell>
          <cell r="Y587" t="str">
            <v>Strategy, Planning, Project Mgt_Strategic Planning Delivery &amp; Reporting _Director</v>
          </cell>
          <cell r="Z587" t="str">
            <v>Director</v>
          </cell>
          <cell r="AA587" t="str">
            <v>1B</v>
          </cell>
        </row>
        <row r="588">
          <cell r="A588">
            <v>1265</v>
          </cell>
          <cell r="B588">
            <v>1265</v>
          </cell>
          <cell r="C588" t="str">
            <v>A</v>
          </cell>
          <cell r="D588" t="str">
            <v>Jasmine Ai Ni Lew</v>
          </cell>
          <cell r="E588" t="str">
            <v>جاسمن ليو أي ناي</v>
          </cell>
          <cell r="F588">
            <v>43227</v>
          </cell>
          <cell r="G588" t="str">
            <v>41000144</v>
          </cell>
          <cell r="H588" t="str">
            <v>Ecosystem Development Section Head</v>
          </cell>
          <cell r="I588" t="str">
            <v>رئيس قسم  نظام الإدارة المتكامل</v>
          </cell>
          <cell r="J588" t="str">
            <v>On-Chart</v>
          </cell>
          <cell r="K588" t="str">
            <v>DCT Payroll</v>
          </cell>
          <cell r="L588" t="str">
            <v>A1</v>
          </cell>
          <cell r="M588" t="str">
            <v>Department of Culture and Tourism</v>
          </cell>
          <cell r="N588" t="str">
            <v>Tourism</v>
          </cell>
          <cell r="O588" t="str">
            <v>السياحة</v>
          </cell>
          <cell r="P588" t="str">
            <v>Abu Dhabi Conventions &amp; Exhibition Bureau</v>
          </cell>
          <cell r="Q588" t="str">
            <v>مكتب أبوظبي للمؤتمرات والمعارض</v>
          </cell>
          <cell r="R588" t="str">
            <v>Ecosystem Development</v>
          </cell>
          <cell r="S588" t="str">
            <v>نظام الإدارة المتكامل</v>
          </cell>
          <cell r="T588" t="str">
            <v/>
          </cell>
          <cell r="U588" t="str">
            <v/>
          </cell>
          <cell r="V588" t="str">
            <v>Abu Dhabi</v>
          </cell>
          <cell r="W588" t="str">
            <v/>
          </cell>
          <cell r="X588" t="str">
            <v>4515400</v>
          </cell>
          <cell r="Y588" t="str">
            <v>Commercial _Conventions, Exhibitions, Events,Festivals Development &amp; Sales  _Section Head</v>
          </cell>
          <cell r="Z588" t="str">
            <v>Section Manager</v>
          </cell>
          <cell r="AA588" t="str">
            <v>2A</v>
          </cell>
        </row>
        <row r="589">
          <cell r="A589">
            <v>1266</v>
          </cell>
          <cell r="B589">
            <v>1266</v>
          </cell>
          <cell r="C589" t="str">
            <v>A</v>
          </cell>
          <cell r="D589" t="str">
            <v>Asma Salem Al Maskari</v>
          </cell>
          <cell r="E589" t="str">
            <v>أسماء سالم المسكري</v>
          </cell>
          <cell r="F589">
            <v>43227</v>
          </cell>
          <cell r="G589" t="str">
            <v>50003416</v>
          </cell>
          <cell r="H589" t="str">
            <v>Education Senior Specialist</v>
          </cell>
          <cell r="I589" t="str">
            <v>أخصائي أول التعليم</v>
          </cell>
          <cell r="J589" t="str">
            <v>On-Chart</v>
          </cell>
          <cell r="K589" t="str">
            <v>DCT Payroll</v>
          </cell>
          <cell r="L589" t="str">
            <v>A1</v>
          </cell>
          <cell r="M589" t="str">
            <v>Department of Culture and Tourism</v>
          </cell>
          <cell r="N589" t="str">
            <v>Culture</v>
          </cell>
          <cell r="O589" t="str">
            <v>الثقافة</v>
          </cell>
          <cell r="P589" t="str">
            <v>Culture Sites Management</v>
          </cell>
          <cell r="Q589" t="str">
            <v>إدارة المواقع الثقافية</v>
          </cell>
          <cell r="R589" t="str">
            <v>Qasr Al Hosn</v>
          </cell>
          <cell r="S589" t="str">
            <v>قصر الحصن</v>
          </cell>
          <cell r="T589" t="str">
            <v>Curatorial &amp; Public Engagement</v>
          </cell>
          <cell r="U589" t="str">
            <v>الاقتناء والمشاركة المجتمعية</v>
          </cell>
          <cell r="V589" t="str">
            <v>Abu Dhabi</v>
          </cell>
          <cell r="W589" t="str">
            <v/>
          </cell>
          <cell r="X589" t="str">
            <v>4511250</v>
          </cell>
          <cell r="Y589" t="str">
            <v>Compliance,Governance&amp;Protocol_Policy (Culture/Tourism _Senior Professional</v>
          </cell>
          <cell r="Z589" t="str">
            <v>Senior Professional</v>
          </cell>
          <cell r="AA589" t="str">
            <v>3B</v>
          </cell>
        </row>
        <row r="590">
          <cell r="A590">
            <v>1267</v>
          </cell>
          <cell r="B590">
            <v>1267</v>
          </cell>
          <cell r="C590" t="str">
            <v>A</v>
          </cell>
          <cell r="D590" t="str">
            <v>Fatima Eisa Al Shamsi</v>
          </cell>
          <cell r="E590" t="str">
            <v>فاطمة عيسى الشامسي</v>
          </cell>
          <cell r="F590">
            <v>43227</v>
          </cell>
          <cell r="G590" t="str">
            <v>10008298</v>
          </cell>
          <cell r="H590" t="str">
            <v>Programming Specialist</v>
          </cell>
          <cell r="I590" t="str">
            <v>أخصائي البرامج</v>
          </cell>
          <cell r="J590" t="str">
            <v>On-Chart</v>
          </cell>
          <cell r="K590" t="str">
            <v>DCT Payroll</v>
          </cell>
          <cell r="L590" t="str">
            <v>A1</v>
          </cell>
          <cell r="M590" t="str">
            <v>Department of Culture and Tourism</v>
          </cell>
          <cell r="N590" t="str">
            <v>Culture</v>
          </cell>
          <cell r="O590" t="str">
            <v>الثقافة</v>
          </cell>
          <cell r="P590" t="str">
            <v>Culture Sites Management</v>
          </cell>
          <cell r="Q590" t="str">
            <v>إدارة المواقع الثقافية</v>
          </cell>
          <cell r="R590" t="str">
            <v>Qasr Al Hosn</v>
          </cell>
          <cell r="S590" t="str">
            <v>قصر الحصن</v>
          </cell>
          <cell r="T590" t="str">
            <v>Curatorial &amp; Public Engagement</v>
          </cell>
          <cell r="U590" t="str">
            <v>الاقتناء والمشاركة المجتمعية</v>
          </cell>
          <cell r="V590" t="str">
            <v>Abu Dhabi</v>
          </cell>
          <cell r="W590" t="str">
            <v/>
          </cell>
          <cell r="X590" t="str">
            <v>4511250</v>
          </cell>
          <cell r="Y590" t="str">
            <v>Compliance,Governance&amp;Protocol_Policy (Culture/Tourism _Senior Professional</v>
          </cell>
          <cell r="Z590" t="str">
            <v>Professional</v>
          </cell>
          <cell r="AA590" t="str">
            <v>4A</v>
          </cell>
        </row>
        <row r="591">
          <cell r="A591">
            <v>1269</v>
          </cell>
          <cell r="B591">
            <v>1269</v>
          </cell>
          <cell r="C591" t="str">
            <v>A</v>
          </cell>
          <cell r="D591" t="str">
            <v>Mohammad Ahmed Al Frehat</v>
          </cell>
          <cell r="E591" t="str">
            <v>محمد أحمد الفريحات</v>
          </cell>
          <cell r="F591">
            <v>43221</v>
          </cell>
          <cell r="G591" t="str">
            <v>10008587</v>
          </cell>
          <cell r="H591" t="str">
            <v>Legal &amp; Government Affairs Department Director</v>
          </cell>
          <cell r="I591" t="str">
            <v>مدير إدارة الشؤون القانونية والحكومية</v>
          </cell>
          <cell r="J591" t="str">
            <v>On-Chart</v>
          </cell>
          <cell r="K591" t="str">
            <v>DCT Payroll</v>
          </cell>
          <cell r="L591" t="str">
            <v>A1</v>
          </cell>
          <cell r="M591" t="str">
            <v>Department of Culture and Tourism</v>
          </cell>
          <cell r="N591" t="str">
            <v>Legal &amp; Government Affairs</v>
          </cell>
          <cell r="O591" t="str">
            <v>مكتب وكيل الدائرة</v>
          </cell>
          <cell r="P591" t="str">
            <v>Legal &amp; Government Affairs</v>
          </cell>
          <cell r="Q591" t="str">
            <v>الشؤون القانونية والحكومية</v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>Abu Dhabi</v>
          </cell>
          <cell r="W591" t="str">
            <v/>
          </cell>
          <cell r="X591" t="str">
            <v>4510160</v>
          </cell>
          <cell r="Y591" t="str">
            <v>Legal _Senior Legal Counsel_Director SP</v>
          </cell>
          <cell r="Z591" t="str">
            <v>Director</v>
          </cell>
          <cell r="AA591" t="str">
            <v>1A</v>
          </cell>
        </row>
        <row r="592">
          <cell r="A592">
            <v>1270</v>
          </cell>
          <cell r="B592">
            <v>1270</v>
          </cell>
          <cell r="C592" t="str">
            <v>A</v>
          </cell>
          <cell r="D592" t="str">
            <v>Khawla Ismail Al Ali</v>
          </cell>
          <cell r="E592" t="str">
            <v>خوله اسماعيل آل علي</v>
          </cell>
          <cell r="F592">
            <v>43254</v>
          </cell>
          <cell r="G592" t="str">
            <v>50003093</v>
          </cell>
          <cell r="H592" t="str">
            <v>Operations Management Unit Head</v>
          </cell>
          <cell r="I592" t="str">
            <v>رئيس وحدة إدارة العمليات</v>
          </cell>
          <cell r="J592" t="str">
            <v>On-Chart</v>
          </cell>
          <cell r="K592" t="str">
            <v>DCT Payroll</v>
          </cell>
          <cell r="L592" t="str">
            <v>A1</v>
          </cell>
          <cell r="M592" t="str">
            <v>Department of Culture and Tourism</v>
          </cell>
          <cell r="N592" t="str">
            <v>Culture</v>
          </cell>
          <cell r="O592" t="str">
            <v>الثقافة</v>
          </cell>
          <cell r="P592" t="str">
            <v>Culture Festivals &amp; Platforms</v>
          </cell>
          <cell r="Q592" t="str">
            <v>المهرجانات والمنصات الثقافية</v>
          </cell>
          <cell r="R592" t="str">
            <v>Production &amp; Operations Management</v>
          </cell>
          <cell r="S592" t="str">
            <v>إدارة الإنتاج والعمليات</v>
          </cell>
          <cell r="T592" t="str">
            <v>Operations Management</v>
          </cell>
          <cell r="U592" t="str">
            <v>إدارة العمليات</v>
          </cell>
          <cell r="V592" t="str">
            <v>Abu Dhabi</v>
          </cell>
          <cell r="W592" t="str">
            <v/>
          </cell>
          <cell r="X592" t="str">
            <v>4511750</v>
          </cell>
          <cell r="Y592" t="str">
            <v>Commercial _Conventions, Exhibitions, Events,Festivals Development &amp; Sales  _Unit Head</v>
          </cell>
          <cell r="Z592" t="str">
            <v>Unit Head</v>
          </cell>
          <cell r="AA592" t="str">
            <v>3A</v>
          </cell>
        </row>
        <row r="593">
          <cell r="A593">
            <v>1275</v>
          </cell>
          <cell r="B593">
            <v>1275</v>
          </cell>
          <cell r="C593" t="str">
            <v>A</v>
          </cell>
          <cell r="D593" t="str">
            <v>Ruqiya Ahmad Ashkanani</v>
          </cell>
          <cell r="E593" t="str">
            <v>رقيه أحمد اشكناني</v>
          </cell>
          <cell r="F593">
            <v>43282</v>
          </cell>
          <cell r="G593" t="str">
            <v>50004149</v>
          </cell>
          <cell r="H593" t="str">
            <v>Tourism Policy Unit Head</v>
          </cell>
          <cell r="I593" t="str">
            <v/>
          </cell>
          <cell r="J593" t="str">
            <v>On-Chart</v>
          </cell>
          <cell r="K593" t="str">
            <v>DCT Payroll</v>
          </cell>
          <cell r="L593" t="str">
            <v>A1</v>
          </cell>
          <cell r="M593" t="str">
            <v>Department of Culture and Tourism</v>
          </cell>
          <cell r="N593" t="str">
            <v>Tourism</v>
          </cell>
          <cell r="O593" t="str">
            <v>السياحة</v>
          </cell>
          <cell r="P593" t="str">
            <v>Tourism Sector Management Office</v>
          </cell>
          <cell r="Q593" t="str">
            <v>مكتب إدارة شؤون قطاع السياحة</v>
          </cell>
          <cell r="R593" t="str">
            <v>Tourism Policy &amp; Sustainability Section</v>
          </cell>
          <cell r="S593" t="str">
            <v>قسم  السياسات واستدامة السياحة</v>
          </cell>
          <cell r="T593" t="str">
            <v>Tourism Policy Unit</v>
          </cell>
          <cell r="U593" t="str">
            <v>رئيس وحدة سياسات السياحة</v>
          </cell>
          <cell r="V593" t="str">
            <v>Abu Dhabi</v>
          </cell>
          <cell r="W593" t="str">
            <v/>
          </cell>
          <cell r="X593" t="str">
            <v>4515010</v>
          </cell>
          <cell r="Y593" t="str">
            <v/>
          </cell>
          <cell r="Z593" t="str">
            <v>Unit Head</v>
          </cell>
          <cell r="AA593" t="str">
            <v>3A</v>
          </cell>
        </row>
        <row r="594">
          <cell r="A594">
            <v>1276</v>
          </cell>
          <cell r="B594">
            <v>1276</v>
          </cell>
          <cell r="C594" t="str">
            <v>A</v>
          </cell>
          <cell r="D594" t="str">
            <v>Sulaiman Ali Al Shehhi</v>
          </cell>
          <cell r="E594" t="str">
            <v>سليمان علي الشحي</v>
          </cell>
          <cell r="F594">
            <v>43282</v>
          </cell>
          <cell r="G594" t="str">
            <v>10006670</v>
          </cell>
          <cell r="H594" t="str">
            <v>Protocol Section Head</v>
          </cell>
          <cell r="I594" t="str">
            <v>رئيس قسم المراسم</v>
          </cell>
          <cell r="J594" t="str">
            <v>On-Chart</v>
          </cell>
          <cell r="K594" t="str">
            <v>DCT Payroll</v>
          </cell>
          <cell r="L594" t="str">
            <v>A1</v>
          </cell>
          <cell r="M594" t="str">
            <v>Department of Culture and Tourism</v>
          </cell>
          <cell r="N594" t="str">
            <v>Executive Affairs</v>
          </cell>
          <cell r="O594" t="str">
            <v>مكتب رئيس الدائرة</v>
          </cell>
          <cell r="P594" t="str">
            <v>Executive Affairs</v>
          </cell>
          <cell r="Q594" t="str">
            <v>الشؤون التنفيذية</v>
          </cell>
          <cell r="R594" t="str">
            <v>Protocol</v>
          </cell>
          <cell r="S594" t="str">
            <v>المراسم</v>
          </cell>
          <cell r="T594" t="str">
            <v/>
          </cell>
          <cell r="U594" t="str">
            <v/>
          </cell>
          <cell r="V594" t="str">
            <v>Abu Dhabi</v>
          </cell>
          <cell r="W594" t="str">
            <v/>
          </cell>
          <cell r="X594" t="str">
            <v>4510011</v>
          </cell>
          <cell r="Y594" t="str">
            <v>Stakeholder &amp; Partner Relations_International &amp; Institutional Affairs _Section Head</v>
          </cell>
          <cell r="Z594" t="str">
            <v>Section Manager</v>
          </cell>
          <cell r="AA594" t="str">
            <v>2A</v>
          </cell>
        </row>
        <row r="595">
          <cell r="A595">
            <v>1280</v>
          </cell>
          <cell r="B595">
            <v>1280</v>
          </cell>
          <cell r="C595" t="str">
            <v>A</v>
          </cell>
          <cell r="D595" t="str">
            <v>Wafa Sanad Al Mehairbi</v>
          </cell>
          <cell r="E595" t="str">
            <v>وفاء سند المحيربي</v>
          </cell>
          <cell r="F595">
            <v>43296</v>
          </cell>
          <cell r="G595" t="str">
            <v>50004061</v>
          </cell>
          <cell r="H595" t="str">
            <v>Vendor Management Specialist</v>
          </cell>
          <cell r="I595" t="str">
            <v>أخصائي إدارة الموردين</v>
          </cell>
          <cell r="J595" t="str">
            <v>On-Chart</v>
          </cell>
          <cell r="K595" t="str">
            <v>DCT Payroll</v>
          </cell>
          <cell r="L595" t="str">
            <v>A1</v>
          </cell>
          <cell r="M595" t="str">
            <v>Department of Culture and Tourism</v>
          </cell>
          <cell r="N595" t="str">
            <v>Support Services</v>
          </cell>
          <cell r="O595" t="str">
            <v>الخدمات المساندة</v>
          </cell>
          <cell r="P595" t="str">
            <v>Technology</v>
          </cell>
          <cell r="Q595" t="str">
            <v>التكنولوجيا</v>
          </cell>
          <cell r="R595" t="str">
            <v>-</v>
          </cell>
          <cell r="S595" t="str">
            <v>-</v>
          </cell>
          <cell r="T595" t="str">
            <v>Vendor Management</v>
          </cell>
          <cell r="U595" t="str">
            <v>إدارة الموردين</v>
          </cell>
          <cell r="V595" t="str">
            <v>Abu Dhabi</v>
          </cell>
          <cell r="W595" t="str">
            <v/>
          </cell>
          <cell r="X595" t="str">
            <v>4510250</v>
          </cell>
          <cell r="Y595" t="str">
            <v>Specialization IT &amp; Digital Services</v>
          </cell>
          <cell r="Z595" t="str">
            <v>Professional</v>
          </cell>
          <cell r="AA595" t="str">
            <v>4C</v>
          </cell>
        </row>
        <row r="596">
          <cell r="A596">
            <v>1281</v>
          </cell>
          <cell r="B596">
            <v>1281</v>
          </cell>
          <cell r="C596" t="str">
            <v>A</v>
          </cell>
          <cell r="D596" t="str">
            <v>Khalood Mohamed Almazrouei</v>
          </cell>
          <cell r="E596" t="str">
            <v>خلود محمد المزروعي</v>
          </cell>
          <cell r="F596">
            <v>43303</v>
          </cell>
          <cell r="G596" t="str">
            <v>10009566</v>
          </cell>
          <cell r="H596" t="str">
            <v>Executive Assistant</v>
          </cell>
          <cell r="I596" t="str">
            <v>مساعد تنفيذي</v>
          </cell>
          <cell r="J596" t="str">
            <v>On-Chart</v>
          </cell>
          <cell r="K596" t="str">
            <v>DCT Payroll</v>
          </cell>
          <cell r="L596" t="str">
            <v>A1</v>
          </cell>
          <cell r="M596" t="str">
            <v>Department of Culture and Tourism</v>
          </cell>
          <cell r="N596" t="str">
            <v>Culture</v>
          </cell>
          <cell r="O596" t="str">
            <v>الثقافة</v>
          </cell>
          <cell r="P596" t="str">
            <v>Library Management</v>
          </cell>
          <cell r="Q596" t="str">
            <v>إدارة المكتبات</v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>Abu Dhabi</v>
          </cell>
          <cell r="W596" t="str">
            <v/>
          </cell>
          <cell r="X596" t="str">
            <v>4516100</v>
          </cell>
          <cell r="Y596" t="str">
            <v>Operations_Library Operational  Management _Professional Assistant</v>
          </cell>
          <cell r="Z596" t="str">
            <v>Assistant and Technical Staff</v>
          </cell>
          <cell r="AA596" t="str">
            <v>4A</v>
          </cell>
        </row>
        <row r="597">
          <cell r="A597">
            <v>1282</v>
          </cell>
          <cell r="B597">
            <v>1282</v>
          </cell>
          <cell r="C597" t="str">
            <v>A</v>
          </cell>
          <cell r="D597" t="str">
            <v>Jarir Abbas</v>
          </cell>
          <cell r="E597" t="str">
            <v>جرير  عباس</v>
          </cell>
          <cell r="F597">
            <v>43255</v>
          </cell>
          <cell r="G597" t="str">
            <v>50003413</v>
          </cell>
          <cell r="H597" t="str">
            <v>Music Programs Coordinator</v>
          </cell>
          <cell r="I597" t="str">
            <v>منسق برامج الموسيقى</v>
          </cell>
          <cell r="J597" t="str">
            <v>On-Chart</v>
          </cell>
          <cell r="K597" t="str">
            <v>DCT Payroll</v>
          </cell>
          <cell r="L597" t="str">
            <v>A1</v>
          </cell>
          <cell r="M597" t="str">
            <v>Department of Culture and Tourism</v>
          </cell>
          <cell r="N597" t="str">
            <v>Culture</v>
          </cell>
          <cell r="O597" t="str">
            <v>الثقافة</v>
          </cell>
          <cell r="P597" t="str">
            <v>Culture Programming</v>
          </cell>
          <cell r="Q597" t="str">
            <v>البرامج الثقافية</v>
          </cell>
          <cell r="R597" t="str">
            <v>Music Programmes</v>
          </cell>
          <cell r="S597" t="str">
            <v>برامج الموسيقى</v>
          </cell>
          <cell r="T597" t="str">
            <v/>
          </cell>
          <cell r="U597" t="str">
            <v/>
          </cell>
          <cell r="V597" t="str">
            <v>Abu Dhabi</v>
          </cell>
          <cell r="W597" t="str">
            <v/>
          </cell>
          <cell r="X597" t="str">
            <v>4511700</v>
          </cell>
          <cell r="Y597" t="str">
            <v>Compliance,Governance&amp;Protocol_Policy (Culture/Tourism) _Professional</v>
          </cell>
          <cell r="Z597" t="str">
            <v>Professional</v>
          </cell>
          <cell r="AA597" t="str">
            <v>5C</v>
          </cell>
        </row>
        <row r="598">
          <cell r="A598">
            <v>1283</v>
          </cell>
          <cell r="B598">
            <v>1283</v>
          </cell>
          <cell r="C598" t="str">
            <v>A</v>
          </cell>
          <cell r="D598" t="str">
            <v>Khaleel Ibrahim Almarzooqi</v>
          </cell>
          <cell r="E598" t="str">
            <v>خليل ابراهيم المرزوقي</v>
          </cell>
          <cell r="F598">
            <v>43296</v>
          </cell>
          <cell r="G598" t="str">
            <v>10009600</v>
          </cell>
          <cell r="H598" t="str">
            <v>ICH Activations &amp; Operations Specialist</v>
          </cell>
          <cell r="I598" t="str">
            <v>أخصائي عمليات وتفعيل التراث الثقافي المعنوي</v>
          </cell>
          <cell r="J598" t="str">
            <v>On-Chart</v>
          </cell>
          <cell r="K598" t="str">
            <v>DCT Payroll</v>
          </cell>
          <cell r="L598" t="str">
            <v>A1</v>
          </cell>
          <cell r="M598" t="str">
            <v>Department of Culture and Tourism</v>
          </cell>
          <cell r="N598" t="str">
            <v>Culture</v>
          </cell>
          <cell r="O598" t="str">
            <v>الثقافة</v>
          </cell>
          <cell r="P598" t="str">
            <v>Intangible Cultural Heritage</v>
          </cell>
          <cell r="Q598" t="str">
            <v>التراث الثقافي المعنوي</v>
          </cell>
          <cell r="R598" t="str">
            <v>ICH Interpretation &amp; Public Engagement</v>
          </cell>
          <cell r="S598" t="str">
            <v>تطوير محتوى التراث الثقافي المعنوي والمشاركة المجتمعية</v>
          </cell>
          <cell r="T598" t="str">
            <v>ICH Activations &amp; Operations</v>
          </cell>
          <cell r="U598" t="str">
            <v>أنشطة وعمليات التراث الثقافي المعنوي</v>
          </cell>
          <cell r="V598" t="str">
            <v>Abu Dhabi</v>
          </cell>
          <cell r="W598" t="str">
            <v/>
          </cell>
          <cell r="X598" t="str">
            <v>4511600</v>
          </cell>
          <cell r="Y598" t="str">
            <v>Content &amp; Care_World Heritage Sites Planning &amp; Monitoring _Professional</v>
          </cell>
          <cell r="Z598" t="str">
            <v>Professional</v>
          </cell>
          <cell r="AA598" t="str">
            <v>4C</v>
          </cell>
        </row>
        <row r="599">
          <cell r="A599">
            <v>1284</v>
          </cell>
          <cell r="B599">
            <v>1284</v>
          </cell>
          <cell r="C599" t="str">
            <v>A</v>
          </cell>
          <cell r="D599" t="str">
            <v>Sara Sulaiman Alhammadi</v>
          </cell>
          <cell r="E599" t="str">
            <v>سارة سليمان الحمادي</v>
          </cell>
          <cell r="F599">
            <v>43303</v>
          </cell>
          <cell r="G599" t="str">
            <v>10008879</v>
          </cell>
          <cell r="H599" t="str">
            <v>Technical Support Officer</v>
          </cell>
          <cell r="I599" t="str">
            <v>ضابط الدعم الفني</v>
          </cell>
          <cell r="J599" t="str">
            <v>On-Chart</v>
          </cell>
          <cell r="K599" t="str">
            <v>DCT Payroll</v>
          </cell>
          <cell r="L599" t="str">
            <v>A1</v>
          </cell>
          <cell r="M599" t="str">
            <v>Department of Culture and Tourism</v>
          </cell>
          <cell r="N599" t="str">
            <v>Strategic Affairs</v>
          </cell>
          <cell r="O599" t="str">
            <v>الشؤون الاستراتيجية</v>
          </cell>
          <cell r="P599" t="str">
            <v>Office of Strategic Affairs Executive Director</v>
          </cell>
          <cell r="Q599" t="str">
            <v>مكتب المدير التنفيذي لقطاع الشؤون الاستراتيجية</v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>Abu Dhabi</v>
          </cell>
          <cell r="W599" t="str">
            <v/>
          </cell>
          <cell r="X599" t="str">
            <v>4512300</v>
          </cell>
          <cell r="Y599" t="str">
            <v>Admin &amp; Support_Office
Supervisor_Professional Assistant</v>
          </cell>
          <cell r="Z599" t="str">
            <v>Professional</v>
          </cell>
          <cell r="AA599" t="str">
            <v>4A</v>
          </cell>
        </row>
        <row r="600">
          <cell r="A600">
            <v>1285</v>
          </cell>
          <cell r="B600">
            <v>1285</v>
          </cell>
          <cell r="C600" t="str">
            <v>A</v>
          </cell>
          <cell r="D600" t="str">
            <v>Bashair Hasn Alomar</v>
          </cell>
          <cell r="E600" t="str">
            <v>بشائر حسن العمر</v>
          </cell>
          <cell r="F600">
            <v>43303</v>
          </cell>
          <cell r="G600" t="str">
            <v>10012320</v>
          </cell>
          <cell r="H600" t="str">
            <v>Strategic Partnerships Senior Specialist</v>
          </cell>
          <cell r="I600" t="str">
            <v>أخصائي أول الشراكات الاستراتيجية</v>
          </cell>
          <cell r="J600" t="str">
            <v>On-Chart</v>
          </cell>
          <cell r="K600" t="str">
            <v>DCT Payroll</v>
          </cell>
          <cell r="L600" t="str">
            <v>A1</v>
          </cell>
          <cell r="M600" t="str">
            <v>Department of Culture and Tourism</v>
          </cell>
          <cell r="N600" t="str">
            <v>Strategic Affairs</v>
          </cell>
          <cell r="O600" t="str">
            <v>الشؤون الاستراتيجية</v>
          </cell>
          <cell r="P600" t="str">
            <v>Strategic Planning</v>
          </cell>
          <cell r="Q600" t="str">
            <v>التخطيط الاستراتيجي</v>
          </cell>
          <cell r="R600" t="str">
            <v>Strategic Partnerships</v>
          </cell>
          <cell r="S600" t="str">
            <v>الشراكات الاستراتيجية</v>
          </cell>
          <cell r="T600" t="str">
            <v/>
          </cell>
          <cell r="U600" t="str">
            <v/>
          </cell>
          <cell r="V600" t="str">
            <v>Abu Dhabi</v>
          </cell>
          <cell r="W600" t="str">
            <v/>
          </cell>
          <cell r="X600" t="str">
            <v>4512100</v>
          </cell>
          <cell r="Y600" t="str">
            <v>Strategy, Planning, Project Mgt_Operational Planning &amp; Project Management _Senior Professional</v>
          </cell>
          <cell r="Z600" t="str">
            <v>Senior Professional</v>
          </cell>
          <cell r="AA600" t="str">
            <v>3B</v>
          </cell>
        </row>
        <row r="601">
          <cell r="A601">
            <v>1286</v>
          </cell>
          <cell r="B601">
            <v>1286</v>
          </cell>
          <cell r="C601" t="str">
            <v>A</v>
          </cell>
          <cell r="D601" t="str">
            <v>Nawaf Ali Aljahdami</v>
          </cell>
          <cell r="E601" t="str">
            <v>نواف علي الجهضمي</v>
          </cell>
          <cell r="F601">
            <v>43303</v>
          </cell>
          <cell r="G601" t="str">
            <v>50001993</v>
          </cell>
          <cell r="H601" t="str">
            <v>Festivals Unit Head</v>
          </cell>
          <cell r="I601" t="str">
            <v>رئيس وحدة المهرجانات</v>
          </cell>
          <cell r="J601" t="str">
            <v>On-Chart</v>
          </cell>
          <cell r="K601" t="str">
            <v>DCT Payroll</v>
          </cell>
          <cell r="L601" t="str">
            <v>A1</v>
          </cell>
          <cell r="M601" t="str">
            <v>Department of Culture and Tourism</v>
          </cell>
          <cell r="N601" t="str">
            <v>Tourism</v>
          </cell>
          <cell r="O601" t="str">
            <v>السياحة</v>
          </cell>
          <cell r="P601" t="str">
            <v>Abu Dhabi Events Bureau</v>
          </cell>
          <cell r="Q601" t="str">
            <v>مكتب أبوظبي للفعاليات</v>
          </cell>
          <cell r="R601" t="str">
            <v>Live Entertainment and Festivals</v>
          </cell>
          <cell r="S601" t="str">
            <v>العروض الترفيهية والمهرجانات</v>
          </cell>
          <cell r="T601" t="str">
            <v>Festivals</v>
          </cell>
          <cell r="U601" t="str">
            <v>المهرجانات</v>
          </cell>
          <cell r="V601" t="str">
            <v>Abu Dhabi</v>
          </cell>
          <cell r="W601" t="str">
            <v/>
          </cell>
          <cell r="X601" t="str">
            <v>4515500</v>
          </cell>
          <cell r="Y601" t="str">
            <v>Commercial _Conventions, Exhibitions, Events,Festivals Development &amp; Sales  _Unit Head</v>
          </cell>
          <cell r="Z601" t="str">
            <v>Unit Head</v>
          </cell>
          <cell r="AA601" t="str">
            <v>3A</v>
          </cell>
        </row>
        <row r="602">
          <cell r="A602">
            <v>1287</v>
          </cell>
          <cell r="B602">
            <v>1287</v>
          </cell>
          <cell r="C602" t="str">
            <v>A</v>
          </cell>
          <cell r="D602" t="str">
            <v>Adil Abdulla Alhosani</v>
          </cell>
          <cell r="E602" t="str">
            <v>عادل عبدالله الحوسني</v>
          </cell>
          <cell r="F602">
            <v>43303</v>
          </cell>
          <cell r="G602" t="str">
            <v>10011336</v>
          </cell>
          <cell r="H602" t="str">
            <v>Facilities Management Senior Specialist</v>
          </cell>
          <cell r="I602" t="str">
            <v>أخصائي أول إدارة المرافق</v>
          </cell>
          <cell r="J602" t="str">
            <v>On-Chart</v>
          </cell>
          <cell r="K602" t="str">
            <v>DCT Payroll</v>
          </cell>
          <cell r="L602" t="str">
            <v>A1</v>
          </cell>
          <cell r="M602" t="str">
            <v>Department of Culture and Tourism</v>
          </cell>
          <cell r="N602" t="str">
            <v>Support Services</v>
          </cell>
          <cell r="O602" t="str">
            <v>الخدمات المساندة</v>
          </cell>
          <cell r="P602" t="str">
            <v>Supply Management</v>
          </cell>
          <cell r="Q602" t="str">
            <v>إدارة الإمداد</v>
          </cell>
          <cell r="R602" t="str">
            <v>Facilities Management</v>
          </cell>
          <cell r="S602" t="str">
            <v>إدارة المرافق</v>
          </cell>
          <cell r="T602" t="str">
            <v>Facilities Management (Abu Dhabi)</v>
          </cell>
          <cell r="U602" t="str">
            <v>إدارة المرافق - أبوظبي</v>
          </cell>
          <cell r="V602" t="str">
            <v>Abu Dhabi</v>
          </cell>
          <cell r="W602" t="str">
            <v/>
          </cell>
          <cell r="X602" t="str">
            <v>4510240</v>
          </cell>
          <cell r="Y602" t="str">
            <v>Procurement_Procurement General_Senior Professional</v>
          </cell>
          <cell r="Z602" t="str">
            <v>Senior Professional</v>
          </cell>
          <cell r="AA602" t="str">
            <v>3A</v>
          </cell>
        </row>
        <row r="603">
          <cell r="A603">
            <v>1288</v>
          </cell>
          <cell r="B603">
            <v>1288</v>
          </cell>
          <cell r="C603" t="str">
            <v>A</v>
          </cell>
          <cell r="D603" t="str">
            <v>Mohsin Humaid Almazrouei</v>
          </cell>
          <cell r="E603" t="str">
            <v>محسن حميد المزروعي</v>
          </cell>
          <cell r="F603">
            <v>43303</v>
          </cell>
          <cell r="G603" t="str">
            <v>10009564</v>
          </cell>
          <cell r="H603" t="str">
            <v>Operations Officer</v>
          </cell>
          <cell r="I603" t="str">
            <v>ضابط العمليات</v>
          </cell>
          <cell r="J603" t="str">
            <v>On-Chart</v>
          </cell>
          <cell r="K603" t="str">
            <v>DCT Payroll</v>
          </cell>
          <cell r="L603" t="str">
            <v>A1</v>
          </cell>
          <cell r="M603" t="str">
            <v>Department of Culture and Tourism</v>
          </cell>
          <cell r="N603" t="str">
            <v>Culture</v>
          </cell>
          <cell r="O603" t="str">
            <v>الثقافة</v>
          </cell>
          <cell r="P603" t="str">
            <v>Culture Sites Management</v>
          </cell>
          <cell r="Q603" t="str">
            <v>إدارة المواقع الثقافية</v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>Abu Dhabi</v>
          </cell>
          <cell r="W603" t="str">
            <v/>
          </cell>
          <cell r="X603" t="str">
            <v>4511250</v>
          </cell>
          <cell r="Y603" t="str">
            <v>Compliance,Governance&amp;Protocol_Policy (Culture/Tourism _Senior Professional</v>
          </cell>
          <cell r="Z603" t="str">
            <v>Professional</v>
          </cell>
          <cell r="AA603" t="str">
            <v>4A</v>
          </cell>
        </row>
        <row r="604">
          <cell r="A604">
            <v>1289</v>
          </cell>
          <cell r="B604">
            <v>1289</v>
          </cell>
          <cell r="C604" t="str">
            <v>A</v>
          </cell>
          <cell r="D604" t="str">
            <v>Maitha Saeed Al Mheiri</v>
          </cell>
          <cell r="E604" t="str">
            <v>ميثاء سعيد المهيري</v>
          </cell>
          <cell r="F604">
            <v>43310</v>
          </cell>
          <cell r="G604" t="str">
            <v>50003498</v>
          </cell>
          <cell r="H604" t="str">
            <v>Projects Design Manager</v>
          </cell>
          <cell r="I604" t="str">
            <v>مدير تصميم المشاريع</v>
          </cell>
          <cell r="J604" t="str">
            <v>On-Chart</v>
          </cell>
          <cell r="K604" t="str">
            <v>DCT Payroll</v>
          </cell>
          <cell r="L604" t="str">
            <v>A1</v>
          </cell>
          <cell r="M604" t="str">
            <v>Department of Culture and Tourism</v>
          </cell>
          <cell r="N604" t="str">
            <v>Project Management &amp; Engineering</v>
          </cell>
          <cell r="O604" t="str">
            <v>مكتب وكيل الدائرة</v>
          </cell>
          <cell r="P604" t="str">
            <v>Project Management &amp; Engineering</v>
          </cell>
          <cell r="Q604" t="str">
            <v>هندسة وإدارة المشاريع</v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>Abu Dhabi</v>
          </cell>
          <cell r="W604" t="str">
            <v/>
          </cell>
          <cell r="X604" t="str">
            <v>4510150</v>
          </cell>
          <cell r="Y604" t="str">
            <v>Technical Safety &amp; Security_Engineering Project Management  _Section Head</v>
          </cell>
          <cell r="Z604" t="str">
            <v>Section Manager</v>
          </cell>
          <cell r="AA604" t="str">
            <v>2C</v>
          </cell>
        </row>
        <row r="605">
          <cell r="A605">
            <v>1291</v>
          </cell>
          <cell r="B605">
            <v>1291</v>
          </cell>
          <cell r="C605" t="str">
            <v>A</v>
          </cell>
          <cell r="D605" t="str">
            <v>Basel Ahmad Abu Yousef</v>
          </cell>
          <cell r="E605" t="str">
            <v>باسل أحمد ابو يوسف</v>
          </cell>
          <cell r="F605">
            <v>43313</v>
          </cell>
          <cell r="G605" t="str">
            <v>10010016</v>
          </cell>
          <cell r="H605" t="str">
            <v>Projects Director</v>
          </cell>
          <cell r="I605" t="str">
            <v>مدير مشاريع</v>
          </cell>
          <cell r="J605" t="str">
            <v>On-Chart</v>
          </cell>
          <cell r="K605" t="str">
            <v>DCT Payroll</v>
          </cell>
          <cell r="L605" t="str">
            <v>A1</v>
          </cell>
          <cell r="M605" t="str">
            <v>Department of Culture and Tourism</v>
          </cell>
          <cell r="N605" t="str">
            <v>Project Management &amp; Engineering</v>
          </cell>
          <cell r="O605" t="str">
            <v>مكتب وكيل الدائرة</v>
          </cell>
          <cell r="P605" t="str">
            <v>Project Management &amp; Engineering</v>
          </cell>
          <cell r="Q605" t="str">
            <v>هندسة وإدارة المشاريع</v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>Abu Dhabi</v>
          </cell>
          <cell r="W605" t="str">
            <v/>
          </cell>
          <cell r="X605" t="str">
            <v>4510150</v>
          </cell>
          <cell r="Y605" t="str">
            <v>Technical Safety &amp; Security_Engineering Project Management  _Section Head</v>
          </cell>
          <cell r="Z605" t="str">
            <v>Section Manager</v>
          </cell>
          <cell r="AA605" t="str">
            <v>2C</v>
          </cell>
        </row>
        <row r="606">
          <cell r="A606">
            <v>1292</v>
          </cell>
          <cell r="B606">
            <v>1292</v>
          </cell>
          <cell r="C606" t="str">
            <v>A</v>
          </cell>
          <cell r="D606" t="str">
            <v>Eman Obaid Al Shamsi</v>
          </cell>
          <cell r="E606" t="str">
            <v>ايمان عبيد الشامسي</v>
          </cell>
          <cell r="F606">
            <v>43313</v>
          </cell>
          <cell r="G606" t="str">
            <v>10009598</v>
          </cell>
          <cell r="H606" t="str">
            <v>Projects Manager</v>
          </cell>
          <cell r="I606" t="str">
            <v>مدير مشاريع</v>
          </cell>
          <cell r="J606" t="str">
            <v>Off-Chart</v>
          </cell>
          <cell r="K606" t="str">
            <v>DCT Payroll</v>
          </cell>
          <cell r="L606" t="str">
            <v>A1</v>
          </cell>
          <cell r="M606" t="str">
            <v>Department of Culture and Tourism</v>
          </cell>
          <cell r="N606" t="str">
            <v>Tourism</v>
          </cell>
          <cell r="O606" t="str">
            <v>السياحة</v>
          </cell>
          <cell r="P606" t="str">
            <v>Emiratization &amp; Capability Development Office</v>
          </cell>
          <cell r="Q606" t="str">
            <v>مكتب التوطين وتطوير القدرات</v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>Abu Dhabi</v>
          </cell>
          <cell r="W606" t="str">
            <v/>
          </cell>
          <cell r="X606" t="str">
            <v>4515020</v>
          </cell>
          <cell r="Y606" t="str">
            <v>Commercial _Tourism Products Development _Unit Head</v>
          </cell>
          <cell r="Z606" t="str">
            <v>Unit Head</v>
          </cell>
          <cell r="AA606" t="str">
            <v>3A</v>
          </cell>
        </row>
        <row r="607">
          <cell r="A607">
            <v>1293</v>
          </cell>
          <cell r="B607">
            <v>1293</v>
          </cell>
          <cell r="C607" t="str">
            <v>A</v>
          </cell>
          <cell r="D607" t="str">
            <v>Islam Ahmed Mohamed</v>
          </cell>
          <cell r="E607" t="str">
            <v>اسلام احمد محمد</v>
          </cell>
          <cell r="F607">
            <v>43313</v>
          </cell>
          <cell r="G607" t="str">
            <v>10008670</v>
          </cell>
          <cell r="H607" t="str">
            <v>Senior Arabic Copywriter</v>
          </cell>
          <cell r="I607" t="str">
            <v>محرر أول باللغة العربية</v>
          </cell>
          <cell r="J607" t="str">
            <v>On-Chart</v>
          </cell>
          <cell r="K607" t="str">
            <v>DCT Payroll</v>
          </cell>
          <cell r="L607" t="str">
            <v>A1</v>
          </cell>
          <cell r="M607" t="str">
            <v>Department of Culture and Tourism</v>
          </cell>
          <cell r="N607" t="str">
            <v>Strategic Marketing &amp; Communication</v>
          </cell>
          <cell r="O607" t="str">
            <v>التسويق والاتصال الاستراتيجي</v>
          </cell>
          <cell r="P607" t="str">
            <v>Creative &amp; Production</v>
          </cell>
          <cell r="Q607" t="str">
            <v>الإبداع والإنتاج</v>
          </cell>
          <cell r="R607" t="str">
            <v>Creative Content</v>
          </cell>
          <cell r="S607" t="str">
            <v>المحتوى الإبداعي</v>
          </cell>
          <cell r="T607" t="str">
            <v>Editorial</v>
          </cell>
          <cell r="U607" t="str">
            <v>التحرير</v>
          </cell>
          <cell r="V607" t="str">
            <v>Abu Dhabi</v>
          </cell>
          <cell r="W607" t="str">
            <v/>
          </cell>
          <cell r="X607" t="str">
            <v>4513110</v>
          </cell>
          <cell r="Y607" t="str">
            <v>Senior Specialization Marketing &amp; Communications</v>
          </cell>
          <cell r="Z607" t="str">
            <v>Senior Professional</v>
          </cell>
          <cell r="AA607" t="str">
            <v>3A</v>
          </cell>
        </row>
        <row r="608">
          <cell r="A608">
            <v>1294</v>
          </cell>
          <cell r="B608">
            <v>1294</v>
          </cell>
          <cell r="C608" t="str">
            <v>A</v>
          </cell>
          <cell r="D608" t="str">
            <v>Aamna Hasan Alshehhi</v>
          </cell>
          <cell r="E608" t="str">
            <v>امنه حسن الشحي</v>
          </cell>
          <cell r="F608">
            <v>43313</v>
          </cell>
          <cell r="G608" t="str">
            <v>50002620</v>
          </cell>
          <cell r="H608" t="str">
            <v>P&amp;P Operations Section Head</v>
          </cell>
          <cell r="I608" t="str">
            <v>رئيس قسم عمليات إدارة الكوادر البشرية والأداء</v>
          </cell>
          <cell r="J608" t="str">
            <v>On-Chart</v>
          </cell>
          <cell r="K608" t="str">
            <v>MSS Direct Hires</v>
          </cell>
          <cell r="L608" t="str">
            <v>M1</v>
          </cell>
          <cell r="M608" t="str">
            <v>Department of Culture and Tourism</v>
          </cell>
          <cell r="N608" t="str">
            <v>Museums Shared Services</v>
          </cell>
          <cell r="O608" t="str">
            <v>الخدمات المشتركة للمتاحف</v>
          </cell>
          <cell r="P608" t="str">
            <v>People and Performance - MSS</v>
          </cell>
          <cell r="Q608" t="str">
            <v>إدارة الكوادر البشرية والأداء - الخدمات المشتركة للمتاحف</v>
          </cell>
          <cell r="R608" t="str">
            <v>P&amp;P Operations Section - MSS</v>
          </cell>
          <cell r="S608" t="str">
            <v>قسم عمليات إدارة الكوادر البشرية والأداء</v>
          </cell>
          <cell r="T608" t="str">
            <v/>
          </cell>
          <cell r="U608" t="str">
            <v/>
          </cell>
          <cell r="V608" t="str">
            <v>Abu Dhabi</v>
          </cell>
          <cell r="W608" t="str">
            <v/>
          </cell>
          <cell r="X608" t="str">
            <v>4514140</v>
          </cell>
          <cell r="Y608" t="str">
            <v>People &amp; Performance _Employee Experience _Section Head</v>
          </cell>
          <cell r="Z608" t="str">
            <v>Section Manager</v>
          </cell>
          <cell r="AA608" t="str">
            <v>2A</v>
          </cell>
        </row>
        <row r="609">
          <cell r="A609">
            <v>1300</v>
          </cell>
          <cell r="B609">
            <v>1300</v>
          </cell>
          <cell r="C609" t="str">
            <v>A</v>
          </cell>
          <cell r="D609" t="str">
            <v>Khaled Rafiq Amarneh</v>
          </cell>
          <cell r="E609" t="str">
            <v>خالد رفيق عمارنه</v>
          </cell>
          <cell r="F609">
            <v>43324</v>
          </cell>
          <cell r="G609" t="str">
            <v>50000378</v>
          </cell>
          <cell r="H609" t="str">
            <v>Project Controls Manager</v>
          </cell>
          <cell r="I609" t="str">
            <v>مدير مراقبة المشاريع</v>
          </cell>
          <cell r="J609" t="str">
            <v>On-Chart</v>
          </cell>
          <cell r="K609" t="str">
            <v>DCT Payroll</v>
          </cell>
          <cell r="L609" t="str">
            <v>A1</v>
          </cell>
          <cell r="M609" t="str">
            <v>Department of Culture and Tourism</v>
          </cell>
          <cell r="N609" t="str">
            <v>Tendering &amp; Projects Control</v>
          </cell>
          <cell r="O609" t="str">
            <v>مكتب وكيل الدائرة</v>
          </cell>
          <cell r="P609" t="str">
            <v>Tendering &amp; Projects Control</v>
          </cell>
          <cell r="Q609" t="str">
            <v>المناقصات ومراقبة المشاريع</v>
          </cell>
          <cell r="R609" t="str">
            <v>Project Controls</v>
          </cell>
          <cell r="S609" t="str">
            <v>مراقبة المشاريع</v>
          </cell>
          <cell r="T609" t="str">
            <v/>
          </cell>
          <cell r="U609" t="str">
            <v/>
          </cell>
          <cell r="V609" t="str">
            <v>Abu Dhabi</v>
          </cell>
          <cell r="W609" t="str">
            <v/>
          </cell>
          <cell r="X609" t="str">
            <v>4510155</v>
          </cell>
          <cell r="Y609" t="str">
            <v>Procurement_Tendering _Unit Head</v>
          </cell>
          <cell r="Z609" t="str">
            <v>Unit Head</v>
          </cell>
          <cell r="AA609" t="str">
            <v>3A</v>
          </cell>
        </row>
        <row r="610">
          <cell r="A610">
            <v>1303</v>
          </cell>
          <cell r="B610">
            <v>1303</v>
          </cell>
          <cell r="C610" t="str">
            <v>A</v>
          </cell>
          <cell r="D610" t="str">
            <v>Badriah Mohammed AlKhoori</v>
          </cell>
          <cell r="E610" t="str">
            <v>بدرية محمد الخوري</v>
          </cell>
          <cell r="F610">
            <v>43346</v>
          </cell>
          <cell r="G610" t="str">
            <v>50003982</v>
          </cell>
          <cell r="H610" t="str">
            <v>Culture Partnerships and Commercial Development Section Head</v>
          </cell>
          <cell r="I610" t="str">
            <v>رئيس قسم الشراكات الثقافية والتنمية التجارية</v>
          </cell>
          <cell r="J610" t="str">
            <v>On-Chart</v>
          </cell>
          <cell r="K610" t="str">
            <v>DCT Payroll</v>
          </cell>
          <cell r="L610" t="str">
            <v>A1</v>
          </cell>
          <cell r="M610" t="str">
            <v>Department of Culture and Tourism</v>
          </cell>
          <cell r="N610" t="str">
            <v>Culture</v>
          </cell>
          <cell r="O610" t="str">
            <v>الثقافة</v>
          </cell>
          <cell r="P610" t="str">
            <v>Culture Sector Policy and Development Office</v>
          </cell>
          <cell r="Q610" t="str">
            <v>مكتب إدارة سياسة وتطوير قطاع الثقافة</v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>Abu Dhabi</v>
          </cell>
          <cell r="W610" t="str">
            <v/>
          </cell>
          <cell r="X610" t="str">
            <v>4511150</v>
          </cell>
          <cell r="Y610" t="str">
            <v>Compliance,Governance&amp;Protocol_Policy (Culture &amp; Tourism)_Section Head</v>
          </cell>
          <cell r="Z610" t="str">
            <v>Section Manager</v>
          </cell>
          <cell r="AA610" t="str">
            <v>2C</v>
          </cell>
        </row>
        <row r="611">
          <cell r="A611">
            <v>1305</v>
          </cell>
          <cell r="B611">
            <v>1305</v>
          </cell>
          <cell r="C611" t="str">
            <v>A</v>
          </cell>
          <cell r="D611" t="str">
            <v>Fatema Abdulla Alhammadi</v>
          </cell>
          <cell r="E611" t="str">
            <v>فاطمة عبدالله الحمادي</v>
          </cell>
          <cell r="F611">
            <v>43346</v>
          </cell>
          <cell r="G611" t="str">
            <v>10008935</v>
          </cell>
          <cell r="H611" t="str">
            <v>Curator</v>
          </cell>
          <cell r="I611" t="str">
            <v>أمين متحف</v>
          </cell>
          <cell r="J611" t="str">
            <v>On-Chart</v>
          </cell>
          <cell r="K611" t="str">
            <v>MSS Direct Hires</v>
          </cell>
          <cell r="L611" t="str">
            <v>M1</v>
          </cell>
          <cell r="M611" t="str">
            <v>Department of Culture and Tourism</v>
          </cell>
          <cell r="N611" t="str">
            <v>Zayed National Museum</v>
          </cell>
          <cell r="O611" t="str">
            <v>متحف زايد الوطني</v>
          </cell>
          <cell r="P611" t="str">
            <v>Curatorial &amp; Collection Management</v>
          </cell>
          <cell r="Q611" t="str">
            <v>أمناء المتحف وإدارة المقتنيات</v>
          </cell>
          <cell r="R611" t="str">
            <v>Curatorial</v>
          </cell>
          <cell r="S611" t="str">
            <v>أمناء المتحف</v>
          </cell>
          <cell r="T611" t="str">
            <v/>
          </cell>
          <cell r="U611" t="str">
            <v/>
          </cell>
          <cell r="V611" t="str">
            <v>Abu Dhabi</v>
          </cell>
          <cell r="W611" t="str">
            <v/>
          </cell>
          <cell r="X611" t="str">
            <v>4510181</v>
          </cell>
          <cell r="Y611" t="str">
            <v>Content &amp; Care_Curatorial  Management_Senior Professional</v>
          </cell>
          <cell r="Z611" t="str">
            <v>Senior Professional</v>
          </cell>
          <cell r="AA611" t="str">
            <v>3B</v>
          </cell>
        </row>
        <row r="612">
          <cell r="A612">
            <v>1307</v>
          </cell>
          <cell r="B612">
            <v>1307</v>
          </cell>
          <cell r="C612" t="str">
            <v>A</v>
          </cell>
          <cell r="D612" t="str">
            <v>Abdulla Hamad Almansoori</v>
          </cell>
          <cell r="E612" t="str">
            <v>عبدالله حمد المنصوري</v>
          </cell>
          <cell r="F612">
            <v>43345</v>
          </cell>
          <cell r="G612" t="str">
            <v>50002074</v>
          </cell>
          <cell r="H612" t="str">
            <v>Facilities Management Engineer</v>
          </cell>
          <cell r="I612" t="str">
            <v>مهندس إدارة المرافق</v>
          </cell>
          <cell r="J612" t="str">
            <v>On-Chart</v>
          </cell>
          <cell r="K612" t="str">
            <v>DCT Payroll</v>
          </cell>
          <cell r="L612" t="str">
            <v>A1</v>
          </cell>
          <cell r="M612" t="str">
            <v>Department of Culture and Tourism</v>
          </cell>
          <cell r="N612" t="str">
            <v>Culture</v>
          </cell>
          <cell r="O612" t="str">
            <v>الثقافة</v>
          </cell>
          <cell r="P612" t="str">
            <v>Culture Sites Management</v>
          </cell>
          <cell r="Q612" t="str">
            <v>إدارة المواقع الثقافية</v>
          </cell>
          <cell r="R612" t="str">
            <v>Abu Dhabi Operations</v>
          </cell>
          <cell r="S612" t="str">
            <v>العمليات - أبوظبي</v>
          </cell>
          <cell r="T612" t="str">
            <v>Operations</v>
          </cell>
          <cell r="U612" t="str">
            <v>العمليات</v>
          </cell>
          <cell r="V612" t="str">
            <v>Abu Dhabi</v>
          </cell>
          <cell r="W612" t="str">
            <v/>
          </cell>
          <cell r="X612" t="str">
            <v>4511250</v>
          </cell>
          <cell r="Y612" t="str">
            <v>Compliance,Governance&amp;Protocol_Policy (Culture/Tourism _Senior Professional</v>
          </cell>
          <cell r="Z612" t="str">
            <v>Senior Professional</v>
          </cell>
          <cell r="AA612" t="str">
            <v>3B</v>
          </cell>
        </row>
        <row r="613">
          <cell r="A613">
            <v>1308</v>
          </cell>
          <cell r="B613">
            <v>1308</v>
          </cell>
          <cell r="C613" t="str">
            <v>A</v>
          </cell>
          <cell r="D613" t="str">
            <v>Rashid Salem AlMansoori</v>
          </cell>
          <cell r="E613" t="str">
            <v>راشد سالم المنصوري</v>
          </cell>
          <cell r="F613">
            <v>43352</v>
          </cell>
          <cell r="G613" t="str">
            <v>50002991</v>
          </cell>
          <cell r="H613" t="str">
            <v>Protocol Section Head</v>
          </cell>
          <cell r="I613" t="str">
            <v>رئيس قسم المراسم</v>
          </cell>
          <cell r="J613" t="str">
            <v>On-Chart</v>
          </cell>
          <cell r="K613" t="str">
            <v>DCT Payroll</v>
          </cell>
          <cell r="L613" t="str">
            <v>A1</v>
          </cell>
          <cell r="M613" t="str">
            <v>Department of Culture and Tourism</v>
          </cell>
          <cell r="N613" t="str">
            <v>Culture</v>
          </cell>
          <cell r="O613" t="str">
            <v>الثقافة</v>
          </cell>
          <cell r="P613" t="str">
            <v>Office of the Culture Executive Director</v>
          </cell>
          <cell r="Q613" t="str">
            <v>مكتب المدير التنفيذي لقطاع الثقافة</v>
          </cell>
          <cell r="R613" t="str">
            <v>Protocol</v>
          </cell>
          <cell r="S613" t="str">
            <v>المراسم</v>
          </cell>
          <cell r="T613" t="str">
            <v/>
          </cell>
          <cell r="U613" t="str">
            <v/>
          </cell>
          <cell r="V613" t="str">
            <v>Abu Dhabi</v>
          </cell>
          <cell r="W613" t="str">
            <v/>
          </cell>
          <cell r="X613" t="str">
            <v>4511010</v>
          </cell>
          <cell r="Y613" t="str">
            <v>Compliance,Governance&amp;Protocol_Policy (Culture/Tourism _Senior Professional</v>
          </cell>
          <cell r="Z613" t="str">
            <v>Section Manager</v>
          </cell>
          <cell r="AA613" t="str">
            <v>2A</v>
          </cell>
        </row>
        <row r="614">
          <cell r="A614">
            <v>1315</v>
          </cell>
          <cell r="B614">
            <v>1315</v>
          </cell>
          <cell r="C614" t="str">
            <v>A</v>
          </cell>
          <cell r="D614" t="str">
            <v>Faris Jumaa Al Qubaisi</v>
          </cell>
          <cell r="E614" t="str">
            <v>فارس جمعة القبيسي</v>
          </cell>
          <cell r="F614">
            <v>43374</v>
          </cell>
          <cell r="G614" t="str">
            <v>50002101</v>
          </cell>
          <cell r="H614" t="str">
            <v>Awards Operations Management Specialist</v>
          </cell>
          <cell r="I614" t="str">
            <v>أخصائي إدارة عمليات الجوائز</v>
          </cell>
          <cell r="J614" t="str">
            <v>On-Chart</v>
          </cell>
          <cell r="K614" t="str">
            <v>ALC Direct Hires</v>
          </cell>
          <cell r="L614" t="str">
            <v>AL1</v>
          </cell>
          <cell r="M614" t="str">
            <v>Abu Dhabi Arabic Language Centre</v>
          </cell>
          <cell r="N614" t="str">
            <v>Abu Dhabi Arabic Language Centre</v>
          </cell>
          <cell r="O614" t="str">
            <v>مركز أبوظبي للغة العربية</v>
          </cell>
          <cell r="P614" t="str">
            <v>Literature Awards</v>
          </cell>
          <cell r="Q614" t="str">
            <v>الجوائز الأدبية</v>
          </cell>
          <cell r="R614" t="str">
            <v>Specialized Awards</v>
          </cell>
          <cell r="S614" t="str">
            <v>الجوائز المتخصصة</v>
          </cell>
          <cell r="T614" t="str">
            <v/>
          </cell>
          <cell r="U614" t="str">
            <v/>
          </cell>
          <cell r="V614" t="str">
            <v>Abu Dhabi</v>
          </cell>
          <cell r="W614" t="str">
            <v/>
          </cell>
          <cell r="X614" t="str">
            <v>4519201</v>
          </cell>
          <cell r="Y614" t="str">
            <v>Senior Specialization Festivals &amp; Events</v>
          </cell>
          <cell r="Z614" t="str">
            <v>Senior Professional</v>
          </cell>
          <cell r="AA614" t="str">
            <v>3A</v>
          </cell>
        </row>
        <row r="615">
          <cell r="A615">
            <v>1316</v>
          </cell>
          <cell r="B615">
            <v>1316</v>
          </cell>
          <cell r="C615" t="str">
            <v>A</v>
          </cell>
          <cell r="D615" t="str">
            <v>Mariam Abdulrahman Al Hammadi</v>
          </cell>
          <cell r="E615" t="str">
            <v>مريم عبدالرحمن الحمادي</v>
          </cell>
          <cell r="F615">
            <v>43374</v>
          </cell>
          <cell r="G615" t="str">
            <v>50003985</v>
          </cell>
          <cell r="H615" t="str">
            <v>Business Support Senior Specialist</v>
          </cell>
          <cell r="I615" t="str">
            <v>أخصائي أول دعم الأعمال</v>
          </cell>
          <cell r="J615" t="str">
            <v>On-Chart</v>
          </cell>
          <cell r="K615" t="str">
            <v>DCT Payroll</v>
          </cell>
          <cell r="L615" t="str">
            <v>A1</v>
          </cell>
          <cell r="M615" t="str">
            <v>Department of Culture and Tourism</v>
          </cell>
          <cell r="N615" t="str">
            <v>Culture</v>
          </cell>
          <cell r="O615" t="str">
            <v>الثقافة</v>
          </cell>
          <cell r="P615" t="str">
            <v>Culture Sites Management</v>
          </cell>
          <cell r="Q615" t="str">
            <v>إدارة المواقع الثقافية</v>
          </cell>
          <cell r="R615" t="str">
            <v>Business Support</v>
          </cell>
          <cell r="S615" t="str">
            <v>دعم الأعمال</v>
          </cell>
          <cell r="T615" t="str">
            <v>Business Support</v>
          </cell>
          <cell r="U615" t="str">
            <v>دعم الأعمال</v>
          </cell>
          <cell r="V615" t="str">
            <v>Al Ain</v>
          </cell>
          <cell r="W615" t="str">
            <v/>
          </cell>
          <cell r="X615" t="str">
            <v>4511250</v>
          </cell>
          <cell r="Y615" t="str">
            <v>Compliance,Governance&amp;Protocol_Policy (Culture/Tourism _Senior Professional</v>
          </cell>
          <cell r="Z615" t="str">
            <v>Senior Professional</v>
          </cell>
          <cell r="AA615" t="str">
            <v>3A</v>
          </cell>
        </row>
        <row r="616">
          <cell r="A616">
            <v>1318</v>
          </cell>
          <cell r="B616">
            <v>1318</v>
          </cell>
          <cell r="C616" t="str">
            <v>A</v>
          </cell>
          <cell r="D616" t="str">
            <v>Mahesh Kumar Rangan</v>
          </cell>
          <cell r="E616" t="str">
            <v>ماهيش كومار رانجان</v>
          </cell>
          <cell r="F616">
            <v>43380</v>
          </cell>
          <cell r="G616" t="str">
            <v>50002897</v>
          </cell>
          <cell r="H616" t="str">
            <v>Digital Publishing Senior Specialist</v>
          </cell>
          <cell r="I616" t="str">
            <v>أخصائي أول النشر الرقمي</v>
          </cell>
          <cell r="J616" t="str">
            <v>On-Chart</v>
          </cell>
          <cell r="K616" t="str">
            <v>DCT Payroll</v>
          </cell>
          <cell r="L616" t="str">
            <v>A1</v>
          </cell>
          <cell r="M616" t="str">
            <v>Department of Culture and Tourism</v>
          </cell>
          <cell r="N616" t="str">
            <v>Culture</v>
          </cell>
          <cell r="O616" t="str">
            <v>الثقافة</v>
          </cell>
          <cell r="P616" t="str">
            <v>Scientific, Curatorial and Collection Department</v>
          </cell>
          <cell r="Q616" t="str">
            <v>إدارة البحث العلمي والمقتنيات</v>
          </cell>
          <cell r="R616" t="str">
            <v>Publishing &amp; Digitization</v>
          </cell>
          <cell r="S616" t="str">
            <v>النشر ورقمنة المحتوى</v>
          </cell>
          <cell r="T616" t="str">
            <v>Production &amp; Digital Publishing</v>
          </cell>
          <cell r="U616" t="str">
            <v>الإنتاج والنشر الرقمي</v>
          </cell>
          <cell r="V616" t="str">
            <v>Abu Dhabi</v>
          </cell>
          <cell r="W616" t="str">
            <v/>
          </cell>
          <cell r="X616" t="str">
            <v>4511150</v>
          </cell>
          <cell r="Y616" t="str">
            <v>Compliance,Governance&amp;Protocol_Policy (Culture/Tourism _Senior Professional</v>
          </cell>
          <cell r="Z616" t="str">
            <v>Senior Professional</v>
          </cell>
          <cell r="AA616" t="str">
            <v>3C</v>
          </cell>
        </row>
        <row r="617">
          <cell r="A617">
            <v>1319</v>
          </cell>
          <cell r="B617">
            <v>1319</v>
          </cell>
          <cell r="C617" t="str">
            <v>A</v>
          </cell>
          <cell r="D617" t="str">
            <v>Nawal Mohammed AlShehhi</v>
          </cell>
          <cell r="E617" t="str">
            <v>نوال محمد الشحي</v>
          </cell>
          <cell r="F617">
            <v>43380</v>
          </cell>
          <cell r="G617" t="str">
            <v>10009025</v>
          </cell>
          <cell r="H617" t="str">
            <v>Visitors Experience Specialist</v>
          </cell>
          <cell r="I617" t="str">
            <v>أخصائي تجربة الزوار</v>
          </cell>
          <cell r="J617" t="str">
            <v>On-Chart</v>
          </cell>
          <cell r="K617" t="str">
            <v>DCT Payroll</v>
          </cell>
          <cell r="L617" t="str">
            <v>A1</v>
          </cell>
          <cell r="M617" t="str">
            <v>Department of Culture and Tourism</v>
          </cell>
          <cell r="N617" t="str">
            <v>Culture</v>
          </cell>
          <cell r="O617" t="str">
            <v>الثقافة</v>
          </cell>
          <cell r="P617" t="str">
            <v>Culture Sites Management</v>
          </cell>
          <cell r="Q617" t="str">
            <v>إدارة المواقع الثقافية</v>
          </cell>
          <cell r="R617" t="str">
            <v>Qasr Al Hosn</v>
          </cell>
          <cell r="S617" t="str">
            <v>قصر الحصن</v>
          </cell>
          <cell r="T617" t="str">
            <v>Visitor Experience</v>
          </cell>
          <cell r="U617" t="str">
            <v/>
          </cell>
          <cell r="V617" t="str">
            <v>Abu Dhabi</v>
          </cell>
          <cell r="W617" t="str">
            <v/>
          </cell>
          <cell r="X617" t="str">
            <v>4511250</v>
          </cell>
          <cell r="Y617" t="str">
            <v>Compliance,Governance&amp;Protocol_Policy (Culture/Tourism _Senior Professional</v>
          </cell>
          <cell r="Z617" t="str">
            <v>Professional</v>
          </cell>
          <cell r="AA617" t="str">
            <v>4A</v>
          </cell>
        </row>
        <row r="618">
          <cell r="A618">
            <v>1320</v>
          </cell>
          <cell r="B618">
            <v>1320</v>
          </cell>
          <cell r="C618" t="str">
            <v>A</v>
          </cell>
          <cell r="D618" t="str">
            <v>Ali Abdulrasool Al Meshari</v>
          </cell>
          <cell r="E618" t="str">
            <v>علي عبدالرسول المشاري</v>
          </cell>
          <cell r="F618">
            <v>43380</v>
          </cell>
          <cell r="G618" t="str">
            <v>50003995</v>
          </cell>
          <cell r="H618" t="str">
            <v>Senior Protocol Officer</v>
          </cell>
          <cell r="I618" t="str">
            <v>موظف بروتوكول أقدم</v>
          </cell>
          <cell r="J618" t="str">
            <v>On-Chart</v>
          </cell>
          <cell r="K618" t="str">
            <v>DCT Payroll</v>
          </cell>
          <cell r="L618" t="str">
            <v>A1</v>
          </cell>
          <cell r="M618" t="str">
            <v>Department of Culture and Tourism</v>
          </cell>
          <cell r="N618" t="str">
            <v>Culture</v>
          </cell>
          <cell r="O618" t="str">
            <v>الثقافة</v>
          </cell>
          <cell r="P618" t="str">
            <v>Office of the Culture Executive Director</v>
          </cell>
          <cell r="Q618" t="str">
            <v>مكتب المدير التنفيذي لقطاع الثقافة</v>
          </cell>
          <cell r="R618" t="str">
            <v>Protocol</v>
          </cell>
          <cell r="S618" t="str">
            <v>المراسم</v>
          </cell>
          <cell r="T618" t="str">
            <v>Protocol</v>
          </cell>
          <cell r="U618" t="str">
            <v>المراسم</v>
          </cell>
          <cell r="V618" t="str">
            <v>Abu Dhabi</v>
          </cell>
          <cell r="W618" t="str">
            <v/>
          </cell>
          <cell r="X618" t="str">
            <v>4511010</v>
          </cell>
          <cell r="Y618" t="str">
            <v>Compliance,Governance&amp;Protocol_Policy (Culture/Tourism _Senior Professional</v>
          </cell>
          <cell r="Z618" t="str">
            <v>Senior Professional</v>
          </cell>
          <cell r="AA618" t="str">
            <v>3C</v>
          </cell>
        </row>
        <row r="619">
          <cell r="A619">
            <v>1322</v>
          </cell>
          <cell r="B619">
            <v>1322</v>
          </cell>
          <cell r="C619" t="str">
            <v>A</v>
          </cell>
          <cell r="D619" t="str">
            <v>Ibtisam Taysir Abu Qaias</v>
          </cell>
          <cell r="E619" t="str">
            <v>ابسام تيسير ابو قياص</v>
          </cell>
          <cell r="F619">
            <v>43374</v>
          </cell>
          <cell r="G619" t="str">
            <v>47700140</v>
          </cell>
          <cell r="H619" t="str">
            <v>Cataloguing Specialist</v>
          </cell>
          <cell r="I619" t="str">
            <v>أخصائي الفهرسة</v>
          </cell>
          <cell r="J619" t="str">
            <v>On-Chart</v>
          </cell>
          <cell r="K619" t="str">
            <v>DCT Payroll</v>
          </cell>
          <cell r="L619" t="str">
            <v>A1</v>
          </cell>
          <cell r="M619" t="str">
            <v>Department of Culture and Tourism</v>
          </cell>
          <cell r="N619" t="str">
            <v>Culture</v>
          </cell>
          <cell r="O619" t="str">
            <v>الثقافة</v>
          </cell>
          <cell r="P619" t="str">
            <v>Library Management</v>
          </cell>
          <cell r="Q619" t="str">
            <v>إدارة المكتبات</v>
          </cell>
          <cell r="R619" t="str">
            <v>Technical Services</v>
          </cell>
          <cell r="S619" t="str">
            <v>الخدمات الفنية</v>
          </cell>
          <cell r="T619" t="str">
            <v>Cataloguing</v>
          </cell>
          <cell r="U619" t="str">
            <v>الفهرسة</v>
          </cell>
          <cell r="V619" t="str">
            <v>Abu Dhabi</v>
          </cell>
          <cell r="W619" t="str">
            <v/>
          </cell>
          <cell r="X619" t="str">
            <v>4516100</v>
          </cell>
          <cell r="Y619" t="str">
            <v>Interpretation &amp; Engagement_Library Service Delivery (Librarian)_Professional</v>
          </cell>
          <cell r="Z619" t="str">
            <v>Professional</v>
          </cell>
          <cell r="AA619" t="str">
            <v>4A</v>
          </cell>
        </row>
        <row r="620">
          <cell r="A620">
            <v>1324</v>
          </cell>
          <cell r="B620">
            <v>1324</v>
          </cell>
          <cell r="C620" t="str">
            <v>A</v>
          </cell>
          <cell r="D620" t="str">
            <v>Jamal Murad Alshaikh</v>
          </cell>
          <cell r="E620" t="str">
            <v>جمال مراد الشيخ</v>
          </cell>
          <cell r="F620">
            <v>43388</v>
          </cell>
          <cell r="G620" t="str">
            <v>10006811</v>
          </cell>
          <cell r="H620" t="str">
            <v>Business Partner Section Head</v>
          </cell>
          <cell r="I620" t="str">
            <v>رئيس قسم شركاء أعمال المشتريات</v>
          </cell>
          <cell r="J620" t="str">
            <v>On-Chart</v>
          </cell>
          <cell r="K620" t="str">
            <v>DCT Payroll</v>
          </cell>
          <cell r="L620" t="str">
            <v>A1</v>
          </cell>
          <cell r="M620" t="str">
            <v>Department of Culture and Tourism</v>
          </cell>
          <cell r="N620" t="str">
            <v>Support Services</v>
          </cell>
          <cell r="O620" t="str">
            <v>الخدمات المساندة</v>
          </cell>
          <cell r="P620" t="str">
            <v>Supply Management</v>
          </cell>
          <cell r="Q620" t="str">
            <v>إدارة الإمداد</v>
          </cell>
          <cell r="R620" t="str">
            <v>Business Partners</v>
          </cell>
          <cell r="S620" t="str">
            <v>شركاء أعمال</v>
          </cell>
          <cell r="T620" t="str">
            <v/>
          </cell>
          <cell r="U620" t="str">
            <v/>
          </cell>
          <cell r="V620" t="str">
            <v>Abu Dhabi</v>
          </cell>
          <cell r="W620" t="str">
            <v/>
          </cell>
          <cell r="X620" t="str">
            <v>4510240</v>
          </cell>
          <cell r="Y620" t="str">
            <v>Procurement_Procurement
General_Section Head</v>
          </cell>
          <cell r="Z620" t="str">
            <v>Section Manager</v>
          </cell>
          <cell r="AA620" t="str">
            <v>2B</v>
          </cell>
        </row>
        <row r="621">
          <cell r="A621">
            <v>1329</v>
          </cell>
          <cell r="B621">
            <v>1329</v>
          </cell>
          <cell r="C621" t="str">
            <v>A</v>
          </cell>
          <cell r="D621" t="str">
            <v>Ahmed Mohammed Barzaiq</v>
          </cell>
          <cell r="E621" t="str">
            <v>أحمد محمد بارزيق</v>
          </cell>
          <cell r="F621">
            <v>43401</v>
          </cell>
          <cell r="G621" t="str">
            <v>41000054</v>
          </cell>
          <cell r="H621" t="str">
            <v>Al Qattara Arts Center Unit Head</v>
          </cell>
          <cell r="I621" t="str">
            <v>رئيس وحدة مركز القطارة للفنون</v>
          </cell>
          <cell r="J621" t="str">
            <v>On-Chart</v>
          </cell>
          <cell r="K621" t="str">
            <v>DCT Payroll</v>
          </cell>
          <cell r="L621" t="str">
            <v>A1</v>
          </cell>
          <cell r="M621" t="str">
            <v>Department of Culture and Tourism</v>
          </cell>
          <cell r="N621" t="str">
            <v>Culture</v>
          </cell>
          <cell r="O621" t="str">
            <v>الثقافة</v>
          </cell>
          <cell r="P621" t="str">
            <v>Culture Sites Management</v>
          </cell>
          <cell r="Q621" t="str">
            <v>إدارة المواقع الثقافية</v>
          </cell>
          <cell r="R621" t="str">
            <v>Al Ain Community Centers</v>
          </cell>
          <cell r="S621" t="str">
            <v>مراكز العين المجتمعية</v>
          </cell>
          <cell r="T621" t="str">
            <v>Al Qattara Arts Centre</v>
          </cell>
          <cell r="U621" t="str">
            <v>مركز القطارة للفنون</v>
          </cell>
          <cell r="V621" t="str">
            <v>Al Ain</v>
          </cell>
          <cell r="W621" t="str">
            <v/>
          </cell>
          <cell r="X621" t="str">
            <v>4511250</v>
          </cell>
          <cell r="Y621" t="str">
            <v>Compliance,Governance&amp;Protocol_Policy  (Culture &amp; Tourism)_Unit Head</v>
          </cell>
          <cell r="Z621" t="str">
            <v>Unit Head</v>
          </cell>
          <cell r="AA621" t="str">
            <v>3A</v>
          </cell>
        </row>
        <row r="622">
          <cell r="A622">
            <v>1330</v>
          </cell>
          <cell r="B622">
            <v>1330</v>
          </cell>
          <cell r="C622" t="str">
            <v>A</v>
          </cell>
          <cell r="D622" t="str">
            <v>Shaikh Hamdan Khalifa Alnehayan</v>
          </cell>
          <cell r="E622" t="str">
            <v>الشيخ حمدان خليفه ال نهيان</v>
          </cell>
          <cell r="F622">
            <v>43401</v>
          </cell>
          <cell r="G622" t="str">
            <v>50001674</v>
          </cell>
          <cell r="H622" t="str">
            <v>Projects Manager</v>
          </cell>
          <cell r="I622" t="str">
            <v>مدير مشاريع</v>
          </cell>
          <cell r="J622" t="str">
            <v>On-Chart</v>
          </cell>
          <cell r="K622" t="str">
            <v>DCT Payroll</v>
          </cell>
          <cell r="L622" t="str">
            <v>A1</v>
          </cell>
          <cell r="M622" t="str">
            <v>Department of Culture and Tourism</v>
          </cell>
          <cell r="N622" t="str">
            <v>Tourism</v>
          </cell>
          <cell r="O622" t="str">
            <v>السياحة</v>
          </cell>
          <cell r="P622" t="str">
            <v>Director General Office</v>
          </cell>
          <cell r="Q622" t="str">
            <v>مكتب المدير العام للسياحة</v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>Abu Dhabi</v>
          </cell>
          <cell r="W622" t="str">
            <v/>
          </cell>
          <cell r="X622" t="str">
            <v>4515001</v>
          </cell>
          <cell r="Y622" t="str">
            <v>Commercial _Tourism Products Development _Senior Professional</v>
          </cell>
          <cell r="Z622" t="str">
            <v>Senior Professional</v>
          </cell>
          <cell r="AA622" t="str">
            <v>3B</v>
          </cell>
        </row>
        <row r="623">
          <cell r="A623">
            <v>1331</v>
          </cell>
          <cell r="B623">
            <v>1331</v>
          </cell>
          <cell r="C623" t="str">
            <v>A</v>
          </cell>
          <cell r="D623" t="str">
            <v>Shamma Mohamed Almansoori</v>
          </cell>
          <cell r="E623" t="str">
            <v>شما محمد المنصوري</v>
          </cell>
          <cell r="F623">
            <v>43401</v>
          </cell>
          <cell r="G623" t="str">
            <v>50001386</v>
          </cell>
          <cell r="H623" t="str">
            <v>Exhibitor Relations Specialist</v>
          </cell>
          <cell r="I623" t="str">
            <v>أخصائي علاقات العارضين</v>
          </cell>
          <cell r="J623" t="str">
            <v>On-Chart</v>
          </cell>
          <cell r="K623" t="str">
            <v>DCT Payroll</v>
          </cell>
          <cell r="L623" t="str">
            <v>A1</v>
          </cell>
          <cell r="M623" t="str">
            <v>Department of Culture and Tourism</v>
          </cell>
          <cell r="N623" t="str">
            <v>Culture</v>
          </cell>
          <cell r="O623" t="str">
            <v>الثقافة</v>
          </cell>
          <cell r="P623" t="str">
            <v>Culture Programming</v>
          </cell>
          <cell r="Q623" t="str">
            <v>البرامج الثقافية</v>
          </cell>
          <cell r="R623" t="str">
            <v>Abu Dhabi Art</v>
          </cell>
          <cell r="S623" t="str">
            <v>فن أبوظبي</v>
          </cell>
          <cell r="T623" t="str">
            <v>Abu Dhabi Art Gallery &amp; Project</v>
          </cell>
          <cell r="U623" t="str">
            <v>معرض ومشروع فن أبوظبي</v>
          </cell>
          <cell r="V623" t="str">
            <v>Abu Dhabi</v>
          </cell>
          <cell r="W623" t="str">
            <v/>
          </cell>
          <cell r="X623" t="str">
            <v>4511700</v>
          </cell>
          <cell r="Y623" t="str">
            <v>Compliance,Governance&amp;Protocol_Policy (Culture/Tourism) _Professional</v>
          </cell>
          <cell r="Z623" t="str">
            <v>Professional</v>
          </cell>
          <cell r="AA623" t="str">
            <v>4A</v>
          </cell>
        </row>
        <row r="624">
          <cell r="A624">
            <v>1332</v>
          </cell>
          <cell r="B624">
            <v>1332</v>
          </cell>
          <cell r="C624" t="str">
            <v>A</v>
          </cell>
          <cell r="D624" t="str">
            <v>Mohammed Ali Almansoori</v>
          </cell>
          <cell r="E624" t="str">
            <v>محمد علي المنصوري</v>
          </cell>
          <cell r="F624">
            <v>43405</v>
          </cell>
          <cell r="G624" t="str">
            <v>10008782</v>
          </cell>
          <cell r="H624" t="str">
            <v>FM Engineer</v>
          </cell>
          <cell r="I624" t="str">
            <v>مهندس إدارة المرافق</v>
          </cell>
          <cell r="J624" t="str">
            <v>On-Chart</v>
          </cell>
          <cell r="K624" t="str">
            <v>DCT Payroll</v>
          </cell>
          <cell r="L624" t="str">
            <v>A1</v>
          </cell>
          <cell r="M624" t="str">
            <v>Department of Culture and Tourism</v>
          </cell>
          <cell r="N624" t="str">
            <v>Culture</v>
          </cell>
          <cell r="O624" t="str">
            <v>الثقافة</v>
          </cell>
          <cell r="P624" t="str">
            <v>Culture Sites Management</v>
          </cell>
          <cell r="Q624" t="str">
            <v>إدارة المواقع الثقافية</v>
          </cell>
          <cell r="R624" t="str">
            <v>Al Ain Operations</v>
          </cell>
          <cell r="S624" t="str">
            <v>العمليات - العين</v>
          </cell>
          <cell r="T624" t="str">
            <v>Operations</v>
          </cell>
          <cell r="U624" t="str">
            <v>العمليات</v>
          </cell>
          <cell r="V624" t="str">
            <v>Al Ain</v>
          </cell>
          <cell r="W624" t="str">
            <v/>
          </cell>
          <cell r="X624" t="str">
            <v>4511250</v>
          </cell>
          <cell r="Y624" t="str">
            <v>Compliance,Governance&amp;Protocol_Policy (Culture/Tourism _Senior Professional</v>
          </cell>
          <cell r="Z624" t="str">
            <v>Senior Professional</v>
          </cell>
          <cell r="AA624" t="str">
            <v>3A</v>
          </cell>
        </row>
        <row r="625">
          <cell r="A625">
            <v>1333</v>
          </cell>
          <cell r="B625">
            <v>1333</v>
          </cell>
          <cell r="C625" t="str">
            <v>A</v>
          </cell>
          <cell r="D625" t="str">
            <v>Mariam Jassim Jassim</v>
          </cell>
          <cell r="E625" t="str">
            <v>مريم جاسم جاسم</v>
          </cell>
          <cell r="F625">
            <v>43408</v>
          </cell>
          <cell r="G625" t="str">
            <v>10002134</v>
          </cell>
          <cell r="H625" t="str">
            <v>Forensic Risk &amp; Audit Unit Head</v>
          </cell>
          <cell r="I625" t="str">
            <v>رئيس وحدة مخاطر الاحتيال والتدقيق</v>
          </cell>
          <cell r="J625" t="str">
            <v>On-Chart</v>
          </cell>
          <cell r="K625" t="str">
            <v>DCT Payroll</v>
          </cell>
          <cell r="L625" t="str">
            <v>A1</v>
          </cell>
          <cell r="M625" t="str">
            <v>Department of Culture and Tourism</v>
          </cell>
          <cell r="N625" t="str">
            <v>Internal Audit Office</v>
          </cell>
          <cell r="O625" t="str">
            <v>مكتب وكيل الدائرة</v>
          </cell>
          <cell r="P625" t="str">
            <v>Internal Audit Office</v>
          </cell>
          <cell r="Q625" t="str">
            <v>مكتب التدقيق الداخلي</v>
          </cell>
          <cell r="R625" t="str">
            <v>Affiliated Internal Audit</v>
          </cell>
          <cell r="S625" t="str">
            <v>التدقيق الداخلي للجهات التابعة</v>
          </cell>
          <cell r="T625" t="str">
            <v/>
          </cell>
          <cell r="U625" t="str">
            <v/>
          </cell>
          <cell r="V625" t="str">
            <v>Abu Dhabi</v>
          </cell>
          <cell r="W625" t="str">
            <v/>
          </cell>
          <cell r="X625" t="str">
            <v>4510140</v>
          </cell>
          <cell r="Y625" t="str">
            <v>Compliance,Governance&amp;Protocol_Internal Audit _Senior Professional</v>
          </cell>
          <cell r="Z625" t="str">
            <v>Senior Professional</v>
          </cell>
          <cell r="AA625" t="str">
            <v>3A</v>
          </cell>
        </row>
        <row r="626">
          <cell r="A626">
            <v>1338</v>
          </cell>
          <cell r="B626">
            <v>1338</v>
          </cell>
          <cell r="C626" t="str">
            <v>A</v>
          </cell>
          <cell r="D626" t="str">
            <v>Sara Eltigani Salih</v>
          </cell>
          <cell r="E626" t="str">
            <v>سارة التيجاني صالح</v>
          </cell>
          <cell r="F626">
            <v>43415</v>
          </cell>
          <cell r="G626" t="str">
            <v>50000600</v>
          </cell>
          <cell r="H626" t="str">
            <v>Marketing &amp; Communications Lead</v>
          </cell>
          <cell r="I626" t="str">
            <v>أخصائي رئيسي التسويق والاتصال</v>
          </cell>
          <cell r="J626" t="str">
            <v>On-Chart</v>
          </cell>
          <cell r="K626" t="str">
            <v>DCT Payroll</v>
          </cell>
          <cell r="L626" t="str">
            <v>A1</v>
          </cell>
          <cell r="M626" t="str">
            <v>Department of Culture and Tourism</v>
          </cell>
          <cell r="N626" t="str">
            <v>Culture</v>
          </cell>
          <cell r="O626" t="str">
            <v>الثقافة</v>
          </cell>
          <cell r="P626" t="str">
            <v>Culture Sector Marketing</v>
          </cell>
          <cell r="Q626" t="str">
            <v>التسويق لقطاع الثقافة</v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>Abu Dhabi</v>
          </cell>
          <cell r="W626" t="str">
            <v/>
          </cell>
          <cell r="X626" t="str">
            <v>4511550</v>
          </cell>
          <cell r="Y626" t="str">
            <v>Compliance,Governance&amp;Protocol_Policy  (Culture &amp; Tourism)_Unit Head</v>
          </cell>
          <cell r="Z626" t="str">
            <v>Unit Head</v>
          </cell>
          <cell r="AA626" t="str">
            <v>3B</v>
          </cell>
        </row>
        <row r="627">
          <cell r="A627">
            <v>1339</v>
          </cell>
          <cell r="B627">
            <v>1339</v>
          </cell>
          <cell r="C627" t="str">
            <v>A</v>
          </cell>
          <cell r="D627" t="str">
            <v>Fatima Nabeel AlShamsi</v>
          </cell>
          <cell r="E627" t="str">
            <v>فاطمة نبيل الشامسي</v>
          </cell>
          <cell r="F627">
            <v>43423</v>
          </cell>
          <cell r="G627" t="str">
            <v>10009039</v>
          </cell>
          <cell r="H627" t="str">
            <v>Marketing &amp; Communications Lead – Qasr Al Hosn</v>
          </cell>
          <cell r="I627" t="str">
            <v>أخصائي رئيسي التسويق والاتصال - قصر الحصن</v>
          </cell>
          <cell r="J627" t="str">
            <v>On-Chart</v>
          </cell>
          <cell r="K627" t="str">
            <v>DCT Payroll</v>
          </cell>
          <cell r="L627" t="str">
            <v>A1</v>
          </cell>
          <cell r="M627" t="str">
            <v>Department of Culture and Tourism</v>
          </cell>
          <cell r="N627" t="str">
            <v>Culture</v>
          </cell>
          <cell r="O627" t="str">
            <v>الثقافة</v>
          </cell>
          <cell r="P627" t="str">
            <v>Culture Sector Marketing</v>
          </cell>
          <cell r="Q627" t="str">
            <v>التسويق لقطاع الثقافة</v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>Abu Dhabi</v>
          </cell>
          <cell r="W627" t="str">
            <v/>
          </cell>
          <cell r="X627" t="str">
            <v>4511550</v>
          </cell>
          <cell r="Y627" t="str">
            <v>Compliance,Governance&amp;Protocol_Policy  (Culture &amp; Tourism)_Unit Head</v>
          </cell>
          <cell r="Z627" t="str">
            <v>Unit Head</v>
          </cell>
          <cell r="AA627" t="str">
            <v>3A</v>
          </cell>
        </row>
        <row r="628">
          <cell r="A628">
            <v>1340</v>
          </cell>
          <cell r="B628">
            <v>1340</v>
          </cell>
          <cell r="C628" t="str">
            <v>A</v>
          </cell>
          <cell r="D628" t="str">
            <v>Sultan Khamis Alremeithi</v>
          </cell>
          <cell r="E628" t="str">
            <v>سلطان خميس الرميثي</v>
          </cell>
          <cell r="F628">
            <v>43424</v>
          </cell>
          <cell r="G628" t="str">
            <v>10008980</v>
          </cell>
          <cell r="H628" t="str">
            <v>Community Engagement Specialist</v>
          </cell>
          <cell r="I628" t="str">
            <v>أخصائي المشاركة المجتمعية</v>
          </cell>
          <cell r="J628" t="str">
            <v>On-Chart</v>
          </cell>
          <cell r="K628" t="str">
            <v>DCT Payroll</v>
          </cell>
          <cell r="L628" t="str">
            <v>A1</v>
          </cell>
          <cell r="M628" t="str">
            <v>Department of Culture and Tourism</v>
          </cell>
          <cell r="N628" t="str">
            <v>Culture</v>
          </cell>
          <cell r="O628" t="str">
            <v>الثقافة</v>
          </cell>
          <cell r="P628" t="str">
            <v>Culture Sites Management</v>
          </cell>
          <cell r="Q628" t="str">
            <v>إدارة المواقع الثقافية</v>
          </cell>
          <cell r="R628" t="str">
            <v>Manarat Al Saadiyat</v>
          </cell>
          <cell r="S628" t="str">
            <v>منارة السعديات</v>
          </cell>
          <cell r="T628" t="str">
            <v>Art Studio</v>
          </cell>
          <cell r="U628" t="str">
            <v>استوديو الفنون</v>
          </cell>
          <cell r="V628" t="str">
            <v>Abu Dhabi</v>
          </cell>
          <cell r="W628" t="str">
            <v/>
          </cell>
          <cell r="X628" t="str">
            <v>4511250</v>
          </cell>
          <cell r="Y628" t="str">
            <v>Compliance,Governance&amp;Protocol_Policy (Culture/Tourism _Senior Professional</v>
          </cell>
          <cell r="Z628" t="str">
            <v>Professional</v>
          </cell>
          <cell r="AA628" t="str">
            <v>4A</v>
          </cell>
        </row>
        <row r="629">
          <cell r="A629">
            <v>1343</v>
          </cell>
          <cell r="B629">
            <v>1343</v>
          </cell>
          <cell r="C629" t="str">
            <v>A</v>
          </cell>
          <cell r="D629" t="str">
            <v>Hassan Wael Barghouthi</v>
          </cell>
          <cell r="E629" t="str">
            <v>حسن وائل البرغوثي</v>
          </cell>
          <cell r="F629">
            <v>43424</v>
          </cell>
          <cell r="G629" t="str">
            <v>10008875</v>
          </cell>
          <cell r="H629" t="str">
            <v>Continuous Audit Unit  Head</v>
          </cell>
          <cell r="I629" t="str">
            <v>رئيس وحدة التدقيق الداخلي المستمر</v>
          </cell>
          <cell r="J629" t="str">
            <v>On-Chart</v>
          </cell>
          <cell r="K629" t="str">
            <v>DCT Payroll</v>
          </cell>
          <cell r="L629" t="str">
            <v>A1</v>
          </cell>
          <cell r="M629" t="str">
            <v>Department of Culture and Tourism</v>
          </cell>
          <cell r="N629" t="str">
            <v>Internal Audit Office</v>
          </cell>
          <cell r="O629" t="str">
            <v>مكتب وكيل الدائرة</v>
          </cell>
          <cell r="P629" t="str">
            <v>Internal Audit Office</v>
          </cell>
          <cell r="Q629" t="str">
            <v>مكتب التدقيق الداخلي</v>
          </cell>
          <cell r="R629" t="str">
            <v>Corporate Entities Internal Audit</v>
          </cell>
          <cell r="S629" t="str">
            <v>التدقيق الداخلي للدائرة</v>
          </cell>
          <cell r="T629" t="str">
            <v/>
          </cell>
          <cell r="U629" t="str">
            <v/>
          </cell>
          <cell r="V629" t="str">
            <v>Abu Dhabi</v>
          </cell>
          <cell r="W629" t="str">
            <v/>
          </cell>
          <cell r="X629" t="str">
            <v>4510140</v>
          </cell>
          <cell r="Y629" t="str">
            <v>Compliance,Governance&amp;Protocol_Internal Audit _Senior Professional</v>
          </cell>
          <cell r="Z629" t="str">
            <v>Unit Head</v>
          </cell>
          <cell r="AA629" t="str">
            <v>3A</v>
          </cell>
        </row>
        <row r="630">
          <cell r="A630">
            <v>1345</v>
          </cell>
          <cell r="B630">
            <v>1345</v>
          </cell>
          <cell r="C630" t="str">
            <v>A</v>
          </cell>
          <cell r="D630" t="str">
            <v>Michell Johnetta Hackwelder</v>
          </cell>
          <cell r="E630" t="str">
            <v>ميشيل جونيتا  هاكويلدر</v>
          </cell>
          <cell r="F630">
            <v>43429</v>
          </cell>
          <cell r="G630" t="str">
            <v>50001702</v>
          </cell>
          <cell r="H630" t="str">
            <v>Interpretation Unit Head (Al Ain)</v>
          </cell>
          <cell r="I630" t="str">
            <v>رئيس وحدة الإرشاد الثقافي (العين)</v>
          </cell>
          <cell r="J630" t="str">
            <v>On-Chart</v>
          </cell>
          <cell r="K630" t="str">
            <v>DCT Payroll</v>
          </cell>
          <cell r="L630" t="str">
            <v>A1</v>
          </cell>
          <cell r="M630" t="str">
            <v>Department of Culture and Tourism</v>
          </cell>
          <cell r="N630" t="str">
            <v>Culture</v>
          </cell>
          <cell r="O630" t="str">
            <v>الثقافة</v>
          </cell>
          <cell r="P630" t="str">
            <v>Education &amp; Outreach</v>
          </cell>
          <cell r="Q630" t="str">
            <v>التعليم والتوعية الثقافية</v>
          </cell>
          <cell r="R630" t="str">
            <v>Interpretation - IH &amp; Historic Sites</v>
          </cell>
          <cell r="S630" t="str">
            <v>الإرشاد الثقافي - التراث المعنوي والمواقع التاريخية</v>
          </cell>
          <cell r="T630" t="str">
            <v>Interpretation (Al Ain)</v>
          </cell>
          <cell r="U630" t="str">
            <v>الإرشاد الثقافي (العين)</v>
          </cell>
          <cell r="V630" t="str">
            <v>Abu Dhabi</v>
          </cell>
          <cell r="W630" t="str">
            <v/>
          </cell>
          <cell r="X630" t="str">
            <v>4511800</v>
          </cell>
          <cell r="Y630" t="str">
            <v>Interpretation &amp; Engagement_Outreach &amp; Cultural Engagement _Unit Head</v>
          </cell>
          <cell r="Z630" t="str">
            <v>Unit Head</v>
          </cell>
          <cell r="AA630" t="str">
            <v>2A</v>
          </cell>
        </row>
        <row r="631">
          <cell r="A631">
            <v>1346</v>
          </cell>
          <cell r="B631">
            <v>1346</v>
          </cell>
          <cell r="C631" t="str">
            <v>A</v>
          </cell>
          <cell r="D631" t="str">
            <v>Afra Mohamed Almheiri</v>
          </cell>
          <cell r="E631" t="str">
            <v>عفراء محمد المهيري</v>
          </cell>
          <cell r="F631">
            <v>43429</v>
          </cell>
          <cell r="G631" t="str">
            <v>50002083</v>
          </cell>
          <cell r="H631" t="str">
            <v>Regional PR &amp; Marketing Section Head</v>
          </cell>
          <cell r="I631" t="str">
            <v>رئيس قسم العلاقات العامة والتسويق الإقليمي</v>
          </cell>
          <cell r="J631" t="str">
            <v>On-Chart</v>
          </cell>
          <cell r="K631" t="str">
            <v>DCT Payroll</v>
          </cell>
          <cell r="L631" t="str">
            <v>A1</v>
          </cell>
          <cell r="M631" t="str">
            <v>Department of Culture and Tourism</v>
          </cell>
          <cell r="N631" t="str">
            <v>Tourism</v>
          </cell>
          <cell r="O631" t="str">
            <v>السياحة</v>
          </cell>
          <cell r="P631" t="str">
            <v>International Operations</v>
          </cell>
          <cell r="Q631" t="str">
            <v>العمليات الدولية</v>
          </cell>
          <cell r="R631" t="str">
            <v>Regional PR &amp; Marketing</v>
          </cell>
          <cell r="S631" t="str">
            <v>العلاقات العامة والتسويق الإقليمي</v>
          </cell>
          <cell r="T631" t="str">
            <v/>
          </cell>
          <cell r="U631" t="str">
            <v/>
          </cell>
          <cell r="V631" t="str">
            <v>Abu Dhabi</v>
          </cell>
          <cell r="W631" t="str">
            <v/>
          </cell>
          <cell r="X631" t="str">
            <v>4515100</v>
          </cell>
          <cell r="Y631" t="str">
            <v>Design_Tourism Journey Design &amp; Development  (Tourism)_Section Head</v>
          </cell>
          <cell r="Z631" t="str">
            <v>Section Manager</v>
          </cell>
          <cell r="AA631" t="str">
            <v>2A</v>
          </cell>
        </row>
        <row r="632">
          <cell r="A632">
            <v>1348</v>
          </cell>
          <cell r="B632">
            <v>1348</v>
          </cell>
          <cell r="C632" t="str">
            <v>A</v>
          </cell>
          <cell r="D632" t="str">
            <v>Daniela Theelen</v>
          </cell>
          <cell r="E632" t="str">
            <v>دانيلا  ثيلن</v>
          </cell>
          <cell r="F632">
            <v>43429</v>
          </cell>
          <cell r="G632" t="str">
            <v>10009341</v>
          </cell>
          <cell r="H632" t="str">
            <v>International Operations Lead (US &amp; Canada)</v>
          </cell>
          <cell r="I632" t="str">
            <v>أخصائي رئيسي التخطيط والعمليات (الولايات المتحدة وكندا)</v>
          </cell>
          <cell r="J632" t="str">
            <v>On-Chart</v>
          </cell>
          <cell r="K632" t="str">
            <v>DCT Payroll</v>
          </cell>
          <cell r="L632" t="str">
            <v>A1</v>
          </cell>
          <cell r="M632" t="str">
            <v>Department of Culture and Tourism</v>
          </cell>
          <cell r="N632" t="str">
            <v>Tourism</v>
          </cell>
          <cell r="O632" t="str">
            <v>السياحة</v>
          </cell>
          <cell r="P632" t="str">
            <v>International Operations</v>
          </cell>
          <cell r="Q632" t="str">
            <v>العمليات الدولية</v>
          </cell>
          <cell r="R632" t="str">
            <v>UK &amp; Americas</v>
          </cell>
          <cell r="S632" t="str">
            <v>منطقة المملكة المتحدة  والأمريكيتين</v>
          </cell>
          <cell r="T632" t="str">
            <v>US &amp; Canada</v>
          </cell>
          <cell r="U632" t="str">
            <v>منطقة الولايات المتحدة وكندا</v>
          </cell>
          <cell r="V632" t="str">
            <v>Abu Dhabi</v>
          </cell>
          <cell r="W632" t="str">
            <v/>
          </cell>
          <cell r="X632" t="str">
            <v>4515100</v>
          </cell>
          <cell r="Y632" t="str">
            <v>Compliance,Governance&amp;Protocol_Policy  (Culture &amp; Tourism)_Unit Head</v>
          </cell>
          <cell r="Z632" t="str">
            <v>Unit Head</v>
          </cell>
          <cell r="AA632" t="str">
            <v>3A</v>
          </cell>
        </row>
        <row r="633">
          <cell r="A633">
            <v>1349</v>
          </cell>
          <cell r="B633">
            <v>1349</v>
          </cell>
          <cell r="C633" t="str">
            <v>A</v>
          </cell>
          <cell r="D633" t="str">
            <v>Amanda Susan Dale</v>
          </cell>
          <cell r="E633" t="str">
            <v>أماندا سوزان  ديل</v>
          </cell>
          <cell r="F633">
            <v>43431</v>
          </cell>
          <cell r="G633" t="str">
            <v>10006173</v>
          </cell>
          <cell r="H633" t="str">
            <v>Editorial Unit Head</v>
          </cell>
          <cell r="I633" t="str">
            <v>رئيس وحدة التحرير اللغوي</v>
          </cell>
          <cell r="J633" t="str">
            <v>On-Chart</v>
          </cell>
          <cell r="K633" t="str">
            <v>DCT Payroll</v>
          </cell>
          <cell r="L633" t="str">
            <v>A1</v>
          </cell>
          <cell r="M633" t="str">
            <v>Department of Culture and Tourism</v>
          </cell>
          <cell r="N633" t="str">
            <v>Culture</v>
          </cell>
          <cell r="O633" t="str">
            <v>الثقافة</v>
          </cell>
          <cell r="P633" t="str">
            <v>Scientific, Curatorial and Collection Department</v>
          </cell>
          <cell r="Q633" t="str">
            <v>إدارة البحث العلمي والمقتنيات</v>
          </cell>
          <cell r="R633" t="str">
            <v>Publishing &amp; Digitization</v>
          </cell>
          <cell r="S633" t="str">
            <v>النشر ورقمنة المحتوى</v>
          </cell>
          <cell r="T633" t="str">
            <v>Editorial</v>
          </cell>
          <cell r="U633" t="str">
            <v>التحرير اللغوي</v>
          </cell>
          <cell r="V633" t="str">
            <v>Abu Dhabi</v>
          </cell>
          <cell r="W633" t="str">
            <v/>
          </cell>
          <cell r="X633" t="str">
            <v>4511150</v>
          </cell>
          <cell r="Y633" t="str">
            <v>Compliance,Governance&amp;Protocol_Policy  (Culture &amp; Tourism)_Unit Head</v>
          </cell>
          <cell r="Z633" t="str">
            <v>Unit Head</v>
          </cell>
          <cell r="AA633" t="str">
            <v>3A</v>
          </cell>
        </row>
        <row r="634">
          <cell r="A634">
            <v>1351</v>
          </cell>
          <cell r="B634">
            <v>1351</v>
          </cell>
          <cell r="C634" t="str">
            <v>A</v>
          </cell>
          <cell r="D634" t="str">
            <v>Hamad Ahmed Fadel</v>
          </cell>
          <cell r="E634" t="str">
            <v>حمد أحمد فاضل</v>
          </cell>
          <cell r="F634">
            <v>43432</v>
          </cell>
          <cell r="G634" t="str">
            <v>10009084</v>
          </cell>
          <cell r="H634" t="str">
            <v>Meps Officer</v>
          </cell>
          <cell r="I634" t="str">
            <v>ضابط نظام سجل قاعدة البيانات للبيئة التاريخية</v>
          </cell>
          <cell r="J634" t="str">
            <v>On-Chart</v>
          </cell>
          <cell r="K634" t="str">
            <v>DCT Payroll</v>
          </cell>
          <cell r="L634" t="str">
            <v>A1</v>
          </cell>
          <cell r="M634" t="str">
            <v>Department of Culture and Tourism</v>
          </cell>
          <cell r="N634" t="str">
            <v>Culture</v>
          </cell>
          <cell r="O634" t="str">
            <v>الثقافة</v>
          </cell>
          <cell r="P634" t="str">
            <v>Historic Environment</v>
          </cell>
          <cell r="Q634" t="str">
            <v>البيئة التاريخية</v>
          </cell>
          <cell r="R634" t="str">
            <v>Development Control &amp; Documentation</v>
          </cell>
          <cell r="S634" t="str">
            <v>التوثيق ورقابة التطوير</v>
          </cell>
          <cell r="T634" t="str">
            <v>Development Control (Al Ain)</v>
          </cell>
          <cell r="U634" t="str">
            <v>رقابة التطوير (العين)</v>
          </cell>
          <cell r="V634" t="str">
            <v>Al Ain</v>
          </cell>
          <cell r="W634" t="str">
            <v/>
          </cell>
          <cell r="X634" t="str">
            <v>4511300</v>
          </cell>
          <cell r="Y634" t="str">
            <v>Compliance,Governance&amp;Protocol_Policy (Culture/Tourism) _Professional</v>
          </cell>
          <cell r="Z634" t="str">
            <v>Professional</v>
          </cell>
          <cell r="AA634" t="str">
            <v>4A</v>
          </cell>
        </row>
        <row r="635">
          <cell r="A635">
            <v>1354</v>
          </cell>
          <cell r="B635">
            <v>1354</v>
          </cell>
          <cell r="C635" t="str">
            <v>A</v>
          </cell>
          <cell r="D635" t="str">
            <v>Khalifa Hasan Al Suwaidi</v>
          </cell>
          <cell r="E635" t="str">
            <v>خليفة حسن السويدي</v>
          </cell>
          <cell r="F635">
            <v>43438</v>
          </cell>
          <cell r="G635" t="str">
            <v>50002885</v>
          </cell>
          <cell r="H635" t="str">
            <v>Senior Projects Manager</v>
          </cell>
          <cell r="I635" t="str">
            <v>مدير مشاريع أول</v>
          </cell>
          <cell r="J635" t="str">
            <v>Off-Chart</v>
          </cell>
          <cell r="K635" t="str">
            <v>MSS Direct Hires</v>
          </cell>
          <cell r="L635" t="str">
            <v>M1</v>
          </cell>
          <cell r="M635" t="str">
            <v>Department of Culture and Tourism</v>
          </cell>
          <cell r="N635" t="str">
            <v>Abrahamic Family House Center</v>
          </cell>
          <cell r="O635" t="str">
            <v>مركز بيت العائلة الإبراهيمية</v>
          </cell>
          <cell r="P635" t="str">
            <v>Office of Executive Director</v>
          </cell>
          <cell r="Q635" t="str">
            <v>مكتب المدير التنفيذي</v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>Abu Dhabi</v>
          </cell>
          <cell r="W635" t="str">
            <v/>
          </cell>
          <cell r="X635" t="str">
            <v>4514121</v>
          </cell>
          <cell r="Y635" t="str">
            <v>Executive Management _Advisor-ALC Chairman's Office _Section Manager</v>
          </cell>
          <cell r="Z635" t="str">
            <v>Section Manager</v>
          </cell>
          <cell r="AA635" t="str">
            <v>2A</v>
          </cell>
        </row>
        <row r="636">
          <cell r="A636">
            <v>1355</v>
          </cell>
          <cell r="B636">
            <v>1355</v>
          </cell>
          <cell r="C636" t="str">
            <v>A</v>
          </cell>
          <cell r="D636" t="str">
            <v>Rashed Mohammed Alshamsi</v>
          </cell>
          <cell r="E636" t="str">
            <v>راشد محمد الشامسي</v>
          </cell>
          <cell r="F636">
            <v>43439</v>
          </cell>
          <cell r="G636" t="str">
            <v>10007316</v>
          </cell>
          <cell r="H636" t="str">
            <v>Inspector</v>
          </cell>
          <cell r="I636" t="str">
            <v>مفتش</v>
          </cell>
          <cell r="J636" t="str">
            <v>On-Chart</v>
          </cell>
          <cell r="K636" t="str">
            <v>DCT Payroll</v>
          </cell>
          <cell r="L636" t="str">
            <v>A1</v>
          </cell>
          <cell r="M636" t="str">
            <v>Department of Culture and Tourism</v>
          </cell>
          <cell r="N636" t="str">
            <v>Tourism</v>
          </cell>
          <cell r="O636" t="str">
            <v>السياحة</v>
          </cell>
          <cell r="P636" t="str">
            <v>Licensing &amp; Regulatory Compliance</v>
          </cell>
          <cell r="Q636" t="str">
            <v>الرقابة والترخيص</v>
          </cell>
          <cell r="R636" t="str">
            <v>Abu Dhabi Inspection</v>
          </cell>
          <cell r="S636" t="str">
            <v>التفتيش</v>
          </cell>
          <cell r="T636" t="str">
            <v>Abu Dhabi Inspection</v>
          </cell>
          <cell r="U636" t="str">
            <v>التفتيش (أبوظبي)</v>
          </cell>
          <cell r="V636" t="str">
            <v>Abu Dhabi</v>
          </cell>
          <cell r="W636" t="str">
            <v/>
          </cell>
          <cell r="X636" t="str">
            <v>4510170</v>
          </cell>
          <cell r="Y636" t="str">
            <v>Compliance,Governance&amp;Protocol_Licensing &amp; Regulatory Compliance- (Follow-up and Reporting) _Professional Assistant</v>
          </cell>
          <cell r="Z636" t="str">
            <v>Professional</v>
          </cell>
          <cell r="AA636" t="str">
            <v>4C</v>
          </cell>
        </row>
        <row r="637">
          <cell r="A637">
            <v>1357</v>
          </cell>
          <cell r="B637">
            <v>1357</v>
          </cell>
          <cell r="C637" t="str">
            <v>A</v>
          </cell>
          <cell r="D637" t="str">
            <v>Danielle Jennifer De Martini</v>
          </cell>
          <cell r="E637" t="str">
            <v>دانيلي جينيفر  دي مارتيني</v>
          </cell>
          <cell r="F637">
            <v>43444</v>
          </cell>
          <cell r="G637" t="str">
            <v>10004879</v>
          </cell>
          <cell r="H637" t="str">
            <v>English Copywriter</v>
          </cell>
          <cell r="I637" t="str">
            <v>محرر باللغة الإنجليزية</v>
          </cell>
          <cell r="J637" t="str">
            <v>On-Chart</v>
          </cell>
          <cell r="K637" t="str">
            <v>DCT Payroll</v>
          </cell>
          <cell r="L637" t="str">
            <v>A1</v>
          </cell>
          <cell r="M637" t="str">
            <v>Department of Culture and Tourism</v>
          </cell>
          <cell r="N637" t="str">
            <v>Strategic Marketing &amp; Communication</v>
          </cell>
          <cell r="O637" t="str">
            <v>التسويق والاتصال الاستراتيجي</v>
          </cell>
          <cell r="P637" t="str">
            <v>Creative &amp; Production</v>
          </cell>
          <cell r="Q637" t="str">
            <v>الإبداع والإنتاج</v>
          </cell>
          <cell r="R637" t="str">
            <v>Creative Content</v>
          </cell>
          <cell r="S637" t="str">
            <v>المحتوى الإبداعي</v>
          </cell>
          <cell r="T637" t="str">
            <v>Editorial</v>
          </cell>
          <cell r="U637" t="str">
            <v>التحرير</v>
          </cell>
          <cell r="V637" t="str">
            <v>Abu Dhabi</v>
          </cell>
          <cell r="W637" t="str">
            <v/>
          </cell>
          <cell r="X637" t="str">
            <v>4513110</v>
          </cell>
          <cell r="Y637" t="str">
            <v>Specialization Marketing &amp; Communications</v>
          </cell>
          <cell r="Z637" t="str">
            <v>Professional</v>
          </cell>
          <cell r="AA637" t="str">
            <v>4A</v>
          </cell>
        </row>
        <row r="638">
          <cell r="A638">
            <v>1358</v>
          </cell>
          <cell r="B638">
            <v>1358</v>
          </cell>
          <cell r="C638" t="str">
            <v>A</v>
          </cell>
          <cell r="D638" t="str">
            <v>Mariam Hasan Alhammadi</v>
          </cell>
          <cell r="E638" t="str">
            <v>مريم حسن الحمادي</v>
          </cell>
          <cell r="F638">
            <v>43445</v>
          </cell>
          <cell r="G638" t="str">
            <v>10005779</v>
          </cell>
          <cell r="H638" t="str">
            <v>Library Officer</v>
          </cell>
          <cell r="I638" t="str">
            <v>ضابط شؤون المكتبة</v>
          </cell>
          <cell r="J638" t="str">
            <v>On-Chart</v>
          </cell>
          <cell r="K638" t="str">
            <v>DCT Payroll</v>
          </cell>
          <cell r="L638" t="str">
            <v>A1</v>
          </cell>
          <cell r="M638" t="str">
            <v>Department of Culture and Tourism</v>
          </cell>
          <cell r="N638" t="str">
            <v>Culture</v>
          </cell>
          <cell r="O638" t="str">
            <v>الثقافة</v>
          </cell>
          <cell r="P638" t="str">
            <v>Library Management</v>
          </cell>
          <cell r="Q638" t="str">
            <v>إدارة المكتبات</v>
          </cell>
          <cell r="R638" t="str">
            <v>Branches Library</v>
          </cell>
          <cell r="S638" t="str">
            <v>فروع المكتبات</v>
          </cell>
          <cell r="T638" t="str">
            <v>Al Marfaa Library</v>
          </cell>
          <cell r="U638" t="str">
            <v>مكتبة المرفى</v>
          </cell>
          <cell r="V638" t="str">
            <v>Abu Dhabi</v>
          </cell>
          <cell r="W638" t="str">
            <v/>
          </cell>
          <cell r="X638" t="str">
            <v>4516100</v>
          </cell>
          <cell r="Y638" t="str">
            <v>Interpretation &amp; Engagement_Library Service Delivery (Librarian)_Professional</v>
          </cell>
          <cell r="Z638" t="str">
            <v>Professional</v>
          </cell>
          <cell r="AA638" t="str">
            <v>4A</v>
          </cell>
        </row>
        <row r="639">
          <cell r="A639">
            <v>1359</v>
          </cell>
          <cell r="B639">
            <v>1359</v>
          </cell>
          <cell r="C639" t="str">
            <v>A</v>
          </cell>
          <cell r="D639" t="str">
            <v>Fatma Mohsen Elhoseni</v>
          </cell>
          <cell r="E639" t="str">
            <v>فاطمة محسن الحسيني</v>
          </cell>
          <cell r="F639">
            <v>43450</v>
          </cell>
          <cell r="G639" t="str">
            <v>50001349</v>
          </cell>
          <cell r="H639" t="str">
            <v>International Artists Unit Head</v>
          </cell>
          <cell r="I639" t="str">
            <v>رئيس وحدة الفنانين العالميين</v>
          </cell>
          <cell r="J639" t="str">
            <v>On-Chart</v>
          </cell>
          <cell r="K639" t="str">
            <v>DCT Payroll</v>
          </cell>
          <cell r="L639" t="str">
            <v>A1</v>
          </cell>
          <cell r="M639" t="str">
            <v>Department of Culture and Tourism</v>
          </cell>
          <cell r="N639" t="str">
            <v>Tourism</v>
          </cell>
          <cell r="O639" t="str">
            <v>السياحة</v>
          </cell>
          <cell r="P639" t="str">
            <v>Abu Dhabi Events Bureau</v>
          </cell>
          <cell r="Q639" t="str">
            <v>مكتب أبوظبي للفعاليات</v>
          </cell>
          <cell r="R639" t="str">
            <v>Live Entertainment and Festivals</v>
          </cell>
          <cell r="S639" t="str">
            <v>العروض الترفيهية والمهرجانات</v>
          </cell>
          <cell r="T639" t="str">
            <v>International Artists</v>
          </cell>
          <cell r="U639" t="str">
            <v>الفنانين العالميين</v>
          </cell>
          <cell r="V639" t="str">
            <v>Abu Dhabi</v>
          </cell>
          <cell r="W639" t="str">
            <v/>
          </cell>
          <cell r="X639" t="str">
            <v>4515500</v>
          </cell>
          <cell r="Y639" t="str">
            <v>Commercial _Conventions, Exhibitions, Events,Festivals Development &amp; Sales  _Unit Head</v>
          </cell>
          <cell r="Z639" t="str">
            <v>Unit Head</v>
          </cell>
          <cell r="AA639" t="str">
            <v>3A</v>
          </cell>
        </row>
        <row r="640">
          <cell r="A640">
            <v>1362</v>
          </cell>
          <cell r="B640">
            <v>1362</v>
          </cell>
          <cell r="C640" t="str">
            <v>A</v>
          </cell>
          <cell r="D640" t="str">
            <v>Ali Suhail AlKatheeri</v>
          </cell>
          <cell r="E640" t="str">
            <v>علي سهيل الكثيري</v>
          </cell>
          <cell r="F640">
            <v>43450</v>
          </cell>
          <cell r="G640" t="str">
            <v>50001330</v>
          </cell>
          <cell r="H640" t="str">
            <v>Abu Dhabi Operations Section Head</v>
          </cell>
          <cell r="I640" t="str">
            <v>رئيس قسم العمليات - أبوظبي</v>
          </cell>
          <cell r="J640" t="str">
            <v>On-Chart</v>
          </cell>
          <cell r="K640" t="str">
            <v>DCT Payroll</v>
          </cell>
          <cell r="L640" t="str">
            <v>A1</v>
          </cell>
          <cell r="M640" t="str">
            <v>Department of Culture and Tourism</v>
          </cell>
          <cell r="N640" t="str">
            <v>Culture</v>
          </cell>
          <cell r="O640" t="str">
            <v>الثقافة</v>
          </cell>
          <cell r="P640" t="str">
            <v>Culture Sites Management</v>
          </cell>
          <cell r="Q640" t="str">
            <v>إدارة المواقع الثقافية</v>
          </cell>
          <cell r="R640" t="str">
            <v>Abu Dhabi Operations</v>
          </cell>
          <cell r="S640" t="str">
            <v>العمليات - أبوظبي</v>
          </cell>
          <cell r="T640" t="str">
            <v/>
          </cell>
          <cell r="U640" t="str">
            <v/>
          </cell>
          <cell r="V640" t="str">
            <v>Abu Dhabi</v>
          </cell>
          <cell r="W640" t="str">
            <v/>
          </cell>
          <cell r="X640" t="str">
            <v>4511250</v>
          </cell>
          <cell r="Y640" t="str">
            <v>Compliance,Governance&amp;Protocol_Policy (Culture &amp; Tourism)_Section Head</v>
          </cell>
          <cell r="Z640" t="str">
            <v>Section Manager</v>
          </cell>
          <cell r="AA640" t="str">
            <v>2A</v>
          </cell>
        </row>
        <row r="641">
          <cell r="A641">
            <v>1364</v>
          </cell>
          <cell r="B641">
            <v>1364</v>
          </cell>
          <cell r="C641" t="str">
            <v>A</v>
          </cell>
          <cell r="D641" t="str">
            <v>Shayea Nasser AlHajeri</v>
          </cell>
          <cell r="E641" t="str">
            <v>شايع ناصر الهاجري</v>
          </cell>
          <cell r="F641">
            <v>43450</v>
          </cell>
          <cell r="G641" t="str">
            <v>10005298</v>
          </cell>
          <cell r="H641" t="str">
            <v>Visitor Experience Specialist</v>
          </cell>
          <cell r="I641" t="str">
            <v>أخصائي تجربة الزوار</v>
          </cell>
          <cell r="J641" t="str">
            <v>On-Chart</v>
          </cell>
          <cell r="K641" t="str">
            <v>DCT Payroll</v>
          </cell>
          <cell r="L641" t="str">
            <v>A1</v>
          </cell>
          <cell r="M641" t="str">
            <v>Department of Culture and Tourism</v>
          </cell>
          <cell r="N641" t="str">
            <v>Culture</v>
          </cell>
          <cell r="O641" t="str">
            <v>الثقافة</v>
          </cell>
          <cell r="P641" t="str">
            <v>Culture Sites Management</v>
          </cell>
          <cell r="Q641" t="str">
            <v>إدارة المواقع الثقافية</v>
          </cell>
          <cell r="R641" t="str">
            <v>Al Ain Historical Sites</v>
          </cell>
          <cell r="S641" t="str">
            <v>مواقع العين التاريخية</v>
          </cell>
          <cell r="T641" t="str">
            <v>Al Jahili Fort</v>
          </cell>
          <cell r="U641" t="str">
            <v>قلعة الجاهلي</v>
          </cell>
          <cell r="V641" t="str">
            <v>Al Ain</v>
          </cell>
          <cell r="W641" t="str">
            <v/>
          </cell>
          <cell r="X641" t="str">
            <v>4511250</v>
          </cell>
          <cell r="Y641" t="str">
            <v>Compliance,Governance&amp;Protocol_Policy (Culture/Tourism _Senior Professional</v>
          </cell>
          <cell r="Z641" t="str">
            <v>Professional</v>
          </cell>
          <cell r="AA641" t="str">
            <v>4B</v>
          </cell>
        </row>
        <row r="642">
          <cell r="A642">
            <v>1365</v>
          </cell>
          <cell r="B642">
            <v>1365</v>
          </cell>
          <cell r="C642" t="str">
            <v>A</v>
          </cell>
          <cell r="D642" t="str">
            <v>Muna Salem Alshamsi</v>
          </cell>
          <cell r="E642" t="str">
            <v>منى سالم الشامسي</v>
          </cell>
          <cell r="F642">
            <v>43450</v>
          </cell>
          <cell r="G642" t="str">
            <v>10009202</v>
          </cell>
          <cell r="H642" t="str">
            <v>Visitor Experience Specialist</v>
          </cell>
          <cell r="I642" t="str">
            <v>أخصائي تجربة الزوار</v>
          </cell>
          <cell r="J642" t="str">
            <v>On-Chart</v>
          </cell>
          <cell r="K642" t="str">
            <v>DCT Payroll</v>
          </cell>
          <cell r="L642" t="str">
            <v>A1</v>
          </cell>
          <cell r="M642" t="str">
            <v>Department of Culture and Tourism</v>
          </cell>
          <cell r="N642" t="str">
            <v>Culture</v>
          </cell>
          <cell r="O642" t="str">
            <v>الثقافة</v>
          </cell>
          <cell r="P642" t="str">
            <v>Culture Sites Management</v>
          </cell>
          <cell r="Q642" t="str">
            <v>إدارة المواقع الثقافية</v>
          </cell>
          <cell r="R642" t="str">
            <v>Al Ain Historical Sites</v>
          </cell>
          <cell r="S642" t="str">
            <v>مواقع العين التاريخية</v>
          </cell>
          <cell r="T642" t="str">
            <v>Al Jahili Fort</v>
          </cell>
          <cell r="U642" t="str">
            <v>قلعة الجاهلي</v>
          </cell>
          <cell r="V642" t="str">
            <v>Al Ain</v>
          </cell>
          <cell r="W642" t="str">
            <v/>
          </cell>
          <cell r="X642" t="str">
            <v>4511250</v>
          </cell>
          <cell r="Y642" t="str">
            <v>Compliance,Governance&amp;Protocol_Policy (Culture/Tourism _Senior Professional</v>
          </cell>
          <cell r="Z642" t="str">
            <v>Professional</v>
          </cell>
          <cell r="AA642" t="str">
            <v>4A</v>
          </cell>
        </row>
        <row r="643">
          <cell r="A643">
            <v>1366</v>
          </cell>
          <cell r="B643">
            <v>1366</v>
          </cell>
          <cell r="C643" t="str">
            <v>A</v>
          </cell>
          <cell r="D643" t="str">
            <v>Shamma Humaid Al Mansoori</v>
          </cell>
          <cell r="E643" t="str">
            <v>شمه حميد المنصوري</v>
          </cell>
          <cell r="F643">
            <v>43450</v>
          </cell>
          <cell r="G643" t="str">
            <v>10009948</v>
          </cell>
          <cell r="H643" t="str">
            <v>Protocol Officer</v>
          </cell>
          <cell r="I643" t="str">
            <v>ضابط بروتوكول</v>
          </cell>
          <cell r="J643" t="str">
            <v>On-Chart</v>
          </cell>
          <cell r="K643" t="str">
            <v>DCT Payroll</v>
          </cell>
          <cell r="L643" t="str">
            <v>A1</v>
          </cell>
          <cell r="M643" t="str">
            <v>Department of Culture and Tourism</v>
          </cell>
          <cell r="N643" t="str">
            <v>Culture</v>
          </cell>
          <cell r="O643" t="str">
            <v>الثقافة</v>
          </cell>
          <cell r="P643" t="str">
            <v>Culture Sites Management</v>
          </cell>
          <cell r="Q643" t="str">
            <v>إدارة المواقع الثقافية</v>
          </cell>
          <cell r="R643" t="str">
            <v>House of Artisans</v>
          </cell>
          <cell r="S643" t="str">
            <v>بيت الحرفيين</v>
          </cell>
          <cell r="T643" t="str">
            <v>Programming &amp; Community Engagement</v>
          </cell>
          <cell r="U643" t="str">
            <v>البرامج والمشاركة المجتمعية</v>
          </cell>
          <cell r="V643" t="str">
            <v>Abu Dhabi</v>
          </cell>
          <cell r="W643" t="str">
            <v/>
          </cell>
          <cell r="X643" t="str">
            <v>4511250</v>
          </cell>
          <cell r="Y643" t="str">
            <v>Compliance,Governance&amp;Protocol_Policy (Culture/Tourism _Senior Professional</v>
          </cell>
          <cell r="Z643" t="str">
            <v>Professional</v>
          </cell>
          <cell r="AA643" t="str">
            <v>4A</v>
          </cell>
        </row>
        <row r="644">
          <cell r="A644">
            <v>1373</v>
          </cell>
          <cell r="B644">
            <v>1373</v>
          </cell>
          <cell r="C644" t="str">
            <v>A</v>
          </cell>
          <cell r="D644" t="str">
            <v>Sumaiya Abdelrahman Al Marzooqi</v>
          </cell>
          <cell r="E644" t="str">
            <v>سمية عبدالرحمن المرزوقي</v>
          </cell>
          <cell r="F644">
            <v>43457</v>
          </cell>
          <cell r="G644" t="str">
            <v>50002147</v>
          </cell>
          <cell r="H644" t="str">
            <v>Programming Senior Specialist</v>
          </cell>
          <cell r="I644" t="str">
            <v>أخصائي أول برامج المكتبات</v>
          </cell>
          <cell r="J644" t="str">
            <v>On-Chart</v>
          </cell>
          <cell r="K644" t="str">
            <v>DCT Payroll</v>
          </cell>
          <cell r="L644" t="str">
            <v>A1</v>
          </cell>
          <cell r="M644" t="str">
            <v>Department of Culture and Tourism</v>
          </cell>
          <cell r="N644" t="str">
            <v>Culture</v>
          </cell>
          <cell r="O644" t="str">
            <v>الثقافة</v>
          </cell>
          <cell r="P644" t="str">
            <v>Library Management</v>
          </cell>
          <cell r="Q644" t="str">
            <v>إدارة المكتبات</v>
          </cell>
          <cell r="R644" t="str">
            <v>Branches Library</v>
          </cell>
          <cell r="S644" t="str">
            <v>فروع المكتبات</v>
          </cell>
          <cell r="T644" t="str">
            <v>Programming</v>
          </cell>
          <cell r="U644" t="str">
            <v>برامج المكتبات</v>
          </cell>
          <cell r="V644" t="str">
            <v>Abu Dhabi</v>
          </cell>
          <cell r="W644" t="str">
            <v/>
          </cell>
          <cell r="X644" t="str">
            <v>4516100</v>
          </cell>
          <cell r="Y644" t="str">
            <v>Operations_Library Operational Management_Senior Professional</v>
          </cell>
          <cell r="Z644" t="str">
            <v>Senior Professional</v>
          </cell>
          <cell r="AA644" t="str">
            <v>3B</v>
          </cell>
        </row>
        <row r="645">
          <cell r="A645">
            <v>1377</v>
          </cell>
          <cell r="B645">
            <v>1377</v>
          </cell>
          <cell r="C645" t="str">
            <v>A</v>
          </cell>
          <cell r="D645" t="str">
            <v>Reem Mohamed Alhashmi</v>
          </cell>
          <cell r="E645" t="str">
            <v>ريم محمد الهاشمي</v>
          </cell>
          <cell r="F645">
            <v>43471</v>
          </cell>
          <cell r="G645" t="str">
            <v>10009061</v>
          </cell>
          <cell r="H645" t="str">
            <v>Assistant Curator</v>
          </cell>
          <cell r="I645" t="str">
            <v>مساعد أمين متحف</v>
          </cell>
          <cell r="J645" t="str">
            <v>On-Chart</v>
          </cell>
          <cell r="K645" t="str">
            <v>DCT Payroll</v>
          </cell>
          <cell r="L645" t="str">
            <v>A1</v>
          </cell>
          <cell r="M645" t="str">
            <v>Department of Culture and Tourism</v>
          </cell>
          <cell r="N645" t="str">
            <v>Culture</v>
          </cell>
          <cell r="O645" t="str">
            <v>الثقافة</v>
          </cell>
          <cell r="P645" t="str">
            <v>Culture Sites Management</v>
          </cell>
          <cell r="Q645" t="str">
            <v>إدارة المواقع الثقافية</v>
          </cell>
          <cell r="R645" t="str">
            <v>Cultural Foundation</v>
          </cell>
          <cell r="S645" t="str">
            <v>المجمع الثقافي</v>
          </cell>
          <cell r="T645" t="str">
            <v>Exhibitions</v>
          </cell>
          <cell r="U645" t="str">
            <v>المعارض</v>
          </cell>
          <cell r="V645" t="str">
            <v>Abu Dhabi</v>
          </cell>
          <cell r="W645" t="str">
            <v/>
          </cell>
          <cell r="X645" t="str">
            <v>4511250</v>
          </cell>
          <cell r="Y645" t="str">
            <v>Compliance,Governance&amp;Protocol_Policy (Culture/Tourism _Senior Professional</v>
          </cell>
          <cell r="Z645" t="str">
            <v>Professional</v>
          </cell>
          <cell r="AA645" t="str">
            <v>4A</v>
          </cell>
        </row>
        <row r="646">
          <cell r="A646">
            <v>1382</v>
          </cell>
          <cell r="B646">
            <v>1382</v>
          </cell>
          <cell r="C646" t="str">
            <v>A</v>
          </cell>
          <cell r="D646" t="str">
            <v>Saeed Suleiman</v>
          </cell>
          <cell r="E646" t="str">
            <v>سعيد  سليمان</v>
          </cell>
          <cell r="F646">
            <v>43478</v>
          </cell>
          <cell r="G646" t="str">
            <v>50002870</v>
          </cell>
          <cell r="H646" t="str">
            <v>Stakeholder Engagement Unit Head</v>
          </cell>
          <cell r="I646" t="str">
            <v>رئيس وحدة  تطوير الضيافة و الوجهات الترفيهية والمعالم السياحية</v>
          </cell>
          <cell r="J646" t="str">
            <v>On-Chart</v>
          </cell>
          <cell r="K646" t="str">
            <v>DCT Payroll</v>
          </cell>
          <cell r="L646" t="str">
            <v>A1</v>
          </cell>
          <cell r="M646" t="str">
            <v>Department of Culture and Tourism</v>
          </cell>
          <cell r="N646" t="str">
            <v>Tourism</v>
          </cell>
          <cell r="O646" t="str">
            <v>السياحة</v>
          </cell>
          <cell r="P646" t="str">
            <v>Tourism Sector Management Office</v>
          </cell>
          <cell r="Q646" t="str">
            <v>مكتب إدارة شؤون قطاع السياحة</v>
          </cell>
          <cell r="R646" t="str">
            <v>Stakeholder Engagement</v>
          </cell>
          <cell r="S646" t="str">
            <v>إشراك أصحاب المصلحة</v>
          </cell>
          <cell r="T646" t="str">
            <v>Stakeholder Engagement Unit</v>
          </cell>
          <cell r="U646" t="str">
            <v>وحدة إشراك أصحاب المصلحة</v>
          </cell>
          <cell r="V646" t="str">
            <v>Abu Dhabi</v>
          </cell>
          <cell r="W646" t="str">
            <v/>
          </cell>
          <cell r="X646" t="str">
            <v>4515010</v>
          </cell>
          <cell r="Y646" t="str">
            <v>Compliance,Governance&amp;Protocol_Policy  (Culture &amp; Tourism)_Unit Head</v>
          </cell>
          <cell r="Z646" t="str">
            <v>Unit Head</v>
          </cell>
          <cell r="AA646" t="str">
            <v>3A</v>
          </cell>
        </row>
        <row r="647">
          <cell r="A647">
            <v>1383</v>
          </cell>
          <cell r="B647">
            <v>1383</v>
          </cell>
          <cell r="C647" t="str">
            <v>A</v>
          </cell>
          <cell r="D647" t="str">
            <v>Gharisa Ibrahim Alsuwaidi</v>
          </cell>
          <cell r="E647" t="str">
            <v>غريسه ابراهيم السويدي</v>
          </cell>
          <cell r="F647">
            <v>43478</v>
          </cell>
          <cell r="G647" t="str">
            <v>50002048</v>
          </cell>
          <cell r="H647" t="str">
            <v>Planning &amp; Operations (UK) Senior Executive</v>
          </cell>
          <cell r="I647" t="str">
            <v>تنفيذي التخطيط والعمليات (منطقة المملكة المتحدة)</v>
          </cell>
          <cell r="J647" t="str">
            <v>On-Chart</v>
          </cell>
          <cell r="K647" t="str">
            <v>DCT Payroll</v>
          </cell>
          <cell r="L647" t="str">
            <v>A1</v>
          </cell>
          <cell r="M647" t="str">
            <v>Department of Culture and Tourism</v>
          </cell>
          <cell r="N647" t="str">
            <v>Tourism</v>
          </cell>
          <cell r="O647" t="str">
            <v>السياحة</v>
          </cell>
          <cell r="P647" t="str">
            <v>International Operations</v>
          </cell>
          <cell r="Q647" t="str">
            <v>العمليات الدولية</v>
          </cell>
          <cell r="R647" t="str">
            <v>UK &amp; Americas</v>
          </cell>
          <cell r="S647" t="str">
            <v>منطقة المملكة المتحدة  والأمريكيتين</v>
          </cell>
          <cell r="T647" t="str">
            <v>UK</v>
          </cell>
          <cell r="U647" t="str">
            <v>منطقة المملكة المتحدة</v>
          </cell>
          <cell r="V647" t="str">
            <v>Abu Dhabi</v>
          </cell>
          <cell r="W647" t="str">
            <v/>
          </cell>
          <cell r="X647" t="str">
            <v>4515100</v>
          </cell>
          <cell r="Y647" t="str">
            <v>Operations_Planning &amp; Operations Management (Regional/International)_Senior Professional</v>
          </cell>
          <cell r="Z647" t="str">
            <v>Senior Professional</v>
          </cell>
          <cell r="AA647" t="str">
            <v>3A</v>
          </cell>
        </row>
        <row r="648">
          <cell r="A648">
            <v>1385</v>
          </cell>
          <cell r="B648">
            <v>1385</v>
          </cell>
          <cell r="C648" t="str">
            <v>A</v>
          </cell>
          <cell r="D648" t="str">
            <v>Abdulla Salem Al Yammahi</v>
          </cell>
          <cell r="E648" t="str">
            <v>عبدالله سالم اليماحي</v>
          </cell>
          <cell r="F648">
            <v>43478</v>
          </cell>
          <cell r="G648" t="str">
            <v>10009818</v>
          </cell>
          <cell r="H648" t="str">
            <v>Documentation &amp; Archiving Unit Head</v>
          </cell>
          <cell r="I648" t="str">
            <v>رئيس وحدة التوثيق والأرشفة</v>
          </cell>
          <cell r="J648" t="str">
            <v>On-Chart</v>
          </cell>
          <cell r="K648" t="str">
            <v>DCT Payroll</v>
          </cell>
          <cell r="L648" t="str">
            <v>A1</v>
          </cell>
          <cell r="M648" t="str">
            <v>Department of Culture and Tourism</v>
          </cell>
          <cell r="N648" t="str">
            <v>Culture</v>
          </cell>
          <cell r="O648" t="str">
            <v>الثقافة</v>
          </cell>
          <cell r="P648" t="str">
            <v>Historic Environment</v>
          </cell>
          <cell r="Q648" t="str">
            <v>البيئة التاريخية</v>
          </cell>
          <cell r="R648" t="str">
            <v>Development Control &amp; Documentation</v>
          </cell>
          <cell r="S648" t="str">
            <v>التوثيق ورقابة التطوير</v>
          </cell>
          <cell r="T648" t="str">
            <v>Documentation &amp; Archiving</v>
          </cell>
          <cell r="U648" t="str">
            <v>التوثيق والأرشفة</v>
          </cell>
          <cell r="V648" t="str">
            <v>Al Ain</v>
          </cell>
          <cell r="W648" t="str">
            <v/>
          </cell>
          <cell r="X648" t="str">
            <v>4511300</v>
          </cell>
          <cell r="Y648" t="str">
            <v>Compliance,Governance&amp;Protocol_Policy  (Culture &amp; Tourism)_Unit Head</v>
          </cell>
          <cell r="Z648" t="str">
            <v>Unit Head</v>
          </cell>
          <cell r="AA648" t="str">
            <v>3A</v>
          </cell>
        </row>
        <row r="649">
          <cell r="A649">
            <v>1386</v>
          </cell>
          <cell r="B649">
            <v>1386</v>
          </cell>
          <cell r="C649" t="str">
            <v>A</v>
          </cell>
          <cell r="D649" t="str">
            <v>Tariq Yousif Al Hammadi</v>
          </cell>
          <cell r="E649" t="str">
            <v>طارق يوسف الحمادي</v>
          </cell>
          <cell r="F649">
            <v>43478</v>
          </cell>
          <cell r="G649" t="str">
            <v>50002961</v>
          </cell>
          <cell r="H649" t="str">
            <v>Development Control Unit Head (Al Dhafra &amp; Abu Dhabi)</v>
          </cell>
          <cell r="I649" t="str">
            <v>رئيس وحدة رقابة التطوير (الظفرة وأبو ظبي)</v>
          </cell>
          <cell r="J649" t="str">
            <v>On-Chart</v>
          </cell>
          <cell r="K649" t="str">
            <v>DCT Payroll</v>
          </cell>
          <cell r="L649" t="str">
            <v>A1</v>
          </cell>
          <cell r="M649" t="str">
            <v>Department of Culture and Tourism</v>
          </cell>
          <cell r="N649" t="str">
            <v>Culture</v>
          </cell>
          <cell r="O649" t="str">
            <v>الثقافة</v>
          </cell>
          <cell r="P649" t="str">
            <v>Historic Environment</v>
          </cell>
          <cell r="Q649" t="str">
            <v>البيئة التاريخية</v>
          </cell>
          <cell r="R649" t="str">
            <v>Development Control &amp; Documentation</v>
          </cell>
          <cell r="S649" t="str">
            <v>التوثيق ورقابة التطوير</v>
          </cell>
          <cell r="T649" t="str">
            <v>Development Control (Al Dhafra &amp; Abu Dhabi)</v>
          </cell>
          <cell r="U649" t="str">
            <v>رقابة التطوير (الظفرة وأبوظبي)</v>
          </cell>
          <cell r="V649" t="str">
            <v>Al Ain</v>
          </cell>
          <cell r="W649" t="str">
            <v/>
          </cell>
          <cell r="X649" t="str">
            <v>4511300</v>
          </cell>
          <cell r="Y649" t="str">
            <v>Compliance,Governance&amp;Protocol_Policy  (Culture &amp; Tourism)_Unit Head</v>
          </cell>
          <cell r="Z649" t="str">
            <v>Unit Head</v>
          </cell>
          <cell r="AA649" t="str">
            <v>3A</v>
          </cell>
        </row>
        <row r="650">
          <cell r="A650">
            <v>1387</v>
          </cell>
          <cell r="B650">
            <v>1387</v>
          </cell>
          <cell r="C650" t="str">
            <v>A</v>
          </cell>
          <cell r="D650" t="str">
            <v>Saeed Hmoud Al Meqbaali</v>
          </cell>
          <cell r="E650" t="str">
            <v>سعيد حمود المقبالي</v>
          </cell>
          <cell r="F650">
            <v>43478</v>
          </cell>
          <cell r="G650" t="str">
            <v>50002963</v>
          </cell>
          <cell r="H650" t="str">
            <v>Development Control Unit Head (Al Ain)</v>
          </cell>
          <cell r="I650" t="str">
            <v>رئيس وحدة رقابة التطوير (العين)</v>
          </cell>
          <cell r="J650" t="str">
            <v>On-Chart</v>
          </cell>
          <cell r="K650" t="str">
            <v>DCT Payroll</v>
          </cell>
          <cell r="L650" t="str">
            <v>A1</v>
          </cell>
          <cell r="M650" t="str">
            <v>Department of Culture and Tourism</v>
          </cell>
          <cell r="N650" t="str">
            <v>Culture</v>
          </cell>
          <cell r="O650" t="str">
            <v>الثقافة</v>
          </cell>
          <cell r="P650" t="str">
            <v>Historic Environment</v>
          </cell>
          <cell r="Q650" t="str">
            <v>البيئة التاريخية</v>
          </cell>
          <cell r="R650" t="str">
            <v>Development Control &amp; Documentation</v>
          </cell>
          <cell r="S650" t="str">
            <v>التوثيق ورقابة التطوير</v>
          </cell>
          <cell r="T650" t="str">
            <v>Development Control (Al Ain)</v>
          </cell>
          <cell r="U650" t="str">
            <v>رقابة التطوير (العين)</v>
          </cell>
          <cell r="V650" t="str">
            <v>Al Ain</v>
          </cell>
          <cell r="W650" t="str">
            <v/>
          </cell>
          <cell r="X650" t="str">
            <v>4511300</v>
          </cell>
          <cell r="Y650" t="str">
            <v>Compliance,Governance&amp;Protocol_Policy  (Culture &amp; Tourism)_Unit Head</v>
          </cell>
          <cell r="Z650" t="str">
            <v>Unit Head</v>
          </cell>
          <cell r="AA650" t="str">
            <v>3B</v>
          </cell>
        </row>
        <row r="651">
          <cell r="A651">
            <v>1390</v>
          </cell>
          <cell r="B651">
            <v>1390</v>
          </cell>
          <cell r="C651" t="str">
            <v>A</v>
          </cell>
          <cell r="D651" t="str">
            <v>Yasmine Nasser Al Sakka</v>
          </cell>
          <cell r="E651" t="str">
            <v>ياسمين ناصر السقا</v>
          </cell>
          <cell r="F651">
            <v>43493</v>
          </cell>
          <cell r="G651" t="str">
            <v>50000720</v>
          </cell>
          <cell r="H651" t="str">
            <v>Digital Marketing Lead</v>
          </cell>
          <cell r="I651" t="str">
            <v>أخصائي أول التسويق الرقمي</v>
          </cell>
          <cell r="J651" t="str">
            <v>On-Chart</v>
          </cell>
          <cell r="K651" t="str">
            <v>MSS Direct Hires</v>
          </cell>
          <cell r="L651" t="str">
            <v>M1</v>
          </cell>
          <cell r="M651" t="str">
            <v>Department of Culture and Tourism</v>
          </cell>
          <cell r="N651" t="str">
            <v>Zayed National Museum</v>
          </cell>
          <cell r="O651" t="str">
            <v>متحف زايد الوطني</v>
          </cell>
          <cell r="P651" t="str">
            <v>Marketing &amp; Communication</v>
          </cell>
          <cell r="Q651" t="str">
            <v>التسويق والاتصال</v>
          </cell>
          <cell r="R651" t="str">
            <v>Digital Marketing</v>
          </cell>
          <cell r="S651" t="str">
            <v>التسويق الرقمي</v>
          </cell>
          <cell r="T651" t="str">
            <v/>
          </cell>
          <cell r="U651" t="str">
            <v/>
          </cell>
          <cell r="V651" t="str">
            <v>Abu Dhabi</v>
          </cell>
          <cell r="W651" t="str">
            <v/>
          </cell>
          <cell r="X651" t="str">
            <v>4510185</v>
          </cell>
          <cell r="Y651" t="str">
            <v>Comms &amp; Marketing _Marketing &amp; Communications (All areas)_Senior Professional</v>
          </cell>
          <cell r="Z651" t="str">
            <v>Senior Professional</v>
          </cell>
          <cell r="AA651" t="str">
            <v>3A</v>
          </cell>
        </row>
        <row r="652">
          <cell r="A652">
            <v>1392</v>
          </cell>
          <cell r="B652">
            <v>1392</v>
          </cell>
          <cell r="C652" t="str">
            <v>A</v>
          </cell>
          <cell r="D652" t="str">
            <v>Naila Fadel Al Shamsi</v>
          </cell>
          <cell r="E652" t="str">
            <v>نيلا فاضل الشامسي</v>
          </cell>
          <cell r="F652">
            <v>43493</v>
          </cell>
          <cell r="G652" t="str">
            <v>50004676</v>
          </cell>
          <cell r="H652" t="str">
            <v>Collections Registrar</v>
          </cell>
          <cell r="I652" t="str">
            <v>أخصائي تسجيل المقتنيات</v>
          </cell>
          <cell r="J652" t="str">
            <v>On-Chart</v>
          </cell>
          <cell r="K652" t="str">
            <v>DCT Payroll</v>
          </cell>
          <cell r="L652" t="str">
            <v>A1</v>
          </cell>
          <cell r="M652" t="str">
            <v>Department of Culture and Tourism</v>
          </cell>
          <cell r="N652" t="str">
            <v>Culture</v>
          </cell>
          <cell r="O652" t="str">
            <v>الثقافة</v>
          </cell>
          <cell r="P652" t="str">
            <v>Culture Sites Management</v>
          </cell>
          <cell r="Q652" t="str">
            <v>إدارة المواقع الثقافية</v>
          </cell>
          <cell r="R652" t="str">
            <v>Collections Section– Al Ain</v>
          </cell>
          <cell r="S652" t="str">
            <v>رئيس قسم  – منطقة العين</v>
          </cell>
          <cell r="T652" t="str">
            <v>Collections Registration</v>
          </cell>
          <cell r="U652" t="str">
            <v>تسجيل المجموعات</v>
          </cell>
          <cell r="V652" t="str">
            <v>Abu Dhabi</v>
          </cell>
          <cell r="W652" t="str">
            <v/>
          </cell>
          <cell r="X652" t="str">
            <v>4511250</v>
          </cell>
          <cell r="Y652" t="str">
            <v>Compliance,Governance&amp;Protocol_Policy  (Culture &amp; Tourism)_Unit Head</v>
          </cell>
          <cell r="Z652" t="str">
            <v>Senior Professional</v>
          </cell>
          <cell r="AA652" t="str">
            <v>3A</v>
          </cell>
        </row>
        <row r="653">
          <cell r="A653">
            <v>1393</v>
          </cell>
          <cell r="B653">
            <v>1393</v>
          </cell>
          <cell r="C653" t="str">
            <v>A</v>
          </cell>
          <cell r="D653" t="str">
            <v>Ashraf Amro</v>
          </cell>
          <cell r="E653" t="str">
            <v>اشرف  عمرو</v>
          </cell>
          <cell r="F653">
            <v>43499</v>
          </cell>
          <cell r="G653" t="str">
            <v>10008871</v>
          </cell>
          <cell r="H653" t="str">
            <v>Corporate Entities Internal Audit Section Head</v>
          </cell>
          <cell r="I653" t="str">
            <v>رئيس قسم التدقيق الداخلي</v>
          </cell>
          <cell r="J653" t="str">
            <v>On-Chart</v>
          </cell>
          <cell r="K653" t="str">
            <v>DCT Payroll</v>
          </cell>
          <cell r="L653" t="str">
            <v>A1</v>
          </cell>
          <cell r="M653" t="str">
            <v>Department of Culture and Tourism</v>
          </cell>
          <cell r="N653" t="str">
            <v>Internal Audit Office</v>
          </cell>
          <cell r="O653" t="str">
            <v>مكتب وكيل الدائرة</v>
          </cell>
          <cell r="P653" t="str">
            <v>Internal Audit Office</v>
          </cell>
          <cell r="Q653" t="str">
            <v>مكتب التدقيق الداخلي</v>
          </cell>
          <cell r="R653" t="str">
            <v>Corporate Entities Internal Audit</v>
          </cell>
          <cell r="S653" t="str">
            <v>التدقيق الداخلي للدائرة</v>
          </cell>
          <cell r="T653" t="str">
            <v/>
          </cell>
          <cell r="U653" t="str">
            <v/>
          </cell>
          <cell r="V653" t="str">
            <v>Abu Dhabi</v>
          </cell>
          <cell r="W653" t="str">
            <v/>
          </cell>
          <cell r="X653" t="str">
            <v>4510140</v>
          </cell>
          <cell r="Y653" t="str">
            <v>Compliance,Governance&amp;Protocol_Internal Audit _Section Head</v>
          </cell>
          <cell r="Z653" t="str">
            <v>Section Manager</v>
          </cell>
          <cell r="AA653" t="str">
            <v>2A</v>
          </cell>
        </row>
        <row r="654">
          <cell r="A654">
            <v>1395</v>
          </cell>
          <cell r="B654">
            <v>1395</v>
          </cell>
          <cell r="C654" t="str">
            <v>A</v>
          </cell>
          <cell r="D654" t="str">
            <v>Khalifa Ali Alblooshi</v>
          </cell>
          <cell r="E654" t="str">
            <v>خليفه علي البلوشي</v>
          </cell>
          <cell r="F654">
            <v>43500</v>
          </cell>
          <cell r="G654" t="str">
            <v>10010020</v>
          </cell>
          <cell r="H654" t="str">
            <v>Al Dhafra Operations Senior Manager</v>
          </cell>
          <cell r="I654" t="str">
            <v>مدير أول العمليات - الظفرة</v>
          </cell>
          <cell r="J654" t="str">
            <v>On-Chart</v>
          </cell>
          <cell r="K654" t="str">
            <v>DCT Payroll</v>
          </cell>
          <cell r="L654" t="str">
            <v>A1</v>
          </cell>
          <cell r="M654" t="str">
            <v>Department of Culture and Tourism</v>
          </cell>
          <cell r="N654" t="str">
            <v>Culture</v>
          </cell>
          <cell r="O654" t="str">
            <v>الثقافة</v>
          </cell>
          <cell r="P654" t="str">
            <v>Culture Sites Management</v>
          </cell>
          <cell r="Q654" t="str">
            <v>إدارة المواقع الثقافية</v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>Abu Dhabi</v>
          </cell>
          <cell r="W654" t="str">
            <v/>
          </cell>
          <cell r="X654" t="str">
            <v>4511250</v>
          </cell>
          <cell r="Y654" t="str">
            <v>Compliance,Governance&amp;Protocol_Policy (Culture &amp; Tourism)_Section Head</v>
          </cell>
          <cell r="Z654" t="str">
            <v>Section Manager</v>
          </cell>
          <cell r="AA654" t="str">
            <v>2A</v>
          </cell>
        </row>
        <row r="655">
          <cell r="A655">
            <v>1396</v>
          </cell>
          <cell r="B655">
            <v>1396</v>
          </cell>
          <cell r="C655" t="str">
            <v>A</v>
          </cell>
          <cell r="D655" t="str">
            <v>Hamed Mahmood Alkhoori</v>
          </cell>
          <cell r="E655" t="str">
            <v>حامد محمود الخوري</v>
          </cell>
          <cell r="F655">
            <v>43500</v>
          </cell>
          <cell r="G655" t="str">
            <v>10010019</v>
          </cell>
          <cell r="H655" t="str">
            <v>Assets Account Manager</v>
          </cell>
          <cell r="I655" t="str">
            <v>مدير حساب الأصول</v>
          </cell>
          <cell r="J655" t="str">
            <v>On-Chart</v>
          </cell>
          <cell r="K655" t="str">
            <v>DCT Payroll</v>
          </cell>
          <cell r="L655" t="str">
            <v>A1</v>
          </cell>
          <cell r="M655" t="str">
            <v>Department of Culture and Tourism</v>
          </cell>
          <cell r="N655" t="str">
            <v>Support Services</v>
          </cell>
          <cell r="O655" t="str">
            <v>الخدمات المساندة</v>
          </cell>
          <cell r="P655" t="str">
            <v>Finance</v>
          </cell>
          <cell r="Q655" t="str">
            <v>إدارة المالية</v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>Abu Dhabi</v>
          </cell>
          <cell r="W655" t="str">
            <v/>
          </cell>
          <cell r="X655" t="str">
            <v>4510210</v>
          </cell>
          <cell r="Y655" t="str">
            <v>Finance_Fixed Asset Management _Unit Head</v>
          </cell>
          <cell r="Z655" t="str">
            <v>Unit Head</v>
          </cell>
          <cell r="AA655" t="str">
            <v>2A</v>
          </cell>
        </row>
        <row r="656">
          <cell r="A656">
            <v>1398</v>
          </cell>
          <cell r="B656">
            <v>1398</v>
          </cell>
          <cell r="C656" t="str">
            <v>A</v>
          </cell>
          <cell r="D656" t="str">
            <v>Amol Mansabdar</v>
          </cell>
          <cell r="E656" t="str">
            <v>امول  مانسابدار</v>
          </cell>
          <cell r="F656">
            <v>43503</v>
          </cell>
          <cell r="G656" t="str">
            <v>10009378</v>
          </cell>
          <cell r="H656" t="str">
            <v>Technical Management Director</v>
          </cell>
          <cell r="I656" t="str">
            <v>مدير تقني</v>
          </cell>
          <cell r="J656" t="str">
            <v>On-Chart</v>
          </cell>
          <cell r="K656" t="str">
            <v>DCT Payroll</v>
          </cell>
          <cell r="L656" t="str">
            <v>A1</v>
          </cell>
          <cell r="M656" t="str">
            <v>Department of Culture and Tourism</v>
          </cell>
          <cell r="N656" t="str">
            <v>Project Management &amp; Engineering</v>
          </cell>
          <cell r="O656" t="str">
            <v>مكتب وكيل الدائرة</v>
          </cell>
          <cell r="P656" t="str">
            <v>Project Management &amp; Engineering</v>
          </cell>
          <cell r="Q656" t="str">
            <v>هندسة وإدارة المشاريع</v>
          </cell>
          <cell r="R656" t="str">
            <v>Technical Management Section</v>
          </cell>
          <cell r="S656" t="str">
            <v/>
          </cell>
          <cell r="T656" t="str">
            <v/>
          </cell>
          <cell r="U656" t="str">
            <v/>
          </cell>
          <cell r="V656" t="str">
            <v>Abu Dhabi</v>
          </cell>
          <cell r="W656" t="str">
            <v/>
          </cell>
          <cell r="X656" t="str">
            <v>4510150</v>
          </cell>
          <cell r="Y656" t="str">
            <v>Technical Safety &amp; Security_Engineering Project Management  _Section Head</v>
          </cell>
          <cell r="Z656" t="str">
            <v>Section Manager</v>
          </cell>
          <cell r="AA656" t="str">
            <v>2A</v>
          </cell>
        </row>
        <row r="657">
          <cell r="A657">
            <v>1402</v>
          </cell>
          <cell r="B657">
            <v>1402</v>
          </cell>
          <cell r="C657" t="str">
            <v>A</v>
          </cell>
          <cell r="D657" t="str">
            <v>Shahul Hameed Rahamathullah</v>
          </cell>
          <cell r="E657" t="str">
            <v>شاهول حميد رحمت الله</v>
          </cell>
          <cell r="F657">
            <v>43507</v>
          </cell>
          <cell r="G657" t="str">
            <v>50002737</v>
          </cell>
          <cell r="H657" t="str">
            <v>Technology Infrastructure Unit Head</v>
          </cell>
          <cell r="I657" t="str">
            <v>رئيس وحدة البنية التحتية للتكنولوجيا</v>
          </cell>
          <cell r="J657" t="str">
            <v>On-Chart</v>
          </cell>
          <cell r="K657" t="str">
            <v>MSS Direct Hires</v>
          </cell>
          <cell r="L657" t="str">
            <v>M1</v>
          </cell>
          <cell r="M657" t="str">
            <v>Department of Culture and Tourism</v>
          </cell>
          <cell r="N657" t="str">
            <v>Museums Shared Services</v>
          </cell>
          <cell r="O657" t="str">
            <v>الخدمات المشتركة للمتاحف</v>
          </cell>
          <cell r="P657" t="str">
            <v>Technology - MSS</v>
          </cell>
          <cell r="Q657" t="str">
            <v>إدارة التكنولوجيا - الخدمات المشتركة للمتاحف</v>
          </cell>
          <cell r="R657" t="str">
            <v>Technical Operations Section</v>
          </cell>
          <cell r="S657" t="str">
            <v>قسم العمليات التقنية</v>
          </cell>
          <cell r="T657" t="str">
            <v>Technology Infrastructure Unit</v>
          </cell>
          <cell r="U657" t="str">
            <v>وحدة البنية التحتية</v>
          </cell>
          <cell r="V657" t="str">
            <v>Abu Dhabi</v>
          </cell>
          <cell r="W657" t="str">
            <v/>
          </cell>
          <cell r="X657" t="str">
            <v>4514180</v>
          </cell>
          <cell r="Y657" t="str">
            <v>Information Technology_Infrastructure &amp; Operations _Unit Head</v>
          </cell>
          <cell r="Z657" t="str">
            <v>Unit Head</v>
          </cell>
          <cell r="AA657" t="str">
            <v>3A</v>
          </cell>
        </row>
        <row r="658">
          <cell r="A658">
            <v>1404</v>
          </cell>
          <cell r="B658">
            <v>1404</v>
          </cell>
          <cell r="C658" t="str">
            <v>A</v>
          </cell>
          <cell r="D658" t="str">
            <v>Amnah Ali Alromaithi</v>
          </cell>
          <cell r="E658" t="str">
            <v>آمنة علي الرميثي</v>
          </cell>
          <cell r="F658">
            <v>43523</v>
          </cell>
          <cell r="G658" t="str">
            <v>50001091</v>
          </cell>
          <cell r="H658" t="str">
            <v>Library Services Delivery Specialist</v>
          </cell>
          <cell r="I658" t="str">
            <v>أخصائي تقديم الخدمات المكتبية</v>
          </cell>
          <cell r="J658" t="str">
            <v>On-Chart</v>
          </cell>
          <cell r="K658" t="str">
            <v>ALC Direct Hires</v>
          </cell>
          <cell r="L658" t="str">
            <v>AL1</v>
          </cell>
          <cell r="M658" t="str">
            <v>Abu Dhabi Arabic Language Centre</v>
          </cell>
          <cell r="N658" t="str">
            <v>Abu Dhabi Arabic Language Centre</v>
          </cell>
          <cell r="O658" t="str">
            <v>مركز أبوظبي للغة العربية</v>
          </cell>
          <cell r="P658" t="str">
            <v>Specialized Library</v>
          </cell>
          <cell r="Q658" t="str">
            <v>المكتبات المتخصصة</v>
          </cell>
          <cell r="R658" t="str">
            <v>Library Services - ALC</v>
          </cell>
          <cell r="S658" t="str">
            <v>الخدمات المكتبية</v>
          </cell>
          <cell r="T658" t="str">
            <v>Library Services Delivery</v>
          </cell>
          <cell r="U658" t="str">
            <v>تقديم الخدمات المكتبية</v>
          </cell>
          <cell r="V658" t="str">
            <v>Abu Dhabi</v>
          </cell>
          <cell r="W658" t="str">
            <v/>
          </cell>
          <cell r="X658" t="str">
            <v>4519202</v>
          </cell>
          <cell r="Y658" t="str">
            <v>Operations_Library Operational Management_Senior Professional</v>
          </cell>
          <cell r="Z658" t="str">
            <v>Senior Professional</v>
          </cell>
          <cell r="AA658" t="str">
            <v>3B</v>
          </cell>
        </row>
        <row r="659">
          <cell r="A659">
            <v>1405</v>
          </cell>
          <cell r="B659">
            <v>1405</v>
          </cell>
          <cell r="C659" t="str">
            <v>A</v>
          </cell>
          <cell r="D659" t="str">
            <v>Rashed Hamad Almheiri</v>
          </cell>
          <cell r="E659" t="str">
            <v>راشد حمد المهيري</v>
          </cell>
          <cell r="F659">
            <v>43523</v>
          </cell>
          <cell r="G659" t="str">
            <v>50002136</v>
          </cell>
          <cell r="H659" t="str">
            <v>Manuscript Specialist</v>
          </cell>
          <cell r="I659" t="str">
            <v>أخصائي المخطوطات</v>
          </cell>
          <cell r="J659" t="str">
            <v>On-Chart</v>
          </cell>
          <cell r="K659" t="str">
            <v>ALC Direct Hires</v>
          </cell>
          <cell r="L659" t="str">
            <v>AL1</v>
          </cell>
          <cell r="M659" t="str">
            <v>Abu Dhabi Arabic Language Centre</v>
          </cell>
          <cell r="N659" t="str">
            <v>Abu Dhabi Arabic Language Centre</v>
          </cell>
          <cell r="O659" t="str">
            <v>مركز أبوظبي للغة العربية</v>
          </cell>
          <cell r="P659" t="str">
            <v>Specialized Library</v>
          </cell>
          <cell r="Q659" t="str">
            <v>المكتبات المتخصصة</v>
          </cell>
          <cell r="R659" t="str">
            <v>Technical Services - ALC</v>
          </cell>
          <cell r="S659" t="str">
            <v>الخدمات الفنية</v>
          </cell>
          <cell r="T659" t="str">
            <v>Collections Development &amp; Acquisition</v>
          </cell>
          <cell r="U659" t="str">
            <v>التزويد وإدارة المقتنيات</v>
          </cell>
          <cell r="V659" t="str">
            <v>Abu Dhabi</v>
          </cell>
          <cell r="W659" t="str">
            <v/>
          </cell>
          <cell r="X659" t="str">
            <v>4519202</v>
          </cell>
          <cell r="Y659" t="str">
            <v>Operations_Library Operational Management_Senior Professional</v>
          </cell>
          <cell r="Z659" t="str">
            <v>Senior Professional</v>
          </cell>
          <cell r="AA659" t="str">
            <v>3C</v>
          </cell>
        </row>
        <row r="660">
          <cell r="A660">
            <v>1406</v>
          </cell>
          <cell r="B660">
            <v>1406</v>
          </cell>
          <cell r="C660" t="str">
            <v>A</v>
          </cell>
          <cell r="D660" t="str">
            <v>Rawda Ahmed Almansoori</v>
          </cell>
          <cell r="E660" t="str">
            <v>روضة أحمد المنصوري</v>
          </cell>
          <cell r="F660">
            <v>43538</v>
          </cell>
          <cell r="G660" t="str">
            <v>10009509</v>
          </cell>
          <cell r="H660" t="str">
            <v>Community Outreach &amp; Cultural Engagement Specialist</v>
          </cell>
          <cell r="I660" t="str">
            <v>أخصائي  المشاركة الثقافية والتوعية المجتمعية</v>
          </cell>
          <cell r="J660" t="str">
            <v>On-Chart</v>
          </cell>
          <cell r="K660" t="str">
            <v>ALC Direct Hires</v>
          </cell>
          <cell r="L660" t="str">
            <v>AL1</v>
          </cell>
          <cell r="M660" t="str">
            <v>Abu Dhabi Arabic Language Centre</v>
          </cell>
          <cell r="N660" t="str">
            <v>Abu Dhabi Arabic Language Centre</v>
          </cell>
          <cell r="O660" t="str">
            <v>مركز أبوظبي للغة العربية</v>
          </cell>
          <cell r="P660" t="str">
            <v>Specialized Library</v>
          </cell>
          <cell r="Q660" t="str">
            <v>المكتبات المتخصصة</v>
          </cell>
          <cell r="R660" t="str">
            <v>Library Services - ALC</v>
          </cell>
          <cell r="S660" t="str">
            <v>الخدمات المكتبية</v>
          </cell>
          <cell r="T660" t="str">
            <v>Community Outreach &amp; Cultural Engagement</v>
          </cell>
          <cell r="U660" t="str">
            <v>المشاركة الثقافية والتوعية المجتمعية</v>
          </cell>
          <cell r="V660" t="str">
            <v>Abu Dhabi</v>
          </cell>
          <cell r="W660" t="str">
            <v/>
          </cell>
          <cell r="X660" t="str">
            <v>4519202</v>
          </cell>
          <cell r="Y660" t="str">
            <v>Operations_Library Operational Management_Senior Professional</v>
          </cell>
          <cell r="Z660" t="str">
            <v>Senior Professional</v>
          </cell>
          <cell r="AA660" t="str">
            <v>3A</v>
          </cell>
        </row>
        <row r="661">
          <cell r="A661">
            <v>1407</v>
          </cell>
          <cell r="B661">
            <v>1407</v>
          </cell>
          <cell r="C661" t="str">
            <v>A</v>
          </cell>
          <cell r="D661" t="str">
            <v>Meera Musabah Almazrouei</v>
          </cell>
          <cell r="E661" t="str">
            <v>ميره مصبح المزروعي</v>
          </cell>
          <cell r="F661">
            <v>43527</v>
          </cell>
          <cell r="G661" t="str">
            <v>50004230</v>
          </cell>
          <cell r="H661" t="str">
            <v>Events Planning &amp; Development Unit Head</v>
          </cell>
          <cell r="I661" t="str">
            <v>رئيس وحدة تخطيط وتطوير الفعاليات</v>
          </cell>
          <cell r="J661" t="str">
            <v>On-Chart</v>
          </cell>
          <cell r="K661" t="str">
            <v>DCT Payroll</v>
          </cell>
          <cell r="L661" t="str">
            <v>A1</v>
          </cell>
          <cell r="M661" t="str">
            <v>Department of Culture and Tourism</v>
          </cell>
          <cell r="N661" t="str">
            <v>Tourism</v>
          </cell>
          <cell r="O661" t="str">
            <v>السياحة</v>
          </cell>
          <cell r="P661" t="str">
            <v>Abu Dhabi Events Bureau</v>
          </cell>
          <cell r="Q661" t="str">
            <v>مكتب أبوظبي للفعاليات</v>
          </cell>
          <cell r="R661" t="str">
            <v>Events Strategy &amp; Planning</v>
          </cell>
          <cell r="S661" t="str">
            <v>استراتيجية وتخطيط الفعاليات</v>
          </cell>
          <cell r="T661" t="str">
            <v>Events Planning &amp; Development Unit</v>
          </cell>
          <cell r="U661" t="str">
            <v>وحدة تخطيط وتطوير الفعاليات</v>
          </cell>
          <cell r="V661" t="str">
            <v>Abu Dhabi</v>
          </cell>
          <cell r="W661" t="str">
            <v/>
          </cell>
          <cell r="X661" t="str">
            <v>4515500</v>
          </cell>
          <cell r="Y661" t="str">
            <v>Senior Specialization Festivals &amp; Events</v>
          </cell>
          <cell r="Z661" t="str">
            <v>Unit Head</v>
          </cell>
          <cell r="AA661" t="str">
            <v>3B</v>
          </cell>
        </row>
        <row r="662">
          <cell r="A662">
            <v>1408</v>
          </cell>
          <cell r="B662">
            <v>1408</v>
          </cell>
          <cell r="C662" t="str">
            <v>A</v>
          </cell>
          <cell r="D662" t="str">
            <v>Noora Mohamed Almeraikhi</v>
          </cell>
          <cell r="E662" t="str">
            <v>نوره محمد المريخي</v>
          </cell>
          <cell r="F662">
            <v>43555</v>
          </cell>
          <cell r="G662" t="str">
            <v>50001974</v>
          </cell>
          <cell r="H662" t="str">
            <v>Combat Sports Senior Specialist</v>
          </cell>
          <cell r="I662" t="str">
            <v>أخصائي أول الألعاب القتالية</v>
          </cell>
          <cell r="J662" t="str">
            <v>On-Chart</v>
          </cell>
          <cell r="K662" t="str">
            <v>DCT Payroll</v>
          </cell>
          <cell r="L662" t="str">
            <v>A1</v>
          </cell>
          <cell r="M662" t="str">
            <v>Department of Culture and Tourism</v>
          </cell>
          <cell r="N662" t="str">
            <v>Tourism</v>
          </cell>
          <cell r="O662" t="str">
            <v>السياحة</v>
          </cell>
          <cell r="P662" t="str">
            <v>Abu Dhabi Events Bureau</v>
          </cell>
          <cell r="Q662" t="str">
            <v>مكتب أبوظبي للفعاليات</v>
          </cell>
          <cell r="R662" t="str">
            <v>Sports Engagement</v>
          </cell>
          <cell r="S662" t="str">
            <v>الرياضة العامة</v>
          </cell>
          <cell r="T662" t="str">
            <v>Combat Sports</v>
          </cell>
          <cell r="U662" t="str">
            <v>الألعاب القتالية</v>
          </cell>
          <cell r="V662" t="str">
            <v>Abu Dhabi</v>
          </cell>
          <cell r="W662" t="str">
            <v/>
          </cell>
          <cell r="X662" t="str">
            <v>4515500</v>
          </cell>
          <cell r="Y662" t="str">
            <v>Commercial _Conventions, Exhibitions, Events,Festivals Development &amp; Sales  _Senior Professional</v>
          </cell>
          <cell r="Z662" t="str">
            <v>Senior Professional</v>
          </cell>
          <cell r="AA662" t="str">
            <v>3A</v>
          </cell>
        </row>
        <row r="663">
          <cell r="A663">
            <v>1413</v>
          </cell>
          <cell r="B663">
            <v>1413</v>
          </cell>
          <cell r="C663" t="str">
            <v>A</v>
          </cell>
          <cell r="D663" t="str">
            <v>Lateefa Helal Alqubaisi</v>
          </cell>
          <cell r="E663" t="str">
            <v>لطيفة هلال القبيسي</v>
          </cell>
          <cell r="F663">
            <v>43556</v>
          </cell>
          <cell r="G663" t="str">
            <v>10009485</v>
          </cell>
          <cell r="H663" t="str">
            <v>Library Services Delivery Specialist</v>
          </cell>
          <cell r="I663" t="str">
            <v>أخصائي تقديم الخدمات المكتبية</v>
          </cell>
          <cell r="J663" t="str">
            <v>On-Chart</v>
          </cell>
          <cell r="K663" t="str">
            <v>ALC Direct Hires</v>
          </cell>
          <cell r="L663" t="str">
            <v>AL1</v>
          </cell>
          <cell r="M663" t="str">
            <v>Abu Dhabi Arabic Language Centre</v>
          </cell>
          <cell r="N663" t="str">
            <v>Abu Dhabi Arabic Language Centre</v>
          </cell>
          <cell r="O663" t="str">
            <v>مركز أبوظبي للغة العربية</v>
          </cell>
          <cell r="P663" t="str">
            <v>Specialized Library</v>
          </cell>
          <cell r="Q663" t="str">
            <v>المكتبات المتخصصة</v>
          </cell>
          <cell r="R663" t="str">
            <v>Library Services - ALC</v>
          </cell>
          <cell r="S663" t="str">
            <v>الخدمات المكتبية</v>
          </cell>
          <cell r="T663" t="str">
            <v>Library Services Delivery</v>
          </cell>
          <cell r="U663" t="str">
            <v>تقديم الخدمات المكتبية</v>
          </cell>
          <cell r="V663" t="str">
            <v>Abu Dhabi</v>
          </cell>
          <cell r="W663" t="str">
            <v/>
          </cell>
          <cell r="X663" t="str">
            <v>4519202</v>
          </cell>
          <cell r="Y663" t="str">
            <v>Operations_Library Operational  Management _Professional Assistant</v>
          </cell>
          <cell r="Z663" t="str">
            <v>Professional</v>
          </cell>
          <cell r="AA663" t="str">
            <v>3A</v>
          </cell>
        </row>
        <row r="664">
          <cell r="A664">
            <v>1415</v>
          </cell>
          <cell r="B664">
            <v>1415</v>
          </cell>
          <cell r="C664" t="str">
            <v>A</v>
          </cell>
          <cell r="D664" t="str">
            <v>Mohamed Ibrahim Bumajeed</v>
          </cell>
          <cell r="E664" t="str">
            <v>محمد إبراهيم بومجيد</v>
          </cell>
          <cell r="F664">
            <v>43556</v>
          </cell>
          <cell r="G664" t="str">
            <v>10008854</v>
          </cell>
          <cell r="H664" t="str">
            <v>Senior Inspector</v>
          </cell>
          <cell r="I664" t="str">
            <v>مفتش أول</v>
          </cell>
          <cell r="J664" t="str">
            <v>On-Chart</v>
          </cell>
          <cell r="K664" t="str">
            <v>DCT Payroll</v>
          </cell>
          <cell r="L664" t="str">
            <v>A1</v>
          </cell>
          <cell r="M664" t="str">
            <v>Department of Culture and Tourism</v>
          </cell>
          <cell r="N664" t="str">
            <v>Tourism</v>
          </cell>
          <cell r="O664" t="str">
            <v>السياحة</v>
          </cell>
          <cell r="P664" t="str">
            <v>Licensing &amp; Regulatory Compliance</v>
          </cell>
          <cell r="Q664" t="str">
            <v>الرقابة والترخيص</v>
          </cell>
          <cell r="R664" t="str">
            <v>Abu Dhabi Inspection</v>
          </cell>
          <cell r="S664" t="str">
            <v>التفتيش</v>
          </cell>
          <cell r="T664" t="str">
            <v>Abu Dhabi Inspection (Special Permits)</v>
          </cell>
          <cell r="U664" t="str">
            <v>التفتيش أبوظبي (التصاريح الخاصة)</v>
          </cell>
          <cell r="V664" t="str">
            <v>Abu Dhabi</v>
          </cell>
          <cell r="W664" t="str">
            <v/>
          </cell>
          <cell r="X664" t="str">
            <v>4510170</v>
          </cell>
          <cell r="Y664" t="str">
            <v>Compliance,Governance&amp;Protocol_Licensing &amp; Regulatory Compliance _Senior Professional</v>
          </cell>
          <cell r="Z664" t="str">
            <v>Senior Professional</v>
          </cell>
          <cell r="AA664" t="str">
            <v>3A</v>
          </cell>
        </row>
        <row r="665">
          <cell r="A665">
            <v>1416</v>
          </cell>
          <cell r="B665">
            <v>1416</v>
          </cell>
          <cell r="C665" t="str">
            <v>A</v>
          </cell>
          <cell r="D665" t="str">
            <v>Afra Ali AlMteiri</v>
          </cell>
          <cell r="E665" t="str">
            <v>عفرا علي المطيري</v>
          </cell>
          <cell r="F665">
            <v>43562</v>
          </cell>
          <cell r="G665" t="str">
            <v>47700481</v>
          </cell>
          <cell r="H665" t="str">
            <v>Abu Dhabi Art Programme Unit Head</v>
          </cell>
          <cell r="I665" t="str">
            <v>رئيس وحدة برنامج فن أبوظبي</v>
          </cell>
          <cell r="J665" t="str">
            <v>Off-Chart</v>
          </cell>
          <cell r="K665" t="str">
            <v>ALC Direct Hires</v>
          </cell>
          <cell r="L665" t="str">
            <v>AL1</v>
          </cell>
          <cell r="M665" t="str">
            <v>Abu Dhabi Arabic Language Centre</v>
          </cell>
          <cell r="N665" t="str">
            <v>Culture</v>
          </cell>
          <cell r="O665" t="str">
            <v>الثقافة</v>
          </cell>
          <cell r="P665" t="str">
            <v>Culture Programming</v>
          </cell>
          <cell r="Q665" t="str">
            <v>البرامج الثقافية</v>
          </cell>
          <cell r="R665" t="str">
            <v>Abu Dhabi Art</v>
          </cell>
          <cell r="S665" t="str">
            <v>فن أبوظبي</v>
          </cell>
          <cell r="T665" t="str">
            <v>Abu Dhabi Art Programme</v>
          </cell>
          <cell r="U665" t="str">
            <v>برنامج فن أبوظبي</v>
          </cell>
          <cell r="V665" t="str">
            <v>Abu Dhabi</v>
          </cell>
          <cell r="W665" t="str">
            <v/>
          </cell>
          <cell r="X665" t="str">
            <v>4511700</v>
          </cell>
          <cell r="Y665" t="str">
            <v>Compliance,Governance&amp;Protocol_Policy  (Culture &amp; Tourism)_Unit Head</v>
          </cell>
          <cell r="Z665" t="str">
            <v>Unit Head</v>
          </cell>
          <cell r="AA665" t="str">
            <v>3A</v>
          </cell>
        </row>
        <row r="666">
          <cell r="A666">
            <v>1417</v>
          </cell>
          <cell r="B666">
            <v>1417</v>
          </cell>
          <cell r="C666" t="str">
            <v>A</v>
          </cell>
          <cell r="D666" t="str">
            <v>Fatima Yousef Al Yousef</v>
          </cell>
          <cell r="E666" t="str">
            <v>فاطمة يوسف اليوسف</v>
          </cell>
          <cell r="F666">
            <v>43562</v>
          </cell>
          <cell r="G666" t="str">
            <v>10007419</v>
          </cell>
          <cell r="H666" t="str">
            <v>Manarat Al Saadiyat Section Head</v>
          </cell>
          <cell r="I666" t="str">
            <v>رئيس قسم منارة السعديات</v>
          </cell>
          <cell r="J666" t="str">
            <v>On-Chart</v>
          </cell>
          <cell r="K666" t="str">
            <v>DCT Payroll</v>
          </cell>
          <cell r="L666" t="str">
            <v>A1</v>
          </cell>
          <cell r="M666" t="str">
            <v>Department of Culture and Tourism</v>
          </cell>
          <cell r="N666" t="str">
            <v>Culture</v>
          </cell>
          <cell r="O666" t="str">
            <v>الثقافة</v>
          </cell>
          <cell r="P666" t="str">
            <v>Culture Sites Management</v>
          </cell>
          <cell r="Q666" t="str">
            <v>إدارة المواقع الثقافية</v>
          </cell>
          <cell r="R666" t="str">
            <v>Manarat Al Saadiyat</v>
          </cell>
          <cell r="S666" t="str">
            <v>منارة السعديات</v>
          </cell>
          <cell r="T666" t="str">
            <v/>
          </cell>
          <cell r="U666" t="str">
            <v/>
          </cell>
          <cell r="V666" t="str">
            <v>Abu Dhabi</v>
          </cell>
          <cell r="W666" t="str">
            <v/>
          </cell>
          <cell r="X666" t="str">
            <v>4511250</v>
          </cell>
          <cell r="Y666" t="str">
            <v>Compliance,Governance&amp;Protocol_Policy (Culture &amp; Tourism)_Section Head</v>
          </cell>
          <cell r="Z666" t="str">
            <v>Section Manager</v>
          </cell>
          <cell r="AA666" t="str">
            <v>2A</v>
          </cell>
        </row>
        <row r="667">
          <cell r="A667">
            <v>1423</v>
          </cell>
          <cell r="B667">
            <v>1423</v>
          </cell>
          <cell r="C667" t="str">
            <v>A</v>
          </cell>
          <cell r="D667" t="str">
            <v>Farah Majdi Bushnaq</v>
          </cell>
          <cell r="E667" t="str">
            <v>فرح مجدي بشناق</v>
          </cell>
          <cell r="F667">
            <v>43564</v>
          </cell>
          <cell r="G667" t="str">
            <v>10007348</v>
          </cell>
          <cell r="H667" t="str">
            <v>Programming Senior Specialist</v>
          </cell>
          <cell r="I667" t="str">
            <v>أخصائي أول البرامج</v>
          </cell>
          <cell r="J667" t="str">
            <v>On-Chart</v>
          </cell>
          <cell r="K667" t="str">
            <v>DCT Payroll</v>
          </cell>
          <cell r="L667" t="str">
            <v>A1</v>
          </cell>
          <cell r="M667" t="str">
            <v>Department of Culture and Tourism</v>
          </cell>
          <cell r="N667" t="str">
            <v>Culture</v>
          </cell>
          <cell r="O667" t="str">
            <v>الثقافة</v>
          </cell>
          <cell r="P667" t="str">
            <v>Culture Sites Management</v>
          </cell>
          <cell r="Q667" t="str">
            <v>إدارة المواقع الثقافية</v>
          </cell>
          <cell r="R667" t="str">
            <v>Manarat Al Saadiyat</v>
          </cell>
          <cell r="S667" t="str">
            <v>منارة السعديات</v>
          </cell>
          <cell r="T667" t="str">
            <v>Programming</v>
          </cell>
          <cell r="U667" t="str">
            <v>البرامج</v>
          </cell>
          <cell r="V667" t="str">
            <v>Abu Dhabi</v>
          </cell>
          <cell r="W667" t="str">
            <v/>
          </cell>
          <cell r="X667" t="str">
            <v>4511250</v>
          </cell>
          <cell r="Y667" t="str">
            <v>Compliance,Governance&amp;Protocol_Policy (Culture/Tourism _Senior Professional</v>
          </cell>
          <cell r="Z667" t="str">
            <v>Senior Professional</v>
          </cell>
          <cell r="AA667" t="str">
            <v>3B</v>
          </cell>
        </row>
        <row r="668">
          <cell r="A668">
            <v>1424</v>
          </cell>
          <cell r="B668">
            <v>1424</v>
          </cell>
          <cell r="C668" t="str">
            <v>A</v>
          </cell>
          <cell r="D668" t="str">
            <v>Firas Mohd Sirriyeh</v>
          </cell>
          <cell r="E668" t="str">
            <v>فراس محمد أبو سرية</v>
          </cell>
          <cell r="F668">
            <v>43569</v>
          </cell>
          <cell r="G668" t="str">
            <v>10010216</v>
          </cell>
          <cell r="H668" t="str">
            <v>Children’s Library Programmes Senior Specialist</v>
          </cell>
          <cell r="I668" t="str">
            <v>أخصائي أول برامج مكتبة الأطفال</v>
          </cell>
          <cell r="J668" t="str">
            <v>On-Chart</v>
          </cell>
          <cell r="K668" t="str">
            <v>DCT Payroll</v>
          </cell>
          <cell r="L668" t="str">
            <v>A1</v>
          </cell>
          <cell r="M668" t="str">
            <v>Department of Culture and Tourism</v>
          </cell>
          <cell r="N668" t="str">
            <v>Culture</v>
          </cell>
          <cell r="O668" t="str">
            <v>الثقافة</v>
          </cell>
          <cell r="P668" t="str">
            <v>Culture Sites Management</v>
          </cell>
          <cell r="Q668" t="str">
            <v>إدارة المواقع الثقافية</v>
          </cell>
          <cell r="R668" t="str">
            <v>Cultural Foundation</v>
          </cell>
          <cell r="S668" t="str">
            <v>المجمع الثقافي</v>
          </cell>
          <cell r="T668" t="str">
            <v>Children's Library</v>
          </cell>
          <cell r="U668" t="str">
            <v>مكتبة الأطفال</v>
          </cell>
          <cell r="V668" t="str">
            <v>Abu Dhabi</v>
          </cell>
          <cell r="W668" t="str">
            <v/>
          </cell>
          <cell r="X668" t="str">
            <v>4511250</v>
          </cell>
          <cell r="Y668" t="str">
            <v>Compliance,Governance&amp;Protocol_Policy (Culture/Tourism _Senior Professional</v>
          </cell>
          <cell r="Z668" t="str">
            <v>Senior Professional</v>
          </cell>
          <cell r="AA668" t="str">
            <v>3A</v>
          </cell>
        </row>
        <row r="669">
          <cell r="A669">
            <v>1425</v>
          </cell>
          <cell r="B669">
            <v>1425</v>
          </cell>
          <cell r="C669" t="str">
            <v>A</v>
          </cell>
          <cell r="D669" t="str">
            <v>Wafa Farouq Al Maeeni</v>
          </cell>
          <cell r="E669" t="str">
            <v>وفاء فاروق المعيني</v>
          </cell>
          <cell r="F669">
            <v>43569</v>
          </cell>
          <cell r="G669" t="str">
            <v>10010221</v>
          </cell>
          <cell r="H669" t="str">
            <v>Children’s Library Programmes Senior Specialist</v>
          </cell>
          <cell r="I669" t="str">
            <v>أخصائي أول برامج مكتبة الأطفال</v>
          </cell>
          <cell r="J669" t="str">
            <v>On-Chart</v>
          </cell>
          <cell r="K669" t="str">
            <v>DCT Payroll</v>
          </cell>
          <cell r="L669" t="str">
            <v>A1</v>
          </cell>
          <cell r="M669" t="str">
            <v>Department of Culture and Tourism</v>
          </cell>
          <cell r="N669" t="str">
            <v>Culture</v>
          </cell>
          <cell r="O669" t="str">
            <v>الثقافة</v>
          </cell>
          <cell r="P669" t="str">
            <v>Culture Sites Management</v>
          </cell>
          <cell r="Q669" t="str">
            <v>إدارة المواقع الثقافية</v>
          </cell>
          <cell r="R669" t="str">
            <v>Cultural Foundation</v>
          </cell>
          <cell r="S669" t="str">
            <v>المجمع الثقافي</v>
          </cell>
          <cell r="T669" t="str">
            <v>Children's Library</v>
          </cell>
          <cell r="U669" t="str">
            <v>مكتبة الأطفال</v>
          </cell>
          <cell r="V669" t="str">
            <v>Abu Dhabi</v>
          </cell>
          <cell r="W669" t="str">
            <v/>
          </cell>
          <cell r="X669" t="str">
            <v>4511250</v>
          </cell>
          <cell r="Y669" t="str">
            <v>Compliance,Governance&amp;Protocol_Policy (Culture/Tourism _Senior Professional</v>
          </cell>
          <cell r="Z669" t="str">
            <v>Senior Professional</v>
          </cell>
          <cell r="AA669" t="str">
            <v>3A</v>
          </cell>
        </row>
        <row r="670">
          <cell r="A670">
            <v>1431</v>
          </cell>
          <cell r="B670">
            <v>1431</v>
          </cell>
          <cell r="C670" t="str">
            <v>A</v>
          </cell>
          <cell r="D670" t="str">
            <v>Mariam Ali Aldarmaki</v>
          </cell>
          <cell r="E670" t="str">
            <v>مريم علي الدرمكي</v>
          </cell>
          <cell r="F670">
            <v>43583</v>
          </cell>
          <cell r="G670" t="str">
            <v>10010838</v>
          </cell>
          <cell r="H670" t="str">
            <v>Visitor Experience Specialist</v>
          </cell>
          <cell r="I670" t="str">
            <v>أخصائي تجربة الزوار</v>
          </cell>
          <cell r="J670" t="str">
            <v>On-Chart</v>
          </cell>
          <cell r="K670" t="str">
            <v>DCT Payroll</v>
          </cell>
          <cell r="L670" t="str">
            <v>A1</v>
          </cell>
          <cell r="M670" t="str">
            <v>Department of Culture and Tourism</v>
          </cell>
          <cell r="N670" t="str">
            <v>Culture</v>
          </cell>
          <cell r="O670" t="str">
            <v>الثقافة</v>
          </cell>
          <cell r="P670" t="str">
            <v>Culture Sites Management</v>
          </cell>
          <cell r="Q670" t="str">
            <v>إدارة المواقع الثقافية</v>
          </cell>
          <cell r="R670" t="str">
            <v>Al Ain Historical Sites</v>
          </cell>
          <cell r="S670" t="str">
            <v>مواقع العين التاريخية</v>
          </cell>
          <cell r="T670" t="str">
            <v>Al Ain Palace Museum</v>
          </cell>
          <cell r="U670" t="str">
            <v>متحف قصر العين</v>
          </cell>
          <cell r="V670" t="str">
            <v>Abu Dhabi</v>
          </cell>
          <cell r="W670" t="str">
            <v/>
          </cell>
          <cell r="X670" t="str">
            <v>4511250</v>
          </cell>
          <cell r="Y670" t="str">
            <v>Compliance,Governance&amp;Protocol_Policy (Culture/Tourism _Senior Professional</v>
          </cell>
          <cell r="Z670" t="str">
            <v>Professional</v>
          </cell>
          <cell r="AA670" t="str">
            <v>4A</v>
          </cell>
        </row>
        <row r="671">
          <cell r="A671">
            <v>1434</v>
          </cell>
          <cell r="B671">
            <v>1434</v>
          </cell>
          <cell r="C671" t="str">
            <v>A</v>
          </cell>
          <cell r="D671" t="str">
            <v>Rim Emadeldin Kassem</v>
          </cell>
          <cell r="E671" t="str">
            <v>ريم عماد الدين قاسم</v>
          </cell>
          <cell r="F671">
            <v>43600</v>
          </cell>
          <cell r="G671" t="str">
            <v>10009054</v>
          </cell>
          <cell r="H671" t="str">
            <v>Performing Arts Unit Head</v>
          </cell>
          <cell r="I671" t="str">
            <v>رئيس وحدة فنون الأداء</v>
          </cell>
          <cell r="J671" t="str">
            <v>On-Chart</v>
          </cell>
          <cell r="K671" t="str">
            <v>DCT Payroll</v>
          </cell>
          <cell r="L671" t="str">
            <v>A1</v>
          </cell>
          <cell r="M671" t="str">
            <v>Department of Culture and Tourism</v>
          </cell>
          <cell r="N671" t="str">
            <v>Culture</v>
          </cell>
          <cell r="O671" t="str">
            <v>الثقافة</v>
          </cell>
          <cell r="P671" t="str">
            <v>Culture Sites Management</v>
          </cell>
          <cell r="Q671" t="str">
            <v>إدارة المواقع الثقافية</v>
          </cell>
          <cell r="R671" t="str">
            <v>Cultural Foundation</v>
          </cell>
          <cell r="S671" t="str">
            <v>المجمع الثقافي</v>
          </cell>
          <cell r="T671" t="str">
            <v>Performing Arts</v>
          </cell>
          <cell r="U671" t="str">
            <v>فنون الأداء</v>
          </cell>
          <cell r="V671" t="str">
            <v>Abu Dhabi</v>
          </cell>
          <cell r="W671" t="str">
            <v/>
          </cell>
          <cell r="X671" t="str">
            <v>4511250</v>
          </cell>
          <cell r="Y671" t="str">
            <v>Compliance,Governance&amp;Protocol_Policy  (Culture &amp; Tourism)_Unit Head</v>
          </cell>
          <cell r="Z671" t="str">
            <v>Unit Head</v>
          </cell>
          <cell r="AA671" t="str">
            <v>3A</v>
          </cell>
        </row>
        <row r="672">
          <cell r="A672">
            <v>1436</v>
          </cell>
          <cell r="B672">
            <v>1436</v>
          </cell>
          <cell r="C672" t="str">
            <v>A</v>
          </cell>
          <cell r="D672" t="str">
            <v>Safaa Mubarak Bin Amro</v>
          </cell>
          <cell r="E672" t="str">
            <v>صفاء مبارك بن عمرو</v>
          </cell>
          <cell r="F672">
            <v>43590</v>
          </cell>
          <cell r="G672" t="str">
            <v>10010223</v>
          </cell>
          <cell r="H672" t="str">
            <v>Librarian</v>
          </cell>
          <cell r="I672" t="str">
            <v>أمين مكتبة</v>
          </cell>
          <cell r="J672" t="str">
            <v>On-Chart</v>
          </cell>
          <cell r="K672" t="str">
            <v>DCT Payroll</v>
          </cell>
          <cell r="L672" t="str">
            <v>A1</v>
          </cell>
          <cell r="M672" t="str">
            <v>Department of Culture and Tourism</v>
          </cell>
          <cell r="N672" t="str">
            <v>Culture</v>
          </cell>
          <cell r="O672" t="str">
            <v>الثقافة</v>
          </cell>
          <cell r="P672" t="str">
            <v>Culture Sites Management</v>
          </cell>
          <cell r="Q672" t="str">
            <v>إدارة المواقع الثقافية</v>
          </cell>
          <cell r="R672" t="str">
            <v>Cultural Foundation</v>
          </cell>
          <cell r="S672" t="str">
            <v>المجمع الثقافي</v>
          </cell>
          <cell r="T672" t="str">
            <v>Children's Library</v>
          </cell>
          <cell r="U672" t="str">
            <v>مكتبة الأطفال</v>
          </cell>
          <cell r="V672" t="str">
            <v>Abu Dhabi</v>
          </cell>
          <cell r="W672" t="str">
            <v/>
          </cell>
          <cell r="X672" t="str">
            <v>4511250</v>
          </cell>
          <cell r="Y672" t="str">
            <v>Compliance,Governance&amp;Protocol_Policy (Culture/Tourism _Senior Professional</v>
          </cell>
          <cell r="Z672" t="str">
            <v>Professional</v>
          </cell>
          <cell r="AA672" t="str">
            <v>4A</v>
          </cell>
        </row>
        <row r="673">
          <cell r="A673">
            <v>1437</v>
          </cell>
          <cell r="B673">
            <v>1437</v>
          </cell>
          <cell r="C673" t="str">
            <v>A</v>
          </cell>
          <cell r="D673" t="str">
            <v>Amena Hasan Albreiki</v>
          </cell>
          <cell r="E673" t="str">
            <v>آمنة حسن البريكي</v>
          </cell>
          <cell r="F673">
            <v>43611</v>
          </cell>
          <cell r="G673" t="str">
            <v>10010219</v>
          </cell>
          <cell r="H673" t="str">
            <v>Children’s Library Programmes Senior Specialist</v>
          </cell>
          <cell r="I673" t="str">
            <v>أخصائي أول برامج مكتبة الأطفال</v>
          </cell>
          <cell r="J673" t="str">
            <v>On-Chart</v>
          </cell>
          <cell r="K673" t="str">
            <v>DCT Payroll</v>
          </cell>
          <cell r="L673" t="str">
            <v>A1</v>
          </cell>
          <cell r="M673" t="str">
            <v>Department of Culture and Tourism</v>
          </cell>
          <cell r="N673" t="str">
            <v>Culture</v>
          </cell>
          <cell r="O673" t="str">
            <v>الثقافة</v>
          </cell>
          <cell r="P673" t="str">
            <v>Culture Sites Management</v>
          </cell>
          <cell r="Q673" t="str">
            <v>إدارة المواقع الثقافية</v>
          </cell>
          <cell r="R673" t="str">
            <v>Cultural Foundation</v>
          </cell>
          <cell r="S673" t="str">
            <v>المجمع الثقافي</v>
          </cell>
          <cell r="T673" t="str">
            <v>Children's Library</v>
          </cell>
          <cell r="U673" t="str">
            <v>مكتبة الأطفال</v>
          </cell>
          <cell r="V673" t="str">
            <v>Abu Dhabi</v>
          </cell>
          <cell r="W673" t="str">
            <v/>
          </cell>
          <cell r="X673" t="str">
            <v>4511250</v>
          </cell>
          <cell r="Y673" t="str">
            <v>Compliance,Governance&amp;Protocol_Policy (Culture/Tourism _Senior Professional</v>
          </cell>
          <cell r="Z673" t="str">
            <v>Senior Professional</v>
          </cell>
          <cell r="AA673" t="str">
            <v>3A</v>
          </cell>
        </row>
        <row r="674">
          <cell r="A674">
            <v>1440</v>
          </cell>
          <cell r="B674">
            <v>1440</v>
          </cell>
          <cell r="C674" t="str">
            <v>A</v>
          </cell>
          <cell r="D674" t="str">
            <v>Thai Thuy Anh</v>
          </cell>
          <cell r="E674" t="str">
            <v>تاي توي  ان</v>
          </cell>
          <cell r="F674">
            <v>43604</v>
          </cell>
          <cell r="G674" t="str">
            <v>10010841</v>
          </cell>
          <cell r="H674" t="str">
            <v>Global Partnerships Unit Head</v>
          </cell>
          <cell r="I674" t="str">
            <v>رئيس وحدة الشراكات العالمية</v>
          </cell>
          <cell r="J674" t="str">
            <v>On-Chart</v>
          </cell>
          <cell r="K674" t="str">
            <v>DCT Payroll</v>
          </cell>
          <cell r="L674" t="str">
            <v>A1</v>
          </cell>
          <cell r="M674" t="str">
            <v>Department of Culture and Tourism</v>
          </cell>
          <cell r="N674" t="str">
            <v>Tourism</v>
          </cell>
          <cell r="O674" t="str">
            <v>السياحة</v>
          </cell>
          <cell r="P674" t="str">
            <v>Tourism Products Development</v>
          </cell>
          <cell r="Q674" t="str">
            <v>تطوير المنتجات السياحية</v>
          </cell>
          <cell r="R674" t="str">
            <v>Aviation, Cruise, &amp; Global Partnerships</v>
          </cell>
          <cell r="S674" t="str">
            <v>الطيران والرحلات البحرية والشراكات العالمية</v>
          </cell>
          <cell r="T674" t="str">
            <v>Global Partnerships</v>
          </cell>
          <cell r="U674" t="str">
            <v>الشراكات العالمية</v>
          </cell>
          <cell r="V674" t="str">
            <v>Abu Dhabi</v>
          </cell>
          <cell r="W674" t="str">
            <v/>
          </cell>
          <cell r="X674" t="str">
            <v>4515100</v>
          </cell>
          <cell r="Y674" t="str">
            <v>Compliance,Governance&amp;Protocol_Policy  (Culture &amp; Tourism)_Unit Head</v>
          </cell>
          <cell r="Z674" t="str">
            <v>Unit Head</v>
          </cell>
          <cell r="AA674" t="str">
            <v>3C</v>
          </cell>
        </row>
        <row r="675">
          <cell r="A675">
            <v>1441</v>
          </cell>
          <cell r="B675">
            <v>1441</v>
          </cell>
          <cell r="C675" t="str">
            <v>A</v>
          </cell>
          <cell r="D675" t="str">
            <v>Nour Mohamad Diar Bakerli</v>
          </cell>
          <cell r="E675" t="str">
            <v>نور محمد ديار بكرلي</v>
          </cell>
          <cell r="F675">
            <v>43600</v>
          </cell>
          <cell r="G675" t="str">
            <v>50000981</v>
          </cell>
          <cell r="H675" t="str">
            <v>Publishing Programmes Section Head</v>
          </cell>
          <cell r="I675" t="str">
            <v>رئيس قسم برامج النشر</v>
          </cell>
          <cell r="J675" t="str">
            <v>On-Chart</v>
          </cell>
          <cell r="K675" t="str">
            <v>ALC Direct Hires</v>
          </cell>
          <cell r="L675" t="str">
            <v>AL1</v>
          </cell>
          <cell r="M675" t="str">
            <v>Abu Dhabi Arabic Language Centre</v>
          </cell>
          <cell r="N675" t="str">
            <v>Abu Dhabi Arabic Language Centre</v>
          </cell>
          <cell r="O675" t="str">
            <v>مركز أبوظبي للغة العربية</v>
          </cell>
          <cell r="P675" t="str">
            <v>Creative Content</v>
          </cell>
          <cell r="Q675" t="str">
            <v>المحتوى الإبداعي</v>
          </cell>
          <cell r="R675" t="str">
            <v>Publishing Programmes - ALC</v>
          </cell>
          <cell r="S675" t="str">
            <v>برامج النشر</v>
          </cell>
          <cell r="T675" t="str">
            <v/>
          </cell>
          <cell r="U675" t="str">
            <v/>
          </cell>
          <cell r="V675" t="str">
            <v>Abu Dhabi</v>
          </cell>
          <cell r="W675" t="str">
            <v/>
          </cell>
          <cell r="X675" t="str">
            <v>4519199</v>
          </cell>
          <cell r="Y675" t="str">
            <v>Interpretation &amp; Engagement_Arabic Language Learning &amp; Specialized Programmes _Section Manager</v>
          </cell>
          <cell r="Z675" t="str">
            <v>Section Manager</v>
          </cell>
          <cell r="AA675" t="str">
            <v>2A</v>
          </cell>
        </row>
        <row r="676">
          <cell r="A676">
            <v>1445</v>
          </cell>
          <cell r="B676">
            <v>1445</v>
          </cell>
          <cell r="C676" t="str">
            <v>A</v>
          </cell>
          <cell r="D676" t="str">
            <v>Ahmed Elhoussini Salama</v>
          </cell>
          <cell r="E676" t="str">
            <v>أحمد الحسيني سلامة</v>
          </cell>
          <cell r="F676">
            <v>43611</v>
          </cell>
          <cell r="G676" t="str">
            <v>10010224</v>
          </cell>
          <cell r="H676" t="str">
            <v>Librarian</v>
          </cell>
          <cell r="I676" t="str">
            <v>أمين مكتبة</v>
          </cell>
          <cell r="J676" t="str">
            <v>On-Chart</v>
          </cell>
          <cell r="K676" t="str">
            <v>DCT Payroll</v>
          </cell>
          <cell r="L676" t="str">
            <v>A1</v>
          </cell>
          <cell r="M676" t="str">
            <v>Department of Culture and Tourism</v>
          </cell>
          <cell r="N676" t="str">
            <v>Culture</v>
          </cell>
          <cell r="O676" t="str">
            <v>الثقافة</v>
          </cell>
          <cell r="P676" t="str">
            <v>Culture Sites Management</v>
          </cell>
          <cell r="Q676" t="str">
            <v>إدارة المواقع الثقافية</v>
          </cell>
          <cell r="R676" t="str">
            <v>Cultural Foundation</v>
          </cell>
          <cell r="S676" t="str">
            <v>المجمع الثقافي</v>
          </cell>
          <cell r="T676" t="str">
            <v>Children's Library</v>
          </cell>
          <cell r="U676" t="str">
            <v>مكتبة الأطفال</v>
          </cell>
          <cell r="V676" t="str">
            <v>Abu Dhabi</v>
          </cell>
          <cell r="W676" t="str">
            <v/>
          </cell>
          <cell r="X676" t="str">
            <v>4511250</v>
          </cell>
          <cell r="Y676" t="str">
            <v>Compliance,Governance&amp;Protocol_Policy (Culture/Tourism _Senior Professional</v>
          </cell>
          <cell r="Z676" t="str">
            <v>Professional</v>
          </cell>
          <cell r="AA676" t="str">
            <v>4A</v>
          </cell>
        </row>
        <row r="677">
          <cell r="A677">
            <v>1446</v>
          </cell>
          <cell r="B677">
            <v>1446</v>
          </cell>
          <cell r="C677" t="str">
            <v>A</v>
          </cell>
          <cell r="D677" t="str">
            <v>Biju Koshy</v>
          </cell>
          <cell r="E677" t="str">
            <v>بيشو  كوشي</v>
          </cell>
          <cell r="F677">
            <v>43625</v>
          </cell>
          <cell r="G677" t="str">
            <v>10010276</v>
          </cell>
          <cell r="H677" t="str">
            <v>Leasing &amp; Tenants Management Unit Head</v>
          </cell>
          <cell r="I677" t="str">
            <v>رئيس وحدة التأجير والمستأجرين</v>
          </cell>
          <cell r="J677" t="str">
            <v>On-Chart</v>
          </cell>
          <cell r="K677" t="str">
            <v>DCT Payroll</v>
          </cell>
          <cell r="L677" t="str">
            <v>A1</v>
          </cell>
          <cell r="M677" t="str">
            <v>Department of Culture and Tourism</v>
          </cell>
          <cell r="N677" t="str">
            <v>Support Services</v>
          </cell>
          <cell r="O677" t="str">
            <v>الخدمات المساندة</v>
          </cell>
          <cell r="P677" t="str">
            <v>Supply Management</v>
          </cell>
          <cell r="Q677" t="str">
            <v>إدارة الإمداد</v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>Abu Dhabi</v>
          </cell>
          <cell r="W677" t="str">
            <v/>
          </cell>
          <cell r="X677" t="str">
            <v>4510240</v>
          </cell>
          <cell r="Y677" t="str">
            <v>Procurement_Leasing &amp; Tenants Management _Unit Head</v>
          </cell>
          <cell r="Z677" t="str">
            <v>Unit Head</v>
          </cell>
          <cell r="AA677" t="str">
            <v>3A</v>
          </cell>
        </row>
        <row r="678">
          <cell r="A678">
            <v>1447</v>
          </cell>
          <cell r="B678">
            <v>1447</v>
          </cell>
          <cell r="C678" t="str">
            <v>A</v>
          </cell>
          <cell r="D678" t="str">
            <v>Franco Tudlasan Selle</v>
          </cell>
          <cell r="E678" t="str">
            <v>فرانكو تودلاسان سيلي</v>
          </cell>
          <cell r="F678">
            <v>43625</v>
          </cell>
          <cell r="G678" t="str">
            <v>50001890</v>
          </cell>
          <cell r="H678" t="str">
            <v>FM Officer</v>
          </cell>
          <cell r="I678" t="str">
            <v>ضابط إدارة المرافق</v>
          </cell>
          <cell r="J678" t="str">
            <v>On-Chart</v>
          </cell>
          <cell r="K678" t="str">
            <v>DCT Payroll</v>
          </cell>
          <cell r="L678" t="str">
            <v>A1</v>
          </cell>
          <cell r="M678" t="str">
            <v>Department of Culture and Tourism</v>
          </cell>
          <cell r="N678" t="str">
            <v>Culture</v>
          </cell>
          <cell r="O678" t="str">
            <v>الثقافة</v>
          </cell>
          <cell r="P678" t="str">
            <v>Culture Sites Management</v>
          </cell>
          <cell r="Q678" t="str">
            <v>إدارة المواقع الثقافية</v>
          </cell>
          <cell r="R678" t="str">
            <v>Abu Dhabi Operations</v>
          </cell>
          <cell r="S678" t="str">
            <v>العمليات - أبوظبي</v>
          </cell>
          <cell r="T678" t="str">
            <v>Operations</v>
          </cell>
          <cell r="U678" t="str">
            <v>العمليات</v>
          </cell>
          <cell r="V678" t="str">
            <v>Abu Dhabi</v>
          </cell>
          <cell r="W678" t="str">
            <v/>
          </cell>
          <cell r="X678" t="str">
            <v>4511250</v>
          </cell>
          <cell r="Y678" t="str">
            <v>Compliance,Governance&amp;Protocol_Policy (Culture/Tourism _Senior Professional</v>
          </cell>
          <cell r="Z678" t="str">
            <v>Professional</v>
          </cell>
          <cell r="AA678" t="str">
            <v>4B</v>
          </cell>
        </row>
        <row r="679">
          <cell r="A679">
            <v>1448</v>
          </cell>
          <cell r="B679">
            <v>1448</v>
          </cell>
          <cell r="C679" t="str">
            <v>A</v>
          </cell>
          <cell r="D679" t="str">
            <v>Firas Othman</v>
          </cell>
          <cell r="E679" t="str">
            <v>فراس  عثمان</v>
          </cell>
          <cell r="F679">
            <v>43626</v>
          </cell>
          <cell r="G679" t="str">
            <v>10009101</v>
          </cell>
          <cell r="H679" t="str">
            <v>Architectural Conservation Senior Specialist</v>
          </cell>
          <cell r="I679" t="str">
            <v>أخصائي أول الترميم المعماري</v>
          </cell>
          <cell r="J679" t="str">
            <v>On-Chart</v>
          </cell>
          <cell r="K679" t="str">
            <v>DCT Payroll</v>
          </cell>
          <cell r="L679" t="str">
            <v>A1</v>
          </cell>
          <cell r="M679" t="str">
            <v>Department of Culture and Tourism</v>
          </cell>
          <cell r="N679" t="str">
            <v>Culture</v>
          </cell>
          <cell r="O679" t="str">
            <v>الثقافة</v>
          </cell>
          <cell r="P679" t="str">
            <v>Historic Environment</v>
          </cell>
          <cell r="Q679" t="str">
            <v>البيئة التاريخية</v>
          </cell>
          <cell r="R679" t="str">
            <v>Conservation</v>
          </cell>
          <cell r="S679" t="str">
            <v>الترميم</v>
          </cell>
          <cell r="T679" t="str">
            <v>Conservation – Historic Buildings</v>
          </cell>
          <cell r="U679" t="str">
            <v>حماية المباني التاريخية</v>
          </cell>
          <cell r="V679" t="str">
            <v>Al Ain</v>
          </cell>
          <cell r="W679" t="str">
            <v/>
          </cell>
          <cell r="X679" t="str">
            <v>4511300</v>
          </cell>
          <cell r="Y679" t="str">
            <v>Compliance,Governance&amp;Protocol_Policy (Culture/Tourism _Senior Professional</v>
          </cell>
          <cell r="Z679" t="str">
            <v>Senior Professional</v>
          </cell>
          <cell r="AA679" t="str">
            <v>3A</v>
          </cell>
        </row>
        <row r="680">
          <cell r="A680">
            <v>1452</v>
          </cell>
          <cell r="B680">
            <v>1452</v>
          </cell>
          <cell r="C680" t="str">
            <v>A</v>
          </cell>
          <cell r="D680" t="str">
            <v>Dr. Peter Gerard Magee</v>
          </cell>
          <cell r="E680" t="str">
            <v>بيتر جيرارد  ماجي</v>
          </cell>
          <cell r="F680">
            <v>43615</v>
          </cell>
          <cell r="G680" t="str">
            <v>10011459</v>
          </cell>
          <cell r="H680" t="str">
            <v>Zayed National Museum Director</v>
          </cell>
          <cell r="I680" t="str">
            <v>مدير متحف زايد الوطني</v>
          </cell>
          <cell r="J680" t="str">
            <v>On-Chart</v>
          </cell>
          <cell r="K680" t="str">
            <v>MSS Direct Hires</v>
          </cell>
          <cell r="L680" t="str">
            <v>M1</v>
          </cell>
          <cell r="M680" t="str">
            <v>Department of Culture and Tourism</v>
          </cell>
          <cell r="N680" t="str">
            <v>Zayed National Museum</v>
          </cell>
          <cell r="O680" t="str">
            <v>متحف زايد الوطني</v>
          </cell>
          <cell r="P680" t="str">
            <v>Director’s Office</v>
          </cell>
          <cell r="Q680" t="str">
            <v>مكتب مدير المتحف</v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>Abu Dhabi</v>
          </cell>
          <cell r="W680" t="str">
            <v/>
          </cell>
          <cell r="X680" t="str">
            <v>4510180</v>
          </cell>
          <cell r="Y680" t="str">
            <v>Executive Management _Advisor_Director</v>
          </cell>
          <cell r="Z680" t="str">
            <v>Director</v>
          </cell>
          <cell r="AA680" t="str">
            <v>1A</v>
          </cell>
        </row>
        <row r="681">
          <cell r="A681">
            <v>1456</v>
          </cell>
          <cell r="B681">
            <v>1456</v>
          </cell>
          <cell r="C681" t="str">
            <v>A</v>
          </cell>
          <cell r="D681" t="str">
            <v>Mounir Sinno</v>
          </cell>
          <cell r="E681" t="str">
            <v>منير  سنو</v>
          </cell>
          <cell r="F681">
            <v>43650</v>
          </cell>
          <cell r="G681" t="str">
            <v>10007397</v>
          </cell>
          <cell r="H681" t="str">
            <v>Risk Management Unit Head</v>
          </cell>
          <cell r="I681" t="str">
            <v>رئيس وحدة إدارة المخاطر</v>
          </cell>
          <cell r="J681" t="str">
            <v>On-Chart</v>
          </cell>
          <cell r="K681" t="str">
            <v>DCT Payroll</v>
          </cell>
          <cell r="L681" t="str">
            <v>A1</v>
          </cell>
          <cell r="M681" t="str">
            <v>Department of Culture and Tourism</v>
          </cell>
          <cell r="N681" t="str">
            <v>Strategic Affairs</v>
          </cell>
          <cell r="O681" t="str">
            <v>الشؤون الاستراتيجية</v>
          </cell>
          <cell r="P681" t="str">
            <v>Business Excellence &amp; Continuity</v>
          </cell>
          <cell r="Q681" t="str">
            <v>التميز المؤسسي واستمرارية الأعمال</v>
          </cell>
          <cell r="R681" t="str">
            <v>Enterprise Risk Management &amp; Business Continuity</v>
          </cell>
          <cell r="S681" t="str">
            <v>إدارة المخاطر واستمرارية الأعمال</v>
          </cell>
          <cell r="T681" t="str">
            <v>Risk Management</v>
          </cell>
          <cell r="U681" t="str">
            <v>إدارة المخاطر</v>
          </cell>
          <cell r="V681" t="str">
            <v>Abu Dhabi</v>
          </cell>
          <cell r="W681" t="str">
            <v/>
          </cell>
          <cell r="X681" t="str">
            <v>4512300</v>
          </cell>
          <cell r="Y681" t="str">
            <v>Strategy, Planning, Project Mgt_Business Excellence &amp; Foresight Planning _Unit Head</v>
          </cell>
          <cell r="Z681" t="str">
            <v>Unit Head</v>
          </cell>
          <cell r="AA681" t="str">
            <v>3A</v>
          </cell>
        </row>
        <row r="682">
          <cell r="A682">
            <v>1458</v>
          </cell>
          <cell r="B682">
            <v>1458</v>
          </cell>
          <cell r="C682" t="str">
            <v>A</v>
          </cell>
          <cell r="D682" t="str">
            <v>Nour Najeeb AlShamsi</v>
          </cell>
          <cell r="E682" t="str">
            <v>نور نجيب الشامسي</v>
          </cell>
          <cell r="F682">
            <v>43654</v>
          </cell>
          <cell r="G682" t="str">
            <v>50003998</v>
          </cell>
          <cell r="H682" t="str">
            <v>Exhibitions Design Senior Specialist</v>
          </cell>
          <cell r="I682" t="str">
            <v/>
          </cell>
          <cell r="J682" t="str">
            <v>On-Chart</v>
          </cell>
          <cell r="K682" t="str">
            <v>DCT Payroll</v>
          </cell>
          <cell r="L682" t="str">
            <v>A1</v>
          </cell>
          <cell r="M682" t="str">
            <v>Department of Culture and Tourism</v>
          </cell>
          <cell r="N682" t="str">
            <v>Culture</v>
          </cell>
          <cell r="O682" t="str">
            <v>الثقافة</v>
          </cell>
          <cell r="P682" t="str">
            <v>Scientific, Curatorial and Collection Department</v>
          </cell>
          <cell r="Q682" t="str">
            <v>إدارة البحث العلمي والمقتنيات</v>
          </cell>
          <cell r="R682" t="str">
            <v>Exhibitions Design</v>
          </cell>
          <cell r="S682" t="str">
            <v>تصميم المعارض</v>
          </cell>
          <cell r="T682" t="str">
            <v>Exhibitions Design</v>
          </cell>
          <cell r="U682" t="str">
            <v>تصميم المعارض</v>
          </cell>
          <cell r="V682" t="str">
            <v>Abu Dhabi</v>
          </cell>
          <cell r="W682" t="str">
            <v/>
          </cell>
          <cell r="X682" t="str">
            <v>4511150</v>
          </cell>
          <cell r="Y682" t="str">
            <v>Design_Exhibitions Design _Senior Professional</v>
          </cell>
          <cell r="Z682" t="str">
            <v>Senior Professional</v>
          </cell>
          <cell r="AA682" t="str">
            <v>3A</v>
          </cell>
        </row>
        <row r="683">
          <cell r="A683">
            <v>1461</v>
          </cell>
          <cell r="B683">
            <v>1461</v>
          </cell>
          <cell r="C683" t="str">
            <v>A</v>
          </cell>
          <cell r="D683" t="str">
            <v>Renad M M Hussein</v>
          </cell>
          <cell r="E683" t="str">
            <v>رناد المتوكل على الله حسين</v>
          </cell>
          <cell r="F683">
            <v>43660</v>
          </cell>
          <cell r="G683" t="str">
            <v>50001289</v>
          </cell>
          <cell r="H683" t="str">
            <v>Exhibitions Design Project Manager</v>
          </cell>
          <cell r="I683" t="str">
            <v>مدير مشاريع تصميم المعارض</v>
          </cell>
          <cell r="J683" t="str">
            <v>On-Chart</v>
          </cell>
          <cell r="K683" t="str">
            <v>DCT Payroll</v>
          </cell>
          <cell r="L683" t="str">
            <v>A1</v>
          </cell>
          <cell r="M683" t="str">
            <v>Department of Culture and Tourism</v>
          </cell>
          <cell r="N683" t="str">
            <v>Culture</v>
          </cell>
          <cell r="O683" t="str">
            <v>الثقافة</v>
          </cell>
          <cell r="P683" t="str">
            <v>Scientific, Curatorial and Collection Department</v>
          </cell>
          <cell r="Q683" t="str">
            <v>إدارة البحث العلمي والمقتنيات</v>
          </cell>
          <cell r="R683" t="str">
            <v>Exhibitions Design</v>
          </cell>
          <cell r="S683" t="str">
            <v>تصميم المعارض</v>
          </cell>
          <cell r="T683" t="str">
            <v>Exhibitions ٍDesign Project Management</v>
          </cell>
          <cell r="U683" t="str">
            <v>مشاريع تصميم المعارض</v>
          </cell>
          <cell r="V683" t="str">
            <v>Abu Dhabi</v>
          </cell>
          <cell r="W683" t="str">
            <v/>
          </cell>
          <cell r="X683" t="str">
            <v>4511150</v>
          </cell>
          <cell r="Y683" t="str">
            <v>Compliance,Governance&amp;Protocol_Policy  (Culture &amp; Tourism)_Unit Head</v>
          </cell>
          <cell r="Z683" t="str">
            <v>Unit Head</v>
          </cell>
          <cell r="AA683" t="str">
            <v>3A</v>
          </cell>
        </row>
        <row r="684">
          <cell r="A684">
            <v>1466</v>
          </cell>
          <cell r="B684">
            <v>1466</v>
          </cell>
          <cell r="C684" t="str">
            <v>A</v>
          </cell>
          <cell r="D684" t="str">
            <v>Husain Ali AlHashmi</v>
          </cell>
          <cell r="E684" t="str">
            <v>حسين علي الهاشمي</v>
          </cell>
          <cell r="F684">
            <v>43667</v>
          </cell>
          <cell r="G684" t="str">
            <v>50002502</v>
          </cell>
          <cell r="H684" t="str">
            <v>Director Visitor Experience &amp; Sales</v>
          </cell>
          <cell r="I684" t="str">
            <v>مديرإدارة تجربة الزوار والمبيعات</v>
          </cell>
          <cell r="J684" t="str">
            <v>On-Chart</v>
          </cell>
          <cell r="K684" t="str">
            <v>MSS Direct Hires</v>
          </cell>
          <cell r="L684" t="str">
            <v>M1</v>
          </cell>
          <cell r="M684" t="str">
            <v>Louvre Abu Dhabi</v>
          </cell>
          <cell r="N684" t="str">
            <v>Louvre Abu Dhabi</v>
          </cell>
          <cell r="O684" t="str">
            <v>متحف اللوفر أبوظبي</v>
          </cell>
          <cell r="P684" t="str">
            <v>Visitor Experience &amp; Sales</v>
          </cell>
          <cell r="Q684" t="str">
            <v>إدارة تجربة الزوار و المبيعات</v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>Abu Dhabi</v>
          </cell>
          <cell r="W684" t="str">
            <v/>
          </cell>
          <cell r="X684" t="str">
            <v>4510125</v>
          </cell>
          <cell r="Y684" t="str">
            <v>Comms &amp; Marketing _Visitor Experience Marketing _Director</v>
          </cell>
          <cell r="Z684" t="str">
            <v>Director</v>
          </cell>
          <cell r="AA684" t="str">
            <v>1C</v>
          </cell>
        </row>
        <row r="685">
          <cell r="A685">
            <v>1468</v>
          </cell>
          <cell r="B685">
            <v>1468</v>
          </cell>
          <cell r="C685" t="str">
            <v>A</v>
          </cell>
          <cell r="D685" t="str">
            <v>Elena Raevskikh</v>
          </cell>
          <cell r="E685" t="str">
            <v>إيلينا الكسندروفنا  رايفسكيخ</v>
          </cell>
          <cell r="F685">
            <v>43674</v>
          </cell>
          <cell r="G685" t="str">
            <v>10008912</v>
          </cell>
          <cell r="H685" t="str">
            <v>Culture Research Unit Head</v>
          </cell>
          <cell r="I685" t="str">
            <v>رئيس وحدة بحوث الثقافة</v>
          </cell>
          <cell r="J685" t="str">
            <v>On-Chart</v>
          </cell>
          <cell r="K685" t="str">
            <v>DCT Payroll</v>
          </cell>
          <cell r="L685" t="str">
            <v>A1</v>
          </cell>
          <cell r="M685" t="str">
            <v>Department of Culture and Tourism</v>
          </cell>
          <cell r="N685" t="str">
            <v>Culture</v>
          </cell>
          <cell r="O685" t="str">
            <v>الثقافة</v>
          </cell>
          <cell r="P685" t="str">
            <v>Culture Sector Policy and Development Office</v>
          </cell>
          <cell r="Q685" t="str">
            <v>مكتب إدارة سياسة وتطوير قطاع الثقافة</v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>Abu Dhabi</v>
          </cell>
          <cell r="W685" t="str">
            <v/>
          </cell>
          <cell r="X685" t="str">
            <v>4511150</v>
          </cell>
          <cell r="Y685" t="str">
            <v>Compliance,Governance&amp;Protocol_Policy  (Culture &amp; Tourism)_Unit Head</v>
          </cell>
          <cell r="Z685" t="str">
            <v>Unit Head</v>
          </cell>
          <cell r="AA685" t="str">
            <v>3A</v>
          </cell>
        </row>
        <row r="686">
          <cell r="A686">
            <v>1471</v>
          </cell>
          <cell r="B686">
            <v>1471</v>
          </cell>
          <cell r="C686" t="str">
            <v>A</v>
          </cell>
          <cell r="D686" t="str">
            <v>Mohamed Hamza Al Maazmi</v>
          </cell>
          <cell r="E686" t="str">
            <v>محمد حمزه المازمي</v>
          </cell>
          <cell r="F686">
            <v>43678</v>
          </cell>
          <cell r="G686" t="str">
            <v>10011301</v>
          </cell>
          <cell r="H686" t="str">
            <v>Corporate Excellence &amp; Foresight Planning Section Head</v>
          </cell>
          <cell r="I686" t="str">
            <v>رئيس قسم التميز المؤسسي واستشراف المستقبل</v>
          </cell>
          <cell r="J686" t="str">
            <v>On-Chart</v>
          </cell>
          <cell r="K686" t="str">
            <v>DCT Payroll</v>
          </cell>
          <cell r="L686" t="str">
            <v>A1</v>
          </cell>
          <cell r="M686" t="str">
            <v>Department of Culture and Tourism</v>
          </cell>
          <cell r="N686" t="str">
            <v>Strategic Affairs</v>
          </cell>
          <cell r="O686" t="str">
            <v>الشؤون الاستراتيجية</v>
          </cell>
          <cell r="P686" t="str">
            <v>Business Excellence &amp; Continuity</v>
          </cell>
          <cell r="Q686" t="str">
            <v>التميز المؤسسي واستمرارية الأعمال</v>
          </cell>
          <cell r="R686" t="str">
            <v>Corporate Excellence &amp; Foresight Planning</v>
          </cell>
          <cell r="S686" t="str">
            <v>التميز المؤسسي واستشراف المستقبل</v>
          </cell>
          <cell r="T686" t="str">
            <v/>
          </cell>
          <cell r="U686" t="str">
            <v/>
          </cell>
          <cell r="V686" t="str">
            <v>Abu Dhabi</v>
          </cell>
          <cell r="W686" t="str">
            <v/>
          </cell>
          <cell r="X686" t="str">
            <v>4512300</v>
          </cell>
          <cell r="Y686" t="str">
            <v>Strategy, Planning, Project Mgt_Business Excellence &amp; Foresight Planning _Section Head</v>
          </cell>
          <cell r="Z686" t="str">
            <v>Section Manager</v>
          </cell>
          <cell r="AA686" t="str">
            <v>2A</v>
          </cell>
        </row>
        <row r="687">
          <cell r="A687">
            <v>1472</v>
          </cell>
          <cell r="B687">
            <v>1472</v>
          </cell>
          <cell r="C687" t="str">
            <v>A</v>
          </cell>
          <cell r="D687" t="str">
            <v>Mouna Nazmi Khorchid</v>
          </cell>
          <cell r="E687" t="str">
            <v>منى نظمي خورشيد</v>
          </cell>
          <cell r="F687">
            <v>43681</v>
          </cell>
          <cell r="G687" t="str">
            <v>10009074</v>
          </cell>
          <cell r="H687" t="str">
            <v>Marketing &amp; Communications Lead – Abu Dhabi Sites</v>
          </cell>
          <cell r="I687" t="str">
            <v>رئيس وحدة التسويق والاتصال – المواقع الثقافية (أبوظبي)</v>
          </cell>
          <cell r="J687" t="str">
            <v>On-Chart</v>
          </cell>
          <cell r="K687" t="str">
            <v>DCT Payroll</v>
          </cell>
          <cell r="L687" t="str">
            <v>A1</v>
          </cell>
          <cell r="M687" t="str">
            <v>Department of Culture and Tourism</v>
          </cell>
          <cell r="N687" t="str">
            <v>Culture</v>
          </cell>
          <cell r="O687" t="str">
            <v>الثقافة</v>
          </cell>
          <cell r="P687" t="str">
            <v>Culture Sector Marketing</v>
          </cell>
          <cell r="Q687" t="str">
            <v>التسويق لقطاع الثقافة</v>
          </cell>
          <cell r="R687" t="str">
            <v>-</v>
          </cell>
          <cell r="S687" t="str">
            <v>-</v>
          </cell>
          <cell r="T687" t="str">
            <v>Marketing &amp; Communications – Cultural Foundation</v>
          </cell>
          <cell r="U687" t="str">
            <v>التسويق والاتصال – المجمع الثقافي</v>
          </cell>
          <cell r="V687" t="str">
            <v>Abu Dhabi</v>
          </cell>
          <cell r="W687" t="str">
            <v/>
          </cell>
          <cell r="X687" t="str">
            <v>4511550</v>
          </cell>
          <cell r="Y687" t="str">
            <v>Compliance,Governance&amp;Protocol_Policy  (Culture &amp; Tourism)_Unit Head</v>
          </cell>
          <cell r="Z687" t="str">
            <v>Unit Head</v>
          </cell>
          <cell r="AA687" t="str">
            <v>3A</v>
          </cell>
        </row>
        <row r="688">
          <cell r="A688">
            <v>1475</v>
          </cell>
          <cell r="B688">
            <v>1475</v>
          </cell>
          <cell r="C688" t="str">
            <v>A</v>
          </cell>
          <cell r="D688" t="str">
            <v>Reem Ghaith Fadda</v>
          </cell>
          <cell r="E688" t="str">
            <v>ريم غيث فضة</v>
          </cell>
          <cell r="F688">
            <v>43682</v>
          </cell>
          <cell r="G688" t="str">
            <v>10008899</v>
          </cell>
          <cell r="H688" t="str">
            <v>Culture Programming Department Director</v>
          </cell>
          <cell r="I688" t="str">
            <v>مدير إدارة البرامج الثقافية</v>
          </cell>
          <cell r="J688" t="str">
            <v>On-Chart</v>
          </cell>
          <cell r="K688" t="str">
            <v>DCT Payroll</v>
          </cell>
          <cell r="L688" t="str">
            <v>A1</v>
          </cell>
          <cell r="M688" t="str">
            <v>Department of Culture and Tourism</v>
          </cell>
          <cell r="N688" t="str">
            <v>Culture</v>
          </cell>
          <cell r="O688" t="str">
            <v>الثقافة</v>
          </cell>
          <cell r="P688" t="str">
            <v>Culture Programming</v>
          </cell>
          <cell r="Q688" t="str">
            <v>البرامج الثقافية</v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>Abu Dhabi</v>
          </cell>
          <cell r="W688" t="str">
            <v/>
          </cell>
          <cell r="X688" t="str">
            <v>4511700</v>
          </cell>
          <cell r="Y688" t="str">
            <v>Commercial _Culture Festivals &amp; Platforms Department Director</v>
          </cell>
          <cell r="Z688" t="str">
            <v>Director</v>
          </cell>
          <cell r="AA688" t="str">
            <v>1C</v>
          </cell>
        </row>
        <row r="689">
          <cell r="A689">
            <v>1481</v>
          </cell>
          <cell r="B689">
            <v>1481</v>
          </cell>
          <cell r="C689" t="str">
            <v>A</v>
          </cell>
          <cell r="D689" t="str">
            <v>Sara Mohammed Al Saadi</v>
          </cell>
          <cell r="E689" t="str">
            <v>سارة محمد السعدي</v>
          </cell>
          <cell r="F689">
            <v>43709</v>
          </cell>
          <cell r="G689" t="str">
            <v>50003993</v>
          </cell>
          <cell r="H689" t="str">
            <v>Digital Library Resources Unit Head</v>
          </cell>
          <cell r="I689" t="str">
            <v>رئيس وحدة موارد المكتبة الرقمية</v>
          </cell>
          <cell r="J689" t="str">
            <v>On-Chart</v>
          </cell>
          <cell r="K689" t="str">
            <v>ALC Direct Hires</v>
          </cell>
          <cell r="L689" t="str">
            <v>AL1</v>
          </cell>
          <cell r="M689" t="str">
            <v>Abu Dhabi Arabic Language Centre</v>
          </cell>
          <cell r="N689" t="str">
            <v>Abu Dhabi Arabic Language Centre</v>
          </cell>
          <cell r="O689" t="str">
            <v>مركز أبوظبي للغة العربية</v>
          </cell>
          <cell r="P689" t="str">
            <v>Specialized Library</v>
          </cell>
          <cell r="Q689" t="str">
            <v>المكتبات المتخصصة</v>
          </cell>
          <cell r="R689" t="str">
            <v>Technical Services - ALC</v>
          </cell>
          <cell r="S689" t="str">
            <v>الخدمات الفنية</v>
          </cell>
          <cell r="T689" t="str">
            <v>Digital Library Resources</v>
          </cell>
          <cell r="U689" t="str">
            <v>مصادر المكتبة الرقمية</v>
          </cell>
          <cell r="V689" t="str">
            <v>Abu Dhabi</v>
          </cell>
          <cell r="W689" t="str">
            <v/>
          </cell>
          <cell r="X689" t="str">
            <v>4519202</v>
          </cell>
          <cell r="Y689" t="str">
            <v>Operations_Library Operational Management_Unit Head</v>
          </cell>
          <cell r="Z689" t="str">
            <v>Unit Head</v>
          </cell>
          <cell r="AA689" t="str">
            <v>3A</v>
          </cell>
        </row>
        <row r="690">
          <cell r="A690">
            <v>1484</v>
          </cell>
          <cell r="B690">
            <v>1484</v>
          </cell>
          <cell r="C690" t="str">
            <v>A</v>
          </cell>
          <cell r="D690" t="str">
            <v>Bashayer Omar Alameri</v>
          </cell>
          <cell r="E690" t="str">
            <v>بشائر عمر العامري</v>
          </cell>
          <cell r="F690">
            <v>43709</v>
          </cell>
          <cell r="G690" t="str">
            <v>50001517</v>
          </cell>
          <cell r="H690" t="str">
            <v>Planning &amp; Operations (China &amp; Southeast Asia) Senior Executive</v>
          </cell>
          <cell r="I690" t="str">
            <v>تنفيذي أول التخطيط والعمليات (منطقة الصين وجنوب شرق آسيا)</v>
          </cell>
          <cell r="J690" t="str">
            <v>On-Chart</v>
          </cell>
          <cell r="K690" t="str">
            <v>DCT Payroll</v>
          </cell>
          <cell r="L690" t="str">
            <v>A1</v>
          </cell>
          <cell r="M690" t="str">
            <v>Department of Culture and Tourism</v>
          </cell>
          <cell r="N690" t="str">
            <v>Tourism</v>
          </cell>
          <cell r="O690" t="str">
            <v>السياحة</v>
          </cell>
          <cell r="P690" t="str">
            <v>International Operations</v>
          </cell>
          <cell r="Q690" t="str">
            <v>العمليات الدولية</v>
          </cell>
          <cell r="R690" t="str">
            <v>APAC</v>
          </cell>
          <cell r="S690" t="str">
            <v>منطقة آسيا والمحيط الهادئ</v>
          </cell>
          <cell r="T690" t="str">
            <v>China &amp; Southeast Asia</v>
          </cell>
          <cell r="U690" t="str">
            <v>منطقة الصين وجنوب شرق آسيا</v>
          </cell>
          <cell r="V690" t="str">
            <v>Abu Dhabi</v>
          </cell>
          <cell r="W690" t="str">
            <v/>
          </cell>
          <cell r="X690" t="str">
            <v>4515100</v>
          </cell>
          <cell r="Y690" t="str">
            <v>Compliance,Governance&amp;Protocol_Policy (Culture/Tourism _Senior Professional</v>
          </cell>
          <cell r="Z690" t="str">
            <v>Senior Professional</v>
          </cell>
          <cell r="AA690" t="str">
            <v>3B</v>
          </cell>
        </row>
        <row r="691">
          <cell r="A691">
            <v>1485</v>
          </cell>
          <cell r="B691">
            <v>1485</v>
          </cell>
          <cell r="C691" t="str">
            <v>A</v>
          </cell>
          <cell r="D691" t="str">
            <v>Mohamed Yousif Alwheibi</v>
          </cell>
          <cell r="E691" t="str">
            <v>محمد يوسف الوهيبي</v>
          </cell>
          <cell r="F691">
            <v>43716</v>
          </cell>
          <cell r="G691" t="str">
            <v>10008865</v>
          </cell>
          <cell r="H691" t="str">
            <v>Inspector</v>
          </cell>
          <cell r="I691" t="str">
            <v>مفتش</v>
          </cell>
          <cell r="J691" t="str">
            <v>On-Chart</v>
          </cell>
          <cell r="K691" t="str">
            <v>DCT Payroll</v>
          </cell>
          <cell r="L691" t="str">
            <v>A1</v>
          </cell>
          <cell r="M691" t="str">
            <v>Department of Culture and Tourism</v>
          </cell>
          <cell r="N691" t="str">
            <v>Tourism</v>
          </cell>
          <cell r="O691" t="str">
            <v>السياحة</v>
          </cell>
          <cell r="P691" t="str">
            <v>Licensing &amp; Regulatory Compliance</v>
          </cell>
          <cell r="Q691" t="str">
            <v>الرقابة والترخيص</v>
          </cell>
          <cell r="R691" t="str">
            <v>Abu Dhabi Inspection</v>
          </cell>
          <cell r="S691" t="str">
            <v>التفتيش</v>
          </cell>
          <cell r="T691" t="str">
            <v>Abu Dhabi Inspection (Night Events)</v>
          </cell>
          <cell r="U691" t="str">
            <v>( التفتيش لأبوظبي (الفعاليات الليلية</v>
          </cell>
          <cell r="V691" t="str">
            <v>Abu Dhabi</v>
          </cell>
          <cell r="W691" t="str">
            <v/>
          </cell>
          <cell r="X691" t="str">
            <v>4510170</v>
          </cell>
          <cell r="Y691" t="str">
            <v>Compliance,Governance&amp;Protocol_Licensing &amp; Regulatory Compliance- (Follow-up and Reporting) _Professional Assistant</v>
          </cell>
          <cell r="Z691" t="str">
            <v>Professional</v>
          </cell>
          <cell r="AA691" t="str">
            <v>4A</v>
          </cell>
        </row>
        <row r="692">
          <cell r="A692">
            <v>1486</v>
          </cell>
          <cell r="B692">
            <v>1486</v>
          </cell>
          <cell r="C692" t="str">
            <v>A</v>
          </cell>
          <cell r="D692" t="str">
            <v>Haifa Hareb Alshkeili</v>
          </cell>
          <cell r="E692" t="str">
            <v>هيفاء حارب الشكيلي</v>
          </cell>
          <cell r="F692">
            <v>43726</v>
          </cell>
          <cell r="G692" t="str">
            <v>50000685</v>
          </cell>
          <cell r="H692" t="str">
            <v>Public Events Section Head</v>
          </cell>
          <cell r="I692" t="str">
            <v>رئيس قسم الفعاليات المجتمعية</v>
          </cell>
          <cell r="J692" t="str">
            <v>On-Chart</v>
          </cell>
          <cell r="K692" t="str">
            <v>MSS Direct Hires</v>
          </cell>
          <cell r="L692" t="str">
            <v>M1</v>
          </cell>
          <cell r="M692" t="str">
            <v>Department of Culture and Tourism</v>
          </cell>
          <cell r="N692" t="str">
            <v>Zayed National Museum</v>
          </cell>
          <cell r="O692" t="str">
            <v>متحف زايد الوطني</v>
          </cell>
          <cell r="P692" t="str">
            <v>Learning &amp; Public Engagement</v>
          </cell>
          <cell r="Q692" t="str">
            <v>التعليم والمشاركة المجتمعية</v>
          </cell>
          <cell r="R692" t="str">
            <v>Public Events</v>
          </cell>
          <cell r="S692" t="str">
            <v>الفعاليات المجتمعية</v>
          </cell>
          <cell r="T692" t="str">
            <v/>
          </cell>
          <cell r="U692" t="str">
            <v/>
          </cell>
          <cell r="V692" t="str">
            <v>Abu Dhabi</v>
          </cell>
          <cell r="W692" t="str">
            <v/>
          </cell>
          <cell r="X692" t="str">
            <v>4510182</v>
          </cell>
          <cell r="Y692" t="str">
            <v>Interpretation &amp; Engagement_Arabic Language Learning &amp; Specialized Programmes _Section Manager</v>
          </cell>
          <cell r="Z692" t="str">
            <v>Section Manager</v>
          </cell>
          <cell r="AA692" t="str">
            <v>2A</v>
          </cell>
        </row>
        <row r="693">
          <cell r="A693">
            <v>1487</v>
          </cell>
          <cell r="B693">
            <v>1487</v>
          </cell>
          <cell r="C693" t="str">
            <v>A</v>
          </cell>
          <cell r="D693" t="str">
            <v>Hind Mahmood Abdul Rasool</v>
          </cell>
          <cell r="E693" t="str">
            <v>هند محمود عبدالرسول</v>
          </cell>
          <cell r="F693">
            <v>43723</v>
          </cell>
          <cell r="G693" t="str">
            <v>50002229</v>
          </cell>
          <cell r="H693" t="str">
            <v>Culinary Project Delivery Management Senior Specialist</v>
          </cell>
          <cell r="I693" t="str">
            <v>أخصائي أول إدارة تسليم مشاريع فنون الطهي</v>
          </cell>
          <cell r="J693" t="str">
            <v>On-Chart</v>
          </cell>
          <cell r="K693" t="str">
            <v>DCT Payroll</v>
          </cell>
          <cell r="L693" t="str">
            <v>A1</v>
          </cell>
          <cell r="M693" t="str">
            <v>Department of Culture and Tourism</v>
          </cell>
          <cell r="N693" t="str">
            <v>Tourism</v>
          </cell>
          <cell r="O693" t="str">
            <v>السياحة</v>
          </cell>
          <cell r="P693" t="str">
            <v>Abu Dhabi Events Bureau</v>
          </cell>
          <cell r="Q693" t="str">
            <v>مكتب أبوظبي للفعاليات</v>
          </cell>
          <cell r="R693" t="str">
            <v>Culinary Development</v>
          </cell>
          <cell r="S693" t="str">
            <v>تطوير فنون الطهي</v>
          </cell>
          <cell r="T693" t="str">
            <v>Culinary Project Delivery Management</v>
          </cell>
          <cell r="U693" t="str">
            <v>إدارة تسليم مشاريع فنون الطهي</v>
          </cell>
          <cell r="V693" t="str">
            <v>Abu Dhabi</v>
          </cell>
          <cell r="W693" t="str">
            <v/>
          </cell>
          <cell r="X693" t="str">
            <v>4515500</v>
          </cell>
          <cell r="Y693" t="str">
            <v>Commercial _Conventions, Exhibitions, Events &amp; Festivals Development &amp; Sales  _Professional</v>
          </cell>
          <cell r="Z693" t="str">
            <v>Professional</v>
          </cell>
          <cell r="AA693" t="str">
            <v>3B</v>
          </cell>
        </row>
        <row r="694">
          <cell r="A694">
            <v>1492</v>
          </cell>
          <cell r="B694">
            <v>1492</v>
          </cell>
          <cell r="C694" t="str">
            <v>A</v>
          </cell>
          <cell r="D694" t="str">
            <v>Adel Saeed Al Jaberi</v>
          </cell>
          <cell r="E694" t="str">
            <v>عادل سعيد الجابري</v>
          </cell>
          <cell r="F694">
            <v>43730</v>
          </cell>
          <cell r="G694" t="str">
            <v>10005752</v>
          </cell>
          <cell r="H694" t="str">
            <v>International Operations (UK) Unit Head</v>
          </cell>
          <cell r="I694" t="str">
            <v>رئيس وحدة  العمليات الدولية  (منطقة المملكة المتحدة)</v>
          </cell>
          <cell r="J694" t="str">
            <v>On-Chart</v>
          </cell>
          <cell r="K694" t="str">
            <v>DCT Payroll</v>
          </cell>
          <cell r="L694" t="str">
            <v>A1</v>
          </cell>
          <cell r="M694" t="str">
            <v>Department of Culture and Tourism</v>
          </cell>
          <cell r="N694" t="str">
            <v>Tourism</v>
          </cell>
          <cell r="O694" t="str">
            <v>السياحة</v>
          </cell>
          <cell r="P694" t="str">
            <v>International Operations</v>
          </cell>
          <cell r="Q694" t="str">
            <v>العمليات الدولية</v>
          </cell>
          <cell r="R694" t="str">
            <v>UK &amp; Americas</v>
          </cell>
          <cell r="S694" t="str">
            <v>منطقة المملكة المتحدة  والأمريكيتين</v>
          </cell>
          <cell r="T694" t="str">
            <v>UK</v>
          </cell>
          <cell r="U694" t="str">
            <v>منطقة المملكة المتحدة</v>
          </cell>
          <cell r="V694" t="str">
            <v>Abu Dhabi</v>
          </cell>
          <cell r="W694" t="str">
            <v/>
          </cell>
          <cell r="X694" t="str">
            <v>4515100</v>
          </cell>
          <cell r="Y694" t="str">
            <v>Compliance,Governance&amp;Protocol_Policy  (Culture &amp; Tourism)_Unit Head</v>
          </cell>
          <cell r="Z694" t="str">
            <v>Unit Head</v>
          </cell>
          <cell r="AA694" t="str">
            <v>3A</v>
          </cell>
        </row>
        <row r="695">
          <cell r="A695">
            <v>1496</v>
          </cell>
          <cell r="B695">
            <v>1496</v>
          </cell>
          <cell r="C695" t="str">
            <v>A</v>
          </cell>
          <cell r="D695" t="str">
            <v>Shamma Heyab AlKetbi</v>
          </cell>
          <cell r="E695" t="str">
            <v>شمه حياب الكتبي</v>
          </cell>
          <cell r="F695">
            <v>43731</v>
          </cell>
          <cell r="G695" t="str">
            <v>50001732</v>
          </cell>
          <cell r="H695" t="str">
            <v>Community Outreach Senior Specialist</v>
          </cell>
          <cell r="I695" t="str">
            <v>أخصائي أول التوعية المجتمعية</v>
          </cell>
          <cell r="J695" t="str">
            <v>On-Chart</v>
          </cell>
          <cell r="K695" t="str">
            <v>DCT Payroll</v>
          </cell>
          <cell r="L695" t="str">
            <v>A1</v>
          </cell>
          <cell r="M695" t="str">
            <v>Department of Culture and Tourism</v>
          </cell>
          <cell r="N695" t="str">
            <v>Culture</v>
          </cell>
          <cell r="O695" t="str">
            <v>الثقافة</v>
          </cell>
          <cell r="P695" t="str">
            <v>Culture Sites Management</v>
          </cell>
          <cell r="Q695" t="str">
            <v>إدارة المواقع الثقافية</v>
          </cell>
          <cell r="R695" t="str">
            <v>Al Ain Community Centers</v>
          </cell>
          <cell r="S695" t="str">
            <v>مراكز العين المجتمعية</v>
          </cell>
          <cell r="T695" t="str">
            <v>Bait Mohammad Bin Khalifa</v>
          </cell>
          <cell r="U695" t="str">
            <v>بيت محمد بن خليفة</v>
          </cell>
          <cell r="V695" t="str">
            <v>Abu Dhabi</v>
          </cell>
          <cell r="W695" t="str">
            <v/>
          </cell>
          <cell r="X695" t="str">
            <v>4511250</v>
          </cell>
          <cell r="Y695" t="str">
            <v>Compliance,Governance&amp;Protocol_Policy (Culture/Tourism _Senior Professional</v>
          </cell>
          <cell r="Z695" t="str">
            <v>Senior Professional</v>
          </cell>
          <cell r="AA695" t="str">
            <v>3B</v>
          </cell>
        </row>
        <row r="696">
          <cell r="A696">
            <v>1497</v>
          </cell>
          <cell r="B696">
            <v>1497</v>
          </cell>
          <cell r="C696" t="str">
            <v>A</v>
          </cell>
          <cell r="D696" t="str">
            <v>Rowayah Abdulla Alkindi</v>
          </cell>
          <cell r="E696" t="str">
            <v>رويه عبدالله الكندي</v>
          </cell>
          <cell r="F696">
            <v>43737</v>
          </cell>
          <cell r="G696" t="str">
            <v>50003704</v>
          </cell>
          <cell r="H696" t="str">
            <v>Children’s Library Programmes Senior Specialist</v>
          </cell>
          <cell r="I696" t="str">
            <v>أخصائي أول برامج مكتبة الأطفال</v>
          </cell>
          <cell r="J696" t="str">
            <v>On-Chart</v>
          </cell>
          <cell r="K696" t="str">
            <v>DCT Payroll</v>
          </cell>
          <cell r="L696" t="str">
            <v>A1</v>
          </cell>
          <cell r="M696" t="str">
            <v>Department of Culture and Tourism</v>
          </cell>
          <cell r="N696" t="str">
            <v>Culture</v>
          </cell>
          <cell r="O696" t="str">
            <v>الثقافة</v>
          </cell>
          <cell r="P696" t="str">
            <v>Culture Sites Management</v>
          </cell>
          <cell r="Q696" t="str">
            <v>إدارة المواقع الثقافية</v>
          </cell>
          <cell r="R696" t="str">
            <v>Cultural Foundation</v>
          </cell>
          <cell r="S696" t="str">
            <v>المجمع الثقافي</v>
          </cell>
          <cell r="T696" t="str">
            <v/>
          </cell>
          <cell r="U696" t="str">
            <v/>
          </cell>
          <cell r="V696" t="str">
            <v>Abu Dhabi</v>
          </cell>
          <cell r="W696" t="str">
            <v/>
          </cell>
          <cell r="X696" t="str">
            <v>4511250</v>
          </cell>
          <cell r="Y696" t="str">
            <v/>
          </cell>
          <cell r="Z696" t="str">
            <v>Senior Professional</v>
          </cell>
          <cell r="AA696" t="str">
            <v>3C</v>
          </cell>
        </row>
        <row r="697">
          <cell r="A697">
            <v>1499</v>
          </cell>
          <cell r="B697">
            <v>1499</v>
          </cell>
          <cell r="C697" t="str">
            <v>A</v>
          </cell>
          <cell r="D697" t="str">
            <v>Alyazia Hamad AlKetbi</v>
          </cell>
          <cell r="E697" t="str">
            <v>اليازية حمد الكتبي</v>
          </cell>
          <cell r="F697">
            <v>43737</v>
          </cell>
          <cell r="G697" t="str">
            <v>10011384</v>
          </cell>
          <cell r="H697" t="str">
            <v>Visitor Experience Coordinator</v>
          </cell>
          <cell r="I697" t="str">
            <v>منسق تجربة الزوار</v>
          </cell>
          <cell r="J697" t="str">
            <v>On-Chart</v>
          </cell>
          <cell r="K697" t="str">
            <v>DCT Payroll</v>
          </cell>
          <cell r="L697" t="str">
            <v>A1</v>
          </cell>
          <cell r="M697" t="str">
            <v>Department of Culture and Tourism</v>
          </cell>
          <cell r="N697" t="str">
            <v>Culture</v>
          </cell>
          <cell r="O697" t="str">
            <v>الثقافة</v>
          </cell>
          <cell r="P697" t="str">
            <v>Culture Sites Management</v>
          </cell>
          <cell r="Q697" t="str">
            <v>إدارة المواقع الثقافية</v>
          </cell>
          <cell r="R697" t="str">
            <v>Al Ain Community Centers</v>
          </cell>
          <cell r="S697" t="str">
            <v>مراكز العين المجتمعية</v>
          </cell>
          <cell r="T697" t="str">
            <v>Al Qattara Arts Centre</v>
          </cell>
          <cell r="U697" t="str">
            <v>مركز القطارة للفنون</v>
          </cell>
          <cell r="V697" t="str">
            <v>Abu Dhabi</v>
          </cell>
          <cell r="W697" t="str">
            <v/>
          </cell>
          <cell r="X697" t="str">
            <v>4511250</v>
          </cell>
          <cell r="Y697" t="str">
            <v>Compliance,Governance&amp;Protocol_Policy (Culture/Tourism) _Professional</v>
          </cell>
          <cell r="Z697" t="str">
            <v>Professional Assistant</v>
          </cell>
          <cell r="AA697" t="str">
            <v>6A</v>
          </cell>
        </row>
        <row r="698">
          <cell r="A698">
            <v>1500</v>
          </cell>
          <cell r="B698">
            <v>1500</v>
          </cell>
          <cell r="C698" t="str">
            <v>A</v>
          </cell>
          <cell r="D698" t="str">
            <v>Deema Matar Alshamsi</v>
          </cell>
          <cell r="E698" t="str">
            <v>ديمة مطر الشامسي</v>
          </cell>
          <cell r="F698">
            <v>43737</v>
          </cell>
          <cell r="G698" t="str">
            <v>50004080</v>
          </cell>
          <cell r="H698" t="str">
            <v>Community Engagement Unit Head</v>
          </cell>
          <cell r="I698" t="str">
            <v>رئيس وحدة المشاركة المجتمعية</v>
          </cell>
          <cell r="J698" t="str">
            <v>On-Chart</v>
          </cell>
          <cell r="K698" t="str">
            <v>DCT Payroll</v>
          </cell>
          <cell r="L698" t="str">
            <v>A1</v>
          </cell>
          <cell r="M698" t="str">
            <v>Department of Culture and Tourism</v>
          </cell>
          <cell r="N698" t="str">
            <v>Culture</v>
          </cell>
          <cell r="O698" t="str">
            <v>الثقافة</v>
          </cell>
          <cell r="P698" t="str">
            <v>Culture Festivals &amp; Platforms</v>
          </cell>
          <cell r="Q698" t="str">
            <v>المهرجانات والمنصات الثقافية</v>
          </cell>
          <cell r="R698" t="str">
            <v>Programmes Development</v>
          </cell>
          <cell r="S698" t="str">
            <v>تطوير البرامج</v>
          </cell>
          <cell r="T698" t="str">
            <v>Community Engagement Unit</v>
          </cell>
          <cell r="U698" t="str">
            <v/>
          </cell>
          <cell r="V698" t="str">
            <v>Abu Dhabi</v>
          </cell>
          <cell r="W698" t="str">
            <v/>
          </cell>
          <cell r="X698" t="str">
            <v>4511750</v>
          </cell>
          <cell r="Y698" t="str">
            <v>Compliance,Governance&amp;Protocol_Policy  (Culture &amp; Tourism)_Unit Head</v>
          </cell>
          <cell r="Z698" t="str">
            <v>Unit Head</v>
          </cell>
          <cell r="AA698" t="str">
            <v>3A</v>
          </cell>
        </row>
        <row r="699">
          <cell r="A699">
            <v>1502</v>
          </cell>
          <cell r="B699">
            <v>1502</v>
          </cell>
          <cell r="C699" t="str">
            <v>A</v>
          </cell>
          <cell r="D699" t="str">
            <v>Rashid Khalfan Al Falahi</v>
          </cell>
          <cell r="E699" t="str">
            <v>راشد خلفان الفلاحي</v>
          </cell>
          <cell r="F699">
            <v>43744</v>
          </cell>
          <cell r="G699" t="str">
            <v>10008758</v>
          </cell>
          <cell r="H699" t="str">
            <v>Performance Management Senior Specialist</v>
          </cell>
          <cell r="I699" t="str">
            <v>أخصائي أول إدارة الأداء</v>
          </cell>
          <cell r="J699" t="str">
            <v>On-Chart</v>
          </cell>
          <cell r="K699" t="str">
            <v>DCT Payroll</v>
          </cell>
          <cell r="L699" t="str">
            <v>A1</v>
          </cell>
          <cell r="M699" t="str">
            <v>Department of Culture and Tourism</v>
          </cell>
          <cell r="N699" t="str">
            <v>Tourism</v>
          </cell>
          <cell r="O699" t="str">
            <v>السياحة</v>
          </cell>
          <cell r="P699" t="str">
            <v>Tourism Sector Management Office</v>
          </cell>
          <cell r="Q699" t="str">
            <v>مكتب إدارة شؤون قطاع السياحة</v>
          </cell>
          <cell r="R699" t="str">
            <v>Tourism PMO Section</v>
          </cell>
          <cell r="S699" t="str">
            <v>قسم  مكتب إدارة مشاريع السياحة</v>
          </cell>
          <cell r="T699" t="str">
            <v>Performance Management Unit</v>
          </cell>
          <cell r="U699" t="str">
            <v>وحدة إدارة الأداء</v>
          </cell>
          <cell r="V699" t="str">
            <v>Abu Dhabi</v>
          </cell>
          <cell r="W699" t="str">
            <v/>
          </cell>
          <cell r="X699" t="str">
            <v>4515010</v>
          </cell>
          <cell r="Y699" t="str">
            <v>Compliance,Governance&amp;Protocol_Policy (Culture/Tourism _Senior Professional</v>
          </cell>
          <cell r="Z699" t="str">
            <v>Senior Professional</v>
          </cell>
          <cell r="AA699" t="str">
            <v>3A</v>
          </cell>
        </row>
        <row r="700">
          <cell r="A700">
            <v>1503</v>
          </cell>
          <cell r="B700">
            <v>1503</v>
          </cell>
          <cell r="C700" t="str">
            <v>A</v>
          </cell>
          <cell r="D700" t="str">
            <v>Jin Hui Serillo</v>
          </cell>
          <cell r="E700" t="str">
            <v>جين هو  سيريلو</v>
          </cell>
          <cell r="F700">
            <v>43744</v>
          </cell>
          <cell r="G700" t="str">
            <v>10009161</v>
          </cell>
          <cell r="H700" t="str">
            <v>Berklee Abu Dhabi Unit Head</v>
          </cell>
          <cell r="I700" t="str">
            <v>رئيس وحدة بركلي أبوظبي</v>
          </cell>
          <cell r="J700" t="str">
            <v>On-Chart</v>
          </cell>
          <cell r="K700" t="str">
            <v>DCT Payroll</v>
          </cell>
          <cell r="L700" t="str">
            <v>A1</v>
          </cell>
          <cell r="M700" t="str">
            <v>Department of Culture and Tourism</v>
          </cell>
          <cell r="N700" t="str">
            <v>Culture</v>
          </cell>
          <cell r="O700" t="str">
            <v>الثقافة</v>
          </cell>
          <cell r="P700" t="str">
            <v>Culture Sites Management</v>
          </cell>
          <cell r="Q700" t="str">
            <v>إدارة المواقع الثقافية</v>
          </cell>
          <cell r="R700" t="str">
            <v>Abu Dhabi Culture Sites</v>
          </cell>
          <cell r="S700" t="str">
            <v>مواقع أبوظبي الثقافية</v>
          </cell>
          <cell r="T700" t="str">
            <v>Berklee Abu Dhabi</v>
          </cell>
          <cell r="U700" t="str">
            <v>بيركلي أبوظبي</v>
          </cell>
          <cell r="V700" t="str">
            <v>Abu Dhabi</v>
          </cell>
          <cell r="W700" t="str">
            <v/>
          </cell>
          <cell r="X700" t="str">
            <v>4511250</v>
          </cell>
          <cell r="Y700" t="str">
            <v>Compliance,Governance&amp;Protocol_Policy  (Culture &amp; Tourism)_Unit Head</v>
          </cell>
          <cell r="Z700" t="str">
            <v>Unit Head</v>
          </cell>
          <cell r="AA700" t="str">
            <v>3A</v>
          </cell>
        </row>
        <row r="701">
          <cell r="A701">
            <v>1505</v>
          </cell>
          <cell r="B701">
            <v>1505</v>
          </cell>
          <cell r="C701" t="str">
            <v>A</v>
          </cell>
          <cell r="D701" t="str">
            <v>Hasabo Mohamed</v>
          </cell>
          <cell r="E701" t="str">
            <v>حسبو  محمد</v>
          </cell>
          <cell r="F701">
            <v>43765</v>
          </cell>
          <cell r="G701" t="str">
            <v>10011221</v>
          </cell>
          <cell r="H701" t="str">
            <v>Projects Manager</v>
          </cell>
          <cell r="I701" t="str">
            <v>مدير مشاريع</v>
          </cell>
          <cell r="J701" t="str">
            <v>On-Chart</v>
          </cell>
          <cell r="K701" t="str">
            <v>DCT Payroll</v>
          </cell>
          <cell r="L701" t="str">
            <v>A1</v>
          </cell>
          <cell r="M701" t="str">
            <v>Department of Culture and Tourism</v>
          </cell>
          <cell r="N701" t="str">
            <v>Project Management &amp; Engineering</v>
          </cell>
          <cell r="O701" t="str">
            <v>مكتب وكيل الدائرة</v>
          </cell>
          <cell r="P701" t="str">
            <v>Project Management &amp; Engineering</v>
          </cell>
          <cell r="Q701" t="str">
            <v>هندسة وإدارة المشاريع</v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>Al Ain</v>
          </cell>
          <cell r="W701" t="str">
            <v/>
          </cell>
          <cell r="X701" t="str">
            <v>4510150</v>
          </cell>
          <cell r="Y701" t="str">
            <v>Technical Safety &amp; Security_Engineering Project Management  _Unit Head</v>
          </cell>
          <cell r="Z701" t="str">
            <v>Unit Head</v>
          </cell>
          <cell r="AA701" t="str">
            <v>3A</v>
          </cell>
        </row>
        <row r="702">
          <cell r="A702">
            <v>1512</v>
          </cell>
          <cell r="B702">
            <v>1512</v>
          </cell>
          <cell r="C702" t="str">
            <v>A</v>
          </cell>
          <cell r="D702" t="str">
            <v>Hamdan Mohamed AlQahtani</v>
          </cell>
          <cell r="E702" t="str">
            <v>حمدان محمد القحطاني</v>
          </cell>
          <cell r="F702">
            <v>43772</v>
          </cell>
          <cell r="G702" t="str">
            <v>10009184</v>
          </cell>
          <cell r="H702" t="str">
            <v>Leasing &amp; Tenants Management Unit Head</v>
          </cell>
          <cell r="I702" t="str">
            <v>رئيس وحدة إدارة التأجير والمستأجرين</v>
          </cell>
          <cell r="J702" t="str">
            <v>On-Chart</v>
          </cell>
          <cell r="K702" t="str">
            <v>DCT Payroll</v>
          </cell>
          <cell r="L702" t="str">
            <v>A1</v>
          </cell>
          <cell r="M702" t="str">
            <v>Department of Culture and Tourism</v>
          </cell>
          <cell r="N702" t="str">
            <v>Culture</v>
          </cell>
          <cell r="O702" t="str">
            <v>الثقافة</v>
          </cell>
          <cell r="P702" t="str">
            <v>Culture Sites Management</v>
          </cell>
          <cell r="Q702" t="str">
            <v>إدارة المواقع الثقافية</v>
          </cell>
          <cell r="R702" t="str">
            <v>Commercial Development</v>
          </cell>
          <cell r="S702" t="str">
            <v>التطوير التجاري</v>
          </cell>
          <cell r="T702" t="str">
            <v>Leasing &amp; Tenants Management</v>
          </cell>
          <cell r="U702" t="str">
            <v>إدارة التأجير والمستأجرين</v>
          </cell>
          <cell r="V702" t="str">
            <v>Abu Dhabi</v>
          </cell>
          <cell r="W702" t="str">
            <v/>
          </cell>
          <cell r="X702" t="str">
            <v>4511250</v>
          </cell>
          <cell r="Y702" t="str">
            <v>Compliance,Governance&amp;Protocol_Policy  (Culture &amp; Tourism)_Unit Head</v>
          </cell>
          <cell r="Z702" t="str">
            <v>Unit Head</v>
          </cell>
          <cell r="AA702" t="str">
            <v>3A</v>
          </cell>
        </row>
        <row r="703">
          <cell r="A703">
            <v>1514</v>
          </cell>
          <cell r="B703">
            <v>1514</v>
          </cell>
          <cell r="C703" t="str">
            <v>A</v>
          </cell>
          <cell r="D703" t="str">
            <v>Alyazyah Abdulaziz Alshamsi</v>
          </cell>
          <cell r="E703" t="str">
            <v>اليازيه عبدالعزيز الشامسي</v>
          </cell>
          <cell r="F703">
            <v>43779</v>
          </cell>
          <cell r="G703" t="str">
            <v>50002680</v>
          </cell>
          <cell r="H703" t="str">
            <v>Culture Marketing Unit Head</v>
          </cell>
          <cell r="I703" t="str">
            <v>رئيس وحدة التسويق الثقافي</v>
          </cell>
          <cell r="J703" t="str">
            <v>On-Chart</v>
          </cell>
          <cell r="K703" t="str">
            <v>DCT Payroll</v>
          </cell>
          <cell r="L703" t="str">
            <v>A1</v>
          </cell>
          <cell r="M703" t="str">
            <v>Department of Culture and Tourism</v>
          </cell>
          <cell r="N703" t="str">
            <v>Strategic Marketing &amp; Communication</v>
          </cell>
          <cell r="O703" t="str">
            <v>التسويق والاتصال الاستراتيجي</v>
          </cell>
          <cell r="P703" t="str">
            <v>Sector Marketing</v>
          </cell>
          <cell r="Q703" t="str">
            <v>التسويق الخاص بالقطاعات</v>
          </cell>
          <cell r="R703" t="str">
            <v>Culture Marketing</v>
          </cell>
          <cell r="S703" t="str">
            <v>التسويق الثقافي</v>
          </cell>
          <cell r="T703" t="str">
            <v>Culture Marketing</v>
          </cell>
          <cell r="U703" t="str">
            <v>التسويق الثقافي</v>
          </cell>
          <cell r="V703" t="str">
            <v>Abu Dhabi</v>
          </cell>
          <cell r="W703" t="str">
            <v/>
          </cell>
          <cell r="X703" t="str">
            <v>4513140</v>
          </cell>
          <cell r="Y703" t="str">
            <v>Comms &amp; Marketing _Marketing &amp; Communications _Unit Head</v>
          </cell>
          <cell r="Z703" t="str">
            <v>Unit Head</v>
          </cell>
          <cell r="AA703" t="str">
            <v>3A</v>
          </cell>
        </row>
        <row r="704">
          <cell r="A704">
            <v>1515</v>
          </cell>
          <cell r="B704">
            <v>1515</v>
          </cell>
          <cell r="C704" t="str">
            <v>A</v>
          </cell>
          <cell r="D704" t="str">
            <v>Eleonora Bosetto</v>
          </cell>
          <cell r="E704" t="str">
            <v>ايليونورا  بوسيتو</v>
          </cell>
          <cell r="F704">
            <v>43779</v>
          </cell>
          <cell r="G704" t="str">
            <v>10008921</v>
          </cell>
          <cell r="H704" t="str">
            <v>Collections Section Head</v>
          </cell>
          <cell r="I704" t="str">
            <v>رئيس قسم المقتنيات</v>
          </cell>
          <cell r="J704" t="str">
            <v>On-Chart</v>
          </cell>
          <cell r="K704" t="str">
            <v>DCT Payroll</v>
          </cell>
          <cell r="L704" t="str">
            <v>A1</v>
          </cell>
          <cell r="M704" t="str">
            <v>Department of Culture and Tourism</v>
          </cell>
          <cell r="N704" t="str">
            <v>Culture</v>
          </cell>
          <cell r="O704" t="str">
            <v>الثقافة</v>
          </cell>
          <cell r="P704" t="str">
            <v>Scientific, Curatorial and Collection Department</v>
          </cell>
          <cell r="Q704" t="str">
            <v>إدارة البحث العلمي والمقتنيات</v>
          </cell>
          <cell r="R704" t="str">
            <v>Collections</v>
          </cell>
          <cell r="S704" t="str">
            <v>إدارة المقتنيات</v>
          </cell>
          <cell r="T704" t="str">
            <v/>
          </cell>
          <cell r="U704" t="str">
            <v/>
          </cell>
          <cell r="V704" t="str">
            <v>Abu Dhabi</v>
          </cell>
          <cell r="W704" t="str">
            <v/>
          </cell>
          <cell r="X704" t="str">
            <v>4511150</v>
          </cell>
          <cell r="Y704" t="str">
            <v>Content &amp; Care_ Conservation  Management (Collections) _Section Head</v>
          </cell>
          <cell r="Z704" t="str">
            <v>Section Manager</v>
          </cell>
          <cell r="AA704" t="str">
            <v>2A</v>
          </cell>
        </row>
        <row r="705">
          <cell r="A705">
            <v>1516</v>
          </cell>
          <cell r="B705">
            <v>1516</v>
          </cell>
          <cell r="C705" t="str">
            <v>A</v>
          </cell>
          <cell r="D705" t="str">
            <v>Salem Hamad Al Ameri</v>
          </cell>
          <cell r="E705" t="str">
            <v>سالم حمد العامري</v>
          </cell>
          <cell r="F705">
            <v>43779</v>
          </cell>
          <cell r="G705" t="str">
            <v>10011639</v>
          </cell>
          <cell r="H705" t="str">
            <v>Storekeeper - Al Ain</v>
          </cell>
          <cell r="I705" t="str">
            <v>امين مخزن - العين</v>
          </cell>
          <cell r="J705" t="str">
            <v>On-Chart</v>
          </cell>
          <cell r="K705" t="str">
            <v>DCT Payroll</v>
          </cell>
          <cell r="L705" t="str">
            <v>A1</v>
          </cell>
          <cell r="M705" t="str">
            <v>Department of Culture and Tourism</v>
          </cell>
          <cell r="N705" t="str">
            <v>Support Services</v>
          </cell>
          <cell r="O705" t="str">
            <v>الخدمات المساندة</v>
          </cell>
          <cell r="P705" t="str">
            <v>Supply Management</v>
          </cell>
          <cell r="Q705" t="str">
            <v>إدارة الإمداد</v>
          </cell>
          <cell r="R705" t="str">
            <v>Facilities Management</v>
          </cell>
          <cell r="S705" t="str">
            <v>إدارة المرافق</v>
          </cell>
          <cell r="T705" t="str">
            <v>Stores &amp; Inventory</v>
          </cell>
          <cell r="U705" t="str">
            <v>المخازن والمخزون</v>
          </cell>
          <cell r="V705" t="str">
            <v>Abu Dhabi</v>
          </cell>
          <cell r="W705" t="str">
            <v/>
          </cell>
          <cell r="X705" t="str">
            <v>4510240</v>
          </cell>
          <cell r="Y705" t="str">
            <v>Procurement_Procurement General_Professional</v>
          </cell>
          <cell r="Z705" t="str">
            <v>Professional</v>
          </cell>
          <cell r="AA705" t="str">
            <v>6A</v>
          </cell>
        </row>
        <row r="706">
          <cell r="A706">
            <v>1517</v>
          </cell>
          <cell r="B706">
            <v>1517</v>
          </cell>
          <cell r="C706" t="str">
            <v>A</v>
          </cell>
          <cell r="D706" t="str">
            <v>Noor Alhaj AlMehairbi</v>
          </cell>
          <cell r="E706" t="str">
            <v>نور الحاج المحيربي</v>
          </cell>
          <cell r="F706">
            <v>43779</v>
          </cell>
          <cell r="G706" t="str">
            <v>10011446</v>
          </cell>
          <cell r="H706" t="str">
            <v>Assistant Curator</v>
          </cell>
          <cell r="I706" t="str">
            <v>مساعد أمين متحف</v>
          </cell>
          <cell r="J706" t="str">
            <v>On-Chart</v>
          </cell>
          <cell r="K706" t="str">
            <v>DCT Payroll</v>
          </cell>
          <cell r="L706" t="str">
            <v>A1</v>
          </cell>
          <cell r="M706" t="str">
            <v>Department of Culture and Tourism</v>
          </cell>
          <cell r="N706" t="str">
            <v>Culture</v>
          </cell>
          <cell r="O706" t="str">
            <v>الثقافة</v>
          </cell>
          <cell r="P706" t="str">
            <v>Culture Sites Management</v>
          </cell>
          <cell r="Q706" t="str">
            <v>إدارة المواقع الثقافية</v>
          </cell>
          <cell r="R706" t="str">
            <v>Cultural Foundation</v>
          </cell>
          <cell r="S706" t="str">
            <v>المجمع الثقافي</v>
          </cell>
          <cell r="T706" t="str">
            <v>Exhibitions</v>
          </cell>
          <cell r="U706" t="str">
            <v>المعارض</v>
          </cell>
          <cell r="V706" t="str">
            <v>Abu Dhabi</v>
          </cell>
          <cell r="W706" t="str">
            <v/>
          </cell>
          <cell r="X706" t="str">
            <v>4511250</v>
          </cell>
          <cell r="Y706" t="str">
            <v>Compliance,Governance&amp;Protocol_Policy (Culture/Tourism _Senior Professional</v>
          </cell>
          <cell r="Z706" t="str">
            <v>Professional</v>
          </cell>
          <cell r="AA706" t="str">
            <v>4A</v>
          </cell>
        </row>
        <row r="707">
          <cell r="A707">
            <v>1522</v>
          </cell>
          <cell r="B707">
            <v>1522</v>
          </cell>
          <cell r="C707" t="str">
            <v>A</v>
          </cell>
          <cell r="D707" t="str">
            <v>Fayeza Khamis Al Rayssi</v>
          </cell>
          <cell r="E707" t="str">
            <v>فايزة خميس الريسي</v>
          </cell>
          <cell r="F707">
            <v>43793</v>
          </cell>
          <cell r="G707" t="str">
            <v>10005016</v>
          </cell>
          <cell r="H707" t="str">
            <v>Children Services Specialist</v>
          </cell>
          <cell r="I707" t="str">
            <v>أخصائي خدمات الأطفال</v>
          </cell>
          <cell r="J707" t="str">
            <v>On-Chart</v>
          </cell>
          <cell r="K707" t="str">
            <v>DCT Payroll</v>
          </cell>
          <cell r="L707" t="str">
            <v>A1</v>
          </cell>
          <cell r="M707" t="str">
            <v>Department of Culture and Tourism</v>
          </cell>
          <cell r="N707" t="str">
            <v>Culture</v>
          </cell>
          <cell r="O707" t="str">
            <v>الثقافة</v>
          </cell>
          <cell r="P707" t="str">
            <v>Library Management</v>
          </cell>
          <cell r="Q707" t="str">
            <v>إدارة المكتبات</v>
          </cell>
          <cell r="R707" t="str">
            <v>Zayed Central Library - Al Ain</v>
          </cell>
          <cell r="S707" t="str">
            <v>مكتبة زايد المركزية - العين</v>
          </cell>
          <cell r="T707" t="str">
            <v>Children Services</v>
          </cell>
          <cell r="U707" t="str">
            <v>خدمات الأطفال</v>
          </cell>
          <cell r="V707" t="str">
            <v>Al Ain</v>
          </cell>
          <cell r="W707" t="str">
            <v/>
          </cell>
          <cell r="X707" t="str">
            <v>4516100</v>
          </cell>
          <cell r="Y707" t="str">
            <v>Interpretation &amp; Engagement_Library Service Delivery (Librarian)_Professional</v>
          </cell>
          <cell r="Z707" t="str">
            <v>Professional</v>
          </cell>
          <cell r="AA707" t="str">
            <v>4A</v>
          </cell>
        </row>
        <row r="708">
          <cell r="A708">
            <v>1523</v>
          </cell>
          <cell r="B708">
            <v>1523</v>
          </cell>
          <cell r="C708" t="str">
            <v>A</v>
          </cell>
          <cell r="D708" t="str">
            <v>Rahma Abdulla Al Ameri</v>
          </cell>
          <cell r="E708" t="str">
            <v>رحمة عبدالله العامري</v>
          </cell>
          <cell r="F708">
            <v>43807</v>
          </cell>
          <cell r="G708" t="str">
            <v>10011728</v>
          </cell>
          <cell r="H708" t="str">
            <v>References &amp; Library Education Specialist</v>
          </cell>
          <cell r="I708" t="str">
            <v>أخصائي المراجع والتعليم</v>
          </cell>
          <cell r="J708" t="str">
            <v>On-Chart</v>
          </cell>
          <cell r="K708" t="str">
            <v>DCT Payroll</v>
          </cell>
          <cell r="L708" t="str">
            <v>A1</v>
          </cell>
          <cell r="M708" t="str">
            <v>Department of Culture and Tourism</v>
          </cell>
          <cell r="N708" t="str">
            <v>Culture</v>
          </cell>
          <cell r="O708" t="str">
            <v>الثقافة</v>
          </cell>
          <cell r="P708" t="str">
            <v>Library Management</v>
          </cell>
          <cell r="Q708" t="str">
            <v>إدارة المكتبات</v>
          </cell>
          <cell r="R708" t="str">
            <v>Zayed Central Library - Al Ain</v>
          </cell>
          <cell r="S708" t="str">
            <v>مكتبة زايد المركزية - العين</v>
          </cell>
          <cell r="T708" t="str">
            <v>Reference &amp; Library Education</v>
          </cell>
          <cell r="U708" t="str">
            <v>المراجع والتعليم</v>
          </cell>
          <cell r="V708" t="str">
            <v>Al Ain</v>
          </cell>
          <cell r="W708" t="str">
            <v/>
          </cell>
          <cell r="X708" t="str">
            <v>4516100</v>
          </cell>
          <cell r="Y708" t="str">
            <v>Interpretation &amp; Engagement_Library Service Delivery (Librarian)_Professional</v>
          </cell>
          <cell r="Z708" t="str">
            <v>Professional</v>
          </cell>
          <cell r="AA708" t="str">
            <v>4A</v>
          </cell>
        </row>
        <row r="709">
          <cell r="A709">
            <v>1524</v>
          </cell>
          <cell r="B709">
            <v>1524</v>
          </cell>
          <cell r="C709" t="str">
            <v>A</v>
          </cell>
          <cell r="D709" t="str">
            <v>Afra Rashed Alktebi</v>
          </cell>
          <cell r="E709" t="str">
            <v>عفراء راشد الكتبي</v>
          </cell>
          <cell r="F709">
            <v>43807</v>
          </cell>
          <cell r="G709" t="str">
            <v>10011736</v>
          </cell>
          <cell r="H709" t="str">
            <v>Public Engagement Programmes Specialist</v>
          </cell>
          <cell r="I709" t="str">
            <v>أخصائي برامج المشاركة المجتمعية</v>
          </cell>
          <cell r="J709" t="str">
            <v>On-Chart</v>
          </cell>
          <cell r="K709" t="str">
            <v>DCT Payroll</v>
          </cell>
          <cell r="L709" t="str">
            <v>A1</v>
          </cell>
          <cell r="M709" t="str">
            <v>Department of Culture and Tourism</v>
          </cell>
          <cell r="N709" t="str">
            <v>Culture</v>
          </cell>
          <cell r="O709" t="str">
            <v>الثقافة</v>
          </cell>
          <cell r="P709" t="str">
            <v>Library Management</v>
          </cell>
          <cell r="Q709" t="str">
            <v>إدارة المكتبات</v>
          </cell>
          <cell r="R709" t="str">
            <v>Zayed Central Library - Al Ain</v>
          </cell>
          <cell r="S709" t="str">
            <v>مكتبة زايد المركزية - العين</v>
          </cell>
          <cell r="T709" t="str">
            <v>Public Engagement</v>
          </cell>
          <cell r="U709" t="str">
            <v>المشاركة المجتمعية</v>
          </cell>
          <cell r="V709" t="str">
            <v>Al Ain</v>
          </cell>
          <cell r="W709" t="str">
            <v/>
          </cell>
          <cell r="X709" t="str">
            <v>4516100</v>
          </cell>
          <cell r="Y709" t="str">
            <v>Interpretation &amp; Engagement_Library Service Delivery (Librarian)_Professional</v>
          </cell>
          <cell r="Z709" t="str">
            <v>Professional</v>
          </cell>
          <cell r="AA709" t="str">
            <v>4A</v>
          </cell>
        </row>
        <row r="710">
          <cell r="A710">
            <v>1527</v>
          </cell>
          <cell r="B710">
            <v>1527</v>
          </cell>
          <cell r="C710" t="str">
            <v>A</v>
          </cell>
          <cell r="D710" t="str">
            <v>Haitham Ali Khamis</v>
          </cell>
          <cell r="E710" t="str">
            <v>هيثم علي خميس</v>
          </cell>
          <cell r="F710">
            <v>43807</v>
          </cell>
          <cell r="G710" t="str">
            <v>10011349</v>
          </cell>
          <cell r="H710" t="str">
            <v>Aviation, Cruise, &amp; Global Partnerships Section Head</v>
          </cell>
          <cell r="I710" t="str">
            <v>رئيس قسم الطيران والرحلات البحرية والشراكات العالمية</v>
          </cell>
          <cell r="J710" t="str">
            <v>On-Chart</v>
          </cell>
          <cell r="K710" t="str">
            <v>DCT Payroll</v>
          </cell>
          <cell r="L710" t="str">
            <v>A1</v>
          </cell>
          <cell r="M710" t="str">
            <v>Department of Culture and Tourism</v>
          </cell>
          <cell r="N710" t="str">
            <v>Tourism</v>
          </cell>
          <cell r="O710" t="str">
            <v>السياحة</v>
          </cell>
          <cell r="P710" t="str">
            <v>Tourism Products Development</v>
          </cell>
          <cell r="Q710" t="str">
            <v>تطوير المنتجات السياحية</v>
          </cell>
          <cell r="R710" t="str">
            <v>Aviation, Cruise, &amp; Global Partnerships</v>
          </cell>
          <cell r="S710" t="str">
            <v>الطيران والرحلات البحرية والشراكات العالمية</v>
          </cell>
          <cell r="T710" t="str">
            <v/>
          </cell>
          <cell r="U710" t="str">
            <v/>
          </cell>
          <cell r="V710" t="str">
            <v>Abu Dhabi</v>
          </cell>
          <cell r="W710" t="str">
            <v/>
          </cell>
          <cell r="X710" t="str">
            <v>4515100</v>
          </cell>
          <cell r="Y710" t="str">
            <v>Design_Tourism Journey Design &amp; Development  (Tourism)_Section Head</v>
          </cell>
          <cell r="Z710" t="str">
            <v>Section Manager</v>
          </cell>
          <cell r="AA710" t="str">
            <v>2A</v>
          </cell>
        </row>
        <row r="711">
          <cell r="A711">
            <v>1529</v>
          </cell>
          <cell r="B711">
            <v>1529</v>
          </cell>
          <cell r="C711" t="str">
            <v>A</v>
          </cell>
          <cell r="D711" t="str">
            <v>Laila Ahmad Al Rais</v>
          </cell>
          <cell r="E711" t="str">
            <v>ليلى أحمد الريس</v>
          </cell>
          <cell r="F711">
            <v>43837</v>
          </cell>
          <cell r="G711" t="str">
            <v>10009017</v>
          </cell>
          <cell r="H711" t="str">
            <v>Design Manager</v>
          </cell>
          <cell r="I711" t="str">
            <v>مدير تصميم</v>
          </cell>
          <cell r="J711" t="str">
            <v>On-Chart</v>
          </cell>
          <cell r="K711" t="str">
            <v>DCT Payroll</v>
          </cell>
          <cell r="L711" t="str">
            <v>A1</v>
          </cell>
          <cell r="M711" t="str">
            <v>Department of Culture and Tourism</v>
          </cell>
          <cell r="N711" t="str">
            <v>Project Management &amp; Engineering</v>
          </cell>
          <cell r="O711" t="str">
            <v>مكتب وكيل الدائرة</v>
          </cell>
          <cell r="P711" t="str">
            <v>Project Management &amp; Engineering</v>
          </cell>
          <cell r="Q711" t="str">
            <v>هندسة وإدارة المشاريع</v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>Abu Dhabi</v>
          </cell>
          <cell r="W711" t="str">
            <v/>
          </cell>
          <cell r="X711" t="str">
            <v>4510150</v>
          </cell>
          <cell r="Y711" t="str">
            <v>Technical Safety &amp; Security_Engineering Project Management  _Unit Head</v>
          </cell>
          <cell r="Z711" t="str">
            <v>Unit Head</v>
          </cell>
          <cell r="AA711" t="str">
            <v>3A</v>
          </cell>
        </row>
        <row r="712">
          <cell r="A712">
            <v>1530</v>
          </cell>
          <cell r="B712">
            <v>1530</v>
          </cell>
          <cell r="C712" t="str">
            <v>A</v>
          </cell>
          <cell r="D712" t="str">
            <v>Mariam Abdulla Almatari</v>
          </cell>
          <cell r="E712" t="str">
            <v>مريم عبدالله المطري</v>
          </cell>
          <cell r="F712">
            <v>43814</v>
          </cell>
          <cell r="G712" t="str">
            <v>50002396</v>
          </cell>
          <cell r="H712" t="str">
            <v>Senior Inspector</v>
          </cell>
          <cell r="I712" t="str">
            <v>مفتش أول</v>
          </cell>
          <cell r="J712" t="str">
            <v>On-Chart</v>
          </cell>
          <cell r="K712" t="str">
            <v>DCT Payroll</v>
          </cell>
          <cell r="L712" t="str">
            <v>A1</v>
          </cell>
          <cell r="M712" t="str">
            <v>Department of Culture and Tourism</v>
          </cell>
          <cell r="N712" t="str">
            <v>Tourism</v>
          </cell>
          <cell r="O712" t="str">
            <v>السياحة</v>
          </cell>
          <cell r="P712" t="str">
            <v>Licensing &amp; Regulatory Compliance</v>
          </cell>
          <cell r="Q712" t="str">
            <v>الرقابة والترخيص</v>
          </cell>
          <cell r="R712" t="str">
            <v>Abu Dhabi Inspection</v>
          </cell>
          <cell r="S712" t="str">
            <v>التفتيش</v>
          </cell>
          <cell r="T712" t="str">
            <v>Abu Dhabi Inspection (Night Events)</v>
          </cell>
          <cell r="U712" t="str">
            <v>( التفتيش لأبوظبي (الفعاليات الليلية</v>
          </cell>
          <cell r="V712" t="str">
            <v>Abu Dhabi</v>
          </cell>
          <cell r="W712" t="str">
            <v/>
          </cell>
          <cell r="X712" t="str">
            <v>4510170</v>
          </cell>
          <cell r="Y712" t="str">
            <v>Compliance,Governance&amp;Protocol_Licensing &amp; Regulatory Compliance _Senior Professional</v>
          </cell>
          <cell r="Z712" t="str">
            <v>Senior Professional</v>
          </cell>
          <cell r="AA712" t="str">
            <v>3A</v>
          </cell>
        </row>
        <row r="713">
          <cell r="A713">
            <v>1531</v>
          </cell>
          <cell r="B713">
            <v>1531</v>
          </cell>
          <cell r="C713" t="str">
            <v>A</v>
          </cell>
          <cell r="D713" t="str">
            <v>Abdulaziz Naser Almansoori</v>
          </cell>
          <cell r="E713" t="str">
            <v>عبدالعزيز ناصر المنصوري</v>
          </cell>
          <cell r="F713">
            <v>43814</v>
          </cell>
          <cell r="G713" t="str">
            <v>50002659</v>
          </cell>
          <cell r="H713" t="str">
            <v>Visitor Services Senior Specialist</v>
          </cell>
          <cell r="I713" t="str">
            <v>أخصائي أول خدمات الزوار</v>
          </cell>
          <cell r="J713" t="str">
            <v>On-Chart</v>
          </cell>
          <cell r="K713" t="str">
            <v>DCT Payroll</v>
          </cell>
          <cell r="L713" t="str">
            <v>A1</v>
          </cell>
          <cell r="M713" t="str">
            <v>Department of Culture and Tourism</v>
          </cell>
          <cell r="N713" t="str">
            <v>Culture</v>
          </cell>
          <cell r="O713" t="str">
            <v>الثقافة</v>
          </cell>
          <cell r="P713" t="str">
            <v>Culture Sites Management</v>
          </cell>
          <cell r="Q713" t="str">
            <v>إدارة المواقع الثقافية</v>
          </cell>
          <cell r="R713" t="str">
            <v>Abu Dhabi Culture Sites</v>
          </cell>
          <cell r="S713" t="str">
            <v>مواقع أبوظبي الثقافية</v>
          </cell>
          <cell r="T713" t="str">
            <v>Al Maqtaa Museum</v>
          </cell>
          <cell r="U713" t="str">
            <v>متحف المقطع</v>
          </cell>
          <cell r="V713" t="str">
            <v>Abu Dhabi</v>
          </cell>
          <cell r="W713" t="str">
            <v/>
          </cell>
          <cell r="X713" t="str">
            <v>4511250</v>
          </cell>
          <cell r="Y713" t="str">
            <v>Compliance,Governance&amp;Protocol_Policy (Culture/Tourism _Senior Professional</v>
          </cell>
          <cell r="Z713" t="str">
            <v>Senior Professional</v>
          </cell>
          <cell r="AA713" t="str">
            <v>3C</v>
          </cell>
        </row>
        <row r="714">
          <cell r="A714">
            <v>1532</v>
          </cell>
          <cell r="B714">
            <v>1532</v>
          </cell>
          <cell r="C714" t="str">
            <v>A</v>
          </cell>
          <cell r="D714" t="str">
            <v>Aysha Mohammed Al Kaabi</v>
          </cell>
          <cell r="E714" t="str">
            <v>عائشة محمد الكعبي</v>
          </cell>
          <cell r="F714">
            <v>43814</v>
          </cell>
          <cell r="G714" t="str">
            <v>10011666</v>
          </cell>
          <cell r="H714" t="str">
            <v>References &amp; Library Education Specialist</v>
          </cell>
          <cell r="I714" t="str">
            <v>أخصائي المراجع والتعليم</v>
          </cell>
          <cell r="J714" t="str">
            <v>On-Chart</v>
          </cell>
          <cell r="K714" t="str">
            <v>DCT Payroll</v>
          </cell>
          <cell r="L714" t="str">
            <v>A1</v>
          </cell>
          <cell r="M714" t="str">
            <v>Department of Culture and Tourism</v>
          </cell>
          <cell r="N714" t="str">
            <v>Culture</v>
          </cell>
          <cell r="O714" t="str">
            <v>الثقافة</v>
          </cell>
          <cell r="P714" t="str">
            <v>Library Management</v>
          </cell>
          <cell r="Q714" t="str">
            <v>إدارة المكتبات</v>
          </cell>
          <cell r="R714" t="str">
            <v>Zayed Central Library - Al Ain</v>
          </cell>
          <cell r="S714" t="str">
            <v>مكتبة زايد المركزية - العين</v>
          </cell>
          <cell r="T714" t="str">
            <v>Reference &amp; Library Education</v>
          </cell>
          <cell r="U714" t="str">
            <v>المراجع والتعليم</v>
          </cell>
          <cell r="V714" t="str">
            <v>Al Ain</v>
          </cell>
          <cell r="W714" t="str">
            <v/>
          </cell>
          <cell r="X714" t="str">
            <v>4516100</v>
          </cell>
          <cell r="Y714" t="str">
            <v>Interpretation &amp; Engagement_Library Service Delivery (Librarian)_Professional</v>
          </cell>
          <cell r="Z714" t="str">
            <v>Professional</v>
          </cell>
          <cell r="AA714" t="str">
            <v>4A</v>
          </cell>
        </row>
        <row r="715">
          <cell r="A715">
            <v>1534</v>
          </cell>
          <cell r="B715">
            <v>1534</v>
          </cell>
          <cell r="C715" t="str">
            <v>A</v>
          </cell>
          <cell r="D715" t="str">
            <v>Maryam Mohammed Almuraikhy</v>
          </cell>
          <cell r="E715" t="str">
            <v>مريم محمد المريخي</v>
          </cell>
          <cell r="F715">
            <v>43816</v>
          </cell>
          <cell r="G715" t="str">
            <v>50003990</v>
          </cell>
          <cell r="H715" t="str">
            <v>Events Licensing Executive</v>
          </cell>
          <cell r="I715" t="str">
            <v/>
          </cell>
          <cell r="J715" t="str">
            <v>On-Chart</v>
          </cell>
          <cell r="K715" t="str">
            <v>DCT Payroll</v>
          </cell>
          <cell r="L715" t="str">
            <v>A1</v>
          </cell>
          <cell r="M715" t="str">
            <v>Department of Culture and Tourism</v>
          </cell>
          <cell r="N715" t="str">
            <v>Tourism</v>
          </cell>
          <cell r="O715" t="str">
            <v>السياحة</v>
          </cell>
          <cell r="P715" t="str">
            <v>Licensing &amp; Regulatory Compliance</v>
          </cell>
          <cell r="Q715" t="str">
            <v>الرقابة والترخيص</v>
          </cell>
          <cell r="R715" t="str">
            <v>Licensing</v>
          </cell>
          <cell r="S715" t="str">
            <v>الترخيص</v>
          </cell>
          <cell r="T715" t="str">
            <v>Events Licensing</v>
          </cell>
          <cell r="U715" t="str">
            <v>ترخيص الفعاليات</v>
          </cell>
          <cell r="V715" t="str">
            <v>Abu Dhabi</v>
          </cell>
          <cell r="W715" t="str">
            <v/>
          </cell>
          <cell r="X715" t="str">
            <v>4510170</v>
          </cell>
          <cell r="Y715" t="str">
            <v>Compliance,Governance&amp;Protocol_Compensation &amp; Policy (P&amp;P)_Professional</v>
          </cell>
          <cell r="Z715" t="str">
            <v>Professional</v>
          </cell>
          <cell r="AA715" t="str">
            <v>4C</v>
          </cell>
        </row>
        <row r="716">
          <cell r="A716">
            <v>1535</v>
          </cell>
          <cell r="B716">
            <v>1535</v>
          </cell>
          <cell r="C716" t="str">
            <v>A</v>
          </cell>
          <cell r="D716" t="str">
            <v>Mariam Rashed Alhameli</v>
          </cell>
          <cell r="E716" t="str">
            <v>مريم راشد الهاملي</v>
          </cell>
          <cell r="F716">
            <v>43816</v>
          </cell>
          <cell r="G716" t="str">
            <v>10010331</v>
          </cell>
          <cell r="H716" t="str">
            <v>Library Services Delivery Officer</v>
          </cell>
          <cell r="I716" t="str">
            <v>ضابط تقديم الخدمات المكتبية</v>
          </cell>
          <cell r="J716" t="str">
            <v>On-Chart</v>
          </cell>
          <cell r="K716" t="str">
            <v>ALC Direct Hires</v>
          </cell>
          <cell r="L716" t="str">
            <v>AL1</v>
          </cell>
          <cell r="M716" t="str">
            <v>Abu Dhabi Arabic Language Centre</v>
          </cell>
          <cell r="N716" t="str">
            <v>Abu Dhabi Arabic Language Centre</v>
          </cell>
          <cell r="O716" t="str">
            <v>مركز أبوظبي للغة العربية</v>
          </cell>
          <cell r="P716" t="str">
            <v>Specialized Library</v>
          </cell>
          <cell r="Q716" t="str">
            <v>المكتبات المتخصصة</v>
          </cell>
          <cell r="R716" t="str">
            <v>Library Services - ALC</v>
          </cell>
          <cell r="S716" t="str">
            <v>الخدمات المكتبية</v>
          </cell>
          <cell r="T716" t="str">
            <v>Library Services Delivery</v>
          </cell>
          <cell r="U716" t="str">
            <v>تقديم الخدمات المكتبية</v>
          </cell>
          <cell r="V716" t="str">
            <v>Abu Dhabi</v>
          </cell>
          <cell r="W716" t="str">
            <v/>
          </cell>
          <cell r="X716" t="str">
            <v>4519202</v>
          </cell>
          <cell r="Y716" t="str">
            <v>Operations_Library Operational  Management _Professional Assistant</v>
          </cell>
          <cell r="Z716" t="str">
            <v>Professional</v>
          </cell>
          <cell r="AA716" t="str">
            <v>4A</v>
          </cell>
        </row>
        <row r="717">
          <cell r="A717">
            <v>1536</v>
          </cell>
          <cell r="B717">
            <v>1536</v>
          </cell>
          <cell r="C717" t="str">
            <v>A</v>
          </cell>
          <cell r="D717" t="str">
            <v>Salama Saeed Alromaithi</v>
          </cell>
          <cell r="E717" t="str">
            <v>سلامه سعيد الرميثي</v>
          </cell>
          <cell r="F717">
            <v>43816</v>
          </cell>
          <cell r="G717" t="str">
            <v>10011664</v>
          </cell>
          <cell r="H717" t="str">
            <v>Programmes Assistant</v>
          </cell>
          <cell r="I717" t="str">
            <v>مساعد برامج</v>
          </cell>
          <cell r="J717" t="str">
            <v>On-Chart</v>
          </cell>
          <cell r="K717" t="str">
            <v>DCT Payroll</v>
          </cell>
          <cell r="L717" t="str">
            <v>A1</v>
          </cell>
          <cell r="M717" t="str">
            <v>Department of Culture and Tourism</v>
          </cell>
          <cell r="N717" t="str">
            <v>Culture</v>
          </cell>
          <cell r="O717" t="str">
            <v>الثقافة</v>
          </cell>
          <cell r="P717" t="str">
            <v>Library Management</v>
          </cell>
          <cell r="Q717" t="str">
            <v>إدارة المكتبات</v>
          </cell>
          <cell r="R717" t="str">
            <v>Branches Library</v>
          </cell>
          <cell r="S717" t="str">
            <v>فروع المكتبات</v>
          </cell>
          <cell r="T717" t="str">
            <v>Programming</v>
          </cell>
          <cell r="U717" t="str">
            <v>برامج المكتبات</v>
          </cell>
          <cell r="V717" t="str">
            <v>Abu Dhabi</v>
          </cell>
          <cell r="W717" t="str">
            <v/>
          </cell>
          <cell r="X717" t="str">
            <v>4516100</v>
          </cell>
          <cell r="Y717" t="str">
            <v>Operations_Library Operational  Management _Professional Assistant</v>
          </cell>
          <cell r="Z717" t="str">
            <v>Jr. Professional Assistant</v>
          </cell>
          <cell r="AA717" t="str">
            <v>6B</v>
          </cell>
        </row>
        <row r="718">
          <cell r="A718">
            <v>1537</v>
          </cell>
          <cell r="B718">
            <v>1537</v>
          </cell>
          <cell r="C718" t="str">
            <v>A</v>
          </cell>
          <cell r="D718" t="str">
            <v>Ayesha Mohsin Alsubaihi</v>
          </cell>
          <cell r="E718" t="str">
            <v>عائشة محسن الصبيحي</v>
          </cell>
          <cell r="F718">
            <v>43821</v>
          </cell>
          <cell r="G718" t="str">
            <v>10011647</v>
          </cell>
          <cell r="H718" t="str">
            <v>International Artists Senior Specialist</v>
          </cell>
          <cell r="I718" t="str">
            <v>أخصائي الفنانين العالميين</v>
          </cell>
          <cell r="J718" t="str">
            <v>On-Chart</v>
          </cell>
          <cell r="K718" t="str">
            <v>DCT Payroll</v>
          </cell>
          <cell r="L718" t="str">
            <v>A1</v>
          </cell>
          <cell r="M718" t="str">
            <v>Department of Culture and Tourism</v>
          </cell>
          <cell r="N718" t="str">
            <v>Tourism</v>
          </cell>
          <cell r="O718" t="str">
            <v>السياحة</v>
          </cell>
          <cell r="P718" t="str">
            <v>Abu Dhabi Events Bureau</v>
          </cell>
          <cell r="Q718" t="str">
            <v>مكتب أبوظبي للفعاليات</v>
          </cell>
          <cell r="R718" t="str">
            <v>Live Entertainment and Festivals</v>
          </cell>
          <cell r="S718" t="str">
            <v>العروض الترفيهية والمهرجانات</v>
          </cell>
          <cell r="T718" t="str">
            <v>International Artists</v>
          </cell>
          <cell r="U718" t="str">
            <v>الفنانين العالميين</v>
          </cell>
          <cell r="V718" t="str">
            <v>Abu Dhabi</v>
          </cell>
          <cell r="W718" t="str">
            <v/>
          </cell>
          <cell r="X718" t="str">
            <v>4515500</v>
          </cell>
          <cell r="Y718" t="str">
            <v>Senior Specialization Festivals &amp; Events</v>
          </cell>
          <cell r="Z718" t="str">
            <v>Senior Professional</v>
          </cell>
          <cell r="AA718" t="str">
            <v>3B</v>
          </cell>
        </row>
        <row r="719">
          <cell r="A719">
            <v>1539</v>
          </cell>
          <cell r="B719">
            <v>1539</v>
          </cell>
          <cell r="C719" t="str">
            <v>A</v>
          </cell>
          <cell r="D719" t="str">
            <v>Aisha Obaid Al Matrooshi</v>
          </cell>
          <cell r="E719" t="str">
            <v>عايشة عبيد المطروشي</v>
          </cell>
          <cell r="F719">
            <v>43828</v>
          </cell>
          <cell r="G719" t="str">
            <v>50001710</v>
          </cell>
          <cell r="H719" t="str">
            <v>Senior Project Manager</v>
          </cell>
          <cell r="I719" t="str">
            <v>مدير مشاريع اول</v>
          </cell>
          <cell r="J719" t="str">
            <v>Off-Chart</v>
          </cell>
          <cell r="K719" t="str">
            <v>DCT Payroll</v>
          </cell>
          <cell r="L719" t="str">
            <v>A1</v>
          </cell>
          <cell r="M719" t="str">
            <v>Department of Culture and Tourism</v>
          </cell>
          <cell r="N719" t="str">
            <v>Tourism</v>
          </cell>
          <cell r="O719" t="str">
            <v>السياحة</v>
          </cell>
          <cell r="P719" t="str">
            <v>Emiratization &amp; Capability Development Office</v>
          </cell>
          <cell r="Q719" t="str">
            <v>مكتب التوطين وتطوير القدرات</v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>Abu Dhabi</v>
          </cell>
          <cell r="W719" t="str">
            <v/>
          </cell>
          <cell r="X719" t="str">
            <v>4515020</v>
          </cell>
          <cell r="Y719" t="str">
            <v>Commercial _Tourism Products Development _Section Head</v>
          </cell>
          <cell r="Z719" t="str">
            <v>Section Manager</v>
          </cell>
          <cell r="AA719" t="str">
            <v>2A</v>
          </cell>
        </row>
        <row r="720">
          <cell r="A720">
            <v>1542</v>
          </cell>
          <cell r="B720">
            <v>1542</v>
          </cell>
          <cell r="C720" t="str">
            <v>A</v>
          </cell>
          <cell r="D720" t="str">
            <v>Shaikha Abdulrahman Almenhali</v>
          </cell>
          <cell r="E720" t="str">
            <v>شيخه عبدالرحمن المنهالي</v>
          </cell>
          <cell r="F720">
            <v>43856</v>
          </cell>
          <cell r="G720" t="str">
            <v>50002161</v>
          </cell>
          <cell r="H720" t="str">
            <v>BD &amp; Sales Senior Executive</v>
          </cell>
          <cell r="I720" t="str">
            <v>تنفيذي أول تطوير الأعمال والمبيعات</v>
          </cell>
          <cell r="J720" t="str">
            <v>On-Chart</v>
          </cell>
          <cell r="K720" t="str">
            <v>DCT Payroll</v>
          </cell>
          <cell r="L720" t="str">
            <v>A1</v>
          </cell>
          <cell r="M720" t="str">
            <v>Department of Culture and Tourism</v>
          </cell>
          <cell r="N720" t="str">
            <v>Tourism</v>
          </cell>
          <cell r="O720" t="str">
            <v>السياحة</v>
          </cell>
          <cell r="P720" t="str">
            <v>Abu Dhabi Conventions &amp; Exhibition Bureau</v>
          </cell>
          <cell r="Q720" t="str">
            <v>مكتب أبوظبي للمؤتمرات والمعارض</v>
          </cell>
          <cell r="R720" t="str">
            <v>Conventions</v>
          </cell>
          <cell r="S720" t="str">
            <v>الاتفاقيات</v>
          </cell>
          <cell r="T720" t="str">
            <v/>
          </cell>
          <cell r="U720" t="str">
            <v/>
          </cell>
          <cell r="V720" t="str">
            <v>Abu Dhabi</v>
          </cell>
          <cell r="W720" t="str">
            <v/>
          </cell>
          <cell r="X720" t="str">
            <v>4515400</v>
          </cell>
          <cell r="Y720" t="str">
            <v>Senior Specialization Festivals &amp; Events</v>
          </cell>
          <cell r="Z720" t="str">
            <v>Senior Professional</v>
          </cell>
          <cell r="AA720" t="str">
            <v>3C</v>
          </cell>
        </row>
        <row r="721">
          <cell r="A721">
            <v>1544</v>
          </cell>
          <cell r="B721">
            <v>1544</v>
          </cell>
          <cell r="C721" t="str">
            <v>A</v>
          </cell>
          <cell r="D721" t="str">
            <v>Bushra Yousef Al Hosani</v>
          </cell>
          <cell r="E721" t="str">
            <v>بشرى يوسف الحوسني</v>
          </cell>
          <cell r="F721">
            <v>43828</v>
          </cell>
          <cell r="G721" t="str">
            <v>10004885</v>
          </cell>
          <cell r="H721" t="str">
            <v>Journey Design &amp; Development Senior Specialist</v>
          </cell>
          <cell r="I721" t="str">
            <v>أخصائي أول تصميم وتطويرالرحلات</v>
          </cell>
          <cell r="J721" t="str">
            <v>On-Chart</v>
          </cell>
          <cell r="K721" t="str">
            <v>DCT Payroll</v>
          </cell>
          <cell r="L721" t="str">
            <v>A1</v>
          </cell>
          <cell r="M721" t="str">
            <v>Department of Culture and Tourism</v>
          </cell>
          <cell r="N721" t="str">
            <v>Tourism</v>
          </cell>
          <cell r="O721" t="str">
            <v>السياحة</v>
          </cell>
          <cell r="P721" t="str">
            <v>Visitors Experience</v>
          </cell>
          <cell r="Q721" t="str">
            <v>تجربة الزوار</v>
          </cell>
          <cell r="R721" t="str">
            <v>Journey Design &amp; Development</v>
          </cell>
          <cell r="S721" t="str">
            <v>تصميم وتطوير الرحلات</v>
          </cell>
          <cell r="T721" t="str">
            <v>Journey Design &amp; Development Unit</v>
          </cell>
          <cell r="U721" t="str">
            <v>وحدة تصميم و تطوير الرحلات</v>
          </cell>
          <cell r="V721" t="str">
            <v>Abu Dhabi</v>
          </cell>
          <cell r="W721" t="str">
            <v/>
          </cell>
          <cell r="X721" t="str">
            <v>4515300</v>
          </cell>
          <cell r="Y721" t="str">
            <v>Design_Visitor Experience Design _Professional</v>
          </cell>
          <cell r="Z721" t="str">
            <v>Senior Professional</v>
          </cell>
          <cell r="AA721" t="str">
            <v>3B</v>
          </cell>
        </row>
        <row r="722">
          <cell r="A722">
            <v>1547</v>
          </cell>
          <cell r="B722">
            <v>1547</v>
          </cell>
          <cell r="C722" t="str">
            <v>A</v>
          </cell>
          <cell r="D722" t="str">
            <v>Yasmeen Abdulla Al Rashdi</v>
          </cell>
          <cell r="E722" t="str">
            <v>ياسمين عبدالله الراشدي</v>
          </cell>
          <cell r="F722">
            <v>43891</v>
          </cell>
          <cell r="G722" t="str">
            <v>10009103</v>
          </cell>
          <cell r="H722" t="str">
            <v>Conservation Unit Head - Modern &amp; Urban Heritage</v>
          </cell>
          <cell r="I722" t="str">
            <v>رئيس وحدة حماية التراث الحديث</v>
          </cell>
          <cell r="J722" t="str">
            <v>On-Chart</v>
          </cell>
          <cell r="K722" t="str">
            <v>DCT Payroll</v>
          </cell>
          <cell r="L722" t="str">
            <v>A1</v>
          </cell>
          <cell r="M722" t="str">
            <v>Department of Culture and Tourism</v>
          </cell>
          <cell r="N722" t="str">
            <v>Culture</v>
          </cell>
          <cell r="O722" t="str">
            <v>الثقافة</v>
          </cell>
          <cell r="P722" t="str">
            <v>Historic Environment</v>
          </cell>
          <cell r="Q722" t="str">
            <v>البيئة التاريخية</v>
          </cell>
          <cell r="R722" t="str">
            <v>Conservation</v>
          </cell>
          <cell r="S722" t="str">
            <v>الترميم</v>
          </cell>
          <cell r="T722" t="str">
            <v>Conservation – Modern &amp; Urban Heritage</v>
          </cell>
          <cell r="U722" t="str">
            <v>حماية التراث الحديث</v>
          </cell>
          <cell r="V722" t="str">
            <v>Abu Dhabi</v>
          </cell>
          <cell r="W722" t="str">
            <v/>
          </cell>
          <cell r="X722" t="str">
            <v>4511300</v>
          </cell>
          <cell r="Y722" t="str">
            <v>Compliance,Governance&amp;Protocol_Policy  (Culture &amp; Tourism)_Unit Head</v>
          </cell>
          <cell r="Z722" t="str">
            <v>Unit Head</v>
          </cell>
          <cell r="AA722" t="str">
            <v>3A</v>
          </cell>
        </row>
        <row r="723">
          <cell r="A723">
            <v>1548</v>
          </cell>
          <cell r="B723">
            <v>1548</v>
          </cell>
          <cell r="C723" t="str">
            <v>A</v>
          </cell>
          <cell r="D723" t="str">
            <v>Khadija El Bennaoui</v>
          </cell>
          <cell r="E723" t="str">
            <v>خديجة  البناوي</v>
          </cell>
          <cell r="F723">
            <v>43856</v>
          </cell>
          <cell r="G723" t="str">
            <v>10005756</v>
          </cell>
          <cell r="H723" t="str">
            <v>Exhibitions Design Projects Senior Specialist</v>
          </cell>
          <cell r="I723" t="str">
            <v>أخصائي أول مشاريع تصميم المعارض</v>
          </cell>
          <cell r="J723" t="str">
            <v>On-Chart</v>
          </cell>
          <cell r="K723" t="str">
            <v>DCT Payroll</v>
          </cell>
          <cell r="L723" t="str">
            <v>A1</v>
          </cell>
          <cell r="M723" t="str">
            <v>Department of Culture and Tourism</v>
          </cell>
          <cell r="N723" t="str">
            <v>Culture</v>
          </cell>
          <cell r="O723" t="str">
            <v>الثقافة</v>
          </cell>
          <cell r="P723" t="str">
            <v>Scientific, Curatorial and Collection Department</v>
          </cell>
          <cell r="Q723" t="str">
            <v>إدارة البحث العلمي والمقتنيات</v>
          </cell>
          <cell r="R723" t="str">
            <v>Exhibitions Design</v>
          </cell>
          <cell r="S723" t="str">
            <v>تصميم المعارض</v>
          </cell>
          <cell r="T723" t="str">
            <v>Exhibitions ٍDesign Project Management</v>
          </cell>
          <cell r="U723" t="str">
            <v>مشاريع تصميم المعارض</v>
          </cell>
          <cell r="V723" t="str">
            <v>Abu Dhabi</v>
          </cell>
          <cell r="W723" t="str">
            <v/>
          </cell>
          <cell r="X723" t="str">
            <v>4511150</v>
          </cell>
          <cell r="Y723" t="str">
            <v>Compliance,Governance&amp;Protocol_Policy (Culture/Tourism _Senior Professional</v>
          </cell>
          <cell r="Z723" t="str">
            <v>Senior Professional</v>
          </cell>
          <cell r="AA723" t="str">
            <v>3A</v>
          </cell>
        </row>
        <row r="724">
          <cell r="A724">
            <v>1549</v>
          </cell>
          <cell r="B724">
            <v>1549</v>
          </cell>
          <cell r="C724" t="str">
            <v>A</v>
          </cell>
          <cell r="D724" t="str">
            <v>Asma Ali Al Shehhi</v>
          </cell>
          <cell r="E724" t="str">
            <v>أسماء علي الشحي</v>
          </cell>
          <cell r="F724">
            <v>43856</v>
          </cell>
          <cell r="G724" t="str">
            <v>50003983</v>
          </cell>
          <cell r="H724" t="str">
            <v>Culture Policy Senior Specialist</v>
          </cell>
          <cell r="I724" t="str">
            <v>أخصائي أول في سياسة الثقافة</v>
          </cell>
          <cell r="J724" t="str">
            <v>On-Chart</v>
          </cell>
          <cell r="K724" t="str">
            <v>DCT Payroll</v>
          </cell>
          <cell r="L724" t="str">
            <v>A1</v>
          </cell>
          <cell r="M724" t="str">
            <v>Department of Culture and Tourism</v>
          </cell>
          <cell r="N724" t="str">
            <v>Culture</v>
          </cell>
          <cell r="O724" t="str">
            <v>الثقافة</v>
          </cell>
          <cell r="P724" t="str">
            <v>Culture Sector Policy and Development Office</v>
          </cell>
          <cell r="Q724" t="str">
            <v>مكتب إدارة سياسة وتطوير قطاع الثقافة</v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>Abu Dhabi</v>
          </cell>
          <cell r="W724" t="str">
            <v/>
          </cell>
          <cell r="X724" t="str">
            <v>4511150</v>
          </cell>
          <cell r="Y724" t="str">
            <v>Compliance,Governance&amp;Protocol_Policy (Culture/Tourism _Senior Professional</v>
          </cell>
          <cell r="Z724" t="str">
            <v>Senior Professional</v>
          </cell>
          <cell r="AA724" t="str">
            <v>3A</v>
          </cell>
        </row>
        <row r="725">
          <cell r="A725">
            <v>1553</v>
          </cell>
          <cell r="B725">
            <v>1553</v>
          </cell>
          <cell r="C725" t="str">
            <v>A</v>
          </cell>
          <cell r="D725" t="str">
            <v>Salma Salem Almessabi</v>
          </cell>
          <cell r="E725" t="str">
            <v>سلمى سالم المصعبي</v>
          </cell>
          <cell r="F725">
            <v>43860</v>
          </cell>
          <cell r="G725" t="str">
            <v>10012301</v>
          </cell>
          <cell r="H725" t="str">
            <v>Patrons &amp; Collectors’ Circle Specialist</v>
          </cell>
          <cell r="I725" t="str">
            <v>أخصائي جامعي المقتنيات والرعاة</v>
          </cell>
          <cell r="J725" t="str">
            <v>On-Chart</v>
          </cell>
          <cell r="K725" t="str">
            <v>DCT Payroll</v>
          </cell>
          <cell r="L725" t="str">
            <v>A1</v>
          </cell>
          <cell r="M725" t="str">
            <v>Department of Culture and Tourism</v>
          </cell>
          <cell r="N725" t="str">
            <v>Culture</v>
          </cell>
          <cell r="O725" t="str">
            <v>الثقافة</v>
          </cell>
          <cell r="P725" t="str">
            <v>Culture Programming</v>
          </cell>
          <cell r="Q725" t="str">
            <v>البرامج الثقافية</v>
          </cell>
          <cell r="R725" t="str">
            <v>Abu Dhabi Art</v>
          </cell>
          <cell r="S725" t="str">
            <v>فن أبوظبي</v>
          </cell>
          <cell r="T725" t="str">
            <v>Patrons &amp; Collector's Circle</v>
          </cell>
          <cell r="U725" t="str">
            <v>جامعي المقتنيات والرعاة</v>
          </cell>
          <cell r="V725" t="str">
            <v>Abu Dhabi</v>
          </cell>
          <cell r="W725" t="str">
            <v/>
          </cell>
          <cell r="X725" t="str">
            <v>4511700</v>
          </cell>
          <cell r="Y725" t="str">
            <v>Compliance,Governance&amp;Protocol_Policy (Culture/Tourism) _Professional</v>
          </cell>
          <cell r="Z725" t="str">
            <v>Professional</v>
          </cell>
          <cell r="AA725" t="str">
            <v>4A</v>
          </cell>
        </row>
        <row r="726">
          <cell r="A726">
            <v>1555</v>
          </cell>
          <cell r="B726">
            <v>1555</v>
          </cell>
          <cell r="C726" t="str">
            <v>A</v>
          </cell>
          <cell r="D726" t="str">
            <v>Ahood Saif Alnuaimi</v>
          </cell>
          <cell r="E726" t="str">
            <v>عهود سيف النعيمي</v>
          </cell>
          <cell r="F726">
            <v>43884</v>
          </cell>
          <cell r="G726" t="str">
            <v>10012099</v>
          </cell>
          <cell r="H726" t="str">
            <v>BD &amp; Sales Executive</v>
          </cell>
          <cell r="I726" t="str">
            <v>تنفيذي تطوير الأعمال والمبيعات</v>
          </cell>
          <cell r="J726" t="str">
            <v>On-Chart</v>
          </cell>
          <cell r="K726" t="str">
            <v>DCT Payroll</v>
          </cell>
          <cell r="L726" t="str">
            <v>A1</v>
          </cell>
          <cell r="M726" t="str">
            <v>Department of Culture and Tourism</v>
          </cell>
          <cell r="N726" t="str">
            <v>Tourism</v>
          </cell>
          <cell r="O726" t="str">
            <v>السياحة</v>
          </cell>
          <cell r="P726" t="str">
            <v>Abu Dhabi Conventions &amp; Exhibition Bureau</v>
          </cell>
          <cell r="Q726" t="str">
            <v>مكتب أبوظبي للمؤتمرات والمعارض</v>
          </cell>
          <cell r="R726" t="str">
            <v>Meetings, Incentives &amp; Weddings</v>
          </cell>
          <cell r="S726" t="str">
            <v>الاجتماعات، الحوافز وحفلات الزفاف</v>
          </cell>
          <cell r="T726" t="str">
            <v/>
          </cell>
          <cell r="U726" t="str">
            <v/>
          </cell>
          <cell r="V726" t="str">
            <v>Abu Dhabi</v>
          </cell>
          <cell r="W726" t="str">
            <v/>
          </cell>
          <cell r="X726" t="str">
            <v>4515400</v>
          </cell>
          <cell r="Y726" t="str">
            <v>Commercial _Conventions, Exhibitions, Events &amp; Festivals Development &amp; Sales  _Professional</v>
          </cell>
          <cell r="Z726" t="str">
            <v>Professional</v>
          </cell>
          <cell r="AA726" t="str">
            <v>4A</v>
          </cell>
        </row>
        <row r="727">
          <cell r="A727">
            <v>1557</v>
          </cell>
          <cell r="B727">
            <v>1557</v>
          </cell>
          <cell r="C727" t="str">
            <v>A</v>
          </cell>
          <cell r="D727" t="str">
            <v>Luisa Sakirow</v>
          </cell>
          <cell r="E727" t="str">
            <v>لويسا  ساكيروف</v>
          </cell>
          <cell r="F727">
            <v>43884</v>
          </cell>
          <cell r="G727" t="str">
            <v>10012100</v>
          </cell>
          <cell r="H727" t="str">
            <v>International Operations (France, Central &amp; East Europe) Unit Head</v>
          </cell>
          <cell r="I727" t="str">
            <v>(رئيس وحدة  العمليات الدولية ( ألمانيا وأستراليا وسويسرا  وبلجيكا وهولندا</v>
          </cell>
          <cell r="J727" t="str">
            <v>On-Chart</v>
          </cell>
          <cell r="K727" t="str">
            <v>DCT Payroll</v>
          </cell>
          <cell r="L727" t="str">
            <v>A1</v>
          </cell>
          <cell r="M727" t="str">
            <v>Department of Culture and Tourism</v>
          </cell>
          <cell r="N727" t="str">
            <v>Tourism</v>
          </cell>
          <cell r="O727" t="str">
            <v>السياحة</v>
          </cell>
          <cell r="P727" t="str">
            <v>International Operations</v>
          </cell>
          <cell r="Q727" t="str">
            <v>العمليات الدولية</v>
          </cell>
          <cell r="R727" t="str">
            <v>Europe</v>
          </cell>
          <cell r="S727" t="str">
            <v>منطقة أوروبا</v>
          </cell>
          <cell r="T727" t="str">
            <v>France, Central &amp; East Europe</v>
          </cell>
          <cell r="U727" t="str">
            <v>منطقة ألمانيا وأستراليا وسويسرا</v>
          </cell>
          <cell r="V727" t="str">
            <v>Abu Dhabi</v>
          </cell>
          <cell r="W727" t="str">
            <v/>
          </cell>
          <cell r="X727" t="str">
            <v>4515100</v>
          </cell>
          <cell r="Y727" t="str">
            <v>Compliance,Governance&amp;Protocol_Policy  (Culture &amp; Tourism)_Unit Head</v>
          </cell>
          <cell r="Z727" t="str">
            <v>Unit Head</v>
          </cell>
          <cell r="AA727" t="str">
            <v>3A</v>
          </cell>
        </row>
        <row r="728">
          <cell r="A728">
            <v>1559</v>
          </cell>
          <cell r="B728">
            <v>1559</v>
          </cell>
          <cell r="C728" t="str">
            <v>A</v>
          </cell>
          <cell r="D728" t="str">
            <v>Haya Mohammed Al Hosani</v>
          </cell>
          <cell r="E728" t="str">
            <v>هيا محمد الحوسني</v>
          </cell>
          <cell r="F728">
            <v>43891</v>
          </cell>
          <cell r="G728" t="str">
            <v>47700605</v>
          </cell>
          <cell r="H728" t="str">
            <v>Compensation Senior Specialist</v>
          </cell>
          <cell r="I728" t="str">
            <v>أخصائي أول المستحقات</v>
          </cell>
          <cell r="J728" t="str">
            <v>On-Chart</v>
          </cell>
          <cell r="K728" t="str">
            <v>DCT Payroll</v>
          </cell>
          <cell r="L728" t="str">
            <v>A1</v>
          </cell>
          <cell r="M728" t="str">
            <v>Department of Culture and Tourism</v>
          </cell>
          <cell r="N728" t="str">
            <v>Support Services</v>
          </cell>
          <cell r="O728" t="str">
            <v>الخدمات المساندة</v>
          </cell>
          <cell r="P728" t="str">
            <v>People &amp; Performance</v>
          </cell>
          <cell r="Q728" t="str">
            <v>إدارة الكوادر البشرية والأداء</v>
          </cell>
          <cell r="R728" t="str">
            <v>Rewards &amp; Policy</v>
          </cell>
          <cell r="S728" t="str">
            <v>المكافآت والسياسات</v>
          </cell>
          <cell r="T728" t="str">
            <v>Rewards &amp; Recognition</v>
          </cell>
          <cell r="U728" t="str">
            <v>المكافآت</v>
          </cell>
          <cell r="V728" t="str">
            <v>Abu Dhabi</v>
          </cell>
          <cell r="W728" t="str">
            <v/>
          </cell>
          <cell r="X728" t="str">
            <v>4510220</v>
          </cell>
          <cell r="Y728" t="str">
            <v>People &amp; Performance _Rewards Policy &amp; Recognition _Professional</v>
          </cell>
          <cell r="Z728" t="str">
            <v>Senior Professional</v>
          </cell>
          <cell r="AA728" t="str">
            <v>3A</v>
          </cell>
        </row>
        <row r="729">
          <cell r="A729">
            <v>1561</v>
          </cell>
          <cell r="B729">
            <v>1561</v>
          </cell>
          <cell r="C729" t="str">
            <v>A</v>
          </cell>
          <cell r="D729" t="str">
            <v>Abdulrahman Abdulmuttaleb Baharoon</v>
          </cell>
          <cell r="E729" t="str">
            <v>عبدالرحمن عبدالمطلب باهارون</v>
          </cell>
          <cell r="F729">
            <v>43891</v>
          </cell>
          <cell r="G729" t="str">
            <v>10012126</v>
          </cell>
          <cell r="H729" t="str">
            <v>Facilities Management Section Head</v>
          </cell>
          <cell r="I729" t="str">
            <v>رئيس قسم ادارة المرافق</v>
          </cell>
          <cell r="J729" t="str">
            <v>On-Chart</v>
          </cell>
          <cell r="K729" t="str">
            <v>DCT Payroll</v>
          </cell>
          <cell r="L729" t="str">
            <v>A1</v>
          </cell>
          <cell r="M729" t="str">
            <v>Department of Culture and Tourism</v>
          </cell>
          <cell r="N729" t="str">
            <v>Support Services</v>
          </cell>
          <cell r="O729" t="str">
            <v>الخدمات المساندة</v>
          </cell>
          <cell r="P729" t="str">
            <v>Supply Management</v>
          </cell>
          <cell r="Q729" t="str">
            <v>إدارة الإمداد</v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>Abu Dhabi</v>
          </cell>
          <cell r="W729" t="str">
            <v/>
          </cell>
          <cell r="X729" t="str">
            <v>4510240</v>
          </cell>
          <cell r="Y729" t="str">
            <v>Procurement_Logistic Services &amp; Procurement _Section Head</v>
          </cell>
          <cell r="Z729" t="str">
            <v>Section Manager</v>
          </cell>
          <cell r="AA729" t="str">
            <v>2A</v>
          </cell>
        </row>
        <row r="730">
          <cell r="A730">
            <v>1562</v>
          </cell>
          <cell r="B730">
            <v>1562</v>
          </cell>
          <cell r="C730" t="str">
            <v>A</v>
          </cell>
          <cell r="D730" t="str">
            <v>Nour Yousef Alharmoodi</v>
          </cell>
          <cell r="E730" t="str">
            <v>نور يوسف الهرمودي</v>
          </cell>
          <cell r="F730">
            <v>43898</v>
          </cell>
          <cell r="G730" t="str">
            <v>10010515</v>
          </cell>
          <cell r="H730" t="str">
            <v>General Sports Unit Head</v>
          </cell>
          <cell r="I730" t="str">
            <v>رئيس وحدة الرياضة العامة</v>
          </cell>
          <cell r="J730" t="str">
            <v>On-Chart</v>
          </cell>
          <cell r="K730" t="str">
            <v>DCT Payroll</v>
          </cell>
          <cell r="L730" t="str">
            <v>A1</v>
          </cell>
          <cell r="M730" t="str">
            <v>Department of Culture and Tourism</v>
          </cell>
          <cell r="N730" t="str">
            <v>Tourism</v>
          </cell>
          <cell r="O730" t="str">
            <v>السياحة</v>
          </cell>
          <cell r="P730" t="str">
            <v>Abu Dhabi Events Bureau</v>
          </cell>
          <cell r="Q730" t="str">
            <v>مكتب أبوظبي للفعاليات</v>
          </cell>
          <cell r="R730" t="str">
            <v>Sports Engagement</v>
          </cell>
          <cell r="S730" t="str">
            <v>الرياضة العامة</v>
          </cell>
          <cell r="T730" t="str">
            <v>General Sports</v>
          </cell>
          <cell r="U730" t="str">
            <v>الرياضة العامة</v>
          </cell>
          <cell r="V730" t="str">
            <v>Abu Dhabi</v>
          </cell>
          <cell r="W730" t="str">
            <v/>
          </cell>
          <cell r="X730" t="str">
            <v>4515500</v>
          </cell>
          <cell r="Y730" t="str">
            <v>Senior Specialization Festivals &amp; Events</v>
          </cell>
          <cell r="Z730" t="str">
            <v>Unit Head</v>
          </cell>
          <cell r="AA730" t="str">
            <v>3A</v>
          </cell>
        </row>
        <row r="731">
          <cell r="A731">
            <v>1563</v>
          </cell>
          <cell r="B731">
            <v>1563</v>
          </cell>
          <cell r="C731" t="str">
            <v>A</v>
          </cell>
          <cell r="D731" t="str">
            <v>Amal Abdulla Aljaberi</v>
          </cell>
          <cell r="E731" t="str">
            <v>امل عبدالله الجابري</v>
          </cell>
          <cell r="F731">
            <v>43898</v>
          </cell>
          <cell r="G731" t="str">
            <v>10008836</v>
          </cell>
          <cell r="H731" t="str">
            <v>Supplier Relationship Management Specialist</v>
          </cell>
          <cell r="I731" t="str">
            <v>أخصائي إدارة علاقات الموردين</v>
          </cell>
          <cell r="J731" t="str">
            <v>On-Chart</v>
          </cell>
          <cell r="K731" t="str">
            <v>DCT Payroll</v>
          </cell>
          <cell r="L731" t="str">
            <v>A1</v>
          </cell>
          <cell r="M731" t="str">
            <v>Department of Culture and Tourism</v>
          </cell>
          <cell r="N731" t="str">
            <v>Support Services</v>
          </cell>
          <cell r="O731" t="str">
            <v>الخدمات المساندة</v>
          </cell>
          <cell r="P731" t="str">
            <v>Supply Management</v>
          </cell>
          <cell r="Q731" t="str">
            <v>إدارة الإمداد</v>
          </cell>
          <cell r="R731" t="str">
            <v>Contracts, System &amp; Reporting</v>
          </cell>
          <cell r="S731" t="str">
            <v>العقود والأنظمة والتقارير</v>
          </cell>
          <cell r="T731" t="str">
            <v>Supplier Performance</v>
          </cell>
          <cell r="U731" t="str">
            <v>أداء الموردين</v>
          </cell>
          <cell r="V731" t="str">
            <v>Abu Dhabi</v>
          </cell>
          <cell r="W731" t="str">
            <v/>
          </cell>
          <cell r="X731" t="str">
            <v>4510240</v>
          </cell>
          <cell r="Y731" t="str">
            <v>Procurement_Procurement General_Professional</v>
          </cell>
          <cell r="Z731" t="str">
            <v>Professional</v>
          </cell>
          <cell r="AA731" t="str">
            <v>4A</v>
          </cell>
        </row>
        <row r="732">
          <cell r="A732">
            <v>1565</v>
          </cell>
          <cell r="B732">
            <v>1565</v>
          </cell>
          <cell r="C732" t="str">
            <v>A</v>
          </cell>
          <cell r="D732" t="str">
            <v>Aliazia Salem Aldhaheri</v>
          </cell>
          <cell r="E732" t="str">
            <v>اليازية سالم الظاهري</v>
          </cell>
          <cell r="F732">
            <v>43898</v>
          </cell>
          <cell r="G732" t="str">
            <v>50000791</v>
          </cell>
          <cell r="H732" t="str">
            <v>Planning &amp; Operations (Middle East &amp; Africa) Senior Executive</v>
          </cell>
          <cell r="I732" t="str">
            <v>تنفيذي أول التخطيط والعمليات (منطقة الشرق الأوسط وأفريقيا)</v>
          </cell>
          <cell r="J732" t="str">
            <v>On-Chart</v>
          </cell>
          <cell r="K732" t="str">
            <v>DCT Payroll</v>
          </cell>
          <cell r="L732" t="str">
            <v>A1</v>
          </cell>
          <cell r="M732" t="str">
            <v>Department of Culture and Tourism</v>
          </cell>
          <cell r="N732" t="str">
            <v>Tourism</v>
          </cell>
          <cell r="O732" t="str">
            <v>السياحة</v>
          </cell>
          <cell r="P732" t="str">
            <v>International Operations</v>
          </cell>
          <cell r="Q732" t="str">
            <v>العمليات الدولية</v>
          </cell>
          <cell r="R732" t="str">
            <v>Middle East &amp; Proximity Markets</v>
          </cell>
          <cell r="S732" t="str">
            <v>منطقة الشرق الأوسط والأسواق المجاورة</v>
          </cell>
          <cell r="T732" t="str">
            <v>Middle East &amp; Africa</v>
          </cell>
          <cell r="U732" t="str">
            <v>سوق السفر - الشرق الأوسط وافريقيا</v>
          </cell>
          <cell r="V732" t="str">
            <v>Abu Dhabi</v>
          </cell>
          <cell r="W732" t="str">
            <v/>
          </cell>
          <cell r="X732" t="str">
            <v>4515100</v>
          </cell>
          <cell r="Y732" t="str">
            <v>Compliance,Governance&amp;Protocol_Policy (Culture/Tourism _Senior Professional</v>
          </cell>
          <cell r="Z732" t="str">
            <v>Senior Professional</v>
          </cell>
          <cell r="AA732" t="str">
            <v>3B</v>
          </cell>
        </row>
        <row r="733">
          <cell r="A733">
            <v>1568</v>
          </cell>
          <cell r="B733">
            <v>1568</v>
          </cell>
          <cell r="C733" t="str">
            <v>A</v>
          </cell>
          <cell r="D733" t="str">
            <v>Mehdi Rhaiem</v>
          </cell>
          <cell r="E733" t="str">
            <v>مهدي  رحيم</v>
          </cell>
          <cell r="F733">
            <v>43907</v>
          </cell>
          <cell r="G733" t="str">
            <v>50003668</v>
          </cell>
          <cell r="H733" t="str">
            <v>Culture Sector Policy and Development Office Director</v>
          </cell>
          <cell r="I733" t="str">
            <v>مدير مكتب السياسات والتطوير في قطاع الثقافة</v>
          </cell>
          <cell r="J733" t="str">
            <v>On-Chart</v>
          </cell>
          <cell r="K733" t="str">
            <v>DCT Payroll</v>
          </cell>
          <cell r="L733" t="str">
            <v>A1</v>
          </cell>
          <cell r="M733" t="str">
            <v>Department of Culture and Tourism</v>
          </cell>
          <cell r="N733" t="str">
            <v>Culture</v>
          </cell>
          <cell r="O733" t="str">
            <v>الثقافة</v>
          </cell>
          <cell r="P733" t="str">
            <v>Culture Sector Policy and Development Office</v>
          </cell>
          <cell r="Q733" t="str">
            <v>مكتب إدارة سياسة وتطوير قطاع الثقافة</v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>Abu Dhabi</v>
          </cell>
          <cell r="W733" t="str">
            <v/>
          </cell>
          <cell r="X733" t="str">
            <v>4511010</v>
          </cell>
          <cell r="Y733" t="str">
            <v/>
          </cell>
          <cell r="Z733" t="str">
            <v>Director</v>
          </cell>
          <cell r="AA733" t="str">
            <v>1A</v>
          </cell>
        </row>
        <row r="734">
          <cell r="A734">
            <v>1569</v>
          </cell>
          <cell r="B734">
            <v>1569</v>
          </cell>
          <cell r="C734" t="str">
            <v>A</v>
          </cell>
          <cell r="D734" t="str">
            <v>Ali Ahmed Kashwani</v>
          </cell>
          <cell r="E734" t="str">
            <v>علي احمد كشواني</v>
          </cell>
          <cell r="F734">
            <v>43907</v>
          </cell>
          <cell r="G734" t="str">
            <v>10011959</v>
          </cell>
          <cell r="H734" t="str">
            <v>Senior Graphic Designer</v>
          </cell>
          <cell r="I734" t="str">
            <v>مصمم جرافيك اول</v>
          </cell>
          <cell r="J734" t="str">
            <v>On-Chart</v>
          </cell>
          <cell r="K734" t="str">
            <v>DCT Payroll</v>
          </cell>
          <cell r="L734" t="str">
            <v>A1</v>
          </cell>
          <cell r="M734" t="str">
            <v>Department of Culture and Tourism</v>
          </cell>
          <cell r="N734" t="str">
            <v>Culture</v>
          </cell>
          <cell r="O734" t="str">
            <v>الثقافة</v>
          </cell>
          <cell r="P734" t="str">
            <v>Culture Sector Marketing</v>
          </cell>
          <cell r="Q734" t="str">
            <v>التسويق لقطاع الثقافة</v>
          </cell>
          <cell r="R734" t="str">
            <v>Creative</v>
          </cell>
          <cell r="S734" t="str">
            <v>الإبداع</v>
          </cell>
          <cell r="T734" t="str">
            <v/>
          </cell>
          <cell r="U734" t="str">
            <v/>
          </cell>
          <cell r="V734" t="str">
            <v>Abu Dhabi</v>
          </cell>
          <cell r="W734" t="str">
            <v/>
          </cell>
          <cell r="X734" t="str">
            <v>4511550</v>
          </cell>
          <cell r="Y734" t="str">
            <v>Compliance,Governance&amp;Protocol_Policy (Culture/Tourism _Senior Professional</v>
          </cell>
          <cell r="Z734" t="str">
            <v>Senior Professional</v>
          </cell>
          <cell r="AA734" t="str">
            <v>3B</v>
          </cell>
        </row>
        <row r="735">
          <cell r="A735">
            <v>1575</v>
          </cell>
          <cell r="B735">
            <v>1575</v>
          </cell>
          <cell r="C735" t="str">
            <v>A</v>
          </cell>
          <cell r="D735" t="str">
            <v>Ibrahim Abdulla Almarzooqi</v>
          </cell>
          <cell r="E735" t="str">
            <v>إبراهيم عبدالله المرزوقي</v>
          </cell>
          <cell r="F735">
            <v>43968</v>
          </cell>
          <cell r="G735" t="str">
            <v>50000952</v>
          </cell>
          <cell r="H735" t="str">
            <v>Office Manager</v>
          </cell>
          <cell r="I735" t="str">
            <v>مدير مكتب</v>
          </cell>
          <cell r="J735" t="str">
            <v>On-Chart</v>
          </cell>
          <cell r="K735" t="str">
            <v>ALC Direct Hires</v>
          </cell>
          <cell r="L735" t="str">
            <v>AL1</v>
          </cell>
          <cell r="M735" t="str">
            <v>Abu Dhabi Arabic Language Centre</v>
          </cell>
          <cell r="N735" t="str">
            <v>Abu Dhabi Arabic Language Centre</v>
          </cell>
          <cell r="O735" t="str">
            <v>مركز أبوظبي للغة العربية</v>
          </cell>
          <cell r="P735" t="str">
            <v>ALC Chairman’s Office</v>
          </cell>
          <cell r="Q735" t="str">
            <v>مكتب رئيس مركز أبوظبي للغة العربية</v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>Abu Dhabi</v>
          </cell>
          <cell r="W735" t="str">
            <v/>
          </cell>
          <cell r="X735" t="str">
            <v>4510195</v>
          </cell>
          <cell r="Y735" t="str">
            <v>Executive Management _Advisor-ALC Chairman's Office _Section Manager</v>
          </cell>
          <cell r="Z735" t="str">
            <v>Unit Head</v>
          </cell>
          <cell r="AA735" t="str">
            <v>3A</v>
          </cell>
        </row>
        <row r="736">
          <cell r="A736">
            <v>1579</v>
          </cell>
          <cell r="B736">
            <v>1579</v>
          </cell>
          <cell r="C736" t="str">
            <v>A</v>
          </cell>
          <cell r="D736" t="str">
            <v>Amer Abdulkareem AlObeidli</v>
          </cell>
          <cell r="E736" t="str">
            <v>عامر عبدالكريم العبيدلي</v>
          </cell>
          <cell r="F736">
            <v>44138</v>
          </cell>
          <cell r="G736" t="str">
            <v>50000448</v>
          </cell>
          <cell r="H736" t="str">
            <v>Marketing &amp; Communications Unit Head - Al Ain &amp; Al Dhafra Culture Sites</v>
          </cell>
          <cell r="I736" t="str">
            <v>(رئيس وحدة التسويق والاتصال - المواقع الثقافية (العين والظفرة</v>
          </cell>
          <cell r="J736" t="str">
            <v>On-Chart</v>
          </cell>
          <cell r="K736" t="str">
            <v>DCT Payroll</v>
          </cell>
          <cell r="L736" t="str">
            <v>A1</v>
          </cell>
          <cell r="M736" t="str">
            <v>Department of Culture and Tourism</v>
          </cell>
          <cell r="N736" t="str">
            <v>Culture</v>
          </cell>
          <cell r="O736" t="str">
            <v>الثقافة</v>
          </cell>
          <cell r="P736" t="str">
            <v>Culture Sector Marketing</v>
          </cell>
          <cell r="Q736" t="str">
            <v>التسويق لقطاع الثقافة</v>
          </cell>
          <cell r="R736" t="str">
            <v>-</v>
          </cell>
          <cell r="S736" t="str">
            <v>-</v>
          </cell>
          <cell r="T736" t="str">
            <v>Marketing &amp; Communications – Al Ain &amp; Al Dhafra Culture Sites</v>
          </cell>
          <cell r="U736" t="str">
            <v>التسويق والاتصال – المواقع الثقافية (العين والظفرة)</v>
          </cell>
          <cell r="V736" t="str">
            <v>Abu Dhabi</v>
          </cell>
          <cell r="W736" t="str">
            <v/>
          </cell>
          <cell r="X736" t="str">
            <v>4511550</v>
          </cell>
          <cell r="Y736" t="str">
            <v>Compliance,Governance&amp;Protocol_Policy  (Culture &amp; Tourism)_Unit Head</v>
          </cell>
          <cell r="Z736" t="str">
            <v>Unit Head</v>
          </cell>
          <cell r="AA736" t="str">
            <v>3A</v>
          </cell>
        </row>
        <row r="737">
          <cell r="A737">
            <v>1581</v>
          </cell>
          <cell r="B737">
            <v>1581</v>
          </cell>
          <cell r="C737" t="str">
            <v>A</v>
          </cell>
          <cell r="D737" t="str">
            <v>Dr. Ali Saleh Bin Tamim</v>
          </cell>
          <cell r="E737" t="str">
            <v>د. علي صالح بن تميم</v>
          </cell>
          <cell r="F737">
            <v>44198</v>
          </cell>
          <cell r="G737" t="str">
            <v>50000607</v>
          </cell>
          <cell r="H737" t="str">
            <v>Chairman of Abu Dhabi Arabic Language Centre</v>
          </cell>
          <cell r="I737" t="str">
            <v>رئيس مركز أبوظبي للغة العربية</v>
          </cell>
          <cell r="J737" t="str">
            <v>On-Chart</v>
          </cell>
          <cell r="K737" t="str">
            <v>ALC Direct Hires</v>
          </cell>
          <cell r="L737" t="str">
            <v>AL1</v>
          </cell>
          <cell r="M737" t="str">
            <v>Abu Dhabi Arabic Language Centre</v>
          </cell>
          <cell r="N737" t="str">
            <v>Abu Dhabi Arabic Language Centre</v>
          </cell>
          <cell r="O737" t="str">
            <v>مركز أبوظبي للغة العربية</v>
          </cell>
          <cell r="P737" t="str">
            <v>ALC Chairman’s Office</v>
          </cell>
          <cell r="Q737" t="str">
            <v>مكتب رئيس مركز أبوظبي للغة العربية</v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>Abu Dhabi</v>
          </cell>
          <cell r="W737" t="str">
            <v/>
          </cell>
          <cell r="X737" t="str">
            <v>4510195</v>
          </cell>
          <cell r="Y737" t="str">
            <v>Interpretation &amp; Engagement_Arabic Language Center _SP Director</v>
          </cell>
          <cell r="Z737" t="str">
            <v>Undersecretary</v>
          </cell>
          <cell r="AA737" t="str">
            <v>DG - C</v>
          </cell>
        </row>
        <row r="738">
          <cell r="A738">
            <v>1584</v>
          </cell>
          <cell r="B738">
            <v>1584</v>
          </cell>
          <cell r="C738" t="str">
            <v>A</v>
          </cell>
          <cell r="D738" t="str">
            <v>Hanan Mohammed AlBlooshi</v>
          </cell>
          <cell r="E738" t="str">
            <v>حنان محمد البلوشي</v>
          </cell>
          <cell r="F738">
            <v>44297</v>
          </cell>
          <cell r="G738" t="str">
            <v>50000371</v>
          </cell>
          <cell r="H738" t="str">
            <v>General Services Specialist</v>
          </cell>
          <cell r="I738" t="str">
            <v>أخصائي خدمات عامة</v>
          </cell>
          <cell r="J738" t="str">
            <v>On-Chart</v>
          </cell>
          <cell r="K738" t="str">
            <v>DCT Payroll</v>
          </cell>
          <cell r="L738" t="str">
            <v>A1</v>
          </cell>
          <cell r="M738" t="str">
            <v>Department of Culture and Tourism</v>
          </cell>
          <cell r="N738" t="str">
            <v>Support Services</v>
          </cell>
          <cell r="O738" t="str">
            <v>الخدمات المساندة</v>
          </cell>
          <cell r="P738" t="str">
            <v>People &amp; Performance</v>
          </cell>
          <cell r="Q738" t="str">
            <v>إدارة الكوادر البشرية والأداء</v>
          </cell>
          <cell r="R738" t="str">
            <v>Rewards &amp; Policy</v>
          </cell>
          <cell r="S738" t="str">
            <v>المكافآت والسياسات</v>
          </cell>
          <cell r="T738" t="str">
            <v>General Services</v>
          </cell>
          <cell r="U738" t="str">
            <v>الخدمات العامة</v>
          </cell>
          <cell r="V738" t="str">
            <v>Abu Dhabi</v>
          </cell>
          <cell r="W738" t="str">
            <v/>
          </cell>
          <cell r="X738" t="str">
            <v>4510220</v>
          </cell>
          <cell r="Y738" t="str">
            <v>People &amp; Performance _Rewards Policy &amp; Recognition _Professional</v>
          </cell>
          <cell r="Z738" t="str">
            <v>Professional</v>
          </cell>
          <cell r="AA738" t="str">
            <v>4B</v>
          </cell>
        </row>
        <row r="739">
          <cell r="A739">
            <v>1586</v>
          </cell>
          <cell r="B739">
            <v>1586</v>
          </cell>
          <cell r="C739" t="str">
            <v>A</v>
          </cell>
          <cell r="D739" t="str">
            <v>Shamma Mohamed Alameri</v>
          </cell>
          <cell r="E739" t="str">
            <v>شمه محمد العامري</v>
          </cell>
          <cell r="F739">
            <v>44719</v>
          </cell>
          <cell r="G739" t="str">
            <v>50001214</v>
          </cell>
          <cell r="H739" t="str">
            <v>Programming Officer</v>
          </cell>
          <cell r="I739" t="str">
            <v>ضابط برامج</v>
          </cell>
          <cell r="J739" t="str">
            <v>On-Chart</v>
          </cell>
          <cell r="K739" t="str">
            <v>DCT Payroll</v>
          </cell>
          <cell r="L739" t="str">
            <v>A1</v>
          </cell>
          <cell r="M739" t="str">
            <v>Department of Culture and Tourism</v>
          </cell>
          <cell r="N739" t="str">
            <v>Culture</v>
          </cell>
          <cell r="O739" t="str">
            <v>الثقافة</v>
          </cell>
          <cell r="P739" t="str">
            <v>Library Management</v>
          </cell>
          <cell r="Q739" t="str">
            <v>إدارة المكتبات</v>
          </cell>
          <cell r="R739" t="str">
            <v>Branches Library</v>
          </cell>
          <cell r="S739" t="str">
            <v>فروع المكتبات</v>
          </cell>
          <cell r="T739" t="str">
            <v>Programming</v>
          </cell>
          <cell r="U739" t="str">
            <v>برامج المكتبات</v>
          </cell>
          <cell r="V739" t="str">
            <v>Abu Dhabi</v>
          </cell>
          <cell r="W739" t="str">
            <v/>
          </cell>
          <cell r="X739" t="str">
            <v>4516100</v>
          </cell>
          <cell r="Y739" t="str">
            <v>Interpretation &amp; Engagement_Library Service Delivery (Librarian)_Professional</v>
          </cell>
          <cell r="Z739" t="str">
            <v>Professional</v>
          </cell>
          <cell r="AA739" t="str">
            <v>4A</v>
          </cell>
        </row>
        <row r="740">
          <cell r="A740">
            <v>1587</v>
          </cell>
          <cell r="B740">
            <v>1587</v>
          </cell>
          <cell r="C740" t="str">
            <v>A</v>
          </cell>
          <cell r="D740" t="str">
            <v>Kimberly Ralene Moinette</v>
          </cell>
          <cell r="E740" t="str">
            <v>كيمبرلى رالن  موينت</v>
          </cell>
          <cell r="F740">
            <v>44409</v>
          </cell>
          <cell r="G740" t="str">
            <v>50001113</v>
          </cell>
          <cell r="H740" t="str">
            <v>Acquisition &amp; Commission Manager - Guggenheim Abu Dhabi</v>
          </cell>
          <cell r="I740" t="str">
            <v>مدير الاقتناء والتفويض - متحف جوجنهايم أبوظبي</v>
          </cell>
          <cell r="J740" t="str">
            <v>On-Chart</v>
          </cell>
          <cell r="K740" t="str">
            <v>MSS Direct Hires</v>
          </cell>
          <cell r="L740" t="str">
            <v>M1</v>
          </cell>
          <cell r="M740" t="str">
            <v>Department of Culture and Tourism</v>
          </cell>
          <cell r="N740" t="str">
            <v>Culture</v>
          </cell>
          <cell r="O740" t="str">
            <v>الثقافة</v>
          </cell>
          <cell r="P740" t="str">
            <v>Guggenheim Abu Dhabi Museum</v>
          </cell>
          <cell r="Q740" t="str">
            <v>متحف جوجينهايم أبوظبي</v>
          </cell>
          <cell r="R740" t="str">
            <v>Guggenheim Abu Dhabi</v>
          </cell>
          <cell r="S740" t="str">
            <v>جوجينهايم أبوظبي</v>
          </cell>
          <cell r="T740" t="str">
            <v/>
          </cell>
          <cell r="U740" t="str">
            <v/>
          </cell>
          <cell r="V740" t="str">
            <v>Abu Dhabi</v>
          </cell>
          <cell r="W740" t="str">
            <v/>
          </cell>
          <cell r="X740" t="str">
            <v>4510410</v>
          </cell>
          <cell r="Y740" t="str">
            <v>Compliance,Governance&amp;Protocol_Policy  (Culture &amp; Tourism)_Unit Head</v>
          </cell>
          <cell r="Z740" t="str">
            <v>Unit Head</v>
          </cell>
          <cell r="AA740" t="str">
            <v>3A</v>
          </cell>
        </row>
        <row r="741">
          <cell r="A741">
            <v>1589</v>
          </cell>
          <cell r="B741">
            <v>1589</v>
          </cell>
          <cell r="C741" t="str">
            <v>A</v>
          </cell>
          <cell r="D741" t="str">
            <v>Suad Rashid Alketbi</v>
          </cell>
          <cell r="E741" t="str">
            <v>سعاد راشد الكتبي</v>
          </cell>
          <cell r="F741">
            <v>44437</v>
          </cell>
          <cell r="G741" t="str">
            <v>50001238</v>
          </cell>
          <cell r="H741" t="str">
            <v>Library Services Delivery Assistant</v>
          </cell>
          <cell r="I741" t="str">
            <v>مساعد تقديم الخدمات المكتبية</v>
          </cell>
          <cell r="J741" t="str">
            <v>On-Chart</v>
          </cell>
          <cell r="K741" t="str">
            <v>ALC Direct Hires</v>
          </cell>
          <cell r="L741" t="str">
            <v>AL1</v>
          </cell>
          <cell r="M741" t="str">
            <v>Abu Dhabi Arabic Language Centre</v>
          </cell>
          <cell r="N741" t="str">
            <v>Abu Dhabi Arabic Language Centre</v>
          </cell>
          <cell r="O741" t="str">
            <v>مركز أبوظبي للغة العربية</v>
          </cell>
          <cell r="P741" t="str">
            <v>Specialized Library</v>
          </cell>
          <cell r="Q741" t="str">
            <v>المكتبات المتخصصة</v>
          </cell>
          <cell r="R741" t="str">
            <v>Library Services - ALC</v>
          </cell>
          <cell r="S741" t="str">
            <v>الخدمات المكتبية</v>
          </cell>
          <cell r="T741" t="str">
            <v>Library Services Delivery</v>
          </cell>
          <cell r="U741" t="str">
            <v>تقديم الخدمات المكتبية</v>
          </cell>
          <cell r="V741" t="str">
            <v>Abu Dhabi</v>
          </cell>
          <cell r="W741" t="str">
            <v/>
          </cell>
          <cell r="X741" t="str">
            <v>4519202</v>
          </cell>
          <cell r="Y741" t="str">
            <v>Operations_Library Operational  Management _Professional Assistant</v>
          </cell>
          <cell r="Z741" t="str">
            <v>Jr. Professional Assistant</v>
          </cell>
          <cell r="AA741" t="str">
            <v>6A</v>
          </cell>
        </row>
        <row r="742">
          <cell r="A742">
            <v>1596</v>
          </cell>
          <cell r="B742">
            <v>1596</v>
          </cell>
          <cell r="C742" t="str">
            <v>A</v>
          </cell>
          <cell r="D742" t="str">
            <v>Bilel Abboudi</v>
          </cell>
          <cell r="E742" t="str">
            <v>بلال  العبودي</v>
          </cell>
          <cell r="F742">
            <v>44493</v>
          </cell>
          <cell r="G742" t="str">
            <v>50000508</v>
          </cell>
          <cell r="H742" t="str">
            <v>Culture Policy Lead</v>
          </cell>
          <cell r="I742" t="str">
            <v>أخصائي رئيسي سياسات الثقافة</v>
          </cell>
          <cell r="J742" t="str">
            <v>On-Chart</v>
          </cell>
          <cell r="K742" t="str">
            <v>DCT Payroll</v>
          </cell>
          <cell r="L742" t="str">
            <v>A1</v>
          </cell>
          <cell r="M742" t="str">
            <v>Department of Culture and Tourism</v>
          </cell>
          <cell r="N742" t="str">
            <v>Culture</v>
          </cell>
          <cell r="O742" t="str">
            <v>الثقافة</v>
          </cell>
          <cell r="P742" t="str">
            <v>Culture Sector Policy and Development Office</v>
          </cell>
          <cell r="Q742" t="str">
            <v>مكتب إدارة سياسة وتطوير قطاع الثقافة</v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>Abu Dhabi</v>
          </cell>
          <cell r="W742" t="str">
            <v/>
          </cell>
          <cell r="X742" t="str">
            <v>4511150</v>
          </cell>
          <cell r="Y742" t="str">
            <v>Compliance,Governance&amp;Protocol_Policy  (Culture &amp; Tourism)_Unit Head</v>
          </cell>
          <cell r="Z742" t="str">
            <v>Unit Head</v>
          </cell>
          <cell r="AA742" t="str">
            <v>3B</v>
          </cell>
        </row>
        <row r="743">
          <cell r="A743">
            <v>1598</v>
          </cell>
          <cell r="B743">
            <v>1598</v>
          </cell>
          <cell r="C743" t="str">
            <v>A</v>
          </cell>
          <cell r="D743" t="str">
            <v>Musaab Abdulla Alhosani</v>
          </cell>
          <cell r="E743" t="str">
            <v>مصعب عبدالله الحوسني</v>
          </cell>
          <cell r="F743">
            <v>44516</v>
          </cell>
          <cell r="G743" t="str">
            <v>10009459</v>
          </cell>
          <cell r="H743" t="str">
            <v>Operations Management Specialist</v>
          </cell>
          <cell r="I743" t="str">
            <v>أخصائي إدارة العمليات</v>
          </cell>
          <cell r="J743" t="str">
            <v>On-Chart</v>
          </cell>
          <cell r="K743" t="str">
            <v>ALC Direct Hires</v>
          </cell>
          <cell r="L743" t="str">
            <v>AL1</v>
          </cell>
          <cell r="M743" t="str">
            <v>Abu Dhabi Arabic Language Centre</v>
          </cell>
          <cell r="N743" t="str">
            <v>Abu Dhabi Arabic Language Centre</v>
          </cell>
          <cell r="O743" t="str">
            <v>مركز أبوظبي للغة العربية</v>
          </cell>
          <cell r="P743" t="str">
            <v>Book Fairs &amp; Events</v>
          </cell>
          <cell r="Q743" t="str">
            <v>الفعاليات ومعارض الكتب</v>
          </cell>
          <cell r="R743" t="str">
            <v>Operations Management</v>
          </cell>
          <cell r="S743" t="str">
            <v>إدارة العمليات</v>
          </cell>
          <cell r="T743" t="str">
            <v/>
          </cell>
          <cell r="U743" t="str">
            <v/>
          </cell>
          <cell r="V743" t="str">
            <v>Abu Dhabi</v>
          </cell>
          <cell r="W743" t="str">
            <v/>
          </cell>
          <cell r="X743" t="str">
            <v>4519200</v>
          </cell>
          <cell r="Y743" t="str">
            <v>Interpretation &amp; Engagement_Arabic Language Forum &amp; Events _Professional</v>
          </cell>
          <cell r="Z743" t="str">
            <v>Senior Professional</v>
          </cell>
          <cell r="AA743" t="str">
            <v>3A</v>
          </cell>
        </row>
        <row r="744">
          <cell r="A744">
            <v>1599</v>
          </cell>
          <cell r="B744">
            <v>1599</v>
          </cell>
          <cell r="C744" t="str">
            <v>A</v>
          </cell>
          <cell r="D744" t="str">
            <v>Mariam Bader AlZarooni</v>
          </cell>
          <cell r="E744" t="str">
            <v>مريم بدر الزرعوني</v>
          </cell>
          <cell r="F744">
            <v>44493</v>
          </cell>
          <cell r="G744" t="str">
            <v>10010529</v>
          </cell>
          <cell r="H744" t="str">
            <v>Exhibitor Relations Specialist</v>
          </cell>
          <cell r="I744" t="str">
            <v>أخصائي علاقات العارضين</v>
          </cell>
          <cell r="J744" t="str">
            <v>On-Chart</v>
          </cell>
          <cell r="K744" t="str">
            <v>DCT Payroll</v>
          </cell>
          <cell r="L744" t="str">
            <v>A1</v>
          </cell>
          <cell r="M744" t="str">
            <v>Department of Culture and Tourism</v>
          </cell>
          <cell r="N744" t="str">
            <v>Culture</v>
          </cell>
          <cell r="O744" t="str">
            <v>الثقافة</v>
          </cell>
          <cell r="P744" t="str">
            <v>Culture Programming</v>
          </cell>
          <cell r="Q744" t="str">
            <v>البرامج الثقافية</v>
          </cell>
          <cell r="R744" t="str">
            <v>Abu Dhabi Art</v>
          </cell>
          <cell r="S744" t="str">
            <v>فن أبوظبي</v>
          </cell>
          <cell r="T744" t="str">
            <v>Abu Dhabi Art Gallery &amp; Project</v>
          </cell>
          <cell r="U744" t="str">
            <v>معرض ومشروع فن أبوظبي</v>
          </cell>
          <cell r="V744" t="str">
            <v>Abu Dhabi</v>
          </cell>
          <cell r="W744" t="str">
            <v/>
          </cell>
          <cell r="X744" t="str">
            <v>4511700</v>
          </cell>
          <cell r="Y744" t="str">
            <v>Compliance,Governance&amp;Protocol_Policy (Culture/Tourism) _Professional</v>
          </cell>
          <cell r="Z744" t="str">
            <v>Professional</v>
          </cell>
          <cell r="AA744" t="str">
            <v>4B</v>
          </cell>
        </row>
        <row r="745">
          <cell r="A745">
            <v>1600</v>
          </cell>
          <cell r="B745">
            <v>1600</v>
          </cell>
          <cell r="C745" t="str">
            <v>A</v>
          </cell>
          <cell r="D745" t="str">
            <v>Mariam Mohammed AlJneibi</v>
          </cell>
          <cell r="E745" t="str">
            <v>مريم محمد الجنيبي</v>
          </cell>
          <cell r="F745">
            <v>44493</v>
          </cell>
          <cell r="G745" t="str">
            <v>50001307</v>
          </cell>
          <cell r="H745" t="str">
            <v>ICH Retail &amp; Market Development Officer</v>
          </cell>
          <cell r="I745" t="str">
            <v>مسؤول تطوير أسواق التجزئة والأسواق بالتراث الثقافي المعنوي</v>
          </cell>
          <cell r="J745" t="str">
            <v>On-Chart</v>
          </cell>
          <cell r="K745" t="str">
            <v>DCT Payroll</v>
          </cell>
          <cell r="L745" t="str">
            <v>A1</v>
          </cell>
          <cell r="M745" t="str">
            <v>Department of Culture and Tourism</v>
          </cell>
          <cell r="N745" t="str">
            <v>Culture</v>
          </cell>
          <cell r="O745" t="str">
            <v>الثقافة</v>
          </cell>
          <cell r="P745" t="str">
            <v>Intangible Cultural Heritage</v>
          </cell>
          <cell r="Q745" t="str">
            <v>التراث الثقافي المعنوي</v>
          </cell>
          <cell r="R745" t="str">
            <v>ICH Retail &amp; Market Development</v>
          </cell>
          <cell r="S745" t="str">
            <v>تطوير سوق التراث الثقافي المعنوي والبيع بالتجزئة</v>
          </cell>
          <cell r="T745" t="str">
            <v/>
          </cell>
          <cell r="U745" t="str">
            <v/>
          </cell>
          <cell r="V745" t="str">
            <v>Abu Dhabi</v>
          </cell>
          <cell r="W745" t="str">
            <v/>
          </cell>
          <cell r="X745" t="str">
            <v>4511600</v>
          </cell>
          <cell r="Y745" t="str">
            <v>Content &amp; Care_World Heritage Sites Planning &amp; Monitoring _Professional</v>
          </cell>
          <cell r="Z745" t="str">
            <v>Professional</v>
          </cell>
          <cell r="AA745" t="str">
            <v>4B</v>
          </cell>
        </row>
        <row r="746">
          <cell r="A746">
            <v>1602</v>
          </cell>
          <cell r="B746">
            <v>1602</v>
          </cell>
          <cell r="C746" t="str">
            <v>A</v>
          </cell>
          <cell r="D746" t="str">
            <v>Priyanka Jeganathan</v>
          </cell>
          <cell r="E746" t="str">
            <v>بريانكا  كانداسوامى</v>
          </cell>
          <cell r="F746">
            <v>44501</v>
          </cell>
          <cell r="G746" t="str">
            <v>10009805</v>
          </cell>
          <cell r="H746" t="str">
            <v>Senior Data Scientist</v>
          </cell>
          <cell r="I746" t="str">
            <v>أخصائي أول علم البيانات</v>
          </cell>
          <cell r="J746" t="str">
            <v>On-Chart</v>
          </cell>
          <cell r="K746" t="str">
            <v>DCT Payroll</v>
          </cell>
          <cell r="L746" t="str">
            <v>A1</v>
          </cell>
          <cell r="M746" t="str">
            <v>Department of Culture and Tourism</v>
          </cell>
          <cell r="N746" t="str">
            <v>Strategic Affairs</v>
          </cell>
          <cell r="O746" t="str">
            <v>الشؤون الاستراتيجية</v>
          </cell>
          <cell r="P746" t="str">
            <v>Data &amp; AI Department</v>
          </cell>
          <cell r="Q746" t="str">
            <v>إدارة البيانات والذكاء الاصطناعي</v>
          </cell>
          <cell r="R746" t="str">
            <v>Artificial Intelligence Section</v>
          </cell>
          <cell r="S746" t="str">
            <v>التحليل وعلم البيانات</v>
          </cell>
          <cell r="T746" t="str">
            <v>Data Science</v>
          </cell>
          <cell r="U746" t="str">
            <v>علم البيانات</v>
          </cell>
          <cell r="V746" t="str">
            <v>Abu Dhabi</v>
          </cell>
          <cell r="W746" t="str">
            <v/>
          </cell>
          <cell r="X746" t="str">
            <v>4512200</v>
          </cell>
          <cell r="Y746" t="str">
            <v>Strategy, Planning, Project Mgt_Business &amp; Market Intelligence  Analysis &amp; Planning_Senior Professional</v>
          </cell>
          <cell r="Z746" t="str">
            <v>Senior Professional</v>
          </cell>
          <cell r="AA746" t="str">
            <v>3A</v>
          </cell>
        </row>
        <row r="747">
          <cell r="A747">
            <v>1604</v>
          </cell>
          <cell r="B747">
            <v>1604</v>
          </cell>
          <cell r="C747" t="str">
            <v>A</v>
          </cell>
          <cell r="D747" t="str">
            <v>Alia Saeed Amer</v>
          </cell>
          <cell r="E747" t="str">
            <v>عاليا سعيد عامر</v>
          </cell>
          <cell r="F747">
            <v>44507</v>
          </cell>
          <cell r="G747" t="str">
            <v>50001217</v>
          </cell>
          <cell r="H747" t="str">
            <v>Senior Business Analyst</v>
          </cell>
          <cell r="I747" t="str">
            <v>محلل أول أعمال</v>
          </cell>
          <cell r="J747" t="str">
            <v>On-Chart</v>
          </cell>
          <cell r="K747" t="str">
            <v>DCT Payroll</v>
          </cell>
          <cell r="L747" t="str">
            <v>A1</v>
          </cell>
          <cell r="M747" t="str">
            <v>Department of Culture and Tourism</v>
          </cell>
          <cell r="N747" t="str">
            <v>Strategic Affairs</v>
          </cell>
          <cell r="O747" t="str">
            <v>الشؤون الاستراتيجية</v>
          </cell>
          <cell r="P747" t="str">
            <v>Data &amp; AI Department</v>
          </cell>
          <cell r="Q747" t="str">
            <v>إدارة البيانات والذكاء الاصطناعي</v>
          </cell>
          <cell r="R747" t="str">
            <v>Business Intelligence Section</v>
          </cell>
          <cell r="S747" t="str">
            <v>قسم الاستخبارات التجارية</v>
          </cell>
          <cell r="T747" t="str">
            <v>Business Analytics</v>
          </cell>
          <cell r="U747" t="str">
            <v>تحليلات الأعمال</v>
          </cell>
          <cell r="V747" t="str">
            <v>Abu Dhabi</v>
          </cell>
          <cell r="W747" t="str">
            <v/>
          </cell>
          <cell r="X747" t="str">
            <v>4512200</v>
          </cell>
          <cell r="Y747" t="str">
            <v>Strategy, Planning, Project Mgt_Business &amp; Market Intelligence  Analysis &amp; Planning_Senior Professional</v>
          </cell>
          <cell r="Z747" t="str">
            <v>Senior Professional</v>
          </cell>
          <cell r="AA747" t="str">
            <v>3A</v>
          </cell>
        </row>
        <row r="748">
          <cell r="A748">
            <v>1605</v>
          </cell>
          <cell r="B748">
            <v>1605</v>
          </cell>
          <cell r="C748" t="str">
            <v>A</v>
          </cell>
          <cell r="D748" t="str">
            <v>Zuhoor Ahmed AlSayegh</v>
          </cell>
          <cell r="E748" t="str">
            <v>زهور أحمد الصايغ</v>
          </cell>
          <cell r="F748">
            <v>44536</v>
          </cell>
          <cell r="G748" t="str">
            <v>50000636</v>
          </cell>
          <cell r="H748" t="str">
            <v>Assistant Curator</v>
          </cell>
          <cell r="I748" t="str">
            <v>مساعد أمين متحف</v>
          </cell>
          <cell r="J748" t="str">
            <v>On-Chart</v>
          </cell>
          <cell r="K748" t="str">
            <v>DCT Payroll</v>
          </cell>
          <cell r="L748" t="str">
            <v>A1</v>
          </cell>
          <cell r="M748" t="str">
            <v>Department of Culture and Tourism</v>
          </cell>
          <cell r="N748" t="str">
            <v>Culture</v>
          </cell>
          <cell r="O748" t="str">
            <v>الثقافة</v>
          </cell>
          <cell r="P748" t="str">
            <v>Culture Sites Management</v>
          </cell>
          <cell r="Q748" t="str">
            <v>إدارة المواقع الثقافية</v>
          </cell>
          <cell r="R748" t="str">
            <v>Cultural Foundation</v>
          </cell>
          <cell r="S748" t="str">
            <v>المجمع الثقافي</v>
          </cell>
          <cell r="T748" t="str">
            <v>Exhibitions</v>
          </cell>
          <cell r="U748" t="str">
            <v>المعارض</v>
          </cell>
          <cell r="V748" t="str">
            <v>Abu Dhabi</v>
          </cell>
          <cell r="W748" t="str">
            <v/>
          </cell>
          <cell r="X748" t="str">
            <v>4511250</v>
          </cell>
          <cell r="Y748" t="str">
            <v>Compliance,Governance&amp;Protocol_Policy (Culture/Tourism _Senior Professional</v>
          </cell>
          <cell r="Z748" t="str">
            <v>Professional</v>
          </cell>
          <cell r="AA748" t="str">
            <v>4A</v>
          </cell>
        </row>
        <row r="749">
          <cell r="A749">
            <v>1607</v>
          </cell>
          <cell r="B749">
            <v>1607</v>
          </cell>
          <cell r="C749" t="str">
            <v>A</v>
          </cell>
          <cell r="D749" t="str">
            <v>Reem Mustafa AlHosani</v>
          </cell>
          <cell r="E749" t="str">
            <v>ريم مصطفى الحوسني</v>
          </cell>
          <cell r="F749">
            <v>44515</v>
          </cell>
          <cell r="G749" t="str">
            <v>10009943</v>
          </cell>
          <cell r="H749" t="str">
            <v>Products Design &amp; Development Specialist</v>
          </cell>
          <cell r="I749" t="str">
            <v>أخصائي تصميم وتطوير المنتجات</v>
          </cell>
          <cell r="J749" t="str">
            <v>On-Chart</v>
          </cell>
          <cell r="K749" t="str">
            <v>DCT Payroll</v>
          </cell>
          <cell r="L749" t="str">
            <v>A1</v>
          </cell>
          <cell r="M749" t="str">
            <v>Department of Culture and Tourism</v>
          </cell>
          <cell r="N749" t="str">
            <v>Culture</v>
          </cell>
          <cell r="O749" t="str">
            <v>الثقافة</v>
          </cell>
          <cell r="P749" t="str">
            <v>Culture Sites Management</v>
          </cell>
          <cell r="Q749" t="str">
            <v>إدارة المواقع الثقافية</v>
          </cell>
          <cell r="R749" t="str">
            <v>House of Artisans</v>
          </cell>
          <cell r="S749" t="str">
            <v>بيت الحرفيين</v>
          </cell>
          <cell r="T749" t="str">
            <v>Products Design/Research &amp; Brand Partnerships</v>
          </cell>
          <cell r="U749" t="str">
            <v>تصميم المنتجات والشراكات</v>
          </cell>
          <cell r="V749" t="str">
            <v>Abu Dhabi</v>
          </cell>
          <cell r="W749" t="str">
            <v/>
          </cell>
          <cell r="X749" t="str">
            <v>4511250</v>
          </cell>
          <cell r="Y749" t="str">
            <v>Compliance,Governance&amp;Protocol_Policy (Culture/Tourism _Senior Professional</v>
          </cell>
          <cell r="Z749" t="str">
            <v>Professional</v>
          </cell>
          <cell r="AA749" t="str">
            <v>4B</v>
          </cell>
        </row>
        <row r="750">
          <cell r="A750">
            <v>1608</v>
          </cell>
          <cell r="B750">
            <v>1608</v>
          </cell>
          <cell r="C750" t="str">
            <v>A</v>
          </cell>
          <cell r="D750" t="str">
            <v>Azza Abdullah AlSharif</v>
          </cell>
          <cell r="E750" t="str">
            <v>عزه عبدالله الشريف</v>
          </cell>
          <cell r="F750">
            <v>44515</v>
          </cell>
          <cell r="G750" t="str">
            <v>50001433</v>
          </cell>
          <cell r="H750" t="str">
            <v>Products Design &amp; Development Senior Specialist</v>
          </cell>
          <cell r="I750" t="str">
            <v>أخصائي أول تصميم وتطوير المنتجات</v>
          </cell>
          <cell r="J750" t="str">
            <v>On-Chart</v>
          </cell>
          <cell r="K750" t="str">
            <v>DCT Payroll</v>
          </cell>
          <cell r="L750" t="str">
            <v>A1</v>
          </cell>
          <cell r="M750" t="str">
            <v>Department of Culture and Tourism</v>
          </cell>
          <cell r="N750" t="str">
            <v>Culture</v>
          </cell>
          <cell r="O750" t="str">
            <v>الثقافة</v>
          </cell>
          <cell r="P750" t="str">
            <v>Culture Sites Management</v>
          </cell>
          <cell r="Q750" t="str">
            <v>إدارة المواقع الثقافية</v>
          </cell>
          <cell r="R750" t="str">
            <v>House of Artisans</v>
          </cell>
          <cell r="S750" t="str">
            <v>بيت الحرفيين</v>
          </cell>
          <cell r="T750" t="str">
            <v>Products Design/Research &amp; Brand Partnerships</v>
          </cell>
          <cell r="U750" t="str">
            <v>تصميم المنتجات والشراكات</v>
          </cell>
          <cell r="V750" t="str">
            <v>Abu Dhabi</v>
          </cell>
          <cell r="W750" t="str">
            <v/>
          </cell>
          <cell r="X750" t="str">
            <v>4511250</v>
          </cell>
          <cell r="Y750" t="str">
            <v>Compliance,Governance&amp;Protocol_Policy (Culture/Tourism _Senior Professional</v>
          </cell>
          <cell r="Z750" t="str">
            <v>Senior Professional</v>
          </cell>
          <cell r="AA750" t="str">
            <v>3A</v>
          </cell>
        </row>
        <row r="751">
          <cell r="A751">
            <v>1609</v>
          </cell>
          <cell r="B751">
            <v>1609</v>
          </cell>
          <cell r="C751" t="str">
            <v>A</v>
          </cell>
          <cell r="D751" t="str">
            <v>Noura Mohamed Alhosani</v>
          </cell>
          <cell r="E751" t="str">
            <v>نوره محمد الحوسني</v>
          </cell>
          <cell r="F751">
            <v>44535</v>
          </cell>
          <cell r="G751" t="str">
            <v>50003994</v>
          </cell>
          <cell r="H751" t="str">
            <v>Translation Officer</v>
          </cell>
          <cell r="I751" t="str">
            <v>ضابط الترجمة</v>
          </cell>
          <cell r="J751" t="str">
            <v>On-Chart</v>
          </cell>
          <cell r="K751" t="str">
            <v>ALC Direct Hires</v>
          </cell>
          <cell r="L751" t="str">
            <v>AL1</v>
          </cell>
          <cell r="M751" t="str">
            <v>Abu Dhabi Arabic Language Centre</v>
          </cell>
          <cell r="N751" t="str">
            <v>Abu Dhabi Arabic Language Centre</v>
          </cell>
          <cell r="O751" t="str">
            <v>مركز أبوظبي للغة العربية</v>
          </cell>
          <cell r="P751" t="str">
            <v>Creative Content</v>
          </cell>
          <cell r="Q751" t="str">
            <v>المحتوى الإبداعي</v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>Abu Dhabi</v>
          </cell>
          <cell r="W751" t="str">
            <v/>
          </cell>
          <cell r="X751" t="str">
            <v>4519199</v>
          </cell>
          <cell r="Y751" t="str">
            <v>Interpretation &amp; Engagement_Arabic Language Research &amp; Studies_Professional</v>
          </cell>
          <cell r="Z751" t="str">
            <v>Jr. Professional Assistant</v>
          </cell>
          <cell r="AA751" t="str">
            <v>4C</v>
          </cell>
        </row>
        <row r="752">
          <cell r="A752">
            <v>1610</v>
          </cell>
          <cell r="B752">
            <v>1610</v>
          </cell>
          <cell r="C752" t="str">
            <v>A</v>
          </cell>
          <cell r="D752" t="str">
            <v>Antoine Elias Zeynoun</v>
          </cell>
          <cell r="E752" t="str">
            <v>انطوان الياس زينون</v>
          </cell>
          <cell r="F752">
            <v>44523</v>
          </cell>
          <cell r="G752" t="str">
            <v>50000620</v>
          </cell>
          <cell r="H752" t="str">
            <v>Project Manager Capital Projects</v>
          </cell>
          <cell r="I752" t="str">
            <v>ضابط اول مشاريع المعارض</v>
          </cell>
          <cell r="J752" t="str">
            <v>On-Chart</v>
          </cell>
          <cell r="K752" t="str">
            <v>DCT Payroll</v>
          </cell>
          <cell r="L752" t="str">
            <v>A1</v>
          </cell>
          <cell r="M752" t="str">
            <v>Department of Culture and Tourism</v>
          </cell>
          <cell r="N752" t="str">
            <v>Culture</v>
          </cell>
          <cell r="O752" t="str">
            <v>الثقافة</v>
          </cell>
          <cell r="P752" t="str">
            <v>Culture Sector Policy and Development Office</v>
          </cell>
          <cell r="Q752" t="str">
            <v>مكتب إدارة سياسة وتطوير قطاع الثقافة</v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>Abu Dhabi</v>
          </cell>
          <cell r="W752" t="str">
            <v/>
          </cell>
          <cell r="X752" t="str">
            <v>4511150</v>
          </cell>
          <cell r="Y752" t="str">
            <v>Compliance,Governance&amp;Protocol_Policy  (Culture &amp; Tourism)_Unit Head</v>
          </cell>
          <cell r="Z752" t="str">
            <v>Unit Head</v>
          </cell>
          <cell r="AA752" t="str">
            <v>3B</v>
          </cell>
        </row>
        <row r="753">
          <cell r="A753">
            <v>1611</v>
          </cell>
          <cell r="B753">
            <v>1611</v>
          </cell>
          <cell r="C753" t="str">
            <v>A</v>
          </cell>
          <cell r="D753" t="str">
            <v>Wadha Mohamed Almaeeni</v>
          </cell>
          <cell r="E753" t="str">
            <v>وضحى محمد المعيني</v>
          </cell>
          <cell r="F753">
            <v>44516</v>
          </cell>
          <cell r="G753" t="str">
            <v>50001107</v>
          </cell>
          <cell r="H753" t="str">
            <v>Marketing Officer</v>
          </cell>
          <cell r="I753" t="str">
            <v>ضابط التسويق</v>
          </cell>
          <cell r="J753" t="str">
            <v>On-Chart</v>
          </cell>
          <cell r="K753" t="str">
            <v>ALC Direct Hires</v>
          </cell>
          <cell r="L753" t="str">
            <v>AL1</v>
          </cell>
          <cell r="M753" t="str">
            <v>Abu Dhabi Arabic Language Centre</v>
          </cell>
          <cell r="N753" t="str">
            <v>Abu Dhabi Arabic Language Centre</v>
          </cell>
          <cell r="O753" t="str">
            <v>مركز أبوظبي للغة العربية</v>
          </cell>
          <cell r="P753" t="str">
            <v>Marketing &amp; Communications</v>
          </cell>
          <cell r="Q753" t="str">
            <v>التسويق والاتصال</v>
          </cell>
          <cell r="R753" t="str">
            <v>Brand Development</v>
          </cell>
          <cell r="S753" t="str">
            <v>تطوير الهوية المؤسسية</v>
          </cell>
          <cell r="T753" t="str">
            <v>Brand Planning - ALC</v>
          </cell>
          <cell r="U753" t="str">
            <v>تخطيط الهوية المؤسسية</v>
          </cell>
          <cell r="V753" t="str">
            <v>Abu Dhabi</v>
          </cell>
          <cell r="W753" t="str">
            <v/>
          </cell>
          <cell r="X753" t="str">
            <v>4519196</v>
          </cell>
          <cell r="Y753" t="str">
            <v>Comms &amp; Marketing _Marketing &amp; Communications (All)_Professional</v>
          </cell>
          <cell r="Z753" t="str">
            <v>Professional</v>
          </cell>
          <cell r="AA753" t="str">
            <v>4B</v>
          </cell>
        </row>
        <row r="754">
          <cell r="A754">
            <v>1612</v>
          </cell>
          <cell r="B754">
            <v>1612</v>
          </cell>
          <cell r="C754" t="str">
            <v>A</v>
          </cell>
          <cell r="D754" t="str">
            <v>Mohamed Hassan Ghazal</v>
          </cell>
          <cell r="E754" t="str">
            <v>محمد حسن غزال</v>
          </cell>
          <cell r="F754">
            <v>44535</v>
          </cell>
          <cell r="G754" t="str">
            <v>50001233</v>
          </cell>
          <cell r="H754" t="str">
            <v>Arabic Language Learning &amp; Specialized Programmes Section Head</v>
          </cell>
          <cell r="I754" t="str">
            <v>رئيس قسم تعليم اللغة العربية والبرامج المخصصة</v>
          </cell>
          <cell r="J754" t="str">
            <v>On-Chart</v>
          </cell>
          <cell r="K754" t="str">
            <v>ALC Direct Hires</v>
          </cell>
          <cell r="L754" t="str">
            <v>AL1</v>
          </cell>
          <cell r="M754" t="str">
            <v>Abu Dhabi Arabic Language Centre</v>
          </cell>
          <cell r="N754" t="str">
            <v>Abu Dhabi Arabic Language Centre</v>
          </cell>
          <cell r="O754" t="str">
            <v>مركز أبوظبي للغة العربية</v>
          </cell>
          <cell r="P754" t="str">
            <v>Arabic Language Education &amp; Research</v>
          </cell>
          <cell r="Q754" t="str">
            <v>التعليم وبحوث اللغة العربية</v>
          </cell>
          <cell r="R754" t="str">
            <v>Arabic Language Learning &amp; Specialized Programmes</v>
          </cell>
          <cell r="S754" t="str">
            <v>تعليم اللغة العربية والبرامج المخصصة</v>
          </cell>
          <cell r="T754" t="str">
            <v/>
          </cell>
          <cell r="U754" t="str">
            <v/>
          </cell>
          <cell r="V754" t="str">
            <v>Abu Dhabi</v>
          </cell>
          <cell r="W754" t="str">
            <v/>
          </cell>
          <cell r="X754" t="str">
            <v>4519197</v>
          </cell>
          <cell r="Y754" t="str">
            <v>Interpretation &amp; Engagement_Arabic Language Learning &amp; Specialized Programmes _Section Manager</v>
          </cell>
          <cell r="Z754" t="str">
            <v>Section Manager</v>
          </cell>
          <cell r="AA754" t="str">
            <v>2A</v>
          </cell>
        </row>
        <row r="755">
          <cell r="A755">
            <v>1613</v>
          </cell>
          <cell r="B755">
            <v>1613</v>
          </cell>
          <cell r="C755" t="str">
            <v>A</v>
          </cell>
          <cell r="D755" t="str">
            <v>Tarek Rashed</v>
          </cell>
          <cell r="E755" t="str">
            <v>طارق  راشد</v>
          </cell>
          <cell r="F755">
            <v>44535</v>
          </cell>
          <cell r="G755" t="str">
            <v>50000386</v>
          </cell>
          <cell r="H755" t="str">
            <v>Arabic Language Research &amp; Studies Section Head</v>
          </cell>
          <cell r="I755" t="str">
            <v>رئيس قسم بحوث ودراسات اللغة العربية</v>
          </cell>
          <cell r="J755" t="str">
            <v>On-Chart</v>
          </cell>
          <cell r="K755" t="str">
            <v>ALC Direct Hires</v>
          </cell>
          <cell r="L755" t="str">
            <v>AL1</v>
          </cell>
          <cell r="M755" t="str">
            <v>Abu Dhabi Arabic Language Centre</v>
          </cell>
          <cell r="N755" t="str">
            <v>Abu Dhabi Arabic Language Centre</v>
          </cell>
          <cell r="O755" t="str">
            <v>مركز أبوظبي للغة العربية</v>
          </cell>
          <cell r="P755" t="str">
            <v>Arabic Language Education &amp; Research</v>
          </cell>
          <cell r="Q755" t="str">
            <v>التعليم وبحوث اللغة العربية</v>
          </cell>
          <cell r="R755" t="str">
            <v>Arabic Language Research &amp; Studies</v>
          </cell>
          <cell r="S755" t="str">
            <v>بحوث ودراسات اللغة العربية</v>
          </cell>
          <cell r="T755" t="str">
            <v/>
          </cell>
          <cell r="U755" t="str">
            <v/>
          </cell>
          <cell r="V755" t="str">
            <v>Abu Dhabi</v>
          </cell>
          <cell r="W755" t="str">
            <v/>
          </cell>
          <cell r="X755" t="str">
            <v>4519197</v>
          </cell>
          <cell r="Y755" t="str">
            <v>Interpretation &amp; Engagement_Arabic Language Research &amp; Studies _Section Manager</v>
          </cell>
          <cell r="Z755" t="str">
            <v>Section Manager</v>
          </cell>
          <cell r="AA755" t="str">
            <v>2A</v>
          </cell>
        </row>
        <row r="756">
          <cell r="A756">
            <v>1614</v>
          </cell>
          <cell r="B756">
            <v>1614</v>
          </cell>
          <cell r="C756" t="str">
            <v>A</v>
          </cell>
          <cell r="D756" t="str">
            <v>Ahmed Ali AlShimmari</v>
          </cell>
          <cell r="E756" t="str">
            <v>أحمد علي الشمري</v>
          </cell>
          <cell r="F756">
            <v>44529</v>
          </cell>
          <cell r="G756" t="str">
            <v>50004133</v>
          </cell>
          <cell r="H756" t="str">
            <v>Visitor Experience Coordinator</v>
          </cell>
          <cell r="I756" t="str">
            <v>منسق تجربة الزوار</v>
          </cell>
          <cell r="J756" t="str">
            <v>On-Chart</v>
          </cell>
          <cell r="K756" t="str">
            <v>DCT Payroll</v>
          </cell>
          <cell r="L756" t="str">
            <v>A1</v>
          </cell>
          <cell r="M756" t="str">
            <v>Department of Culture and Tourism</v>
          </cell>
          <cell r="N756" t="str">
            <v>Culture</v>
          </cell>
          <cell r="O756" t="str">
            <v>الثقافة</v>
          </cell>
          <cell r="P756" t="str">
            <v>Culture Festivals &amp; Platforms</v>
          </cell>
          <cell r="Q756" t="str">
            <v>المهرجانات والمنصات الثقافية</v>
          </cell>
          <cell r="R756" t="str">
            <v>Bait Al Gahwa Section</v>
          </cell>
          <cell r="S756" t="str">
            <v>قسم بيت القهوة</v>
          </cell>
          <cell r="T756" t="str">
            <v/>
          </cell>
          <cell r="U756" t="str">
            <v/>
          </cell>
          <cell r="V756" t="str">
            <v>Abu Dhabi</v>
          </cell>
          <cell r="W756" t="str">
            <v/>
          </cell>
          <cell r="X756" t="str">
            <v>4511750</v>
          </cell>
          <cell r="Y756" t="str">
            <v/>
          </cell>
          <cell r="Z756" t="str">
            <v>Professional Assistant</v>
          </cell>
          <cell r="AA756" t="str">
            <v>05</v>
          </cell>
        </row>
        <row r="757">
          <cell r="A757">
            <v>1617</v>
          </cell>
          <cell r="B757">
            <v>1617</v>
          </cell>
          <cell r="C757" t="str">
            <v>A</v>
          </cell>
          <cell r="D757" t="str">
            <v>Mutalaq Saleh Al Jaberi</v>
          </cell>
          <cell r="E757" t="str">
            <v>مطلق صالح الجابري</v>
          </cell>
          <cell r="F757">
            <v>44530</v>
          </cell>
          <cell r="G757" t="str">
            <v>41000626</v>
          </cell>
          <cell r="H757" t="str">
            <v>Protocol Specialist</v>
          </cell>
          <cell r="I757" t="str">
            <v>أخصائي المراسم</v>
          </cell>
          <cell r="J757" t="str">
            <v>On-Chart</v>
          </cell>
          <cell r="K757" t="str">
            <v>DCT Payroll</v>
          </cell>
          <cell r="L757" t="str">
            <v>A1</v>
          </cell>
          <cell r="M757" t="str">
            <v>Department of Culture and Tourism</v>
          </cell>
          <cell r="N757" t="str">
            <v>Executive Affairs</v>
          </cell>
          <cell r="O757" t="str">
            <v>مكتب رئيس الدائرة</v>
          </cell>
          <cell r="P757" t="str">
            <v>Executive Affairs</v>
          </cell>
          <cell r="Q757" t="str">
            <v>الشؤون التنفيذية</v>
          </cell>
          <cell r="R757" t="str">
            <v>Protocol</v>
          </cell>
          <cell r="S757" t="str">
            <v>المراسم</v>
          </cell>
          <cell r="T757" t="str">
            <v/>
          </cell>
          <cell r="U757" t="str">
            <v/>
          </cell>
          <cell r="V757" t="str">
            <v>Abu Dhabi</v>
          </cell>
          <cell r="W757" t="str">
            <v/>
          </cell>
          <cell r="X757" t="str">
            <v>4510011</v>
          </cell>
          <cell r="Y757" t="str">
            <v>Stakeholder &amp; Partner Relations_International &amp; Institutional Affairs _Senior Professional</v>
          </cell>
          <cell r="Z757" t="str">
            <v>Senior Professional</v>
          </cell>
          <cell r="AA757" t="str">
            <v>3C</v>
          </cell>
        </row>
        <row r="758">
          <cell r="A758">
            <v>1619</v>
          </cell>
          <cell r="B758">
            <v>1619</v>
          </cell>
          <cell r="C758" t="str">
            <v>A</v>
          </cell>
          <cell r="D758" t="str">
            <v>Amena Yousef Al Ali</v>
          </cell>
          <cell r="E758" t="str">
            <v>أمينة يوسف آل علي</v>
          </cell>
          <cell r="F758">
            <v>44535</v>
          </cell>
          <cell r="G758" t="str">
            <v>10007441</v>
          </cell>
          <cell r="H758" t="str">
            <v>Travel &amp; Hospitality Specialist</v>
          </cell>
          <cell r="I758" t="str">
            <v>أخصائي شؤون السفر والضيافة</v>
          </cell>
          <cell r="J758" t="str">
            <v>Temporary</v>
          </cell>
          <cell r="K758" t="str">
            <v>DCT Payroll</v>
          </cell>
          <cell r="L758" t="str">
            <v>A1</v>
          </cell>
          <cell r="M758" t="str">
            <v>Department of Culture and Tourism</v>
          </cell>
          <cell r="N758" t="str">
            <v>Support Services</v>
          </cell>
          <cell r="O758" t="str">
            <v>الخدمات المساندة</v>
          </cell>
          <cell r="P758" t="str">
            <v>People &amp; Performance</v>
          </cell>
          <cell r="Q758" t="str">
            <v>إدارة الكوادر البشرية والأداء</v>
          </cell>
          <cell r="R758" t="str">
            <v>Rewards &amp; Policy</v>
          </cell>
          <cell r="S758" t="str">
            <v>المكافآت والسياسات</v>
          </cell>
          <cell r="T758" t="str">
            <v>Travel &amp; Hospitality</v>
          </cell>
          <cell r="U758" t="str">
            <v>السفر والضيافة</v>
          </cell>
          <cell r="V758" t="str">
            <v>Abu Dhabi</v>
          </cell>
          <cell r="W758" t="str">
            <v/>
          </cell>
          <cell r="X758" t="str">
            <v>4510240</v>
          </cell>
          <cell r="Y758" t="str">
            <v>People &amp; Performance _Rewards Policy &amp; Recognition _Professional</v>
          </cell>
          <cell r="Z758" t="str">
            <v>Professional</v>
          </cell>
          <cell r="AA758" t="str">
            <v>4A</v>
          </cell>
        </row>
        <row r="759">
          <cell r="A759">
            <v>1620</v>
          </cell>
          <cell r="B759">
            <v>1620</v>
          </cell>
          <cell r="C759" t="str">
            <v>A</v>
          </cell>
          <cell r="D759" t="str">
            <v>Maryam Rubaiya Al Nuaimi</v>
          </cell>
          <cell r="E759" t="str">
            <v>مريم ربيع النعيمي</v>
          </cell>
          <cell r="F759">
            <v>44543</v>
          </cell>
          <cell r="G759" t="str">
            <v>10012269</v>
          </cell>
          <cell r="H759" t="str">
            <v>Sector Environment, Health &amp; Safety Executive</v>
          </cell>
          <cell r="I759" t="str">
            <v>تنفيذي البيئة والصحة والسلامة للقطاعات</v>
          </cell>
          <cell r="J759" t="str">
            <v>On-Chart</v>
          </cell>
          <cell r="K759" t="str">
            <v>DCT Payroll</v>
          </cell>
          <cell r="L759" t="str">
            <v>A1</v>
          </cell>
          <cell r="M759" t="str">
            <v>Department of Culture and Tourism</v>
          </cell>
          <cell r="N759" t="str">
            <v>Tourism</v>
          </cell>
          <cell r="O759" t="str">
            <v>السياحة</v>
          </cell>
          <cell r="P759" t="str">
            <v>Licensing &amp; Regulatory Compliance</v>
          </cell>
          <cell r="Q759" t="str">
            <v>الرقابة والترخيص</v>
          </cell>
          <cell r="R759" t="str">
            <v>Environment, Health &amp; Safety</v>
          </cell>
          <cell r="S759" t="str">
            <v>البيئة والصحة والسلامة</v>
          </cell>
          <cell r="T759" t="str">
            <v>Sector Environment, Health &amp; Safety</v>
          </cell>
          <cell r="U759" t="str">
            <v>البيئة والصحة والسلامة للقطاعات</v>
          </cell>
          <cell r="V759" t="str">
            <v>Abu Dhabi</v>
          </cell>
          <cell r="W759" t="str">
            <v/>
          </cell>
          <cell r="X759" t="str">
            <v>4510170</v>
          </cell>
          <cell r="Y759" t="str">
            <v>Compliance,Governance&amp;Protocol_Licensing &amp; Regulatory Compliance- (Follow-up and Reporting) _Professional Assistant</v>
          </cell>
          <cell r="Z759" t="str">
            <v>Professional</v>
          </cell>
          <cell r="AA759" t="str">
            <v>4A</v>
          </cell>
        </row>
        <row r="760">
          <cell r="A760">
            <v>1624</v>
          </cell>
          <cell r="B760">
            <v>1624</v>
          </cell>
          <cell r="C760" t="str">
            <v>A</v>
          </cell>
          <cell r="D760" t="str">
            <v>Roudha Humood AlShehhi</v>
          </cell>
          <cell r="E760" t="str">
            <v>روضه حمود الشحي</v>
          </cell>
          <cell r="F760">
            <v>44531</v>
          </cell>
          <cell r="G760" t="str">
            <v>50000656</v>
          </cell>
          <cell r="H760" t="str">
            <v>Associate Curator</v>
          </cell>
          <cell r="I760" t="str">
            <v>أمين متحف معاون</v>
          </cell>
          <cell r="J760" t="str">
            <v>On-Chart</v>
          </cell>
          <cell r="K760" t="str">
            <v>MSS Direct Hires</v>
          </cell>
          <cell r="L760" t="str">
            <v>M1</v>
          </cell>
          <cell r="M760" t="str">
            <v>Department of Culture and Tourism</v>
          </cell>
          <cell r="N760" t="str">
            <v>Zayed National Museum</v>
          </cell>
          <cell r="O760" t="str">
            <v>متحف زايد الوطني</v>
          </cell>
          <cell r="P760" t="str">
            <v>Curatorial &amp; Collection Management</v>
          </cell>
          <cell r="Q760" t="str">
            <v>أمناء المتحف وإدارة المقتنيات</v>
          </cell>
          <cell r="R760" t="str">
            <v>Curatorial</v>
          </cell>
          <cell r="S760" t="str">
            <v>أمناء المتحف</v>
          </cell>
          <cell r="T760" t="str">
            <v/>
          </cell>
          <cell r="U760" t="str">
            <v/>
          </cell>
          <cell r="V760" t="str">
            <v>Abu Dhabi</v>
          </cell>
          <cell r="W760" t="str">
            <v/>
          </cell>
          <cell r="X760" t="str">
            <v>4510181</v>
          </cell>
          <cell r="Y760" t="str">
            <v>Content &amp; Care_Curatorial  Management  _Professional</v>
          </cell>
          <cell r="Z760" t="str">
            <v>Professional</v>
          </cell>
          <cell r="AA760" t="str">
            <v>4A</v>
          </cell>
        </row>
        <row r="761">
          <cell r="A761">
            <v>1625</v>
          </cell>
          <cell r="B761">
            <v>1625</v>
          </cell>
          <cell r="C761" t="str">
            <v>A</v>
          </cell>
          <cell r="D761" t="str">
            <v>Aliyah Adel AlAwadhi</v>
          </cell>
          <cell r="E761" t="str">
            <v>عاليه عادل العوضي</v>
          </cell>
          <cell r="F761">
            <v>44531</v>
          </cell>
          <cell r="G761" t="str">
            <v>50000654</v>
          </cell>
          <cell r="H761" t="str">
            <v>Associate Curator</v>
          </cell>
          <cell r="I761" t="str">
            <v>أمين متحف معاون</v>
          </cell>
          <cell r="J761" t="str">
            <v>On-Chart</v>
          </cell>
          <cell r="K761" t="str">
            <v>MSS Direct Hires</v>
          </cell>
          <cell r="L761" t="str">
            <v>M1</v>
          </cell>
          <cell r="M761" t="str">
            <v>Department of Culture and Tourism</v>
          </cell>
          <cell r="N761" t="str">
            <v>Zayed National Museum</v>
          </cell>
          <cell r="O761" t="str">
            <v>متحف زايد الوطني</v>
          </cell>
          <cell r="P761" t="str">
            <v>Curatorial &amp; Collection Management</v>
          </cell>
          <cell r="Q761" t="str">
            <v>أمناء المتحف وإدارة المقتنيات</v>
          </cell>
          <cell r="R761" t="str">
            <v>Curatorial</v>
          </cell>
          <cell r="S761" t="str">
            <v>أمناء المتحف</v>
          </cell>
          <cell r="T761" t="str">
            <v/>
          </cell>
          <cell r="U761" t="str">
            <v/>
          </cell>
          <cell r="V761" t="str">
            <v>Abu Dhabi</v>
          </cell>
          <cell r="W761" t="str">
            <v/>
          </cell>
          <cell r="X761" t="str">
            <v>4510181</v>
          </cell>
          <cell r="Y761" t="str">
            <v>Content &amp; Care_Curatorial  Management  _Professional</v>
          </cell>
          <cell r="Z761" t="str">
            <v>Professional</v>
          </cell>
          <cell r="AA761" t="str">
            <v>4A</v>
          </cell>
        </row>
        <row r="762">
          <cell r="A762">
            <v>1626</v>
          </cell>
          <cell r="B762">
            <v>1626</v>
          </cell>
          <cell r="C762" t="str">
            <v>A</v>
          </cell>
          <cell r="D762" t="str">
            <v>Mai Hareb AlMansoori</v>
          </cell>
          <cell r="E762" t="str">
            <v>مي حارب المنصوري</v>
          </cell>
          <cell r="F762">
            <v>44652</v>
          </cell>
          <cell r="G762" t="str">
            <v>50000661</v>
          </cell>
          <cell r="H762" t="str">
            <v>Associate Curator</v>
          </cell>
          <cell r="I762" t="str">
            <v>أمين متحف معاون</v>
          </cell>
          <cell r="J762" t="str">
            <v>On-Chart</v>
          </cell>
          <cell r="K762" t="str">
            <v>MSS Direct Hires</v>
          </cell>
          <cell r="L762" t="str">
            <v>M1</v>
          </cell>
          <cell r="M762" t="str">
            <v>Department of Culture and Tourism</v>
          </cell>
          <cell r="N762" t="str">
            <v>Zayed National Museum</v>
          </cell>
          <cell r="O762" t="str">
            <v>متحف زايد الوطني</v>
          </cell>
          <cell r="P762" t="str">
            <v>Curatorial &amp; Collection Management</v>
          </cell>
          <cell r="Q762" t="str">
            <v>أمناء المتحف وإدارة المقتنيات</v>
          </cell>
          <cell r="R762" t="str">
            <v>Curatorial</v>
          </cell>
          <cell r="S762" t="str">
            <v>أمناء المتحف</v>
          </cell>
          <cell r="T762" t="str">
            <v/>
          </cell>
          <cell r="U762" t="str">
            <v/>
          </cell>
          <cell r="V762" t="str">
            <v>Abu Dhabi</v>
          </cell>
          <cell r="W762" t="str">
            <v/>
          </cell>
          <cell r="X762" t="str">
            <v>4510181</v>
          </cell>
          <cell r="Y762" t="str">
            <v>Content &amp; Care_Curatorial  Management  _Professional</v>
          </cell>
          <cell r="Z762" t="str">
            <v>Professional</v>
          </cell>
          <cell r="AA762" t="str">
            <v>4B</v>
          </cell>
        </row>
        <row r="763">
          <cell r="A763">
            <v>1627</v>
          </cell>
          <cell r="B763">
            <v>1627</v>
          </cell>
          <cell r="C763" t="str">
            <v>A</v>
          </cell>
          <cell r="D763" t="str">
            <v>Pascale Boutros El Fadi</v>
          </cell>
          <cell r="E763" t="str">
            <v>باسكال بطرس الفاضي</v>
          </cell>
          <cell r="F763">
            <v>44561</v>
          </cell>
          <cell r="G763" t="str">
            <v>50000692</v>
          </cell>
          <cell r="H763" t="str">
            <v>Publications Section Head</v>
          </cell>
          <cell r="I763" t="str">
            <v>رئيس قسم النشر</v>
          </cell>
          <cell r="J763" t="str">
            <v>On-Chart</v>
          </cell>
          <cell r="K763" t="str">
            <v>MSS Direct Hires</v>
          </cell>
          <cell r="L763" t="str">
            <v>M1</v>
          </cell>
          <cell r="M763" t="str">
            <v>Department of Culture and Tourism</v>
          </cell>
          <cell r="N763" t="str">
            <v>Zayed National Museum</v>
          </cell>
          <cell r="O763" t="str">
            <v>متحف زايد الوطني</v>
          </cell>
          <cell r="P763" t="str">
            <v>Learning &amp; Public Engagement</v>
          </cell>
          <cell r="Q763" t="str">
            <v>التعليم والمشاركة المجتمعية</v>
          </cell>
          <cell r="R763" t="str">
            <v>Publications</v>
          </cell>
          <cell r="S763" t="str">
            <v>النشر</v>
          </cell>
          <cell r="T763" t="str">
            <v/>
          </cell>
          <cell r="U763" t="str">
            <v/>
          </cell>
          <cell r="V763" t="str">
            <v>Abu Dhabi</v>
          </cell>
          <cell r="W763" t="str">
            <v/>
          </cell>
          <cell r="X763" t="str">
            <v>4510182</v>
          </cell>
          <cell r="Y763" t="str">
            <v>Interpretation &amp; Engagement_Arabic Language Learning &amp; Specialized Programmes _Section Manager</v>
          </cell>
          <cell r="Z763" t="str">
            <v>Section Manager</v>
          </cell>
          <cell r="AA763" t="str">
            <v>2A</v>
          </cell>
        </row>
        <row r="764">
          <cell r="A764">
            <v>1629</v>
          </cell>
          <cell r="B764">
            <v>1629</v>
          </cell>
          <cell r="C764" t="str">
            <v>A</v>
          </cell>
          <cell r="D764" t="str">
            <v>Nour Nasser AlMarzooqi</v>
          </cell>
          <cell r="E764" t="str">
            <v>نور ناصر المرزوقي</v>
          </cell>
          <cell r="F764">
            <v>44556</v>
          </cell>
          <cell r="G764" t="str">
            <v>50000862</v>
          </cell>
          <cell r="H764" t="str">
            <v>Researcher</v>
          </cell>
          <cell r="I764" t="str">
            <v>باحث</v>
          </cell>
          <cell r="J764" t="str">
            <v>On-Chart</v>
          </cell>
          <cell r="K764" t="str">
            <v>DCT Payroll</v>
          </cell>
          <cell r="L764" t="str">
            <v>A1</v>
          </cell>
          <cell r="M764" t="str">
            <v>Department of Culture and Tourism</v>
          </cell>
          <cell r="N764" t="str">
            <v>Culture</v>
          </cell>
          <cell r="O764" t="str">
            <v>الثقافة</v>
          </cell>
          <cell r="P764" t="str">
            <v>Historic Environment</v>
          </cell>
          <cell r="Q764" t="str">
            <v>البيئة التاريخية</v>
          </cell>
          <cell r="R764" t="str">
            <v>Historic Buildings &amp; Landscapes</v>
          </cell>
          <cell r="S764" t="str">
            <v>المباني والمسطحات التاريخية</v>
          </cell>
          <cell r="T764" t="str">
            <v>Historic Buildings &amp; Landscape – Al Dhafra &amp; Abu Dhabi</v>
          </cell>
          <cell r="U764" t="str">
            <v>المباني والمسطحات التاريخية – الظفرة وأبوظبي</v>
          </cell>
          <cell r="V764" t="str">
            <v>Al Ain</v>
          </cell>
          <cell r="W764" t="str">
            <v/>
          </cell>
          <cell r="X764" t="str">
            <v>4511300</v>
          </cell>
          <cell r="Y764" t="str">
            <v>Compliance,Governance&amp;Protocol_Policy (Culture/Tourism) _Professional</v>
          </cell>
          <cell r="Z764" t="str">
            <v>Professional</v>
          </cell>
          <cell r="AA764" t="str">
            <v>4A</v>
          </cell>
        </row>
        <row r="765">
          <cell r="A765">
            <v>1630</v>
          </cell>
          <cell r="B765">
            <v>1630</v>
          </cell>
          <cell r="C765" t="str">
            <v>A</v>
          </cell>
          <cell r="D765" t="str">
            <v>Nadia Qais AlHashimi</v>
          </cell>
          <cell r="E765" t="str">
            <v>نادية قيس الهاشمي</v>
          </cell>
          <cell r="F765">
            <v>44556</v>
          </cell>
          <cell r="G765" t="str">
            <v>50003988</v>
          </cell>
          <cell r="H765" t="str">
            <v>Digital Marketing Lead</v>
          </cell>
          <cell r="I765" t="str">
            <v>أخصائي أول التسويق الرقمي</v>
          </cell>
          <cell r="J765" t="str">
            <v>On-Chart</v>
          </cell>
          <cell r="K765" t="str">
            <v>DCT Payroll</v>
          </cell>
          <cell r="L765" t="str">
            <v>A1</v>
          </cell>
          <cell r="M765" t="str">
            <v>Department of Culture and Tourism</v>
          </cell>
          <cell r="N765" t="str">
            <v>Culture</v>
          </cell>
          <cell r="O765" t="str">
            <v>الثقافة</v>
          </cell>
          <cell r="P765" t="str">
            <v>Culture Sector Marketing</v>
          </cell>
          <cell r="Q765" t="str">
            <v>التسويق لقطاع الثقافة</v>
          </cell>
          <cell r="R765" t="str">
            <v>Digital Marketing</v>
          </cell>
          <cell r="S765" t="str">
            <v>التسويق الرقمي</v>
          </cell>
          <cell r="T765" t="str">
            <v/>
          </cell>
          <cell r="U765" t="str">
            <v/>
          </cell>
          <cell r="V765" t="str">
            <v>Abu Dhabi</v>
          </cell>
          <cell r="W765" t="str">
            <v/>
          </cell>
          <cell r="X765" t="str">
            <v>4511550</v>
          </cell>
          <cell r="Y765" t="str">
            <v>Comms &amp; Marketing _Marketing &amp; Communications (All areas)_Senior Professional</v>
          </cell>
          <cell r="Z765" t="str">
            <v>Senior Professional</v>
          </cell>
          <cell r="AA765" t="str">
            <v>3C</v>
          </cell>
        </row>
        <row r="766">
          <cell r="A766">
            <v>1632</v>
          </cell>
          <cell r="B766">
            <v>1632</v>
          </cell>
          <cell r="C766" t="str">
            <v>A</v>
          </cell>
          <cell r="D766" t="str">
            <v>Mohammed Jihad Abdulhadi</v>
          </cell>
          <cell r="E766" t="str">
            <v>محمد جهاد عبدالهادى</v>
          </cell>
          <cell r="F766">
            <v>44556</v>
          </cell>
          <cell r="G766" t="str">
            <v>50000583</v>
          </cell>
          <cell r="H766" t="str">
            <v>ICH Retail &amp; Market Development Section Head</v>
          </cell>
          <cell r="I766" t="str">
            <v>رئيس قسم تطوير سوق التراث الثقافي المعنوي والبيع بالتجزئة</v>
          </cell>
          <cell r="J766" t="str">
            <v>On-Chart</v>
          </cell>
          <cell r="K766" t="str">
            <v>DCT Payroll</v>
          </cell>
          <cell r="L766" t="str">
            <v>A1</v>
          </cell>
          <cell r="M766" t="str">
            <v>Department of Culture and Tourism</v>
          </cell>
          <cell r="N766" t="str">
            <v>Culture</v>
          </cell>
          <cell r="O766" t="str">
            <v>الثقافة</v>
          </cell>
          <cell r="P766" t="str">
            <v>Intangible Cultural Heritage</v>
          </cell>
          <cell r="Q766" t="str">
            <v>التراث الثقافي المعنوي</v>
          </cell>
          <cell r="R766" t="str">
            <v>ICH Retail &amp; Market Development</v>
          </cell>
          <cell r="S766" t="str">
            <v>تطوير سوق التراث الثقافي المعنوي والبيع بالتجزئة</v>
          </cell>
          <cell r="T766" t="str">
            <v/>
          </cell>
          <cell r="U766" t="str">
            <v/>
          </cell>
          <cell r="V766" t="str">
            <v>Abu Dhabi</v>
          </cell>
          <cell r="W766" t="str">
            <v/>
          </cell>
          <cell r="X766" t="str">
            <v>4511600</v>
          </cell>
          <cell r="Y766" t="str">
            <v>Content &amp; Care_World Heritage Sites Management_Section Head</v>
          </cell>
          <cell r="Z766" t="str">
            <v>Section Manager</v>
          </cell>
          <cell r="AA766" t="str">
            <v>2B</v>
          </cell>
        </row>
        <row r="767">
          <cell r="A767">
            <v>1633</v>
          </cell>
          <cell r="B767">
            <v>1633</v>
          </cell>
          <cell r="C767" t="str">
            <v>A</v>
          </cell>
          <cell r="D767" t="str">
            <v>Suaad Mustafa Al Hosani</v>
          </cell>
          <cell r="E767" t="str">
            <v>سعاد مصطفى الحوسني</v>
          </cell>
          <cell r="F767">
            <v>44558</v>
          </cell>
          <cell r="G767" t="str">
            <v>50000739</v>
          </cell>
          <cell r="H767" t="str">
            <v>Senior Health And Safety Specialist</v>
          </cell>
          <cell r="I767" t="str">
            <v>أخصائي أول، الصحة والسلامة</v>
          </cell>
          <cell r="J767" t="str">
            <v>On-Chart</v>
          </cell>
          <cell r="K767" t="str">
            <v>MSS Direct Hires</v>
          </cell>
          <cell r="L767" t="str">
            <v>M1</v>
          </cell>
          <cell r="M767" t="str">
            <v>Department of Culture and Tourism</v>
          </cell>
          <cell r="N767" t="str">
            <v>Zayed National Museum</v>
          </cell>
          <cell r="O767" t="str">
            <v>متحف زايد الوطني</v>
          </cell>
          <cell r="P767" t="str">
            <v>Operations</v>
          </cell>
          <cell r="Q767" t="str">
            <v>العمليات</v>
          </cell>
          <cell r="R767" t="str">
            <v>Safety &amp; Security</v>
          </cell>
          <cell r="S767" t="str">
            <v>السلامة والأمن</v>
          </cell>
          <cell r="T767" t="str">
            <v>Health and Safety</v>
          </cell>
          <cell r="U767" t="str">
            <v>الصحة والسلامة</v>
          </cell>
          <cell r="V767" t="str">
            <v>Abu Dhabi</v>
          </cell>
          <cell r="W767" t="str">
            <v/>
          </cell>
          <cell r="X767" t="str">
            <v>4510184</v>
          </cell>
          <cell r="Y767" t="str">
            <v>Technical Safety &amp; Security_Environmental Healthy &amp; Safety _Senior Professional</v>
          </cell>
          <cell r="Z767" t="str">
            <v>Senior Professional</v>
          </cell>
          <cell r="AA767" t="str">
            <v>3A</v>
          </cell>
        </row>
        <row r="768">
          <cell r="A768">
            <v>1636</v>
          </cell>
          <cell r="B768">
            <v>1636</v>
          </cell>
          <cell r="C768" t="str">
            <v>A</v>
          </cell>
          <cell r="D768" t="str">
            <v>Jood Mohamed AlJneibi</v>
          </cell>
          <cell r="E768" t="str">
            <v>جود محمد الجنيبي</v>
          </cell>
          <cell r="F768">
            <v>44557</v>
          </cell>
          <cell r="G768" t="str">
            <v>10008919</v>
          </cell>
          <cell r="H768" t="str">
            <v>Production Management Specialist</v>
          </cell>
          <cell r="I768" t="str">
            <v>أخصائي إدارة الإنتاج</v>
          </cell>
          <cell r="J768" t="str">
            <v>On-Chart</v>
          </cell>
          <cell r="K768" t="str">
            <v>DCT Payroll</v>
          </cell>
          <cell r="L768" t="str">
            <v>A1</v>
          </cell>
          <cell r="M768" t="str">
            <v>Department of Culture and Tourism</v>
          </cell>
          <cell r="N768" t="str">
            <v>Culture</v>
          </cell>
          <cell r="O768" t="str">
            <v>الثقافة</v>
          </cell>
          <cell r="P768" t="str">
            <v>Culture Festivals &amp; Platforms</v>
          </cell>
          <cell r="Q768" t="str">
            <v>المهرجانات والمنصات الثقافية</v>
          </cell>
          <cell r="R768" t="str">
            <v>Production &amp; Operations Management</v>
          </cell>
          <cell r="S768" t="str">
            <v>إدارة الإنتاج والعمليات</v>
          </cell>
          <cell r="T768" t="str">
            <v>Production Management</v>
          </cell>
          <cell r="U768" t="str">
            <v>إدارة الإنتاج</v>
          </cell>
          <cell r="V768" t="str">
            <v>Abu Dhabi</v>
          </cell>
          <cell r="W768" t="str">
            <v/>
          </cell>
          <cell r="X768" t="str">
            <v>4511750</v>
          </cell>
          <cell r="Y768" t="str">
            <v>Specialization Festivals &amp; Events</v>
          </cell>
          <cell r="Z768" t="str">
            <v>Professional</v>
          </cell>
          <cell r="AA768" t="str">
            <v>4B</v>
          </cell>
        </row>
        <row r="769">
          <cell r="A769">
            <v>1637</v>
          </cell>
          <cell r="B769">
            <v>1637</v>
          </cell>
          <cell r="C769" t="str">
            <v>A</v>
          </cell>
          <cell r="D769" t="str">
            <v>Zainab Abdulredha AlAsmawi</v>
          </cell>
          <cell r="E769" t="str">
            <v>زينب عبدالرضا العسماوى</v>
          </cell>
          <cell r="F769">
            <v>44549</v>
          </cell>
          <cell r="G769" t="str">
            <v>50001311</v>
          </cell>
          <cell r="H769" t="str">
            <v>People &amp; Performance Business Partner</v>
          </cell>
          <cell r="I769" t="str">
            <v>شريك أعمال الكوادر البشرية والأداء</v>
          </cell>
          <cell r="J769" t="str">
            <v>On-Chart</v>
          </cell>
          <cell r="K769" t="str">
            <v>DCT Payroll</v>
          </cell>
          <cell r="L769" t="str">
            <v>A1</v>
          </cell>
          <cell r="M769" t="str">
            <v>Department of Culture and Tourism</v>
          </cell>
          <cell r="N769" t="str">
            <v>Support Services</v>
          </cell>
          <cell r="O769" t="str">
            <v>الخدمات المساندة</v>
          </cell>
          <cell r="P769" t="str">
            <v>People &amp; Performance</v>
          </cell>
          <cell r="Q769" t="str">
            <v>إدارة الكوادر البشرية والأداء</v>
          </cell>
          <cell r="R769" t="str">
            <v>People &amp; Performance Business Partners</v>
          </cell>
          <cell r="S769" t="str">
            <v>شركاء أعمال الكوادر البشرية والأداء</v>
          </cell>
          <cell r="T769" t="str">
            <v>P&amp;P Business Partners</v>
          </cell>
          <cell r="U769" t="str">
            <v/>
          </cell>
          <cell r="V769" t="str">
            <v>Abu Dhabi</v>
          </cell>
          <cell r="W769" t="str">
            <v/>
          </cell>
          <cell r="X769" t="str">
            <v>4510220</v>
          </cell>
          <cell r="Y769" t="str">
            <v>People &amp; Performance _Business Partnership _Senior Professional</v>
          </cell>
          <cell r="Z769" t="str">
            <v>Professional</v>
          </cell>
          <cell r="AA769" t="str">
            <v>3A</v>
          </cell>
        </row>
        <row r="770">
          <cell r="A770">
            <v>1638</v>
          </cell>
          <cell r="B770">
            <v>1638</v>
          </cell>
          <cell r="C770" t="str">
            <v>A</v>
          </cell>
          <cell r="D770" t="str">
            <v>Ola Moh'd Shaker</v>
          </cell>
          <cell r="E770" t="str">
            <v>علا محمد شاكر</v>
          </cell>
          <cell r="F770">
            <v>44574</v>
          </cell>
          <cell r="G770" t="str">
            <v>50000803</v>
          </cell>
          <cell r="H770" t="str">
            <v>Architectural Conservation Senior Specialist</v>
          </cell>
          <cell r="I770" t="str">
            <v>أخصائي أول الترميم المعماري</v>
          </cell>
          <cell r="J770" t="str">
            <v>On-Chart</v>
          </cell>
          <cell r="K770" t="str">
            <v>DCT Payroll</v>
          </cell>
          <cell r="L770" t="str">
            <v>A1</v>
          </cell>
          <cell r="M770" t="str">
            <v>Department of Culture and Tourism</v>
          </cell>
          <cell r="N770" t="str">
            <v>Culture</v>
          </cell>
          <cell r="O770" t="str">
            <v>الثقافة</v>
          </cell>
          <cell r="P770" t="str">
            <v>Historic Environment</v>
          </cell>
          <cell r="Q770" t="str">
            <v>البيئة التاريخية</v>
          </cell>
          <cell r="R770" t="str">
            <v>Conservation</v>
          </cell>
          <cell r="S770" t="str">
            <v>الترميم</v>
          </cell>
          <cell r="T770" t="str">
            <v>Conservation – Archaeological Sites</v>
          </cell>
          <cell r="U770" t="str">
            <v>حماية مواقع الآثار</v>
          </cell>
          <cell r="V770" t="str">
            <v>Al Ain</v>
          </cell>
          <cell r="W770" t="str">
            <v/>
          </cell>
          <cell r="X770" t="str">
            <v>4511300</v>
          </cell>
          <cell r="Y770" t="str">
            <v>Compliance,Governance&amp;Protocol_Policy (Culture/Tourism _Senior Professional</v>
          </cell>
          <cell r="Z770" t="str">
            <v>Senior Professional</v>
          </cell>
          <cell r="AA770" t="str">
            <v>3A</v>
          </cell>
        </row>
        <row r="771">
          <cell r="A771">
            <v>1639</v>
          </cell>
          <cell r="B771">
            <v>1639</v>
          </cell>
          <cell r="C771" t="str">
            <v>A</v>
          </cell>
          <cell r="D771" t="str">
            <v>Salma Yaaqoub AlShamsi</v>
          </cell>
          <cell r="E771" t="str">
            <v>سلمى يعقوب الشامسى</v>
          </cell>
          <cell r="F771">
            <v>44573</v>
          </cell>
          <cell r="G771" t="str">
            <v>50000715</v>
          </cell>
          <cell r="H771" t="str">
            <v>Senior Marketing Specialist</v>
          </cell>
          <cell r="I771" t="str">
            <v>أخصائي أول التسويق</v>
          </cell>
          <cell r="J771" t="str">
            <v>On-Chart</v>
          </cell>
          <cell r="K771" t="str">
            <v>MSS Direct Hires</v>
          </cell>
          <cell r="L771" t="str">
            <v>M1</v>
          </cell>
          <cell r="M771" t="str">
            <v>Department of Culture and Tourism</v>
          </cell>
          <cell r="N771" t="str">
            <v>Zayed National Museum</v>
          </cell>
          <cell r="O771" t="str">
            <v>متحف زايد الوطني</v>
          </cell>
          <cell r="P771" t="str">
            <v>Marketing &amp; Communication</v>
          </cell>
          <cell r="Q771" t="str">
            <v>التسويق والاتصال</v>
          </cell>
          <cell r="R771" t="str">
            <v>Marketing</v>
          </cell>
          <cell r="S771" t="str">
            <v>التسويق</v>
          </cell>
          <cell r="T771" t="str">
            <v>Marketing</v>
          </cell>
          <cell r="U771" t="str">
            <v>التسويق</v>
          </cell>
          <cell r="V771" t="str">
            <v>Abu Dhabi</v>
          </cell>
          <cell r="W771" t="str">
            <v/>
          </cell>
          <cell r="X771" t="str">
            <v>4510185</v>
          </cell>
          <cell r="Y771" t="str">
            <v>Comms &amp; Marketing _Marketing &amp; Communications (All areas)_Senior Professional</v>
          </cell>
          <cell r="Z771" t="str">
            <v>Senior Professional</v>
          </cell>
          <cell r="AA771" t="str">
            <v>3C</v>
          </cell>
        </row>
        <row r="772">
          <cell r="A772">
            <v>1642</v>
          </cell>
          <cell r="B772">
            <v>1642</v>
          </cell>
          <cell r="C772" t="str">
            <v>A</v>
          </cell>
          <cell r="D772" t="str">
            <v>Asma Abubaker Al Jailani</v>
          </cell>
          <cell r="E772" t="str">
            <v>أسماء أبوبكر الجيلانى</v>
          </cell>
          <cell r="F772">
            <v>44578</v>
          </cell>
          <cell r="G772" t="str">
            <v>50001423</v>
          </cell>
          <cell r="H772" t="str">
            <v>Lead Content  Editor</v>
          </cell>
          <cell r="I772" t="str">
            <v>اخصائي رئيسي تطوير المحتوى</v>
          </cell>
          <cell r="J772" t="str">
            <v>On-Chart</v>
          </cell>
          <cell r="K772" t="str">
            <v>DCT Payroll</v>
          </cell>
          <cell r="L772" t="str">
            <v>A1</v>
          </cell>
          <cell r="M772" t="str">
            <v>Department of Culture and Tourism</v>
          </cell>
          <cell r="N772" t="str">
            <v>Culture</v>
          </cell>
          <cell r="O772" t="str">
            <v>الثقافة</v>
          </cell>
          <cell r="P772" t="str">
            <v>Culture Sector Marketing</v>
          </cell>
          <cell r="Q772" t="str">
            <v>التسويق لقطاع الثقافة</v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>Abu Dhabi</v>
          </cell>
          <cell r="W772" t="str">
            <v/>
          </cell>
          <cell r="X772" t="str">
            <v>4511550</v>
          </cell>
          <cell r="Y772" t="str">
            <v>Compliance,Governance&amp;Protocol_Policy (Culture/Tourism) _Professional</v>
          </cell>
          <cell r="Z772" t="str">
            <v>Professional</v>
          </cell>
          <cell r="AA772" t="str">
            <v>3A</v>
          </cell>
        </row>
        <row r="773">
          <cell r="A773">
            <v>1643</v>
          </cell>
          <cell r="B773">
            <v>1643</v>
          </cell>
          <cell r="C773" t="str">
            <v>A</v>
          </cell>
          <cell r="D773" t="str">
            <v>Alyazia Ali Al Maysari</v>
          </cell>
          <cell r="E773" t="str">
            <v>اليازية علي الميسري</v>
          </cell>
          <cell r="F773">
            <v>44574</v>
          </cell>
          <cell r="G773" t="str">
            <v>50003734</v>
          </cell>
          <cell r="H773" t="str">
            <v>Events Licensing Executive</v>
          </cell>
          <cell r="I773" t="str">
            <v>تنفيذي ترخيص الفعاليات</v>
          </cell>
          <cell r="J773" t="str">
            <v>On-Chart</v>
          </cell>
          <cell r="K773" t="str">
            <v>DCT Payroll</v>
          </cell>
          <cell r="L773" t="str">
            <v>A1</v>
          </cell>
          <cell r="M773" t="str">
            <v>Department of Culture and Tourism</v>
          </cell>
          <cell r="N773" t="str">
            <v>Tourism</v>
          </cell>
          <cell r="O773" t="str">
            <v>السياحة</v>
          </cell>
          <cell r="P773" t="str">
            <v>Licensing &amp; Regulatory Compliance</v>
          </cell>
          <cell r="Q773" t="str">
            <v>الرقابة والترخيص</v>
          </cell>
          <cell r="R773" t="str">
            <v>Licensing</v>
          </cell>
          <cell r="S773" t="str">
            <v>الترخيص</v>
          </cell>
          <cell r="T773" t="str">
            <v>Entertainment Licensing</v>
          </cell>
          <cell r="U773" t="str">
            <v>تراخيص الترفيه</v>
          </cell>
          <cell r="V773" t="str">
            <v>Abu Dhabi</v>
          </cell>
          <cell r="W773" t="str">
            <v/>
          </cell>
          <cell r="X773" t="str">
            <v>4510170</v>
          </cell>
          <cell r="Y773" t="str">
            <v>Compliance,Governance&amp;Protocol_Licensing &amp; Regulatory Compliance- (Follow-up and Reporting) _Professional Assistant</v>
          </cell>
          <cell r="Z773" t="str">
            <v>Professional</v>
          </cell>
          <cell r="AA773" t="str">
            <v>4A</v>
          </cell>
        </row>
        <row r="774">
          <cell r="A774">
            <v>1644</v>
          </cell>
          <cell r="B774">
            <v>1644</v>
          </cell>
          <cell r="C774" t="str">
            <v>A</v>
          </cell>
          <cell r="D774" t="str">
            <v>Mouza Mohamed Alqubaisi</v>
          </cell>
          <cell r="E774" t="str">
            <v>موزه محمد القبيسي</v>
          </cell>
          <cell r="F774">
            <v>44582</v>
          </cell>
          <cell r="G774" t="str">
            <v>50004252</v>
          </cell>
          <cell r="H774" t="str">
            <v>Visitor Services Specialist</v>
          </cell>
          <cell r="I774" t="str">
            <v>أخصائي خدمات الزوار</v>
          </cell>
          <cell r="J774" t="str">
            <v>On-Chart</v>
          </cell>
          <cell r="K774" t="str">
            <v>DCT Payroll</v>
          </cell>
          <cell r="L774" t="str">
            <v>A1</v>
          </cell>
          <cell r="M774" t="str">
            <v>Department of Culture and Tourism</v>
          </cell>
          <cell r="N774" t="str">
            <v>Culture</v>
          </cell>
          <cell r="O774" t="str">
            <v>الثقافة</v>
          </cell>
          <cell r="P774" t="str">
            <v>Culture Sites Management</v>
          </cell>
          <cell r="Q774" t="str">
            <v>إدارة المواقع الثقافية</v>
          </cell>
          <cell r="R774" t="str">
            <v>Abu Dhabi Culture Sites</v>
          </cell>
          <cell r="S774" t="str">
            <v>مواقع أبوظبي الثقافية</v>
          </cell>
          <cell r="T774" t="str">
            <v>Al Maqtaa Museum</v>
          </cell>
          <cell r="U774" t="str">
            <v>متحف المقطع</v>
          </cell>
          <cell r="V774" t="str">
            <v>Abu Dhabi</v>
          </cell>
          <cell r="W774" t="str">
            <v/>
          </cell>
          <cell r="X774" t="str">
            <v>4511250</v>
          </cell>
          <cell r="Y774" t="str">
            <v>Senior Specialization Visitor Services &amp; Protocol</v>
          </cell>
          <cell r="Z774" t="str">
            <v>Professional</v>
          </cell>
          <cell r="AA774" t="str">
            <v>4B</v>
          </cell>
        </row>
        <row r="775">
          <cell r="A775">
            <v>1645</v>
          </cell>
          <cell r="B775">
            <v>1645</v>
          </cell>
          <cell r="C775" t="str">
            <v>A</v>
          </cell>
          <cell r="D775" t="str">
            <v>Saeeda Hamad Alzaabi</v>
          </cell>
          <cell r="E775" t="str">
            <v>سعيده حمد الزعابي</v>
          </cell>
          <cell r="F775">
            <v>44600</v>
          </cell>
          <cell r="G775" t="str">
            <v>50001384</v>
          </cell>
          <cell r="H775" t="str">
            <v>Procurement Projects Specialist</v>
          </cell>
          <cell r="I775" t="str">
            <v>أخصائي مشاريع المشتريات</v>
          </cell>
          <cell r="J775" t="str">
            <v>On-Chart</v>
          </cell>
          <cell r="K775" t="str">
            <v>DCT Payroll</v>
          </cell>
          <cell r="L775" t="str">
            <v>A1</v>
          </cell>
          <cell r="M775" t="str">
            <v>Department of Culture and Tourism</v>
          </cell>
          <cell r="N775" t="str">
            <v>Support Services</v>
          </cell>
          <cell r="O775" t="str">
            <v>الخدمات المساندة</v>
          </cell>
          <cell r="P775" t="str">
            <v>Supply Management</v>
          </cell>
          <cell r="Q775" t="str">
            <v>إدارة الإمداد</v>
          </cell>
          <cell r="R775" t="str">
            <v>Contracts, System &amp; Reporting</v>
          </cell>
          <cell r="S775" t="str">
            <v>العقود والأنظمة والتقارير</v>
          </cell>
          <cell r="T775" t="str">
            <v>Procurement Projects</v>
          </cell>
          <cell r="U775" t="str">
            <v>مشاريع المشتريات</v>
          </cell>
          <cell r="V775" t="str">
            <v>Abu Dhabi</v>
          </cell>
          <cell r="W775" t="str">
            <v/>
          </cell>
          <cell r="X775" t="str">
            <v>4510240</v>
          </cell>
          <cell r="Y775" t="str">
            <v>Procurement_Procurement Projects _Professional</v>
          </cell>
          <cell r="Z775" t="str">
            <v>Professional</v>
          </cell>
          <cell r="AA775" t="str">
            <v>4B</v>
          </cell>
        </row>
        <row r="776">
          <cell r="A776">
            <v>1646</v>
          </cell>
          <cell r="B776">
            <v>1646</v>
          </cell>
          <cell r="C776" t="str">
            <v>A</v>
          </cell>
          <cell r="D776" t="str">
            <v>Ahmed Atif Mohamed</v>
          </cell>
          <cell r="E776" t="str">
            <v>أحمد عاطف محمد</v>
          </cell>
          <cell r="F776">
            <v>44607</v>
          </cell>
          <cell r="G776" t="str">
            <v>50001328</v>
          </cell>
          <cell r="H776" t="str">
            <v>FM Engineer</v>
          </cell>
          <cell r="I776" t="str">
            <v>مهندس إدارة المرافق</v>
          </cell>
          <cell r="J776" t="str">
            <v>On-Chart</v>
          </cell>
          <cell r="K776" t="str">
            <v>DCT Payroll</v>
          </cell>
          <cell r="L776" t="str">
            <v>A1</v>
          </cell>
          <cell r="M776" t="str">
            <v>Department of Culture and Tourism</v>
          </cell>
          <cell r="N776" t="str">
            <v>Culture</v>
          </cell>
          <cell r="O776" t="str">
            <v>الثقافة</v>
          </cell>
          <cell r="P776" t="str">
            <v>Culture Sites Management</v>
          </cell>
          <cell r="Q776" t="str">
            <v>إدارة المواقع الثقافية</v>
          </cell>
          <cell r="R776" t="str">
            <v>Abu Dhabi Operations</v>
          </cell>
          <cell r="S776" t="str">
            <v>العمليات - أبوظبي</v>
          </cell>
          <cell r="T776" t="str">
            <v>Operations</v>
          </cell>
          <cell r="U776" t="str">
            <v>العمليات</v>
          </cell>
          <cell r="V776" t="str">
            <v>Abu Dhabi</v>
          </cell>
          <cell r="W776" t="str">
            <v/>
          </cell>
          <cell r="X776" t="str">
            <v>4511250</v>
          </cell>
          <cell r="Y776" t="str">
            <v>Compliance,Governance&amp;Protocol_Policy (Culture/Tourism _Senior Professional</v>
          </cell>
          <cell r="Z776" t="str">
            <v>Senior Professional</v>
          </cell>
          <cell r="AA776" t="str">
            <v>3C</v>
          </cell>
        </row>
        <row r="777">
          <cell r="A777">
            <v>1647</v>
          </cell>
          <cell r="B777">
            <v>1647</v>
          </cell>
          <cell r="C777" t="str">
            <v>A</v>
          </cell>
          <cell r="D777" t="str">
            <v>Ghaith Mohammed Meftah</v>
          </cell>
          <cell r="E777" t="str">
            <v>غيث محمد مفتاح</v>
          </cell>
          <cell r="F777">
            <v>44649</v>
          </cell>
          <cell r="G777" t="str">
            <v>10008968</v>
          </cell>
          <cell r="H777" t="str">
            <v>Exhibitions Design Section Head</v>
          </cell>
          <cell r="I777" t="str">
            <v>رئيس قسم تصميم المعارض</v>
          </cell>
          <cell r="J777" t="str">
            <v>On-Chart</v>
          </cell>
          <cell r="K777" t="str">
            <v>DCT Payroll</v>
          </cell>
          <cell r="L777" t="str">
            <v>A1</v>
          </cell>
          <cell r="M777" t="str">
            <v>Department of Culture and Tourism</v>
          </cell>
          <cell r="N777" t="str">
            <v>Culture</v>
          </cell>
          <cell r="O777" t="str">
            <v>الثقافة</v>
          </cell>
          <cell r="P777" t="str">
            <v>Scientific, Curatorial and Collection Department</v>
          </cell>
          <cell r="Q777" t="str">
            <v>إدارة البحث العلمي والمقتنيات</v>
          </cell>
          <cell r="R777" t="str">
            <v>Exhibitions Design</v>
          </cell>
          <cell r="S777" t="str">
            <v>تصميم المعارض</v>
          </cell>
          <cell r="T777" t="str">
            <v/>
          </cell>
          <cell r="U777" t="str">
            <v/>
          </cell>
          <cell r="V777" t="str">
            <v>Abu Dhabi</v>
          </cell>
          <cell r="W777" t="str">
            <v/>
          </cell>
          <cell r="X777" t="str">
            <v>4511150</v>
          </cell>
          <cell r="Y777" t="str">
            <v>Design_Exhibitions Design _Unit Head</v>
          </cell>
          <cell r="Z777" t="str">
            <v>Section Manager</v>
          </cell>
          <cell r="AA777" t="str">
            <v>2B</v>
          </cell>
        </row>
        <row r="778">
          <cell r="A778">
            <v>1648</v>
          </cell>
          <cell r="B778">
            <v>1648</v>
          </cell>
          <cell r="C778" t="str">
            <v>A</v>
          </cell>
          <cell r="D778" t="str">
            <v>Mariam Juma AlKaabi</v>
          </cell>
          <cell r="E778" t="str">
            <v>مريم جمعه الكعبي</v>
          </cell>
          <cell r="F778">
            <v>44620</v>
          </cell>
          <cell r="G778" t="str">
            <v>50001405</v>
          </cell>
          <cell r="H778" t="str">
            <v>NOC Officer</v>
          </cell>
          <cell r="I778" t="str">
            <v>ضابط شهادات عدم الممانعة</v>
          </cell>
          <cell r="J778" t="str">
            <v>On-Chart</v>
          </cell>
          <cell r="K778" t="str">
            <v>DCT Payroll</v>
          </cell>
          <cell r="L778" t="str">
            <v>A1</v>
          </cell>
          <cell r="M778" t="str">
            <v>Department of Culture and Tourism</v>
          </cell>
          <cell r="N778" t="str">
            <v>Culture</v>
          </cell>
          <cell r="O778" t="str">
            <v>الثقافة</v>
          </cell>
          <cell r="P778" t="str">
            <v>Historic Environment</v>
          </cell>
          <cell r="Q778" t="str">
            <v>البيئة التاريخية</v>
          </cell>
          <cell r="R778" t="str">
            <v>Conservation</v>
          </cell>
          <cell r="S778" t="str">
            <v>الترميم</v>
          </cell>
          <cell r="T778" t="str">
            <v>Conservation – Modern &amp; Urban Heritage</v>
          </cell>
          <cell r="U778" t="str">
            <v>حماية التراث الحديث</v>
          </cell>
          <cell r="V778" t="str">
            <v>Abu Dhabi</v>
          </cell>
          <cell r="W778" t="str">
            <v/>
          </cell>
          <cell r="X778" t="str">
            <v>4511300</v>
          </cell>
          <cell r="Y778" t="str">
            <v>Compliance,Governance&amp;Protocol_Policy (Culture/Tourism) _Professional</v>
          </cell>
          <cell r="Z778" t="str">
            <v>Professional</v>
          </cell>
          <cell r="AA778" t="str">
            <v>4A</v>
          </cell>
        </row>
        <row r="779">
          <cell r="A779">
            <v>1649</v>
          </cell>
          <cell r="B779">
            <v>1649</v>
          </cell>
          <cell r="C779" t="str">
            <v>A</v>
          </cell>
          <cell r="D779" t="str">
            <v>Walid Ahmed Al Aaeldain</v>
          </cell>
          <cell r="E779" t="str">
            <v>وليد أحمد علاء الدين</v>
          </cell>
          <cell r="F779">
            <v>44650</v>
          </cell>
          <cell r="G779" t="str">
            <v>50001057</v>
          </cell>
          <cell r="H779" t="str">
            <v>Corporate Communication Office Head</v>
          </cell>
          <cell r="I779" t="str">
            <v>مدير مكتب الاتصال المؤسسي</v>
          </cell>
          <cell r="J779" t="str">
            <v>On-Chart</v>
          </cell>
          <cell r="K779" t="str">
            <v>ALC Direct Hires</v>
          </cell>
          <cell r="L779" t="str">
            <v>AL1</v>
          </cell>
          <cell r="M779" t="str">
            <v>Abu Dhabi Arabic Language Centre</v>
          </cell>
          <cell r="N779" t="str">
            <v>Abu Dhabi Arabic Language Centre</v>
          </cell>
          <cell r="O779" t="str">
            <v>مركز أبوظبي للغة العربية</v>
          </cell>
          <cell r="P779" t="str">
            <v>-</v>
          </cell>
          <cell r="Q779" t="str">
            <v>-</v>
          </cell>
          <cell r="R779" t="str">
            <v>Corporate Communication Office</v>
          </cell>
          <cell r="S779" t="str">
            <v>مكتب الاتصال المؤسسي</v>
          </cell>
          <cell r="T779" t="str">
            <v/>
          </cell>
          <cell r="U779" t="str">
            <v/>
          </cell>
          <cell r="V779" t="str">
            <v>Abu Dhabi</v>
          </cell>
          <cell r="W779" t="str">
            <v/>
          </cell>
          <cell r="X779" t="str">
            <v>4510195</v>
          </cell>
          <cell r="Y779" t="str">
            <v>Interpretation &amp; Engagement_Arabic Language Development _Section Manager</v>
          </cell>
          <cell r="Z779" t="str">
            <v>Section Manager</v>
          </cell>
          <cell r="AA779" t="str">
            <v>2A</v>
          </cell>
        </row>
        <row r="780">
          <cell r="A780">
            <v>1651</v>
          </cell>
          <cell r="B780">
            <v>1651</v>
          </cell>
          <cell r="C780" t="str">
            <v>A</v>
          </cell>
          <cell r="D780" t="str">
            <v>Jawaher Khamis Almansoori</v>
          </cell>
          <cell r="E780" t="str">
            <v>جواهر خميس المنصوري</v>
          </cell>
          <cell r="F780">
            <v>44613</v>
          </cell>
          <cell r="G780" t="str">
            <v>50001481</v>
          </cell>
          <cell r="H780" t="str">
            <v>Cataloguing Officer</v>
          </cell>
          <cell r="I780" t="str">
            <v>ضابط الفهرسة</v>
          </cell>
          <cell r="J780" t="str">
            <v>On-Chart</v>
          </cell>
          <cell r="K780" t="str">
            <v>ALC Direct Hires</v>
          </cell>
          <cell r="L780" t="str">
            <v>AL1</v>
          </cell>
          <cell r="M780" t="str">
            <v>Abu Dhabi Arabic Language Centre</v>
          </cell>
          <cell r="N780" t="str">
            <v>Abu Dhabi Arabic Language Centre</v>
          </cell>
          <cell r="O780" t="str">
            <v>مركز أبوظبي للغة العربية</v>
          </cell>
          <cell r="P780" t="str">
            <v>Specialized Library</v>
          </cell>
          <cell r="Q780" t="str">
            <v>المكتبات المتخصصة</v>
          </cell>
          <cell r="R780" t="str">
            <v>Technical Services - ALC</v>
          </cell>
          <cell r="S780" t="str">
            <v>الخدمات الفنية</v>
          </cell>
          <cell r="T780" t="str">
            <v>Collections Development &amp; Acquisition</v>
          </cell>
          <cell r="U780" t="str">
            <v>التزويد وإدارة المقتنيات</v>
          </cell>
          <cell r="V780" t="str">
            <v>Abu Dhabi</v>
          </cell>
          <cell r="W780" t="str">
            <v/>
          </cell>
          <cell r="X780" t="str">
            <v>4519202</v>
          </cell>
          <cell r="Y780" t="str">
            <v>Operations_Library Operational  Management _Professional Assistant</v>
          </cell>
          <cell r="Z780" t="str">
            <v>Professional</v>
          </cell>
          <cell r="AA780" t="str">
            <v>4A</v>
          </cell>
        </row>
        <row r="781">
          <cell r="A781">
            <v>1652</v>
          </cell>
          <cell r="B781">
            <v>1652</v>
          </cell>
          <cell r="C781" t="str">
            <v>A</v>
          </cell>
          <cell r="D781" t="str">
            <v>Saud Ismail Alhammadi</v>
          </cell>
          <cell r="E781" t="str">
            <v>سعود إسماعيل الحمادي</v>
          </cell>
          <cell r="F781">
            <v>44641</v>
          </cell>
          <cell r="G781" t="str">
            <v>50000379</v>
          </cell>
          <cell r="H781" t="str">
            <v>Project Controls Senior Engineer</v>
          </cell>
          <cell r="I781" t="str">
            <v>مهندس اول مراقبة المشاريع</v>
          </cell>
          <cell r="J781" t="str">
            <v>On-Chart</v>
          </cell>
          <cell r="K781" t="str">
            <v>DCT Payroll</v>
          </cell>
          <cell r="L781" t="str">
            <v>A1</v>
          </cell>
          <cell r="M781" t="str">
            <v>Department of Culture and Tourism</v>
          </cell>
          <cell r="N781" t="str">
            <v>Tendering &amp; Projects Control</v>
          </cell>
          <cell r="O781" t="str">
            <v>مكتب وكيل الدائرة</v>
          </cell>
          <cell r="P781" t="str">
            <v>Tendering &amp; Projects Control</v>
          </cell>
          <cell r="Q781" t="str">
            <v>المناقصات ومراقبة المشاريع</v>
          </cell>
          <cell r="R781" t="str">
            <v>Project Controls</v>
          </cell>
          <cell r="S781" t="str">
            <v>مراقبة المشاريع</v>
          </cell>
          <cell r="T781" t="str">
            <v/>
          </cell>
          <cell r="U781" t="str">
            <v/>
          </cell>
          <cell r="V781" t="str">
            <v>Abu Dhabi</v>
          </cell>
          <cell r="W781" t="str">
            <v/>
          </cell>
          <cell r="X781" t="str">
            <v>4510155</v>
          </cell>
          <cell r="Y781" t="str">
            <v>Procurement_Tendering_Senior Professional</v>
          </cell>
          <cell r="Z781" t="str">
            <v>Senior Professional</v>
          </cell>
          <cell r="AA781" t="str">
            <v>3A</v>
          </cell>
        </row>
        <row r="782">
          <cell r="A782">
            <v>1653</v>
          </cell>
          <cell r="B782">
            <v>1653</v>
          </cell>
          <cell r="C782" t="str">
            <v>A</v>
          </cell>
          <cell r="D782" t="str">
            <v>Fatima Rashid AlHemeiri</v>
          </cell>
          <cell r="E782" t="str">
            <v>فاطمه راشد الحميري</v>
          </cell>
          <cell r="F782">
            <v>44630</v>
          </cell>
          <cell r="G782" t="str">
            <v>10012268</v>
          </cell>
          <cell r="H782" t="str">
            <v>Al Ain Corporate Environment Health &amp; Safety Executive</v>
          </cell>
          <cell r="I782" t="str">
            <v>تنفيذي البيئة والصحة والسلامة للدائرة للعين</v>
          </cell>
          <cell r="J782" t="str">
            <v>On-Chart</v>
          </cell>
          <cell r="K782" t="str">
            <v>DCT Payroll</v>
          </cell>
          <cell r="L782" t="str">
            <v>A1</v>
          </cell>
          <cell r="M782" t="str">
            <v>Department of Culture and Tourism</v>
          </cell>
          <cell r="N782" t="str">
            <v>Tourism</v>
          </cell>
          <cell r="O782" t="str">
            <v>السياحة</v>
          </cell>
          <cell r="P782" t="str">
            <v>Licensing &amp; Regulatory Compliance</v>
          </cell>
          <cell r="Q782" t="str">
            <v>الرقابة والترخيص</v>
          </cell>
          <cell r="R782" t="str">
            <v>Environment, Health &amp; Safety</v>
          </cell>
          <cell r="S782" t="str">
            <v>البيئة والصحة والسلامة</v>
          </cell>
          <cell r="T782" t="str">
            <v>Corporate Environment, Health &amp; Safety</v>
          </cell>
          <cell r="U782" t="str">
            <v>البيئة والصحة والسلامة للدائرة</v>
          </cell>
          <cell r="V782" t="str">
            <v>Abu Dhabi</v>
          </cell>
          <cell r="W782" t="str">
            <v/>
          </cell>
          <cell r="X782" t="str">
            <v>4510170</v>
          </cell>
          <cell r="Y782" t="str">
            <v>Compliance,Governance&amp;Protocol_Licensing &amp; Regulatory Compliance- (Follow-up and Reporting) _Professional Assistant</v>
          </cell>
          <cell r="Z782" t="str">
            <v>Professional</v>
          </cell>
          <cell r="AA782" t="str">
            <v>4A</v>
          </cell>
        </row>
        <row r="783">
          <cell r="A783">
            <v>1654</v>
          </cell>
          <cell r="B783">
            <v>1654</v>
          </cell>
          <cell r="C783" t="str">
            <v>A</v>
          </cell>
          <cell r="D783" t="str">
            <v>Saleh Mohammed AlGeziry</v>
          </cell>
          <cell r="E783" t="str">
            <v>صالح محمد الجزيري</v>
          </cell>
          <cell r="F783">
            <v>44649</v>
          </cell>
          <cell r="G783" t="str">
            <v>50001494</v>
          </cell>
          <cell r="H783" t="str">
            <v>Director General, Tourism Sector</v>
          </cell>
          <cell r="I783" t="str">
            <v>مدير عام السياحة</v>
          </cell>
          <cell r="J783" t="str">
            <v>On-Chart</v>
          </cell>
          <cell r="K783" t="str">
            <v>DCT Payroll</v>
          </cell>
          <cell r="L783" t="str">
            <v>A1</v>
          </cell>
          <cell r="M783" t="str">
            <v>Department of Culture and Tourism</v>
          </cell>
          <cell r="N783" t="str">
            <v>Tourism</v>
          </cell>
          <cell r="O783" t="str">
            <v>السياحة</v>
          </cell>
          <cell r="P783" t="str">
            <v>Director General Office</v>
          </cell>
          <cell r="Q783" t="str">
            <v>مكتب المدير العام للسياحة</v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>Abu Dhabi</v>
          </cell>
          <cell r="W783" t="str">
            <v/>
          </cell>
          <cell r="X783" t="str">
            <v>4515001</v>
          </cell>
          <cell r="Y783" t="str">
            <v>Executive Management _Tourism Sector Director General</v>
          </cell>
          <cell r="Z783" t="str">
            <v>Executive Director</v>
          </cell>
          <cell r="AA783" t="str">
            <v>DG - B</v>
          </cell>
        </row>
        <row r="784">
          <cell r="A784">
            <v>1655</v>
          </cell>
          <cell r="B784">
            <v>1655</v>
          </cell>
          <cell r="C784" t="str">
            <v>A</v>
          </cell>
          <cell r="D784" t="str">
            <v>Zain Shahnawaz</v>
          </cell>
          <cell r="E784" t="str">
            <v>زين  شاه نواز</v>
          </cell>
          <cell r="F784">
            <v>44652</v>
          </cell>
          <cell r="G784" t="str">
            <v>50003989</v>
          </cell>
          <cell r="H784" t="str">
            <v>Quality Management Unit Head</v>
          </cell>
          <cell r="I784" t="str">
            <v>رئيس وحدة إدارة الجودة</v>
          </cell>
          <cell r="J784" t="str">
            <v>On-Chart</v>
          </cell>
          <cell r="K784" t="str">
            <v>DCT Payroll</v>
          </cell>
          <cell r="L784" t="str">
            <v>A1</v>
          </cell>
          <cell r="M784" t="str">
            <v>Department of Culture and Tourism</v>
          </cell>
          <cell r="N784" t="str">
            <v>Strategic Affairs</v>
          </cell>
          <cell r="O784" t="str">
            <v>الشؤون الاستراتيجية</v>
          </cell>
          <cell r="P784" t="str">
            <v>Business Excellence &amp; Continuity</v>
          </cell>
          <cell r="Q784" t="str">
            <v>التميز المؤسسي واستمرارية الأعمال</v>
          </cell>
          <cell r="R784" t="str">
            <v>Governance</v>
          </cell>
          <cell r="S784" t="str">
            <v>الحوكمة</v>
          </cell>
          <cell r="T784" t="str">
            <v>Quality Management</v>
          </cell>
          <cell r="U784" t="str">
            <v>إدارة الجودة</v>
          </cell>
          <cell r="V784" t="str">
            <v>Abu Dhabi</v>
          </cell>
          <cell r="W784" t="str">
            <v/>
          </cell>
          <cell r="X784" t="str">
            <v>4512300</v>
          </cell>
          <cell r="Y784" t="str">
            <v>Strategy, Planning, Project Mgt_Business Excellence &amp; Foresight Planning _Unit Head</v>
          </cell>
          <cell r="Z784" t="str">
            <v>Unit Head</v>
          </cell>
          <cell r="AA784" t="str">
            <v>3A</v>
          </cell>
        </row>
        <row r="785">
          <cell r="A785">
            <v>1657</v>
          </cell>
          <cell r="B785">
            <v>1657</v>
          </cell>
          <cell r="C785" t="str">
            <v>A</v>
          </cell>
          <cell r="D785" t="str">
            <v>Fatima Sughayer Al Dhaheri</v>
          </cell>
          <cell r="E785" t="str">
            <v>فاطمة صغير الظاهري</v>
          </cell>
          <cell r="F785">
            <v>44690</v>
          </cell>
          <cell r="G785" t="str">
            <v>50000383</v>
          </cell>
          <cell r="H785" t="str">
            <v>Internal Auditor</v>
          </cell>
          <cell r="I785" t="str">
            <v>مدقق داخلي</v>
          </cell>
          <cell r="J785" t="str">
            <v>On-Chart</v>
          </cell>
          <cell r="K785" t="str">
            <v>DCT Payroll</v>
          </cell>
          <cell r="L785" t="str">
            <v>A1</v>
          </cell>
          <cell r="M785" t="str">
            <v>Department of Culture and Tourism</v>
          </cell>
          <cell r="N785" t="str">
            <v>Internal Audit Office</v>
          </cell>
          <cell r="O785" t="str">
            <v>مكتب وكيل الدائرة</v>
          </cell>
          <cell r="P785" t="str">
            <v>Internal Audit Office</v>
          </cell>
          <cell r="Q785" t="str">
            <v>مكتب التدقيق الداخلي</v>
          </cell>
          <cell r="R785" t="str">
            <v>Affiliated Internal Audit</v>
          </cell>
          <cell r="S785" t="str">
            <v>التدقيق الداخلي للجهات التابعة</v>
          </cell>
          <cell r="T785" t="str">
            <v/>
          </cell>
          <cell r="U785" t="str">
            <v/>
          </cell>
          <cell r="V785" t="str">
            <v>Abu Dhabi</v>
          </cell>
          <cell r="W785" t="str">
            <v/>
          </cell>
          <cell r="X785" t="str">
            <v>4510140</v>
          </cell>
          <cell r="Y785" t="str">
            <v>Compliance,Governance&amp;Protocol_Internal Auditor_Professional</v>
          </cell>
          <cell r="Z785" t="str">
            <v>Professional</v>
          </cell>
          <cell r="AA785" t="str">
            <v>4B</v>
          </cell>
        </row>
        <row r="786">
          <cell r="A786">
            <v>1658</v>
          </cell>
          <cell r="B786">
            <v>1658</v>
          </cell>
          <cell r="C786" t="str">
            <v>A</v>
          </cell>
          <cell r="D786" t="str">
            <v>Nada Abdualla Al Ali</v>
          </cell>
          <cell r="E786" t="str">
            <v>ندى عبدالله ال علي</v>
          </cell>
          <cell r="F786">
            <v>44705</v>
          </cell>
          <cell r="G786" t="str">
            <v>50001548</v>
          </cell>
          <cell r="H786" t="str">
            <v>Abu Dhabi Corporate Environment, Health &amp; Safety Executive</v>
          </cell>
          <cell r="I786" t="str">
            <v>تنفيذي البيئة والصحة والسلامة للدائرة لأبوظبي</v>
          </cell>
          <cell r="J786" t="str">
            <v>On-Chart</v>
          </cell>
          <cell r="K786" t="str">
            <v>DCT Payroll</v>
          </cell>
          <cell r="L786" t="str">
            <v>A1</v>
          </cell>
          <cell r="M786" t="str">
            <v>Department of Culture and Tourism</v>
          </cell>
          <cell r="N786" t="str">
            <v>Tourism</v>
          </cell>
          <cell r="O786" t="str">
            <v>السياحة</v>
          </cell>
          <cell r="P786" t="str">
            <v>Licensing &amp; Regulatory Compliance</v>
          </cell>
          <cell r="Q786" t="str">
            <v>الرقابة والترخيص</v>
          </cell>
          <cell r="R786" t="str">
            <v>Environment, Health &amp; Safety</v>
          </cell>
          <cell r="S786" t="str">
            <v>البيئة والصحة والسلامة</v>
          </cell>
          <cell r="T786" t="str">
            <v>Corporate Environment, Health &amp; Safety</v>
          </cell>
          <cell r="U786" t="str">
            <v>البيئة والصحة والسلامة للدائرة</v>
          </cell>
          <cell r="V786" t="str">
            <v>Abu Dhabi</v>
          </cell>
          <cell r="W786" t="str">
            <v/>
          </cell>
          <cell r="X786" t="str">
            <v>4510170</v>
          </cell>
          <cell r="Y786" t="str">
            <v>Compliance,Governance&amp;Protocol_Licensing &amp; Regulatory Compliance- (Follow-up and Reporting) _Professional Assistant</v>
          </cell>
          <cell r="Z786" t="str">
            <v>Professional</v>
          </cell>
          <cell r="AA786" t="str">
            <v>4A</v>
          </cell>
        </row>
        <row r="787">
          <cell r="A787">
            <v>1659</v>
          </cell>
          <cell r="B787">
            <v>1659</v>
          </cell>
          <cell r="C787" t="str">
            <v>A</v>
          </cell>
          <cell r="D787" t="str">
            <v>Mariam Abdulkarim Badawi</v>
          </cell>
          <cell r="E787" t="str">
            <v>مريم عبدالكريم بدوى</v>
          </cell>
          <cell r="F787">
            <v>44699</v>
          </cell>
          <cell r="G787" t="str">
            <v>50002109</v>
          </cell>
          <cell r="H787" t="str">
            <v>PR &amp; Communications Officer</v>
          </cell>
          <cell r="I787" t="str">
            <v>ضابط العلاقات العامة والاتصالات</v>
          </cell>
          <cell r="J787" t="str">
            <v>On-Chart</v>
          </cell>
          <cell r="K787" t="str">
            <v>ALC Direct Hires</v>
          </cell>
          <cell r="L787" t="str">
            <v>AL1</v>
          </cell>
          <cell r="M787" t="str">
            <v>Abu Dhabi Arabic Language Centre</v>
          </cell>
          <cell r="N787" t="str">
            <v>Abu Dhabi Arabic Language Centre</v>
          </cell>
          <cell r="O787" t="str">
            <v>مركز أبوظبي للغة العربية</v>
          </cell>
          <cell r="P787" t="str">
            <v>Marketing &amp; Communications</v>
          </cell>
          <cell r="Q787" t="str">
            <v>التسويق والاتصال</v>
          </cell>
          <cell r="R787" t="str">
            <v>-</v>
          </cell>
          <cell r="S787" t="str">
            <v/>
          </cell>
          <cell r="T787" t="str">
            <v>PR &amp; Communications</v>
          </cell>
          <cell r="U787" t="str">
            <v>العلاقات العامة والاتصال</v>
          </cell>
          <cell r="V787" t="str">
            <v>Abu Dhabi</v>
          </cell>
          <cell r="W787" t="str">
            <v/>
          </cell>
          <cell r="X787" t="str">
            <v>4519196</v>
          </cell>
          <cell r="Y787" t="str">
            <v>Comms &amp; Marketing _Marketing &amp; Communications (All)_Professional</v>
          </cell>
          <cell r="Z787" t="str">
            <v>Professional</v>
          </cell>
          <cell r="AA787" t="str">
            <v>4B</v>
          </cell>
        </row>
        <row r="788">
          <cell r="A788">
            <v>1660</v>
          </cell>
          <cell r="B788">
            <v>1660</v>
          </cell>
          <cell r="C788" t="str">
            <v>A</v>
          </cell>
          <cell r="D788" t="str">
            <v>Aysha Salem Al Blooshi</v>
          </cell>
          <cell r="E788" t="str">
            <v>عائشة سالم البلوشي</v>
          </cell>
          <cell r="F788">
            <v>44692</v>
          </cell>
          <cell r="G788" t="str">
            <v>50001569</v>
          </cell>
          <cell r="H788" t="str">
            <v>Library Services Delivery Officer</v>
          </cell>
          <cell r="I788" t="str">
            <v>ضابط تقديم الخدمات المكتبية</v>
          </cell>
          <cell r="J788" t="str">
            <v>On-Chart</v>
          </cell>
          <cell r="K788" t="str">
            <v>ALC Direct Hires</v>
          </cell>
          <cell r="L788" t="str">
            <v>AL1</v>
          </cell>
          <cell r="M788" t="str">
            <v>Abu Dhabi Arabic Language Centre</v>
          </cell>
          <cell r="N788" t="str">
            <v>Abu Dhabi Arabic Language Centre</v>
          </cell>
          <cell r="O788" t="str">
            <v>مركز أبوظبي للغة العربية</v>
          </cell>
          <cell r="P788" t="str">
            <v>Specialized Library</v>
          </cell>
          <cell r="Q788" t="str">
            <v>المكتبات المتخصصة</v>
          </cell>
          <cell r="R788" t="str">
            <v>Library Services - ALC</v>
          </cell>
          <cell r="S788" t="str">
            <v>الخدمات المكتبية</v>
          </cell>
          <cell r="T788" t="str">
            <v>Library Services Delivery</v>
          </cell>
          <cell r="U788" t="str">
            <v>تقديم الخدمات المكتبية</v>
          </cell>
          <cell r="V788" t="str">
            <v>Abu Dhabi</v>
          </cell>
          <cell r="W788" t="str">
            <v/>
          </cell>
          <cell r="X788" t="str">
            <v>4519202</v>
          </cell>
          <cell r="Y788" t="str">
            <v>Operations_Library Operational  Management _Professional Assistant</v>
          </cell>
          <cell r="Z788" t="str">
            <v>Professional</v>
          </cell>
          <cell r="AA788" t="str">
            <v>4B</v>
          </cell>
        </row>
        <row r="789">
          <cell r="A789">
            <v>1661</v>
          </cell>
          <cell r="B789">
            <v>1661</v>
          </cell>
          <cell r="C789" t="str">
            <v>A</v>
          </cell>
          <cell r="D789" t="str">
            <v>Mohamed Ahmed Al Zaabi</v>
          </cell>
          <cell r="E789" t="str">
            <v>محمد أحمد الزعابي</v>
          </cell>
          <cell r="F789">
            <v>44713</v>
          </cell>
          <cell r="G789" t="str">
            <v>47700763</v>
          </cell>
          <cell r="H789" t="str">
            <v>Assistant Inspector</v>
          </cell>
          <cell r="I789" t="str">
            <v>مفتش مساعد</v>
          </cell>
          <cell r="J789" t="str">
            <v>On-Chart</v>
          </cell>
          <cell r="K789" t="str">
            <v>DCT Payroll</v>
          </cell>
          <cell r="L789" t="str">
            <v>A1</v>
          </cell>
          <cell r="M789" t="str">
            <v>Department of Culture and Tourism</v>
          </cell>
          <cell r="N789" t="str">
            <v>Tourism</v>
          </cell>
          <cell r="O789" t="str">
            <v>السياحة</v>
          </cell>
          <cell r="P789" t="str">
            <v>Licensing &amp; Regulatory Compliance</v>
          </cell>
          <cell r="Q789" t="str">
            <v>الرقابة والترخيص</v>
          </cell>
          <cell r="R789" t="str">
            <v>Abu Dhabi Inspection</v>
          </cell>
          <cell r="S789" t="str">
            <v>التفتيش</v>
          </cell>
          <cell r="T789" t="str">
            <v>Abu Dhabi Inspection (Special Permits)</v>
          </cell>
          <cell r="U789" t="str">
            <v>التفتيش أبوظبي (التصاريح الخاصة)</v>
          </cell>
          <cell r="V789" t="str">
            <v>Abu Dhabi</v>
          </cell>
          <cell r="W789" t="str">
            <v/>
          </cell>
          <cell r="X789" t="str">
            <v>4510170</v>
          </cell>
          <cell r="Y789" t="str">
            <v>Compliance,Governance&amp;Protocol_Licensing &amp; Regulatory Compliance- (Follow-up and Reporting) _Professional Assistant</v>
          </cell>
          <cell r="Z789" t="str">
            <v>Professional Assistant</v>
          </cell>
          <cell r="AA789" t="str">
            <v>5A</v>
          </cell>
        </row>
        <row r="790">
          <cell r="A790">
            <v>1664</v>
          </cell>
          <cell r="B790">
            <v>1664</v>
          </cell>
          <cell r="C790" t="str">
            <v>A</v>
          </cell>
          <cell r="D790" t="str">
            <v>Fatima Malalla AL Ameri</v>
          </cell>
          <cell r="E790" t="str">
            <v>فاطمة مال الله العامري</v>
          </cell>
          <cell r="F790">
            <v>44743</v>
          </cell>
          <cell r="G790" t="str">
            <v>50001685</v>
          </cell>
          <cell r="H790" t="str">
            <v>Awards Operations Management Officer</v>
          </cell>
          <cell r="I790" t="str">
            <v>ضابط إدارة عمليات الجوائز</v>
          </cell>
          <cell r="J790" t="str">
            <v>On-Chart</v>
          </cell>
          <cell r="K790" t="str">
            <v>ALC Direct Hires</v>
          </cell>
          <cell r="L790" t="str">
            <v>AL1</v>
          </cell>
          <cell r="M790" t="str">
            <v>Abu Dhabi Arabic Language Centre</v>
          </cell>
          <cell r="N790" t="str">
            <v>Abu Dhabi Arabic Language Centre</v>
          </cell>
          <cell r="O790" t="str">
            <v>مركز أبوظبي للغة العربية</v>
          </cell>
          <cell r="P790" t="str">
            <v>Literature Awards</v>
          </cell>
          <cell r="Q790" t="str">
            <v>الجوائز الأدبية</v>
          </cell>
          <cell r="R790" t="str">
            <v>Nominations - ALC</v>
          </cell>
          <cell r="S790" t="str">
            <v>الترشيحات</v>
          </cell>
          <cell r="T790" t="str">
            <v/>
          </cell>
          <cell r="U790" t="str">
            <v/>
          </cell>
          <cell r="V790" t="str">
            <v>Abu Dhabi</v>
          </cell>
          <cell r="W790" t="str">
            <v/>
          </cell>
          <cell r="X790" t="str">
            <v>4519201</v>
          </cell>
          <cell r="Y790" t="str">
            <v>Interpretation &amp; Engagement_Literature Awards Nominations _Professional</v>
          </cell>
          <cell r="Z790" t="str">
            <v>Professional</v>
          </cell>
          <cell r="AA790" t="str">
            <v>4C</v>
          </cell>
        </row>
        <row r="791">
          <cell r="A791">
            <v>1666</v>
          </cell>
          <cell r="B791">
            <v>1666</v>
          </cell>
          <cell r="C791" t="str">
            <v>A</v>
          </cell>
          <cell r="D791" t="str">
            <v>Sara Khalil Al Hosani</v>
          </cell>
          <cell r="E791" t="str">
            <v>سارة خليل الحوسني</v>
          </cell>
          <cell r="F791">
            <v>44739</v>
          </cell>
          <cell r="G791" t="str">
            <v>50001656</v>
          </cell>
          <cell r="H791" t="str">
            <v>Digital Library Resources Officer</v>
          </cell>
          <cell r="I791" t="str">
            <v>ضابط مصادر المكتبة الرقمية</v>
          </cell>
          <cell r="J791" t="str">
            <v>On-Chart</v>
          </cell>
          <cell r="K791" t="str">
            <v>ALC Direct Hires</v>
          </cell>
          <cell r="L791" t="str">
            <v>AL1</v>
          </cell>
          <cell r="M791" t="str">
            <v>Abu Dhabi Arabic Language Centre</v>
          </cell>
          <cell r="N791" t="str">
            <v>Abu Dhabi Arabic Language Centre</v>
          </cell>
          <cell r="O791" t="str">
            <v>مركز أبوظبي للغة العربية</v>
          </cell>
          <cell r="P791" t="str">
            <v>Specialized Library</v>
          </cell>
          <cell r="Q791" t="str">
            <v>المكتبات المتخصصة</v>
          </cell>
          <cell r="R791" t="str">
            <v>Technical Services - ALC</v>
          </cell>
          <cell r="S791" t="str">
            <v>الخدمات الفنية</v>
          </cell>
          <cell r="T791" t="str">
            <v>Digital Library Resources</v>
          </cell>
          <cell r="U791" t="str">
            <v>مصادر المكتبة الرقمية</v>
          </cell>
          <cell r="V791" t="str">
            <v>Abu Dhabi</v>
          </cell>
          <cell r="W791" t="str">
            <v/>
          </cell>
          <cell r="X791" t="str">
            <v>4519202</v>
          </cell>
          <cell r="Y791" t="str">
            <v>Operations_Library Operational  Management _Professional Assistant</v>
          </cell>
          <cell r="Z791" t="str">
            <v>Professional</v>
          </cell>
          <cell r="AA791" t="str">
            <v>4A</v>
          </cell>
        </row>
        <row r="792">
          <cell r="A792">
            <v>1668</v>
          </cell>
          <cell r="B792">
            <v>1668</v>
          </cell>
          <cell r="C792" t="str">
            <v>A</v>
          </cell>
          <cell r="D792" t="str">
            <v>Mariam Omar Al Hashmi</v>
          </cell>
          <cell r="E792" t="str">
            <v>مريم عمر الهاشمي</v>
          </cell>
          <cell r="F792">
            <v>44746</v>
          </cell>
          <cell r="G792" t="str">
            <v>50002108</v>
          </cell>
          <cell r="H792" t="str">
            <v>PR &amp; Communications Specialist</v>
          </cell>
          <cell r="I792" t="str">
            <v>أخصائي العلاقات العامة والاتصال</v>
          </cell>
          <cell r="J792" t="str">
            <v>On-Chart</v>
          </cell>
          <cell r="K792" t="str">
            <v>ALC Direct Hires</v>
          </cell>
          <cell r="L792" t="str">
            <v>AL1</v>
          </cell>
          <cell r="M792" t="str">
            <v>Abu Dhabi Arabic Language Centre</v>
          </cell>
          <cell r="N792" t="str">
            <v>Abu Dhabi Arabic Language Centre</v>
          </cell>
          <cell r="O792" t="str">
            <v>مركز أبوظبي للغة العربية</v>
          </cell>
          <cell r="P792" t="str">
            <v>Marketing &amp; Communications</v>
          </cell>
          <cell r="Q792" t="str">
            <v>التسويق والاتصال</v>
          </cell>
          <cell r="R792" t="str">
            <v>-</v>
          </cell>
          <cell r="S792" t="str">
            <v/>
          </cell>
          <cell r="T792" t="str">
            <v>PR &amp; Communications</v>
          </cell>
          <cell r="U792" t="str">
            <v>العلاقات العامة والاتصال</v>
          </cell>
          <cell r="V792" t="str">
            <v>Abu Dhabi</v>
          </cell>
          <cell r="W792" t="str">
            <v/>
          </cell>
          <cell r="X792" t="str">
            <v>4519196</v>
          </cell>
          <cell r="Y792" t="str">
            <v>Comms &amp; Marketing _Marketing &amp; Communications (All areas)_Senior Professional</v>
          </cell>
          <cell r="Z792" t="str">
            <v>Senior Professional</v>
          </cell>
          <cell r="AA792" t="str">
            <v>3B</v>
          </cell>
        </row>
        <row r="793">
          <cell r="A793">
            <v>1674</v>
          </cell>
          <cell r="B793">
            <v>1674</v>
          </cell>
          <cell r="C793" t="str">
            <v>A</v>
          </cell>
          <cell r="D793" t="str">
            <v>Fatima Dawood Alhammadi</v>
          </cell>
          <cell r="E793" t="str">
            <v>فاطمه داود الحمادي</v>
          </cell>
          <cell r="F793">
            <v>44802</v>
          </cell>
          <cell r="G793" t="str">
            <v>50002575</v>
          </cell>
          <cell r="H793" t="str">
            <v>Finance Business Partners Unit Head</v>
          </cell>
          <cell r="I793" t="str">
            <v>رئيس وحدة شركاء الأعمال المالية</v>
          </cell>
          <cell r="J793" t="str">
            <v>On-Chart</v>
          </cell>
          <cell r="K793" t="str">
            <v>MSS Direct Hires</v>
          </cell>
          <cell r="L793" t="str">
            <v>M1</v>
          </cell>
          <cell r="M793" t="str">
            <v>Department of Culture and Tourism</v>
          </cell>
          <cell r="N793" t="str">
            <v>Museums Shared Services</v>
          </cell>
          <cell r="O793" t="str">
            <v>الخدمات المشتركة للمتاحف</v>
          </cell>
          <cell r="P793" t="str">
            <v>Finance - MSS</v>
          </cell>
          <cell r="Q793" t="str">
            <v>الإدارة المالية - الخدمات المشتركة للمتاحف</v>
          </cell>
          <cell r="R793" t="str">
            <v>Finance Planning and Business Partnership Section - MSS</v>
          </cell>
          <cell r="S793" t="str">
            <v>قسم التخطيط المالي وشراكات الأعمال</v>
          </cell>
          <cell r="T793" t="str">
            <v>Finance Business Partners Unit  - MSS</v>
          </cell>
          <cell r="U793" t="str">
            <v>وحدة شركاء الأعمال المالية</v>
          </cell>
          <cell r="V793" t="str">
            <v>Abu Dhabi</v>
          </cell>
          <cell r="W793" t="str">
            <v/>
          </cell>
          <cell r="X793" t="str">
            <v>4514120</v>
          </cell>
          <cell r="Y793" t="str">
            <v>Finance_Finance Business Partner_Unit Head</v>
          </cell>
          <cell r="Z793" t="str">
            <v>Unit Head</v>
          </cell>
          <cell r="AA793" t="str">
            <v>3B</v>
          </cell>
        </row>
        <row r="794">
          <cell r="A794">
            <v>1677</v>
          </cell>
          <cell r="B794">
            <v>1677</v>
          </cell>
          <cell r="C794" t="str">
            <v>A</v>
          </cell>
          <cell r="D794" t="str">
            <v>Maitha Ali Alnuaimi</v>
          </cell>
          <cell r="E794" t="str">
            <v>ميثه علي النعيمي</v>
          </cell>
          <cell r="F794">
            <v>44782</v>
          </cell>
          <cell r="G794" t="str">
            <v>50002237</v>
          </cell>
          <cell r="H794" t="str">
            <v>Employee Recognition &amp; Mobility Specialist</v>
          </cell>
          <cell r="I794" t="str">
            <v>أخصائي  المكافآت وتنقل الموظفين​</v>
          </cell>
          <cell r="J794" t="str">
            <v>On-Chart</v>
          </cell>
          <cell r="K794" t="str">
            <v>DCT Payroll</v>
          </cell>
          <cell r="L794" t="str">
            <v>A1</v>
          </cell>
          <cell r="M794" t="str">
            <v>Department of Culture and Tourism</v>
          </cell>
          <cell r="N794" t="str">
            <v>Support Services</v>
          </cell>
          <cell r="O794" t="str">
            <v>الخدمات المساندة</v>
          </cell>
          <cell r="P794" t="str">
            <v>People &amp; Performance</v>
          </cell>
          <cell r="Q794" t="str">
            <v>إدارة الكوادر البشرية والأداء</v>
          </cell>
          <cell r="R794" t="str">
            <v>Rewards &amp; Policy</v>
          </cell>
          <cell r="S794" t="str">
            <v>المكافآت والسياسات</v>
          </cell>
          <cell r="T794" t="str">
            <v>Rewards &amp; Recognition</v>
          </cell>
          <cell r="U794" t="str">
            <v>المكافآت</v>
          </cell>
          <cell r="V794" t="str">
            <v>Abu Dhabi</v>
          </cell>
          <cell r="W794" t="str">
            <v/>
          </cell>
          <cell r="X794" t="str">
            <v>4510220</v>
          </cell>
          <cell r="Y794" t="str">
            <v>People &amp; Performance _Rewards Policy &amp; Recognition _Professional</v>
          </cell>
          <cell r="Z794" t="str">
            <v>Professional</v>
          </cell>
          <cell r="AA794" t="str">
            <v>4B</v>
          </cell>
        </row>
        <row r="795">
          <cell r="A795">
            <v>1678</v>
          </cell>
          <cell r="B795">
            <v>1678</v>
          </cell>
          <cell r="C795" t="str">
            <v>A</v>
          </cell>
          <cell r="D795" t="str">
            <v>Shaikha Sultan Alneyadi</v>
          </cell>
          <cell r="E795" t="str">
            <v>شيخه سلطان النيادي</v>
          </cell>
          <cell r="F795">
            <v>44795</v>
          </cell>
          <cell r="G795" t="str">
            <v>50001096</v>
          </cell>
          <cell r="H795" t="str">
            <v>Programme Development Officer</v>
          </cell>
          <cell r="I795" t="str">
            <v>ضابط تطوير البرامج</v>
          </cell>
          <cell r="J795" t="str">
            <v>On-Chart</v>
          </cell>
          <cell r="K795" t="str">
            <v>ALC Direct Hires</v>
          </cell>
          <cell r="L795" t="str">
            <v>AL1</v>
          </cell>
          <cell r="M795" t="str">
            <v>Abu Dhabi Arabic Language Centre</v>
          </cell>
          <cell r="N795" t="str">
            <v>Abu Dhabi Arabic Language Centre</v>
          </cell>
          <cell r="O795" t="str">
            <v>مركز أبوظبي للغة العربية</v>
          </cell>
          <cell r="P795" t="str">
            <v>Book Fairs &amp; Events</v>
          </cell>
          <cell r="Q795" t="str">
            <v>الفعاليات ومعارض الكتب</v>
          </cell>
          <cell r="R795" t="str">
            <v>Programmes</v>
          </cell>
          <cell r="S795" t="str">
            <v>الفعاليات ومعارض الكتاب</v>
          </cell>
          <cell r="T795" t="str">
            <v/>
          </cell>
          <cell r="U795" t="str">
            <v/>
          </cell>
          <cell r="V795" t="str">
            <v>Abu Dhabi</v>
          </cell>
          <cell r="W795" t="str">
            <v/>
          </cell>
          <cell r="X795" t="str">
            <v>4519200</v>
          </cell>
          <cell r="Y795" t="str">
            <v>Interpretation &amp; Engagement_Arabic Language Forum &amp; Events _Professional</v>
          </cell>
          <cell r="Z795" t="str">
            <v>Professional</v>
          </cell>
          <cell r="AA795" t="str">
            <v>4B</v>
          </cell>
        </row>
        <row r="796">
          <cell r="A796">
            <v>1679</v>
          </cell>
          <cell r="B796">
            <v>1679</v>
          </cell>
          <cell r="C796" t="str">
            <v>A</v>
          </cell>
          <cell r="D796" t="str">
            <v>latifa Saif Aldarmaki</v>
          </cell>
          <cell r="E796" t="str">
            <v>لطيفه سيف الدرمكي</v>
          </cell>
          <cell r="F796">
            <v>44788</v>
          </cell>
          <cell r="G796" t="str">
            <v>10010328</v>
          </cell>
          <cell r="H796" t="str">
            <v>Community Outreach &amp; Cultural Engagement Officer</v>
          </cell>
          <cell r="I796" t="str">
            <v>ضابط المشاركة الثقافية والتوعية المجتمعية</v>
          </cell>
          <cell r="J796" t="str">
            <v>On-Chart</v>
          </cell>
          <cell r="K796" t="str">
            <v>ALC Direct Hires</v>
          </cell>
          <cell r="L796" t="str">
            <v>AL1</v>
          </cell>
          <cell r="M796" t="str">
            <v>Abu Dhabi Arabic Language Centre</v>
          </cell>
          <cell r="N796" t="str">
            <v>Abu Dhabi Arabic Language Centre</v>
          </cell>
          <cell r="O796" t="str">
            <v>مركز أبوظبي للغة العربية</v>
          </cell>
          <cell r="P796" t="str">
            <v>Specialized Library</v>
          </cell>
          <cell r="Q796" t="str">
            <v>المكتبات المتخصصة</v>
          </cell>
          <cell r="R796" t="str">
            <v>Library Services - ALC</v>
          </cell>
          <cell r="S796" t="str">
            <v>الخدمات المكتبية</v>
          </cell>
          <cell r="T796" t="str">
            <v>Community Outreach &amp; Cultural Engagement</v>
          </cell>
          <cell r="U796" t="str">
            <v>المشاركة الثقافية والتوعية المجتمعية</v>
          </cell>
          <cell r="V796" t="str">
            <v>Abu Dhabi</v>
          </cell>
          <cell r="W796" t="str">
            <v/>
          </cell>
          <cell r="X796" t="str">
            <v>4519202</v>
          </cell>
          <cell r="Y796" t="str">
            <v>Specialization Interpretation &amp; Engagement</v>
          </cell>
          <cell r="Z796" t="str">
            <v>Professional</v>
          </cell>
          <cell r="AA796" t="str">
            <v>4B</v>
          </cell>
        </row>
        <row r="797">
          <cell r="A797">
            <v>1680</v>
          </cell>
          <cell r="B797">
            <v>1680</v>
          </cell>
          <cell r="C797" t="str">
            <v>A</v>
          </cell>
          <cell r="D797" t="str">
            <v>Shaikha Abdulla Al Ali</v>
          </cell>
          <cell r="E797" t="str">
            <v>شيخة عبدالله أل علي</v>
          </cell>
          <cell r="F797">
            <v>44802</v>
          </cell>
          <cell r="G797" t="str">
            <v>50001983</v>
          </cell>
          <cell r="H797" t="str">
            <v>Nominations Officer</v>
          </cell>
          <cell r="I797" t="str">
            <v>ضابط الترشيحات</v>
          </cell>
          <cell r="J797" t="str">
            <v>On-Chart</v>
          </cell>
          <cell r="K797" t="str">
            <v>ALC Direct Hires</v>
          </cell>
          <cell r="L797" t="str">
            <v>AL1</v>
          </cell>
          <cell r="M797" t="str">
            <v>Abu Dhabi Arabic Language Centre</v>
          </cell>
          <cell r="N797" t="str">
            <v>Abu Dhabi Arabic Language Centre</v>
          </cell>
          <cell r="O797" t="str">
            <v>مركز أبوظبي للغة العربية</v>
          </cell>
          <cell r="P797" t="str">
            <v>Literature Awards</v>
          </cell>
          <cell r="Q797" t="str">
            <v>الجوائز الأدبية</v>
          </cell>
          <cell r="R797" t="str">
            <v>Nominations - ALC</v>
          </cell>
          <cell r="S797" t="str">
            <v>الترشيحات</v>
          </cell>
          <cell r="T797" t="str">
            <v/>
          </cell>
          <cell r="U797" t="str">
            <v/>
          </cell>
          <cell r="V797" t="str">
            <v>Abu Dhabi</v>
          </cell>
          <cell r="W797" t="str">
            <v/>
          </cell>
          <cell r="X797" t="str">
            <v>4519201</v>
          </cell>
          <cell r="Y797" t="str">
            <v>Interpretation &amp; Engagement_Literature Awards Nominations _Professional</v>
          </cell>
          <cell r="Z797" t="str">
            <v>Professional</v>
          </cell>
          <cell r="AA797" t="str">
            <v>4B</v>
          </cell>
        </row>
        <row r="798">
          <cell r="A798">
            <v>1681</v>
          </cell>
          <cell r="B798">
            <v>1681</v>
          </cell>
          <cell r="C798" t="str">
            <v>A</v>
          </cell>
          <cell r="D798" t="str">
            <v>Abdulla Sayed Al Blooshi</v>
          </cell>
          <cell r="E798" t="str">
            <v>عبدالله سيد البلوشي</v>
          </cell>
          <cell r="F798">
            <v>44830</v>
          </cell>
          <cell r="G798" t="str">
            <v>50004176</v>
          </cell>
          <cell r="H798" t="str">
            <v>Abu Dhabi Destination Management Lead</v>
          </cell>
          <cell r="I798" t="str">
            <v>أخصائي رئيسي  إدارة وجهة إمارة أبو ظبي</v>
          </cell>
          <cell r="J798" t="str">
            <v>On-Chart</v>
          </cell>
          <cell r="K798" t="str">
            <v>DCT Payroll</v>
          </cell>
          <cell r="L798" t="str">
            <v>A1</v>
          </cell>
          <cell r="M798" t="str">
            <v>Department of Culture and Tourism</v>
          </cell>
          <cell r="N798" t="str">
            <v>Tourism</v>
          </cell>
          <cell r="O798" t="str">
            <v>السياحة</v>
          </cell>
          <cell r="P798" t="str">
            <v>Destinations Management Department</v>
          </cell>
          <cell r="Q798" t="str">
            <v>إدارة الوجهات</v>
          </cell>
          <cell r="R798" t="str">
            <v>Abu Dhabi Destination Management Section</v>
          </cell>
          <cell r="S798" t="str">
            <v>قسم إدارة وجهة إمارة أبو ظبي</v>
          </cell>
          <cell r="T798" t="str">
            <v/>
          </cell>
          <cell r="U798" t="str">
            <v/>
          </cell>
          <cell r="V798" t="str">
            <v>Abu Dhabi</v>
          </cell>
          <cell r="W798" t="str">
            <v/>
          </cell>
          <cell r="X798" t="str">
            <v>4515700</v>
          </cell>
          <cell r="Y798" t="str">
            <v>Commercial _Travel Trade &amp; Tourism Market Development _Section Head</v>
          </cell>
          <cell r="Z798" t="str">
            <v>Unit Head</v>
          </cell>
          <cell r="AA798" t="str">
            <v>3B</v>
          </cell>
        </row>
        <row r="799">
          <cell r="A799">
            <v>1682</v>
          </cell>
          <cell r="B799">
            <v>1682</v>
          </cell>
          <cell r="C799" t="str">
            <v>A</v>
          </cell>
          <cell r="D799" t="str">
            <v>Fatima Hamad Alneyadi</v>
          </cell>
          <cell r="E799" t="str">
            <v>فاطمه حمد النيادي</v>
          </cell>
          <cell r="F799">
            <v>44805</v>
          </cell>
          <cell r="G799" t="str">
            <v>50001723</v>
          </cell>
          <cell r="H799" t="str">
            <v>Tour Guides Training &amp; Licensing Specialist</v>
          </cell>
          <cell r="I799" t="str">
            <v>أخصائي تدريب وترخيص المرشدين السياحيين</v>
          </cell>
          <cell r="J799" t="str">
            <v>On-Chart</v>
          </cell>
          <cell r="K799" t="str">
            <v>DCT Payroll</v>
          </cell>
          <cell r="L799" t="str">
            <v>A1</v>
          </cell>
          <cell r="M799" t="str">
            <v>Department of Culture and Tourism</v>
          </cell>
          <cell r="N799" t="str">
            <v>Tourism</v>
          </cell>
          <cell r="O799" t="str">
            <v>السياحة</v>
          </cell>
          <cell r="P799" t="str">
            <v>Licensing &amp; Regulatory Compliance</v>
          </cell>
          <cell r="Q799" t="str">
            <v>الرقابة والترخيص</v>
          </cell>
          <cell r="R799" t="str">
            <v>Licensing</v>
          </cell>
          <cell r="S799" t="str">
            <v>الترخيص</v>
          </cell>
          <cell r="T799" t="str">
            <v>Tour Guides Training &amp; Licensing</v>
          </cell>
          <cell r="U799" t="str">
            <v/>
          </cell>
          <cell r="V799" t="str">
            <v>Abu Dhabi</v>
          </cell>
          <cell r="W799" t="str">
            <v/>
          </cell>
          <cell r="X799" t="str">
            <v>4510170</v>
          </cell>
          <cell r="Y799" t="str">
            <v>Commercial _Travel Trade &amp; Tourism  Market Development _Unit Head</v>
          </cell>
          <cell r="Z799" t="str">
            <v>Professional</v>
          </cell>
          <cell r="AA799" t="str">
            <v>4B</v>
          </cell>
        </row>
        <row r="800">
          <cell r="A800">
            <v>1690</v>
          </cell>
          <cell r="B800">
            <v>1690</v>
          </cell>
          <cell r="C800" t="str">
            <v>A</v>
          </cell>
          <cell r="D800" t="str">
            <v>Reem Syed Rahman</v>
          </cell>
          <cell r="E800" t="str">
            <v>ريم سيد رحمن</v>
          </cell>
          <cell r="F800">
            <v>44844</v>
          </cell>
          <cell r="G800" t="str">
            <v>50000684</v>
          </cell>
          <cell r="H800" t="str">
            <v>Interpretation Specialist (Content)</v>
          </cell>
          <cell r="I800" t="str">
            <v>أخصائي الإرشاد الثقافي (المحتوى)</v>
          </cell>
          <cell r="J800" t="str">
            <v>On-Chart</v>
          </cell>
          <cell r="K800" t="str">
            <v>MSS Direct Hires</v>
          </cell>
          <cell r="L800" t="str">
            <v>M1</v>
          </cell>
          <cell r="M800" t="str">
            <v>Department of Culture and Tourism</v>
          </cell>
          <cell r="N800" t="str">
            <v>Zayed National Museum</v>
          </cell>
          <cell r="O800" t="str">
            <v>متحف زايد الوطني</v>
          </cell>
          <cell r="P800" t="str">
            <v>Learning &amp; Public Engagement</v>
          </cell>
          <cell r="Q800" t="str">
            <v>التعليم والمشاركة المجتمعية</v>
          </cell>
          <cell r="R800" t="str">
            <v>Interpretation</v>
          </cell>
          <cell r="S800" t="str">
            <v>الإرشاد الثقافي</v>
          </cell>
          <cell r="T800" t="str">
            <v>Interpretation (Content)</v>
          </cell>
          <cell r="U800" t="str">
            <v>الإرشاد الثقافي</v>
          </cell>
          <cell r="V800" t="str">
            <v>Abu Dhabi</v>
          </cell>
          <cell r="W800" t="str">
            <v/>
          </cell>
          <cell r="X800" t="str">
            <v>4510182</v>
          </cell>
          <cell r="Y800" t="str">
            <v>Interpretation &amp; Engagement_Learning Resources_Professional</v>
          </cell>
          <cell r="Z800" t="str">
            <v>Professional</v>
          </cell>
          <cell r="AA800" t="str">
            <v>4B</v>
          </cell>
        </row>
        <row r="801">
          <cell r="A801">
            <v>1691</v>
          </cell>
          <cell r="B801">
            <v>1691</v>
          </cell>
          <cell r="C801" t="str">
            <v>A</v>
          </cell>
          <cell r="D801" t="str">
            <v>Hager Hasan Al Menhali</v>
          </cell>
          <cell r="E801" t="str">
            <v>هاجر حسن المنهالي</v>
          </cell>
          <cell r="F801">
            <v>44838</v>
          </cell>
          <cell r="G801" t="str">
            <v>10012192</v>
          </cell>
          <cell r="H801" t="str">
            <v>Assistant Archaeologist</v>
          </cell>
          <cell r="I801" t="str">
            <v>مساعد آثاري</v>
          </cell>
          <cell r="J801" t="str">
            <v>On-Chart</v>
          </cell>
          <cell r="K801" t="str">
            <v>DCT Payroll</v>
          </cell>
          <cell r="L801" t="str">
            <v>A1</v>
          </cell>
          <cell r="M801" t="str">
            <v>Department of Culture and Tourism</v>
          </cell>
          <cell r="N801" t="str">
            <v>Culture</v>
          </cell>
          <cell r="O801" t="str">
            <v>الثقافة</v>
          </cell>
          <cell r="P801" t="str">
            <v>Historic Environment</v>
          </cell>
          <cell r="Q801" t="str">
            <v>البيئة التاريخية</v>
          </cell>
          <cell r="R801" t="str">
            <v>Archaeology &amp; Paleontology</v>
          </cell>
          <cell r="S801" t="str">
            <v>علم الآثار</v>
          </cell>
          <cell r="T801" t="str">
            <v>Archaeological Research (Al Ain)</v>
          </cell>
          <cell r="U801" t="str">
            <v>البحوث الأثرية (العين)</v>
          </cell>
          <cell r="V801" t="str">
            <v>Al Ain</v>
          </cell>
          <cell r="W801" t="str">
            <v/>
          </cell>
          <cell r="X801" t="str">
            <v>4511300</v>
          </cell>
          <cell r="Y801" t="str">
            <v>Compliance,Governance&amp;Protocol_Policy (Culture/Tourism) _Professional</v>
          </cell>
          <cell r="Z801" t="str">
            <v>Professional</v>
          </cell>
          <cell r="AA801" t="str">
            <v>4B</v>
          </cell>
        </row>
        <row r="802">
          <cell r="A802">
            <v>1692</v>
          </cell>
          <cell r="B802">
            <v>1692</v>
          </cell>
          <cell r="C802" t="str">
            <v>A</v>
          </cell>
          <cell r="D802" t="str">
            <v>Sara Salman Al Tamimi</v>
          </cell>
          <cell r="E802" t="str">
            <v>سارا سلمان التميمي</v>
          </cell>
          <cell r="F802">
            <v>44833</v>
          </cell>
          <cell r="G802" t="str">
            <v>50003709</v>
          </cell>
          <cell r="H802" t="str">
            <v>Recruitment Experience Senior Specialist</v>
          </cell>
          <cell r="I802" t="str">
            <v>أخصائي أول تجربة التوظيف</v>
          </cell>
          <cell r="J802" t="str">
            <v>On-Chart</v>
          </cell>
          <cell r="K802" t="str">
            <v>DCT Payroll</v>
          </cell>
          <cell r="L802" t="str">
            <v>A1</v>
          </cell>
          <cell r="M802" t="str">
            <v>Department of Culture and Tourism</v>
          </cell>
          <cell r="N802" t="str">
            <v>Support Services</v>
          </cell>
          <cell r="O802" t="str">
            <v>الخدمات المساندة</v>
          </cell>
          <cell r="P802" t="str">
            <v>People &amp; Performance</v>
          </cell>
          <cell r="Q802" t="str">
            <v>إدارة الكوادر البشرية والأداء</v>
          </cell>
          <cell r="R802" t="str">
            <v>Talent Acquisition</v>
          </cell>
          <cell r="S802" t="str">
            <v>قسم استقطاب المواهب</v>
          </cell>
          <cell r="T802" t="str">
            <v>Talent Acquisition Candidate Experience &amp; Reporting</v>
          </cell>
          <cell r="U802" t="str">
            <v>تجربة المرشحين والتقارير</v>
          </cell>
          <cell r="V802" t="str">
            <v>Abu Dhabi</v>
          </cell>
          <cell r="W802" t="str">
            <v/>
          </cell>
          <cell r="X802" t="str">
            <v>4510220</v>
          </cell>
          <cell r="Y802" t="str">
            <v>Specialization HR</v>
          </cell>
          <cell r="Z802" t="str">
            <v>Senior Professional</v>
          </cell>
          <cell r="AA802" t="str">
            <v>3B</v>
          </cell>
        </row>
        <row r="803">
          <cell r="A803">
            <v>1694</v>
          </cell>
          <cell r="B803">
            <v>1694</v>
          </cell>
          <cell r="C803" t="str">
            <v>A</v>
          </cell>
          <cell r="D803" t="str">
            <v>Layla Radhwan Al Ali</v>
          </cell>
          <cell r="E803" t="str">
            <v>ليلى رضوان أل علي</v>
          </cell>
          <cell r="F803">
            <v>44844</v>
          </cell>
          <cell r="G803" t="str">
            <v>50000381</v>
          </cell>
          <cell r="H803" t="str">
            <v>Emiratization &amp; Capability Development Section Head</v>
          </cell>
          <cell r="I803" t="str">
            <v>رئيس قسم تطوير القدرات وتوطين القطاع</v>
          </cell>
          <cell r="J803" t="str">
            <v>On-Chart</v>
          </cell>
          <cell r="K803" t="str">
            <v>DCT Payroll</v>
          </cell>
          <cell r="L803" t="str">
            <v>A1</v>
          </cell>
          <cell r="M803" t="str">
            <v>Department of Culture and Tourism</v>
          </cell>
          <cell r="N803" t="str">
            <v>Tourism</v>
          </cell>
          <cell r="O803" t="str">
            <v>السياحة</v>
          </cell>
          <cell r="P803" t="str">
            <v>Emiratization &amp; Capability Development Office</v>
          </cell>
          <cell r="Q803" t="str">
            <v>مكتب التوطين وتطوير القدرات</v>
          </cell>
          <cell r="R803" t="str">
            <v>Sector Emiratization &amp; Capability Development Section</v>
          </cell>
          <cell r="S803" t="str">
            <v/>
          </cell>
          <cell r="T803" t="str">
            <v/>
          </cell>
          <cell r="U803" t="str">
            <v/>
          </cell>
          <cell r="V803" t="str">
            <v>Abu Dhabi</v>
          </cell>
          <cell r="W803" t="str">
            <v/>
          </cell>
          <cell r="X803" t="str">
            <v>4515020</v>
          </cell>
          <cell r="Y803" t="str">
            <v>Design_Tourism Journey Design &amp; Development  (Tourism)_Section Head</v>
          </cell>
          <cell r="Z803" t="str">
            <v>Section Manager</v>
          </cell>
          <cell r="AA803" t="str">
            <v>2B</v>
          </cell>
        </row>
        <row r="804">
          <cell r="A804">
            <v>1696</v>
          </cell>
          <cell r="B804">
            <v>1696</v>
          </cell>
          <cell r="C804" t="str">
            <v>A</v>
          </cell>
          <cell r="D804" t="str">
            <v>Abdul Rahman Mohamed Al Naqbi</v>
          </cell>
          <cell r="E804" t="str">
            <v>عبدالرحمن محمد النقبي</v>
          </cell>
          <cell r="F804">
            <v>44865</v>
          </cell>
          <cell r="G804" t="str">
            <v>50002062</v>
          </cell>
          <cell r="H804" t="str">
            <v>Literature Awards Department Director</v>
          </cell>
          <cell r="I804" t="str">
            <v>مدير إدارة الجوائز الأدبية</v>
          </cell>
          <cell r="J804" t="str">
            <v>On-Chart</v>
          </cell>
          <cell r="K804" t="str">
            <v>ALC Direct Hires</v>
          </cell>
          <cell r="L804" t="str">
            <v>AL1</v>
          </cell>
          <cell r="M804" t="str">
            <v>Abu Dhabi Arabic Language Centre</v>
          </cell>
          <cell r="N804" t="str">
            <v>Abu Dhabi Arabic Language Centre</v>
          </cell>
          <cell r="O804" t="str">
            <v>مركز أبوظبي للغة العربية</v>
          </cell>
          <cell r="P804" t="str">
            <v>Literature Awards</v>
          </cell>
          <cell r="Q804" t="str">
            <v>الجوائز الأدبية</v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>Abu Dhabi</v>
          </cell>
          <cell r="W804" t="str">
            <v/>
          </cell>
          <cell r="X804" t="str">
            <v>4519201</v>
          </cell>
          <cell r="Y804" t="str">
            <v>Interpretation &amp; Engagement_Literature Award Department_Director</v>
          </cell>
          <cell r="Z804" t="str">
            <v>Director</v>
          </cell>
          <cell r="AA804" t="str">
            <v>1B</v>
          </cell>
        </row>
        <row r="805">
          <cell r="A805">
            <v>1698</v>
          </cell>
          <cell r="B805">
            <v>1698</v>
          </cell>
          <cell r="C805" t="str">
            <v>A</v>
          </cell>
          <cell r="D805" t="str">
            <v>Manal Ali Albadi</v>
          </cell>
          <cell r="E805" t="str">
            <v>منال علي البادي</v>
          </cell>
          <cell r="F805">
            <v>44846</v>
          </cell>
          <cell r="G805" t="str">
            <v>50000514</v>
          </cell>
          <cell r="H805" t="str">
            <v>Culture Strategy &amp; Performance Management Senior Specialist</v>
          </cell>
          <cell r="I805" t="str">
            <v>أخصائي أول إستراتيجية الثقافة وإدارة الأداء</v>
          </cell>
          <cell r="J805" t="str">
            <v>On-Chart</v>
          </cell>
          <cell r="K805" t="str">
            <v>DCT Payroll</v>
          </cell>
          <cell r="L805" t="str">
            <v>A1</v>
          </cell>
          <cell r="M805" t="str">
            <v>Department of Culture and Tourism</v>
          </cell>
          <cell r="N805" t="str">
            <v>Culture</v>
          </cell>
          <cell r="O805" t="str">
            <v>الثقافة</v>
          </cell>
          <cell r="P805" t="str">
            <v>Culture Sector Policy and Development Office</v>
          </cell>
          <cell r="Q805" t="str">
            <v>مكتب إدارة سياسة وتطوير قطاع الثقافة</v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>Abu Dhabi</v>
          </cell>
          <cell r="W805" t="str">
            <v/>
          </cell>
          <cell r="X805" t="str">
            <v>4511010</v>
          </cell>
          <cell r="Y805" t="str">
            <v>Senior Specialization General &amp; Administration</v>
          </cell>
          <cell r="Z805" t="str">
            <v>Senior Professional</v>
          </cell>
          <cell r="AA805" t="str">
            <v>3C</v>
          </cell>
        </row>
        <row r="806">
          <cell r="A806">
            <v>1699</v>
          </cell>
          <cell r="B806">
            <v>1699</v>
          </cell>
          <cell r="C806" t="str">
            <v>A</v>
          </cell>
          <cell r="D806" t="str">
            <v>Iaroslav Volovod</v>
          </cell>
          <cell r="E806" t="str">
            <v>باروسلاف  فولوفود</v>
          </cell>
          <cell r="F806">
            <v>44866</v>
          </cell>
          <cell r="G806" t="str">
            <v>50001294</v>
          </cell>
          <cell r="H806" t="str">
            <v>Curator</v>
          </cell>
          <cell r="I806" t="str">
            <v>أمين متحف</v>
          </cell>
          <cell r="J806" t="str">
            <v>On-Chart</v>
          </cell>
          <cell r="K806" t="str">
            <v>MSS Direct Hires</v>
          </cell>
          <cell r="L806" t="str">
            <v>M1</v>
          </cell>
          <cell r="M806" t="str">
            <v>Department of Culture and Tourism</v>
          </cell>
          <cell r="N806" t="str">
            <v>Culture</v>
          </cell>
          <cell r="O806" t="str">
            <v>الثقافة</v>
          </cell>
          <cell r="P806" t="str">
            <v>Guggenheim Abu Dhabi Museum</v>
          </cell>
          <cell r="Q806" t="str">
            <v>متحف جوجينهايم أبوظبي</v>
          </cell>
          <cell r="R806" t="str">
            <v>Guggenheim Abu Dhabi</v>
          </cell>
          <cell r="S806" t="str">
            <v>جوجينهايم أبوظبي</v>
          </cell>
          <cell r="T806" t="str">
            <v/>
          </cell>
          <cell r="U806" t="str">
            <v/>
          </cell>
          <cell r="V806" t="str">
            <v>Abu Dhabi</v>
          </cell>
          <cell r="W806" t="str">
            <v/>
          </cell>
          <cell r="X806" t="str">
            <v>4510410</v>
          </cell>
          <cell r="Y806" t="str">
            <v>Senior Specialization Content &amp; Care</v>
          </cell>
          <cell r="Z806" t="str">
            <v>Senior Professional</v>
          </cell>
          <cell r="AA806" t="str">
            <v>3B</v>
          </cell>
        </row>
        <row r="807">
          <cell r="A807">
            <v>1700</v>
          </cell>
          <cell r="B807">
            <v>1700</v>
          </cell>
          <cell r="C807" t="str">
            <v>A</v>
          </cell>
          <cell r="D807" t="str">
            <v>Tareq Jamal Alghoul</v>
          </cell>
          <cell r="E807" t="str">
            <v>طارق جمال الغول</v>
          </cell>
          <cell r="F807">
            <v>44865</v>
          </cell>
          <cell r="G807" t="str">
            <v>50000696</v>
          </cell>
          <cell r="H807" t="str">
            <v>Image Rights And Licensing Senior Specialist</v>
          </cell>
          <cell r="I807" t="str">
            <v>أخصائي أول حقوق الصور والترخيص</v>
          </cell>
          <cell r="J807" t="str">
            <v>On-Chart</v>
          </cell>
          <cell r="K807" t="str">
            <v>MSS Direct Hires</v>
          </cell>
          <cell r="L807" t="str">
            <v>M1</v>
          </cell>
          <cell r="M807" t="str">
            <v>Department of Culture and Tourism</v>
          </cell>
          <cell r="N807" t="str">
            <v>Zayed National Museum</v>
          </cell>
          <cell r="O807" t="str">
            <v>متحف زايد الوطني</v>
          </cell>
          <cell r="P807" t="str">
            <v>Learning &amp; Public Engagement</v>
          </cell>
          <cell r="Q807" t="str">
            <v>التعليم والمشاركة المجتمعية</v>
          </cell>
          <cell r="R807" t="str">
            <v>Publications</v>
          </cell>
          <cell r="S807" t="str">
            <v>النشر</v>
          </cell>
          <cell r="T807" t="str">
            <v/>
          </cell>
          <cell r="U807" t="str">
            <v/>
          </cell>
          <cell r="V807" t="str">
            <v>Abu Dhabi</v>
          </cell>
          <cell r="W807" t="str">
            <v/>
          </cell>
          <cell r="X807" t="str">
            <v>4510182</v>
          </cell>
          <cell r="Y807" t="str">
            <v>Interpretation &amp; Engagement_Education &amp; Learning Development &amp;   Engagement(All)_Unit Head</v>
          </cell>
          <cell r="Z807" t="str">
            <v>Senior Professional</v>
          </cell>
          <cell r="AA807" t="str">
            <v>3B</v>
          </cell>
        </row>
        <row r="808">
          <cell r="A808">
            <v>1701</v>
          </cell>
          <cell r="B808">
            <v>1701</v>
          </cell>
          <cell r="C808" t="str">
            <v>A</v>
          </cell>
          <cell r="D808" t="str">
            <v>Sultan Qasem Hussain</v>
          </cell>
          <cell r="E808" t="str">
            <v>سلطان قاسم حسين</v>
          </cell>
          <cell r="F808">
            <v>44879</v>
          </cell>
          <cell r="G808" t="str">
            <v>41000369</v>
          </cell>
          <cell r="H808" t="str">
            <v>Inspector</v>
          </cell>
          <cell r="I808" t="str">
            <v>مفتش</v>
          </cell>
          <cell r="J808" t="str">
            <v>On-Chart</v>
          </cell>
          <cell r="K808" t="str">
            <v>DCT Payroll</v>
          </cell>
          <cell r="L808" t="str">
            <v>A1</v>
          </cell>
          <cell r="M808" t="str">
            <v>Department of Culture and Tourism</v>
          </cell>
          <cell r="N808" t="str">
            <v>Tourism</v>
          </cell>
          <cell r="O808" t="str">
            <v>السياحة</v>
          </cell>
          <cell r="P808" t="str">
            <v>Licensing &amp; Regulatory Compliance</v>
          </cell>
          <cell r="Q808" t="str">
            <v>الرقابة والترخيص</v>
          </cell>
          <cell r="R808" t="str">
            <v>Abu Dhabi Inspection</v>
          </cell>
          <cell r="S808" t="str">
            <v>التفتيش</v>
          </cell>
          <cell r="T808" t="str">
            <v>Abu Dhabi Inspection (Special Permits)</v>
          </cell>
          <cell r="U808" t="str">
            <v>التفتيش أبوظبي (التصاريح الخاصة)</v>
          </cell>
          <cell r="V808" t="str">
            <v>Abu Dhabi</v>
          </cell>
          <cell r="W808" t="str">
            <v/>
          </cell>
          <cell r="X808" t="str">
            <v>4510170</v>
          </cell>
          <cell r="Y808" t="str">
            <v>Compliance,Governance&amp;Protocol_Licensing &amp; Regulatory Compliance- (Follow-up and Reporting) _Professional Assistant</v>
          </cell>
          <cell r="Z808" t="str">
            <v>Professional</v>
          </cell>
          <cell r="AA808" t="str">
            <v>4B</v>
          </cell>
        </row>
        <row r="809">
          <cell r="A809">
            <v>1702</v>
          </cell>
          <cell r="B809">
            <v>1702</v>
          </cell>
          <cell r="C809" t="str">
            <v>A</v>
          </cell>
          <cell r="D809" t="str">
            <v>Hasan Ahmed AL Khameeri</v>
          </cell>
          <cell r="E809" t="str">
            <v>حسن أحمد الخميري</v>
          </cell>
          <cell r="F809">
            <v>44872</v>
          </cell>
          <cell r="G809" t="str">
            <v>50003733</v>
          </cell>
          <cell r="H809" t="str">
            <v>Operations Management Specialist</v>
          </cell>
          <cell r="I809" t="str">
            <v>أخصائي إدارة العمليات</v>
          </cell>
          <cell r="J809" t="str">
            <v>On-Chart</v>
          </cell>
          <cell r="K809" t="str">
            <v>ALC Direct Hires</v>
          </cell>
          <cell r="L809" t="str">
            <v>AL1</v>
          </cell>
          <cell r="M809" t="str">
            <v>Abu Dhabi Arabic Language Centre</v>
          </cell>
          <cell r="N809" t="str">
            <v>Abu Dhabi Arabic Language Centre</v>
          </cell>
          <cell r="O809" t="str">
            <v>مركز أبوظبي للغة العربية</v>
          </cell>
          <cell r="P809" t="str">
            <v>Book Fairs &amp; Events</v>
          </cell>
          <cell r="Q809" t="str">
            <v>الفعاليات ومعارض الكتب</v>
          </cell>
          <cell r="R809" t="str">
            <v>Operations Management</v>
          </cell>
          <cell r="S809" t="str">
            <v>إدارة العمليات</v>
          </cell>
          <cell r="T809" t="str">
            <v/>
          </cell>
          <cell r="U809" t="str">
            <v/>
          </cell>
          <cell r="V809" t="str">
            <v>Abu Dhabi</v>
          </cell>
          <cell r="W809" t="str">
            <v/>
          </cell>
          <cell r="X809" t="str">
            <v>4519200</v>
          </cell>
          <cell r="Y809" t="str">
            <v>Interpretation &amp; Engagement_Arabic Language Forum &amp; Events _Professional</v>
          </cell>
          <cell r="Z809" t="str">
            <v>Senior Professional</v>
          </cell>
          <cell r="AA809" t="str">
            <v>3A</v>
          </cell>
        </row>
        <row r="810">
          <cell r="A810">
            <v>1703</v>
          </cell>
          <cell r="B810">
            <v>1703</v>
          </cell>
          <cell r="C810" t="str">
            <v>A</v>
          </cell>
          <cell r="D810" t="str">
            <v>Ateeq Obaid ALMazrouei</v>
          </cell>
          <cell r="E810" t="str">
            <v>عتيق عبيد المزروعي</v>
          </cell>
          <cell r="F810">
            <v>44927</v>
          </cell>
          <cell r="G810" t="str">
            <v>50003715</v>
          </cell>
          <cell r="H810" t="str">
            <v>Senior Inspector</v>
          </cell>
          <cell r="I810" t="str">
            <v>مفتش أول</v>
          </cell>
          <cell r="J810" t="str">
            <v>On-Chart</v>
          </cell>
          <cell r="K810" t="str">
            <v>DCT Payroll</v>
          </cell>
          <cell r="L810" t="str">
            <v>A1</v>
          </cell>
          <cell r="M810" t="str">
            <v>Department of Culture and Tourism</v>
          </cell>
          <cell r="N810" t="str">
            <v>Tourism</v>
          </cell>
          <cell r="O810" t="str">
            <v>السياحة</v>
          </cell>
          <cell r="P810" t="str">
            <v>Licensing &amp; Regulatory Compliance</v>
          </cell>
          <cell r="Q810" t="str">
            <v>الرقابة والترخيص</v>
          </cell>
          <cell r="R810" t="str">
            <v>Abu Dhabi Inspection</v>
          </cell>
          <cell r="S810" t="str">
            <v>التفتيش</v>
          </cell>
          <cell r="T810" t="str">
            <v>Abu Dhabi Inspection (Night Events)</v>
          </cell>
          <cell r="U810" t="str">
            <v>( التفتيش لأبوظبي (الفعاليات الليلية</v>
          </cell>
          <cell r="V810" t="str">
            <v>Abu Dhabi</v>
          </cell>
          <cell r="W810" t="str">
            <v/>
          </cell>
          <cell r="X810" t="str">
            <v>4510170</v>
          </cell>
          <cell r="Y810" t="str">
            <v>Compliance,Governance&amp;Protocol_Licensing &amp; Regulatory Compliance _Senior Professional</v>
          </cell>
          <cell r="Z810" t="str">
            <v>Senior Professional</v>
          </cell>
          <cell r="AA810" t="str">
            <v>3A</v>
          </cell>
        </row>
        <row r="811">
          <cell r="A811">
            <v>1704</v>
          </cell>
          <cell r="B811">
            <v>1704</v>
          </cell>
          <cell r="C811" t="str">
            <v>A</v>
          </cell>
          <cell r="D811" t="str">
            <v>Latifa Hamad Almheiri</v>
          </cell>
          <cell r="E811" t="str">
            <v>لطيفة حمد المهيري</v>
          </cell>
          <cell r="F811">
            <v>44867</v>
          </cell>
          <cell r="G811" t="str">
            <v>50000581</v>
          </cell>
          <cell r="H811" t="str">
            <v>Associate Registrar</v>
          </cell>
          <cell r="I811" t="str">
            <v>معاون أخصائي تسجيل المقتنيات</v>
          </cell>
          <cell r="J811" t="str">
            <v>On-Chart</v>
          </cell>
          <cell r="K811" t="str">
            <v>MSS Direct Hires</v>
          </cell>
          <cell r="L811" t="str">
            <v>M1</v>
          </cell>
          <cell r="M811" t="str">
            <v>Department of Culture and Tourism</v>
          </cell>
          <cell r="N811" t="str">
            <v>Zayed National Museum</v>
          </cell>
          <cell r="O811" t="str">
            <v>متحف زايد الوطني</v>
          </cell>
          <cell r="P811" t="str">
            <v>Curatorial &amp; Collection Management</v>
          </cell>
          <cell r="Q811" t="str">
            <v>أمناء المتحف وإدارة المقتنيات</v>
          </cell>
          <cell r="R811" t="str">
            <v>Collections Managment &amp; Conservation</v>
          </cell>
          <cell r="S811" t="str">
            <v>إدارة وحفظ المقتنيات</v>
          </cell>
          <cell r="T811" t="str">
            <v>Registrar</v>
          </cell>
          <cell r="U811" t="str">
            <v>تسجيل المقتنيات</v>
          </cell>
          <cell r="V811" t="str">
            <v>Abu Dhabi</v>
          </cell>
          <cell r="W811" t="str">
            <v/>
          </cell>
          <cell r="X811" t="str">
            <v>4510181</v>
          </cell>
          <cell r="Y811" t="str">
            <v>Content &amp; Care_Curatorial  Management  _Professional</v>
          </cell>
          <cell r="Z811" t="str">
            <v>Professional</v>
          </cell>
          <cell r="AA811" t="str">
            <v>4B</v>
          </cell>
        </row>
        <row r="812">
          <cell r="A812">
            <v>1705</v>
          </cell>
          <cell r="B812">
            <v>1705</v>
          </cell>
          <cell r="C812" t="str">
            <v>A</v>
          </cell>
          <cell r="D812" t="str">
            <v>Hamdan Khamis Al Hosani</v>
          </cell>
          <cell r="E812" t="str">
            <v>حمدان خميس الحوسني</v>
          </cell>
          <cell r="F812">
            <v>44872</v>
          </cell>
          <cell r="G812" t="str">
            <v>10008642</v>
          </cell>
          <cell r="H812" t="str">
            <v>Visitor Experience Specialist</v>
          </cell>
          <cell r="I812" t="str">
            <v>أخصائي تجربة الزوار</v>
          </cell>
          <cell r="J812" t="str">
            <v>On-Chart</v>
          </cell>
          <cell r="K812" t="str">
            <v>DCT Payroll</v>
          </cell>
          <cell r="L812" t="str">
            <v>A1</v>
          </cell>
          <cell r="M812" t="str">
            <v>Department of Culture and Tourism</v>
          </cell>
          <cell r="N812" t="str">
            <v>Culture</v>
          </cell>
          <cell r="O812" t="str">
            <v>الثقافة</v>
          </cell>
          <cell r="P812" t="str">
            <v>Culture Sites Management</v>
          </cell>
          <cell r="Q812" t="str">
            <v>إدارة المواقع الثقافية</v>
          </cell>
          <cell r="R812" t="str">
            <v>Qasr Al Hosn</v>
          </cell>
          <cell r="S812" t="str">
            <v>قصر الحصن</v>
          </cell>
          <cell r="T812" t="str">
            <v>Visitor Experience</v>
          </cell>
          <cell r="U812" t="str">
            <v/>
          </cell>
          <cell r="V812" t="str">
            <v>Abu Dhabi</v>
          </cell>
          <cell r="W812" t="str">
            <v/>
          </cell>
          <cell r="X812" t="str">
            <v>4511250</v>
          </cell>
          <cell r="Y812" t="str">
            <v>Compliance,Governance&amp;Protocol_Policy (Culture/Tourism _Senior Professional</v>
          </cell>
          <cell r="Z812" t="str">
            <v>Professional</v>
          </cell>
          <cell r="AA812" t="str">
            <v>4B</v>
          </cell>
        </row>
        <row r="813">
          <cell r="A813">
            <v>1707</v>
          </cell>
          <cell r="B813">
            <v>1707</v>
          </cell>
          <cell r="C813" t="str">
            <v>A</v>
          </cell>
          <cell r="D813" t="str">
            <v>Mariam Rashed AlNeyadi</v>
          </cell>
          <cell r="E813" t="str">
            <v>مريم راشد النيادي</v>
          </cell>
          <cell r="F813">
            <v>44893</v>
          </cell>
          <cell r="G813" t="str">
            <v>10007179</v>
          </cell>
          <cell r="H813" t="str">
            <v>Programme Development Specialist</v>
          </cell>
          <cell r="I813" t="str">
            <v>أخصائي تطوير البرامج</v>
          </cell>
          <cell r="J813" t="str">
            <v>On-Chart</v>
          </cell>
          <cell r="K813" t="str">
            <v>ALC Direct Hires</v>
          </cell>
          <cell r="L813" t="str">
            <v>AL1</v>
          </cell>
          <cell r="M813" t="str">
            <v>Abu Dhabi Arabic Language Centre</v>
          </cell>
          <cell r="N813" t="str">
            <v>Abu Dhabi Arabic Language Centre</v>
          </cell>
          <cell r="O813" t="str">
            <v>مركز أبوظبي للغة العربية</v>
          </cell>
          <cell r="P813" t="str">
            <v>Book Fairs &amp; Events</v>
          </cell>
          <cell r="Q813" t="str">
            <v>الفعاليات ومعارض الكتب</v>
          </cell>
          <cell r="R813" t="str">
            <v>Programmes</v>
          </cell>
          <cell r="S813" t="str">
            <v>الفعاليات ومعارض الكتاب</v>
          </cell>
          <cell r="T813" t="str">
            <v/>
          </cell>
          <cell r="U813" t="str">
            <v/>
          </cell>
          <cell r="V813" t="str">
            <v>Abu Dhabi</v>
          </cell>
          <cell r="W813" t="str">
            <v/>
          </cell>
          <cell r="X813" t="str">
            <v>4519200</v>
          </cell>
          <cell r="Y813" t="str">
            <v>Interpretation &amp; Engagement_Arabic Language Forum &amp; Events _Professional</v>
          </cell>
          <cell r="Z813" t="str">
            <v>Senior Professional</v>
          </cell>
          <cell r="AA813" t="str">
            <v>3B</v>
          </cell>
        </row>
        <row r="814">
          <cell r="A814">
            <v>1708</v>
          </cell>
          <cell r="B814">
            <v>1708</v>
          </cell>
          <cell r="C814" t="str">
            <v>A</v>
          </cell>
          <cell r="D814" t="str">
            <v>Lamya Husain Alaydaroos</v>
          </cell>
          <cell r="E814" t="str">
            <v>لمياء حسين العيدروس</v>
          </cell>
          <cell r="F814">
            <v>44900</v>
          </cell>
          <cell r="G814" t="str">
            <v>50000741</v>
          </cell>
          <cell r="H814" t="str">
            <v>FM Soft Unit Head</v>
          </cell>
          <cell r="I814" t="str">
            <v>رئيس وحدة إدارة المرافق (العاملين)</v>
          </cell>
          <cell r="J814" t="str">
            <v>On-Chart</v>
          </cell>
          <cell r="K814" t="str">
            <v>MSS Direct Hires</v>
          </cell>
          <cell r="L814" t="str">
            <v>M1</v>
          </cell>
          <cell r="M814" t="str">
            <v>Department of Culture and Tourism</v>
          </cell>
          <cell r="N814" t="str">
            <v>Zayed National Museum</v>
          </cell>
          <cell r="O814" t="str">
            <v>متحف زايد الوطني</v>
          </cell>
          <cell r="P814" t="str">
            <v>Operations</v>
          </cell>
          <cell r="Q814" t="str">
            <v>العمليات</v>
          </cell>
          <cell r="R814" t="str">
            <v>FM</v>
          </cell>
          <cell r="S814" t="str">
            <v>إدارة المرافق</v>
          </cell>
          <cell r="T814" t="str">
            <v>FM Soft</v>
          </cell>
          <cell r="U814" t="str">
            <v>إدارة المرافق (العاملين)</v>
          </cell>
          <cell r="V814" t="str">
            <v>Abu Dhabi</v>
          </cell>
          <cell r="W814" t="str">
            <v/>
          </cell>
          <cell r="X814" t="str">
            <v>4510184</v>
          </cell>
          <cell r="Y814" t="str">
            <v>Operations_Museum Management (All)_Director SP</v>
          </cell>
          <cell r="Z814" t="str">
            <v>Unit Head</v>
          </cell>
          <cell r="AA814" t="str">
            <v>3B</v>
          </cell>
        </row>
        <row r="815">
          <cell r="A815">
            <v>1709</v>
          </cell>
          <cell r="B815">
            <v>1709</v>
          </cell>
          <cell r="C815" t="str">
            <v>A</v>
          </cell>
          <cell r="D815" t="str">
            <v>Haya Ahmed Samara</v>
          </cell>
          <cell r="E815" t="str">
            <v>هيا أحمد سماره</v>
          </cell>
          <cell r="F815">
            <v>44900</v>
          </cell>
          <cell r="G815" t="str">
            <v>50002824</v>
          </cell>
          <cell r="H815" t="str">
            <v>Sourcing Senior Specialist</v>
          </cell>
          <cell r="I815" t="str">
            <v>أخصائي أول التوريد</v>
          </cell>
          <cell r="J815" t="str">
            <v>On-Chart</v>
          </cell>
          <cell r="K815" t="str">
            <v>MSS Direct Hires</v>
          </cell>
          <cell r="L815" t="str">
            <v>M1</v>
          </cell>
          <cell r="M815" t="str">
            <v>Department of Culture and Tourism</v>
          </cell>
          <cell r="N815" t="str">
            <v>Museums Shared Services</v>
          </cell>
          <cell r="O815" t="str">
            <v>الخدمات المشتركة للمتاحف</v>
          </cell>
          <cell r="P815" t="str">
            <v>Supply Management - MSS</v>
          </cell>
          <cell r="Q815" t="str">
            <v>إدارة الإمداد - الخدمات المشتركة للمتاحف</v>
          </cell>
          <cell r="R815" t="str">
            <v>Supply Management Operations Section</v>
          </cell>
          <cell r="S815" t="str">
            <v>قسم عمليات إدارة الإمداد</v>
          </cell>
          <cell r="T815" t="str">
            <v>Sourcing Unit</v>
          </cell>
          <cell r="U815" t="str">
            <v>وحدة التوريد</v>
          </cell>
          <cell r="V815" t="str">
            <v>Abu Dhabi</v>
          </cell>
          <cell r="W815" t="str">
            <v/>
          </cell>
          <cell r="X815" t="str">
            <v>4514160</v>
          </cell>
          <cell r="Y815" t="str">
            <v>Procurement_Procurement General_Senior Professional</v>
          </cell>
          <cell r="Z815" t="str">
            <v>Senior Professional</v>
          </cell>
          <cell r="AA815" t="str">
            <v>3B</v>
          </cell>
        </row>
        <row r="816">
          <cell r="A816">
            <v>1710</v>
          </cell>
          <cell r="B816">
            <v>1710</v>
          </cell>
          <cell r="C816" t="str">
            <v>A</v>
          </cell>
          <cell r="D816" t="str">
            <v>Assim Mohamed Abdelrahman</v>
          </cell>
          <cell r="E816" t="str">
            <v>عاصم محمد عبدالرحمن</v>
          </cell>
          <cell r="F816">
            <v>44888</v>
          </cell>
          <cell r="G816" t="str">
            <v>50001588</v>
          </cell>
          <cell r="H816" t="str">
            <v>Business Support Specialist</v>
          </cell>
          <cell r="I816" t="str">
            <v>أخصائي دعم الأعمال</v>
          </cell>
          <cell r="J816" t="str">
            <v>On-Chart</v>
          </cell>
          <cell r="K816" t="str">
            <v>DCT Payroll</v>
          </cell>
          <cell r="L816" t="str">
            <v>A1</v>
          </cell>
          <cell r="M816" t="str">
            <v>Department of Culture and Tourism</v>
          </cell>
          <cell r="N816" t="str">
            <v>Culture</v>
          </cell>
          <cell r="O816" t="str">
            <v>الثقافة</v>
          </cell>
          <cell r="P816" t="str">
            <v>Culture Sites Management</v>
          </cell>
          <cell r="Q816" t="str">
            <v>إدارة المواقع الثقافية</v>
          </cell>
          <cell r="R816" t="str">
            <v>Business Support</v>
          </cell>
          <cell r="S816" t="str">
            <v>دعم الأعمال</v>
          </cell>
          <cell r="T816" t="str">
            <v>Business Support</v>
          </cell>
          <cell r="U816" t="str">
            <v>دعم الأعمال</v>
          </cell>
          <cell r="V816" t="str">
            <v>Abu Dhabi</v>
          </cell>
          <cell r="W816" t="str">
            <v/>
          </cell>
          <cell r="X816" t="str">
            <v>4511250</v>
          </cell>
          <cell r="Y816" t="str">
            <v>Compliance,Governance&amp;Protocol_Policy (Culture/Tourism _Senior Professional</v>
          </cell>
          <cell r="Z816" t="str">
            <v>Professional</v>
          </cell>
          <cell r="AA816" t="str">
            <v>4B</v>
          </cell>
        </row>
        <row r="817">
          <cell r="A817">
            <v>1711</v>
          </cell>
          <cell r="B817">
            <v>1711</v>
          </cell>
          <cell r="C817" t="str">
            <v>A</v>
          </cell>
          <cell r="D817" t="str">
            <v>Esraa Mohamed Al Atayeb</v>
          </cell>
          <cell r="E817" t="str">
            <v>أسراء محمد الطيب</v>
          </cell>
          <cell r="F817">
            <v>44888</v>
          </cell>
          <cell r="G817" t="str">
            <v>50001586</v>
          </cell>
          <cell r="H817" t="str">
            <v>Business Support Specialist</v>
          </cell>
          <cell r="I817" t="str">
            <v>أخصائي دعم الأعمال</v>
          </cell>
          <cell r="J817" t="str">
            <v>On-Chart</v>
          </cell>
          <cell r="K817" t="str">
            <v>DCT Payroll</v>
          </cell>
          <cell r="L817" t="str">
            <v>A1</v>
          </cell>
          <cell r="M817" t="str">
            <v>Department of Culture and Tourism</v>
          </cell>
          <cell r="N817" t="str">
            <v>Culture</v>
          </cell>
          <cell r="O817" t="str">
            <v>الثقافة</v>
          </cell>
          <cell r="P817" t="str">
            <v>Culture Sites Management</v>
          </cell>
          <cell r="Q817" t="str">
            <v>إدارة المواقع الثقافية</v>
          </cell>
          <cell r="R817" t="str">
            <v>Business Support</v>
          </cell>
          <cell r="S817" t="str">
            <v>دعم الأعمال</v>
          </cell>
          <cell r="T817" t="str">
            <v>Business Support</v>
          </cell>
          <cell r="U817" t="str">
            <v>دعم الأعمال</v>
          </cell>
          <cell r="V817" t="str">
            <v>Abu Dhabi</v>
          </cell>
          <cell r="W817" t="str">
            <v/>
          </cell>
          <cell r="X817" t="str">
            <v>4511250</v>
          </cell>
          <cell r="Y817" t="str">
            <v>Compliance,Governance&amp;Protocol_Policy (Culture/Tourism _Senior Professional</v>
          </cell>
          <cell r="Z817" t="str">
            <v>Professional</v>
          </cell>
          <cell r="AA817" t="str">
            <v>4B</v>
          </cell>
        </row>
        <row r="818">
          <cell r="A818">
            <v>1712</v>
          </cell>
          <cell r="B818">
            <v>1712</v>
          </cell>
          <cell r="C818" t="str">
            <v>A</v>
          </cell>
          <cell r="D818" t="str">
            <v>Futaim Saif Al Mansoori</v>
          </cell>
          <cell r="E818" t="str">
            <v>فطيم سيف المنصوري</v>
          </cell>
          <cell r="F818">
            <v>44893</v>
          </cell>
          <cell r="G818" t="str">
            <v>50003137</v>
          </cell>
          <cell r="H818" t="str">
            <v>Events Officer</v>
          </cell>
          <cell r="I818" t="str">
            <v>ضابط الفعاليات</v>
          </cell>
          <cell r="J818" t="str">
            <v>On-Chart</v>
          </cell>
          <cell r="K818" t="str">
            <v>MSS Direct Hires</v>
          </cell>
          <cell r="L818" t="str">
            <v>M1</v>
          </cell>
          <cell r="M818" t="str">
            <v>Louvre Abu Dhabi</v>
          </cell>
          <cell r="N818" t="str">
            <v>Louvre Abu Dhabi</v>
          </cell>
          <cell r="O818" t="str">
            <v>متحف اللوفر أبوظبي</v>
          </cell>
          <cell r="P818" t="str">
            <v>Visitor Experience &amp; Sales</v>
          </cell>
          <cell r="Q818" t="str">
            <v>إدارة تجربة الزوار و المبيعات</v>
          </cell>
          <cell r="R818" t="str">
            <v>Event Operations</v>
          </cell>
          <cell r="S818" t="str">
            <v/>
          </cell>
          <cell r="T818" t="str">
            <v/>
          </cell>
          <cell r="U818" t="str">
            <v/>
          </cell>
          <cell r="V818" t="str">
            <v>Abu Dhabi</v>
          </cell>
          <cell r="W818" t="str">
            <v/>
          </cell>
          <cell r="X818" t="str">
            <v>4510125</v>
          </cell>
          <cell r="Y818" t="str">
            <v>Specialization Festivals &amp; Events</v>
          </cell>
          <cell r="Z818" t="str">
            <v>Professional</v>
          </cell>
          <cell r="AA818" t="str">
            <v>4B</v>
          </cell>
        </row>
        <row r="819">
          <cell r="A819">
            <v>1713</v>
          </cell>
          <cell r="B819">
            <v>1713</v>
          </cell>
          <cell r="C819" t="str">
            <v>A</v>
          </cell>
          <cell r="D819" t="str">
            <v>Moza Abdulla AlMansoori</v>
          </cell>
          <cell r="E819" t="str">
            <v>موزة عبدالله المنصوري</v>
          </cell>
          <cell r="F819">
            <v>44900</v>
          </cell>
          <cell r="G819" t="str">
            <v>50000670</v>
          </cell>
          <cell r="H819" t="str">
            <v>Technical Exhibitions Specialist</v>
          </cell>
          <cell r="I819" t="str">
            <v>أخصائي فني المعارض</v>
          </cell>
          <cell r="J819" t="str">
            <v>On-Chart</v>
          </cell>
          <cell r="K819" t="str">
            <v>MSS Direct Hires</v>
          </cell>
          <cell r="L819" t="str">
            <v>M1</v>
          </cell>
          <cell r="M819" t="str">
            <v>Department of Culture and Tourism</v>
          </cell>
          <cell r="N819" t="str">
            <v>Zayed National Museum</v>
          </cell>
          <cell r="O819" t="str">
            <v>متحف زايد الوطني</v>
          </cell>
          <cell r="P819" t="str">
            <v>Curatorial &amp; Collection Management</v>
          </cell>
          <cell r="Q819" t="str">
            <v>أمناء المتحف وإدارة المقتنيات</v>
          </cell>
          <cell r="R819" t="str">
            <v>Exhibitions &amp; Display</v>
          </cell>
          <cell r="S819" t="str">
            <v>المعارض وعرض المقتنيات</v>
          </cell>
          <cell r="T819" t="str">
            <v/>
          </cell>
          <cell r="U819" t="str">
            <v/>
          </cell>
          <cell r="V819" t="str">
            <v>Abu Dhabi</v>
          </cell>
          <cell r="W819" t="str">
            <v/>
          </cell>
          <cell r="X819" t="str">
            <v>4510181</v>
          </cell>
          <cell r="Y819" t="str">
            <v>Content &amp; Care_Curatorial  Management  _Professional</v>
          </cell>
          <cell r="Z819" t="str">
            <v>Professional</v>
          </cell>
          <cell r="AA819" t="str">
            <v>4B</v>
          </cell>
        </row>
        <row r="820">
          <cell r="A820">
            <v>1715</v>
          </cell>
          <cell r="B820">
            <v>1715</v>
          </cell>
          <cell r="C820" t="str">
            <v>A</v>
          </cell>
          <cell r="D820" t="str">
            <v>Asma Abdulla Almarzooqi</v>
          </cell>
          <cell r="E820" t="str">
            <v>اسماء عبدالله المرزوقي</v>
          </cell>
          <cell r="F820">
            <v>44900</v>
          </cell>
          <cell r="G820" t="str">
            <v>50000676</v>
          </cell>
          <cell r="H820" t="str">
            <v>Volunteer Coordination Lead</v>
          </cell>
          <cell r="I820" t="str">
            <v>أخصائي رئيسي تنسيق شؤون المتطوعين</v>
          </cell>
          <cell r="J820" t="str">
            <v>On-Chart</v>
          </cell>
          <cell r="K820" t="str">
            <v>MSS Direct Hires</v>
          </cell>
          <cell r="L820" t="str">
            <v>M1</v>
          </cell>
          <cell r="M820" t="str">
            <v>Department of Culture and Tourism</v>
          </cell>
          <cell r="N820" t="str">
            <v>Zayed National Museum</v>
          </cell>
          <cell r="O820" t="str">
            <v>متحف زايد الوطني</v>
          </cell>
          <cell r="P820" t="str">
            <v>Learning &amp; Public Engagement</v>
          </cell>
          <cell r="Q820" t="str">
            <v>التعليم والمشاركة المجتمعية</v>
          </cell>
          <cell r="R820" t="str">
            <v>Learning &amp; Audience Engagement</v>
          </cell>
          <cell r="S820" t="str">
            <v>التعليم وإشراك الجمهور</v>
          </cell>
          <cell r="T820" t="str">
            <v/>
          </cell>
          <cell r="U820" t="str">
            <v/>
          </cell>
          <cell r="V820" t="str">
            <v>Abu Dhabi</v>
          </cell>
          <cell r="W820" t="str">
            <v/>
          </cell>
          <cell r="X820" t="str">
            <v>4510182</v>
          </cell>
          <cell r="Y820" t="str">
            <v>Interpretation &amp; Engagement_Education &amp; Learning Development &amp;   Engagement(All)_Unit Head</v>
          </cell>
          <cell r="Z820" t="str">
            <v>Senior Professional</v>
          </cell>
          <cell r="AA820" t="str">
            <v>3B</v>
          </cell>
        </row>
        <row r="821">
          <cell r="A821">
            <v>1717</v>
          </cell>
          <cell r="B821">
            <v>1717</v>
          </cell>
          <cell r="C821" t="str">
            <v>A</v>
          </cell>
          <cell r="D821" t="str">
            <v>Salamah Mahfooz Al Shehhi</v>
          </cell>
          <cell r="E821" t="str">
            <v>سلامة محفوظ الشحي</v>
          </cell>
          <cell r="F821">
            <v>44900</v>
          </cell>
          <cell r="G821" t="str">
            <v>50002234</v>
          </cell>
          <cell r="H821" t="str">
            <v>Regional PR &amp; Marketing Executive</v>
          </cell>
          <cell r="I821" t="str">
            <v>تنفيذي العلاقات العامة والتسويق الإقليمي</v>
          </cell>
          <cell r="J821" t="str">
            <v>On-Chart</v>
          </cell>
          <cell r="K821" t="str">
            <v>DCT Payroll</v>
          </cell>
          <cell r="L821" t="str">
            <v>A1</v>
          </cell>
          <cell r="M821" t="str">
            <v>Department of Culture and Tourism</v>
          </cell>
          <cell r="N821" t="str">
            <v>Tourism</v>
          </cell>
          <cell r="O821" t="str">
            <v>السياحة</v>
          </cell>
          <cell r="P821" t="str">
            <v>International Operations</v>
          </cell>
          <cell r="Q821" t="str">
            <v>العمليات الدولية</v>
          </cell>
          <cell r="R821" t="str">
            <v>Regional PR &amp; Marketing</v>
          </cell>
          <cell r="S821" t="str">
            <v>العلاقات العامة والتسويق الإقليمي</v>
          </cell>
          <cell r="T821" t="str">
            <v/>
          </cell>
          <cell r="U821" t="str">
            <v/>
          </cell>
          <cell r="V821" t="str">
            <v>Abu Dhabi</v>
          </cell>
          <cell r="W821" t="str">
            <v/>
          </cell>
          <cell r="X821" t="str">
            <v>4515100</v>
          </cell>
          <cell r="Y821" t="str">
            <v>Compliance,Governance&amp;Protocol_Policy (Culture/Tourism) _Professional</v>
          </cell>
          <cell r="Z821" t="str">
            <v>Professional</v>
          </cell>
          <cell r="AA821" t="str">
            <v>4B</v>
          </cell>
        </row>
        <row r="822">
          <cell r="A822">
            <v>1719</v>
          </cell>
          <cell r="B822">
            <v>1719</v>
          </cell>
          <cell r="C822" t="str">
            <v>A</v>
          </cell>
          <cell r="D822" t="str">
            <v>Alicia Jimenez Avila</v>
          </cell>
          <cell r="E822" t="str">
            <v>اليسيه جمينيس افيله</v>
          </cell>
          <cell r="F822">
            <v>44921</v>
          </cell>
          <cell r="G822" t="str">
            <v>47700076</v>
          </cell>
          <cell r="H822" t="str">
            <v>Brand Development Section Head</v>
          </cell>
          <cell r="I822" t="str">
            <v>رئيس قسم تطوير الهوية المؤسسية</v>
          </cell>
          <cell r="J822" t="str">
            <v>On-Chart</v>
          </cell>
          <cell r="K822" t="str">
            <v>ALC Direct Hires</v>
          </cell>
          <cell r="L822" t="str">
            <v>AL1</v>
          </cell>
          <cell r="M822" t="str">
            <v>Abu Dhabi Arabic Language Centre</v>
          </cell>
          <cell r="N822" t="str">
            <v>Abu Dhabi Arabic Language Centre</v>
          </cell>
          <cell r="O822" t="str">
            <v>مركز أبوظبي للغة العربية</v>
          </cell>
          <cell r="P822" t="str">
            <v>Marketing &amp; Communications</v>
          </cell>
          <cell r="Q822" t="str">
            <v>التسويق والاتصال</v>
          </cell>
          <cell r="R822" t="str">
            <v>Brand Development</v>
          </cell>
          <cell r="S822" t="str">
            <v>تطوير الهوية المؤسسية</v>
          </cell>
          <cell r="T822" t="str">
            <v/>
          </cell>
          <cell r="U822" t="str">
            <v/>
          </cell>
          <cell r="V822" t="str">
            <v>Abu Dhabi</v>
          </cell>
          <cell r="W822" t="str">
            <v/>
          </cell>
          <cell r="X822" t="str">
            <v>4519196</v>
          </cell>
          <cell r="Y822" t="str">
            <v>Comms &amp; Marketing _Marketing &amp; Communications (All Areas)_Section Head</v>
          </cell>
          <cell r="Z822" t="str">
            <v>Section Manager</v>
          </cell>
          <cell r="AA822" t="str">
            <v>2B</v>
          </cell>
        </row>
        <row r="823">
          <cell r="A823">
            <v>1720</v>
          </cell>
          <cell r="B823">
            <v>1720</v>
          </cell>
          <cell r="C823" t="str">
            <v>A</v>
          </cell>
          <cell r="D823" t="str">
            <v>Hamed Ahmed Alsheebani</v>
          </cell>
          <cell r="E823" t="str">
            <v>حامد احمد الشيباني</v>
          </cell>
          <cell r="F823">
            <v>44921</v>
          </cell>
          <cell r="G823" t="str">
            <v>50001009</v>
          </cell>
          <cell r="H823" t="str">
            <v>Business Development &amp; Sales Unit Head - Publishing</v>
          </cell>
          <cell r="I823" t="str">
            <v>رئيس وحدة تطوير الأعمال والمبيعات – النشر</v>
          </cell>
          <cell r="J823" t="str">
            <v>On-Chart</v>
          </cell>
          <cell r="K823" t="str">
            <v>ALC Direct Hires</v>
          </cell>
          <cell r="L823" t="str">
            <v>AL1</v>
          </cell>
          <cell r="M823" t="str">
            <v>Abu Dhabi Arabic Language Centre</v>
          </cell>
          <cell r="N823" t="str">
            <v>Abu Dhabi Arabic Language Centre</v>
          </cell>
          <cell r="O823" t="str">
            <v>مركز أبوظبي للغة العربية</v>
          </cell>
          <cell r="P823" t="str">
            <v>Book Fairs &amp; Events</v>
          </cell>
          <cell r="Q823" t="str">
            <v>الفعاليات ومعارض الكتب</v>
          </cell>
          <cell r="R823" t="str">
            <v>Commercial &amp; Business Development - ALC</v>
          </cell>
          <cell r="S823" t="str">
            <v>التنمية التجارية وتطوير الأعمال</v>
          </cell>
          <cell r="T823" t="str">
            <v>Business Development &amp; Sales – Publishing</v>
          </cell>
          <cell r="U823" t="str">
            <v>تطوير الأعمال  والمبيعات - النشر</v>
          </cell>
          <cell r="V823" t="str">
            <v>Abu Dhabi</v>
          </cell>
          <cell r="W823" t="str">
            <v/>
          </cell>
          <cell r="X823" t="str">
            <v>4519200</v>
          </cell>
          <cell r="Y823" t="str">
            <v>Interpretation &amp; Engagement_Arabic Language Examination _Unit Head</v>
          </cell>
          <cell r="Z823" t="str">
            <v>Unit Head</v>
          </cell>
          <cell r="AA823" t="str">
            <v>3B</v>
          </cell>
        </row>
        <row r="824">
          <cell r="A824">
            <v>1721</v>
          </cell>
          <cell r="B824">
            <v>1721</v>
          </cell>
          <cell r="C824" t="str">
            <v>A</v>
          </cell>
          <cell r="D824" t="str">
            <v>Eman Abdulrahman Al Barakani</v>
          </cell>
          <cell r="E824" t="str">
            <v>ايمان عبدالرحمن البركاني</v>
          </cell>
          <cell r="F824">
            <v>44902</v>
          </cell>
          <cell r="G824" t="str">
            <v>10009052</v>
          </cell>
          <cell r="H824" t="str">
            <v>Children’s Library Programmes Senior Specialist</v>
          </cell>
          <cell r="I824" t="str">
            <v>أخصائي أول برامج مكتبة الأطفال</v>
          </cell>
          <cell r="J824" t="str">
            <v>On-Chart</v>
          </cell>
          <cell r="K824" t="str">
            <v>DCT Payroll</v>
          </cell>
          <cell r="L824" t="str">
            <v>A1</v>
          </cell>
          <cell r="M824" t="str">
            <v>Department of Culture and Tourism</v>
          </cell>
          <cell r="N824" t="str">
            <v>Culture</v>
          </cell>
          <cell r="O824" t="str">
            <v>الثقافة</v>
          </cell>
          <cell r="P824" t="str">
            <v>Culture Sites Management</v>
          </cell>
          <cell r="Q824" t="str">
            <v>إدارة المواقع الثقافية</v>
          </cell>
          <cell r="R824" t="str">
            <v>Cultural Foundation</v>
          </cell>
          <cell r="S824" t="str">
            <v>المجمع الثقافي</v>
          </cell>
          <cell r="T824" t="str">
            <v>Children's Library</v>
          </cell>
          <cell r="U824" t="str">
            <v>مكتبة الأطفال</v>
          </cell>
          <cell r="V824" t="str">
            <v>Abu Dhabi</v>
          </cell>
          <cell r="W824" t="str">
            <v/>
          </cell>
          <cell r="X824" t="str">
            <v>4511250</v>
          </cell>
          <cell r="Y824" t="str">
            <v>Compliance,Governance&amp;Protocol_Policy (Culture/Tourism _Senior Professional</v>
          </cell>
          <cell r="Z824" t="str">
            <v>Senior Professional</v>
          </cell>
          <cell r="AA824" t="str">
            <v>3B</v>
          </cell>
        </row>
        <row r="825">
          <cell r="A825">
            <v>1722</v>
          </cell>
          <cell r="B825">
            <v>1722</v>
          </cell>
          <cell r="C825" t="str">
            <v>A</v>
          </cell>
          <cell r="D825" t="str">
            <v>Alanoud Aqeel Madhi</v>
          </cell>
          <cell r="E825" t="str">
            <v>العنود عقيل ماضي</v>
          </cell>
          <cell r="F825">
            <v>44900</v>
          </cell>
          <cell r="G825" t="str">
            <v>50002085</v>
          </cell>
          <cell r="H825" t="str">
            <v>Executive Affairs Department Director</v>
          </cell>
          <cell r="I825" t="str">
            <v>مدير إدارة الشؤون التنفيذية</v>
          </cell>
          <cell r="J825" t="str">
            <v>On-Chart</v>
          </cell>
          <cell r="K825" t="str">
            <v>DCT Payroll</v>
          </cell>
          <cell r="L825" t="str">
            <v>A1</v>
          </cell>
          <cell r="M825" t="str">
            <v>Department of Culture and Tourism</v>
          </cell>
          <cell r="N825" t="str">
            <v>Executive Affairs</v>
          </cell>
          <cell r="O825" t="str">
            <v>مكتب رئيس الدائرة</v>
          </cell>
          <cell r="P825" t="str">
            <v>Executive Affairs</v>
          </cell>
          <cell r="Q825" t="str">
            <v>الشؤون التنفيذية</v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>Abu Dhabi</v>
          </cell>
          <cell r="W825" t="str">
            <v/>
          </cell>
          <cell r="X825" t="str">
            <v>4510011</v>
          </cell>
          <cell r="Y825" t="str">
            <v>Stakeholder &amp; Partner Relations_External Affairs, Outreach and Cultural Engagement Director</v>
          </cell>
          <cell r="Z825" t="str">
            <v>Director</v>
          </cell>
          <cell r="AA825" t="str">
            <v>1A</v>
          </cell>
        </row>
        <row r="826">
          <cell r="A826">
            <v>1723</v>
          </cell>
          <cell r="B826">
            <v>1723</v>
          </cell>
          <cell r="C826" t="str">
            <v>A</v>
          </cell>
          <cell r="D826" t="str">
            <v>Kareem Mohamedremah Abualfadl</v>
          </cell>
          <cell r="E826" t="str">
            <v>كريم محمد أبو الفضل</v>
          </cell>
          <cell r="F826">
            <v>44925</v>
          </cell>
          <cell r="G826" t="str">
            <v>50000701</v>
          </cell>
          <cell r="H826" t="str">
            <v>Partnership &amp; Development Unit Head</v>
          </cell>
          <cell r="I826" t="str">
            <v>رئيس وحدة التطوير والشراكات</v>
          </cell>
          <cell r="J826" t="str">
            <v>On-Chart</v>
          </cell>
          <cell r="K826" t="str">
            <v>MSS Direct Hires</v>
          </cell>
          <cell r="L826" t="str">
            <v>M1</v>
          </cell>
          <cell r="M826" t="str">
            <v>Department of Culture and Tourism</v>
          </cell>
          <cell r="N826" t="str">
            <v>Zayed National Museum</v>
          </cell>
          <cell r="O826" t="str">
            <v>متحف زايد الوطني</v>
          </cell>
          <cell r="P826" t="str">
            <v>Development &amp; Commercial Services</v>
          </cell>
          <cell r="Q826" t="str">
            <v>التطوير والخدمات التجارية</v>
          </cell>
          <cell r="R826" t="str">
            <v>Partnerships &amp; Development</v>
          </cell>
          <cell r="S826" t="str">
            <v>التطوير والشراكات</v>
          </cell>
          <cell r="T826" t="str">
            <v>Partnership &amp; Development</v>
          </cell>
          <cell r="U826" t="str">
            <v>التطوير والشراكات</v>
          </cell>
          <cell r="V826" t="str">
            <v>Abu Dhabi</v>
          </cell>
          <cell r="W826" t="str">
            <v/>
          </cell>
          <cell r="X826" t="str">
            <v>4510183</v>
          </cell>
          <cell r="Y826" t="str">
            <v>Commercial _Commercial, Sales &amp; Industry  Development _Unit Head</v>
          </cell>
          <cell r="Z826" t="str">
            <v>Unit Head</v>
          </cell>
          <cell r="AA826" t="str">
            <v>3B</v>
          </cell>
        </row>
        <row r="827">
          <cell r="A827">
            <v>1724</v>
          </cell>
          <cell r="B827">
            <v>1724</v>
          </cell>
          <cell r="C827" t="str">
            <v>A</v>
          </cell>
          <cell r="D827" t="str">
            <v>Mohamed Salim Hussain</v>
          </cell>
          <cell r="E827" t="str">
            <v>محمد سالم حسين</v>
          </cell>
          <cell r="F827">
            <v>44925</v>
          </cell>
          <cell r="G827" t="str">
            <v>50000743</v>
          </cell>
          <cell r="H827" t="str">
            <v>FM Hard Unit Head</v>
          </cell>
          <cell r="I827" t="str">
            <v>رئيس وحدة إدارة المرافق (البنية التحتية)</v>
          </cell>
          <cell r="J827" t="str">
            <v>On-Chart</v>
          </cell>
          <cell r="K827" t="str">
            <v>MSS Direct Hires</v>
          </cell>
          <cell r="L827" t="str">
            <v>M1</v>
          </cell>
          <cell r="M827" t="str">
            <v>Department of Culture and Tourism</v>
          </cell>
          <cell r="N827" t="str">
            <v>Zayed National Museum</v>
          </cell>
          <cell r="O827" t="str">
            <v>متحف زايد الوطني</v>
          </cell>
          <cell r="P827" t="str">
            <v>Operations</v>
          </cell>
          <cell r="Q827" t="str">
            <v>العمليات</v>
          </cell>
          <cell r="R827" t="str">
            <v>FM</v>
          </cell>
          <cell r="S827" t="str">
            <v>إدارة المرافق</v>
          </cell>
          <cell r="T827" t="str">
            <v>FM Hard</v>
          </cell>
          <cell r="U827" t="str">
            <v>إدارة المرافق (البنية التحتية)</v>
          </cell>
          <cell r="V827" t="str">
            <v>Abu Dhabi</v>
          </cell>
          <cell r="W827" t="str">
            <v/>
          </cell>
          <cell r="X827" t="str">
            <v>4510184</v>
          </cell>
          <cell r="Y827" t="str">
            <v>Operations_Museum Management (All)_Director SP</v>
          </cell>
          <cell r="Z827" t="str">
            <v>Unit Head</v>
          </cell>
          <cell r="AA827" t="str">
            <v>3B</v>
          </cell>
        </row>
        <row r="828">
          <cell r="A828">
            <v>1725</v>
          </cell>
          <cell r="B828">
            <v>1725</v>
          </cell>
          <cell r="C828" t="str">
            <v>A</v>
          </cell>
          <cell r="D828" t="str">
            <v>Mohamed Jumaa Al Ali</v>
          </cell>
          <cell r="E828" t="str">
            <v>محمد جمعه آل علي</v>
          </cell>
          <cell r="F828">
            <v>44921</v>
          </cell>
          <cell r="G828" t="str">
            <v>50002629</v>
          </cell>
          <cell r="H828" t="str">
            <v>Rewards and Compensation Specialist</v>
          </cell>
          <cell r="I828" t="str">
            <v>أخصائي المستحقات والمكافآت</v>
          </cell>
          <cell r="J828" t="str">
            <v>On-Chart</v>
          </cell>
          <cell r="K828" t="str">
            <v>MSS Direct Hires</v>
          </cell>
          <cell r="L828" t="str">
            <v>M1</v>
          </cell>
          <cell r="M828" t="str">
            <v>Department of Culture and Tourism</v>
          </cell>
          <cell r="N828" t="str">
            <v>Museums Shared Services</v>
          </cell>
          <cell r="O828" t="str">
            <v>الخدمات المشتركة للمتاحف</v>
          </cell>
          <cell r="P828" t="str">
            <v>People and Performance - MSS</v>
          </cell>
          <cell r="Q828" t="str">
            <v>إدارة الكوادر البشرية والأداء - الخدمات المشتركة للمتاحف</v>
          </cell>
          <cell r="R828" t="str">
            <v>P&amp;P Operations Section - MSS</v>
          </cell>
          <cell r="S828" t="str">
            <v>قسم عمليات إدارة الكوادر البشرية والأداء</v>
          </cell>
          <cell r="T828" t="str">
            <v>Rewards Unit - MSS</v>
          </cell>
          <cell r="U828" t="str">
            <v>وحدة المكافآت</v>
          </cell>
          <cell r="V828" t="str">
            <v>Abu Dhabi</v>
          </cell>
          <cell r="W828" t="str">
            <v/>
          </cell>
          <cell r="X828" t="str">
            <v>4514140</v>
          </cell>
          <cell r="Y828" t="str">
            <v>People &amp; Performance _Rewards Policy &amp; Recognition _Professional</v>
          </cell>
          <cell r="Z828" t="str">
            <v>Professional</v>
          </cell>
          <cell r="AA828" t="str">
            <v>4B</v>
          </cell>
        </row>
        <row r="829">
          <cell r="A829">
            <v>1726</v>
          </cell>
          <cell r="B829">
            <v>1726</v>
          </cell>
          <cell r="C829" t="str">
            <v>A</v>
          </cell>
          <cell r="D829" t="str">
            <v>Mariam Raed Bahakeem</v>
          </cell>
          <cell r="E829" t="str">
            <v>مريم رائد باحكيم</v>
          </cell>
          <cell r="F829">
            <v>44921</v>
          </cell>
          <cell r="G829" t="str">
            <v>50002582</v>
          </cell>
          <cell r="H829" t="str">
            <v>Finance Planning and Reporting Senior Specialist</v>
          </cell>
          <cell r="I829" t="str">
            <v>أخصائي أول التخطيط والتقارير المالية</v>
          </cell>
          <cell r="J829" t="str">
            <v>On-Chart</v>
          </cell>
          <cell r="K829" t="str">
            <v>MSS Direct Hires</v>
          </cell>
          <cell r="L829" t="str">
            <v>M1</v>
          </cell>
          <cell r="M829" t="str">
            <v>Department of Culture and Tourism</v>
          </cell>
          <cell r="N829" t="str">
            <v>Museums Shared Services</v>
          </cell>
          <cell r="O829" t="str">
            <v>الخدمات المشتركة للمتاحف</v>
          </cell>
          <cell r="P829" t="str">
            <v>Finance - MSS</v>
          </cell>
          <cell r="Q829" t="str">
            <v>الإدارة المالية - الخدمات المشتركة للمتاحف</v>
          </cell>
          <cell r="R829" t="str">
            <v>Finance Planning and Business Partnership Section - MSS</v>
          </cell>
          <cell r="S829" t="str">
            <v>قسم التخطيط المالي وشراكات الأعمال</v>
          </cell>
          <cell r="T829" t="str">
            <v>Finance Planning and Reporting Unit - MSS</v>
          </cell>
          <cell r="U829" t="str">
            <v>وحدة التخطيط والتقارير المالية</v>
          </cell>
          <cell r="V829" t="str">
            <v>Abu Dhabi</v>
          </cell>
          <cell r="W829" t="str">
            <v/>
          </cell>
          <cell r="X829" t="str">
            <v>4514120</v>
          </cell>
          <cell r="Y829" t="str">
            <v>Finance_Finance Planning Forecasting &amp; Reporting_Senior Professional</v>
          </cell>
          <cell r="Z829" t="str">
            <v>Senior Professional</v>
          </cell>
          <cell r="AA829" t="str">
            <v>3B</v>
          </cell>
        </row>
        <row r="830">
          <cell r="A830">
            <v>1728</v>
          </cell>
          <cell r="B830">
            <v>1728</v>
          </cell>
          <cell r="C830" t="str">
            <v>A</v>
          </cell>
          <cell r="D830" t="str">
            <v>Fatima Mohamed Alshamsi</v>
          </cell>
          <cell r="E830" t="str">
            <v>فاطمه محمد الشامسي</v>
          </cell>
          <cell r="F830">
            <v>44925</v>
          </cell>
          <cell r="G830" t="str">
            <v>50000668</v>
          </cell>
          <cell r="H830" t="str">
            <v>Exhibitions Unit Head</v>
          </cell>
          <cell r="I830" t="str">
            <v>رئيس وحدة المعارض</v>
          </cell>
          <cell r="J830" t="str">
            <v>On-Chart</v>
          </cell>
          <cell r="K830" t="str">
            <v>MSS Direct Hires</v>
          </cell>
          <cell r="L830" t="str">
            <v>M1</v>
          </cell>
          <cell r="M830" t="str">
            <v>Department of Culture and Tourism</v>
          </cell>
          <cell r="N830" t="str">
            <v>Zayed National Museum</v>
          </cell>
          <cell r="O830" t="str">
            <v>متحف زايد الوطني</v>
          </cell>
          <cell r="P830" t="str">
            <v>Curatorial &amp; Collection Management</v>
          </cell>
          <cell r="Q830" t="str">
            <v>أمناء المتحف وإدارة المقتنيات</v>
          </cell>
          <cell r="R830" t="str">
            <v>Exhibitions &amp; Display</v>
          </cell>
          <cell r="S830" t="str">
            <v>المعارض وعرض المقتنيات</v>
          </cell>
          <cell r="T830" t="str">
            <v>Exhibitions</v>
          </cell>
          <cell r="U830" t="str">
            <v>المعارض</v>
          </cell>
          <cell r="V830" t="str">
            <v>Abu Dhabi</v>
          </cell>
          <cell r="W830" t="str">
            <v/>
          </cell>
          <cell r="X830" t="str">
            <v>4510181</v>
          </cell>
          <cell r="Y830" t="str">
            <v>Content &amp; Care_Curatorial  Management_Senior Professional</v>
          </cell>
          <cell r="Z830" t="str">
            <v>Unit Head</v>
          </cell>
          <cell r="AA830" t="str">
            <v>3B</v>
          </cell>
        </row>
        <row r="831">
          <cell r="A831">
            <v>1730</v>
          </cell>
          <cell r="B831">
            <v>1730</v>
          </cell>
          <cell r="C831" t="str">
            <v>A</v>
          </cell>
          <cell r="D831" t="str">
            <v>Dr. Yasser Zamzam Al Ali</v>
          </cell>
          <cell r="E831" t="str">
            <v>ياسر محمد أل علي</v>
          </cell>
          <cell r="F831">
            <v>44942</v>
          </cell>
          <cell r="G831" t="str">
            <v>50000989</v>
          </cell>
          <cell r="H831" t="str">
            <v>Marketing &amp; Communications Department Director</v>
          </cell>
          <cell r="I831" t="str">
            <v>مدير إدارة التسويق والاتصال</v>
          </cell>
          <cell r="J831" t="str">
            <v>On-Chart</v>
          </cell>
          <cell r="K831" t="str">
            <v>ALC Direct Hires</v>
          </cell>
          <cell r="L831" t="str">
            <v>AL1</v>
          </cell>
          <cell r="M831" t="str">
            <v>Abu Dhabi Arabic Language Centre</v>
          </cell>
          <cell r="N831" t="str">
            <v>Abu Dhabi Arabic Language Centre</v>
          </cell>
          <cell r="O831" t="str">
            <v>مركز أبوظبي للغة العربية</v>
          </cell>
          <cell r="P831" t="str">
            <v>Marketing &amp; Communications</v>
          </cell>
          <cell r="Q831" t="str">
            <v>التسويق والاتصال</v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>Abu Dhabi</v>
          </cell>
          <cell r="W831" t="str">
            <v/>
          </cell>
          <cell r="X831" t="str">
            <v>4519196</v>
          </cell>
          <cell r="Y831" t="str">
            <v>Comms &amp; Marketing _Marketing &amp; Communications _Director SP</v>
          </cell>
          <cell r="Z831" t="str">
            <v>Director</v>
          </cell>
          <cell r="AA831" t="str">
            <v>1A</v>
          </cell>
        </row>
        <row r="832">
          <cell r="A832">
            <v>1732</v>
          </cell>
          <cell r="B832">
            <v>1732</v>
          </cell>
          <cell r="C832" t="str">
            <v>A</v>
          </cell>
          <cell r="D832" t="str">
            <v>Mohammed Ahmed Almulla</v>
          </cell>
          <cell r="E832" t="str">
            <v>محمد احمد الملا</v>
          </cell>
          <cell r="F832">
            <v>44942</v>
          </cell>
          <cell r="G832" t="str">
            <v>50000717</v>
          </cell>
          <cell r="H832" t="str">
            <v>Senior Marketing Specialist</v>
          </cell>
          <cell r="I832" t="str">
            <v>أخصائي أول التسويق</v>
          </cell>
          <cell r="J832" t="str">
            <v>On-Chart</v>
          </cell>
          <cell r="K832" t="str">
            <v>MSS Direct Hires</v>
          </cell>
          <cell r="L832" t="str">
            <v>M1</v>
          </cell>
          <cell r="M832" t="str">
            <v>Department of Culture and Tourism</v>
          </cell>
          <cell r="N832" t="str">
            <v>Zayed National Museum</v>
          </cell>
          <cell r="O832" t="str">
            <v>متحف زايد الوطني</v>
          </cell>
          <cell r="P832" t="str">
            <v>Marketing &amp; Communication</v>
          </cell>
          <cell r="Q832" t="str">
            <v>التسويق والاتصال</v>
          </cell>
          <cell r="R832" t="str">
            <v>Marketing</v>
          </cell>
          <cell r="S832" t="str">
            <v>التسويق</v>
          </cell>
          <cell r="T832" t="str">
            <v>Marketing</v>
          </cell>
          <cell r="U832" t="str">
            <v>التسويق</v>
          </cell>
          <cell r="V832" t="str">
            <v>Abu Dhabi</v>
          </cell>
          <cell r="W832" t="str">
            <v/>
          </cell>
          <cell r="X832" t="str">
            <v>4510185</v>
          </cell>
          <cell r="Y832" t="str">
            <v>Comms &amp; Marketing _Marketing &amp; Communications (All areas)_Senior Professional</v>
          </cell>
          <cell r="Z832" t="str">
            <v>Senior Professional</v>
          </cell>
          <cell r="AA832" t="str">
            <v>3B</v>
          </cell>
        </row>
        <row r="833">
          <cell r="A833">
            <v>1733</v>
          </cell>
          <cell r="B833">
            <v>1733</v>
          </cell>
          <cell r="C833" t="str">
            <v>A</v>
          </cell>
          <cell r="D833" t="str">
            <v>Ahmed Abdulwahab Al Diwani</v>
          </cell>
          <cell r="E833" t="str">
            <v>احمد عبدالوهاب الديواني</v>
          </cell>
          <cell r="F833">
            <v>44949</v>
          </cell>
          <cell r="G833" t="str">
            <v>50000738</v>
          </cell>
          <cell r="H833" t="str">
            <v>Health And Safety Unit Head</v>
          </cell>
          <cell r="I833" t="str">
            <v>رئيس وحدة الصحة والسلامة</v>
          </cell>
          <cell r="J833" t="str">
            <v>On-Chart</v>
          </cell>
          <cell r="K833" t="str">
            <v>MSS Direct Hires</v>
          </cell>
          <cell r="L833" t="str">
            <v>M1</v>
          </cell>
          <cell r="M833" t="str">
            <v>Department of Culture and Tourism</v>
          </cell>
          <cell r="N833" t="str">
            <v>Zayed National Museum</v>
          </cell>
          <cell r="O833" t="str">
            <v>متحف زايد الوطني</v>
          </cell>
          <cell r="P833" t="str">
            <v>Operations</v>
          </cell>
          <cell r="Q833" t="str">
            <v>العمليات</v>
          </cell>
          <cell r="R833" t="str">
            <v>Safety &amp; Security</v>
          </cell>
          <cell r="S833" t="str">
            <v>السلامة والأمن</v>
          </cell>
          <cell r="T833" t="str">
            <v>Health and Safety</v>
          </cell>
          <cell r="U833" t="str">
            <v>الصحة والسلامة</v>
          </cell>
          <cell r="V833" t="str">
            <v>Abu Dhabi</v>
          </cell>
          <cell r="W833" t="str">
            <v/>
          </cell>
          <cell r="X833" t="str">
            <v>4510184</v>
          </cell>
          <cell r="Y833" t="str">
            <v>Technical Safety &amp; Security_Technical Operations_Unit Head</v>
          </cell>
          <cell r="Z833" t="str">
            <v>Unit Head</v>
          </cell>
          <cell r="AA833" t="str">
            <v>3B</v>
          </cell>
        </row>
        <row r="834">
          <cell r="A834">
            <v>1734</v>
          </cell>
          <cell r="B834">
            <v>1734</v>
          </cell>
          <cell r="C834" t="str">
            <v>A</v>
          </cell>
          <cell r="D834" t="str">
            <v>Mera Yasser ALGhallabi</v>
          </cell>
          <cell r="E834" t="str">
            <v>ميره ياسر الغلابي</v>
          </cell>
          <cell r="F834">
            <v>44936</v>
          </cell>
          <cell r="G834" t="str">
            <v>41000130</v>
          </cell>
          <cell r="H834" t="str">
            <v>Auditor</v>
          </cell>
          <cell r="I834" t="str">
            <v>مدقق</v>
          </cell>
          <cell r="J834" t="str">
            <v>On-Chart</v>
          </cell>
          <cell r="K834" t="str">
            <v>DCT Payroll</v>
          </cell>
          <cell r="L834" t="str">
            <v>A1</v>
          </cell>
          <cell r="M834" t="str">
            <v>Department of Culture and Tourism</v>
          </cell>
          <cell r="N834" t="str">
            <v>Tourism</v>
          </cell>
          <cell r="O834" t="str">
            <v>السياحة</v>
          </cell>
          <cell r="P834" t="str">
            <v>Licensing &amp; Regulatory Compliance</v>
          </cell>
          <cell r="Q834" t="str">
            <v>الرقابة والترخيص</v>
          </cell>
          <cell r="R834" t="str">
            <v>Revenue Assurance</v>
          </cell>
          <cell r="S834" t="str">
            <v>تدقيق العائدات</v>
          </cell>
          <cell r="T834" t="str">
            <v>Revenue Assurance  (Special Retails &amp; Events)</v>
          </cell>
          <cell r="U834" t="str">
            <v>(وحدة  تدقيق العائدات (الأسواق والمتاجر الخاصة والفعاليات</v>
          </cell>
          <cell r="V834" t="str">
            <v>Abu Dhabi</v>
          </cell>
          <cell r="W834" t="str">
            <v/>
          </cell>
          <cell r="X834" t="str">
            <v>4510170</v>
          </cell>
          <cell r="Y834" t="str">
            <v>Compliance,Governance&amp;Protocol_Licensing &amp; Regulatory Compliance- (Follow-up and Reporting) _Professional Assistant</v>
          </cell>
          <cell r="Z834" t="str">
            <v>Professional</v>
          </cell>
          <cell r="AA834" t="str">
            <v>4A</v>
          </cell>
        </row>
        <row r="835">
          <cell r="A835">
            <v>1736</v>
          </cell>
          <cell r="B835">
            <v>1736</v>
          </cell>
          <cell r="C835" t="str">
            <v>A</v>
          </cell>
          <cell r="D835" t="str">
            <v>Sara Abdulla Qassem</v>
          </cell>
          <cell r="E835" t="str">
            <v>ساره عبدالله قاسم</v>
          </cell>
          <cell r="F835">
            <v>44927</v>
          </cell>
          <cell r="G835" t="str">
            <v>10010433</v>
          </cell>
          <cell r="H835" t="str">
            <v>Senior Legal Researcher</v>
          </cell>
          <cell r="I835" t="str">
            <v>باحث قانوني أول</v>
          </cell>
          <cell r="J835" t="str">
            <v>On-Chart</v>
          </cell>
          <cell r="K835" t="str">
            <v>DCT Payroll</v>
          </cell>
          <cell r="L835" t="str">
            <v>A1</v>
          </cell>
          <cell r="M835" t="str">
            <v>Department of Culture and Tourism</v>
          </cell>
          <cell r="N835" t="str">
            <v>Legal &amp; Government Affairs</v>
          </cell>
          <cell r="O835" t="str">
            <v>مكتب وكيل الدائرة</v>
          </cell>
          <cell r="P835" t="str">
            <v>Legal &amp; Government Affairs</v>
          </cell>
          <cell r="Q835" t="str">
            <v>الشؤون القانونية والحكومية</v>
          </cell>
          <cell r="R835" t="str">
            <v>Legislation, Litigation &amp; Government Affairs</v>
          </cell>
          <cell r="S835" t="str">
            <v>التشريعات والتقاضي والشؤون الحكومية</v>
          </cell>
          <cell r="T835" t="str">
            <v/>
          </cell>
          <cell r="U835" t="str">
            <v/>
          </cell>
          <cell r="V835" t="str">
            <v>Abu Dhabi</v>
          </cell>
          <cell r="W835" t="str">
            <v/>
          </cell>
          <cell r="X835" t="str">
            <v>4510160</v>
          </cell>
          <cell r="Y835" t="str">
            <v>Legal _Legal Counsel (All areas)_Senior Professional</v>
          </cell>
          <cell r="Z835" t="str">
            <v>Senior Professional</v>
          </cell>
          <cell r="AA835" t="str">
            <v>3C</v>
          </cell>
        </row>
        <row r="836">
          <cell r="A836">
            <v>1737</v>
          </cell>
          <cell r="B836">
            <v>1737</v>
          </cell>
          <cell r="C836" t="str">
            <v>A</v>
          </cell>
          <cell r="D836" t="str">
            <v>Nouf Saeed Alsaeedi</v>
          </cell>
          <cell r="E836" t="str">
            <v>نوف سعيد السعيدي</v>
          </cell>
          <cell r="F836">
            <v>44949</v>
          </cell>
          <cell r="G836" t="str">
            <v>50002830</v>
          </cell>
          <cell r="H836" t="str">
            <v>Sourcing Specialist</v>
          </cell>
          <cell r="I836" t="str">
            <v>أخصائي التوريد</v>
          </cell>
          <cell r="J836" t="str">
            <v>On-Chart</v>
          </cell>
          <cell r="K836" t="str">
            <v>MSS Direct Hires</v>
          </cell>
          <cell r="L836" t="str">
            <v>M1</v>
          </cell>
          <cell r="M836" t="str">
            <v>Department of Culture and Tourism</v>
          </cell>
          <cell r="N836" t="str">
            <v>Museums Shared Services</v>
          </cell>
          <cell r="O836" t="str">
            <v>الخدمات المشتركة للمتاحف</v>
          </cell>
          <cell r="P836" t="str">
            <v>Supply Management - MSS</v>
          </cell>
          <cell r="Q836" t="str">
            <v>إدارة الإمداد - الخدمات المشتركة للمتاحف</v>
          </cell>
          <cell r="R836" t="str">
            <v>Supply Management Operations Section</v>
          </cell>
          <cell r="S836" t="str">
            <v>قسم عمليات إدارة الإمداد</v>
          </cell>
          <cell r="T836" t="str">
            <v>Sourcing Unit</v>
          </cell>
          <cell r="U836" t="str">
            <v>وحدة التوريد</v>
          </cell>
          <cell r="V836" t="str">
            <v>Abu Dhabi</v>
          </cell>
          <cell r="W836" t="str">
            <v/>
          </cell>
          <cell r="X836" t="str">
            <v>4514160</v>
          </cell>
          <cell r="Y836" t="str">
            <v>Procurement_Procurement General_Professional</v>
          </cell>
          <cell r="Z836" t="str">
            <v>Professional</v>
          </cell>
          <cell r="AA836" t="str">
            <v>4B</v>
          </cell>
        </row>
        <row r="837">
          <cell r="A837">
            <v>1739</v>
          </cell>
          <cell r="B837">
            <v>1739</v>
          </cell>
          <cell r="C837" t="str">
            <v>A</v>
          </cell>
          <cell r="D837" t="str">
            <v>Dana Hanna Issa Zarafili</v>
          </cell>
          <cell r="E837" t="str">
            <v>دانا حنا عيسى زرافيلي</v>
          </cell>
          <cell r="F837">
            <v>44970</v>
          </cell>
          <cell r="G837" t="str">
            <v>50002568</v>
          </cell>
          <cell r="H837" t="str">
            <v>General Ledger Unit Head</v>
          </cell>
          <cell r="I837" t="str">
            <v>رئيس وحدة سجل الحسابات العامة</v>
          </cell>
          <cell r="J837" t="str">
            <v>On-Chart</v>
          </cell>
          <cell r="K837" t="str">
            <v>MSS Direct Hires</v>
          </cell>
          <cell r="L837" t="str">
            <v>M1</v>
          </cell>
          <cell r="M837" t="str">
            <v>Department of Culture and Tourism</v>
          </cell>
          <cell r="N837" t="str">
            <v>Museums Shared Services</v>
          </cell>
          <cell r="O837" t="str">
            <v>الخدمات المشتركة للمتاحف</v>
          </cell>
          <cell r="P837" t="str">
            <v>Finance - MSS</v>
          </cell>
          <cell r="Q837" t="str">
            <v>الإدارة المالية - الخدمات المشتركة للمتاحف</v>
          </cell>
          <cell r="R837" t="str">
            <v>Finance Operation Section - MSS</v>
          </cell>
          <cell r="S837" t="str">
            <v>قسم العمليات المالية</v>
          </cell>
          <cell r="T837" t="str">
            <v>General Ledger Unit - MSS</v>
          </cell>
          <cell r="U837" t="str">
            <v>وحدة سجل الحسابات العامة</v>
          </cell>
          <cell r="V837" t="str">
            <v>Abu Dhabi</v>
          </cell>
          <cell r="W837" t="str">
            <v/>
          </cell>
          <cell r="X837" t="str">
            <v>4514120</v>
          </cell>
          <cell r="Y837" t="str">
            <v>Finance_Finance Operations _Unit Head</v>
          </cell>
          <cell r="Z837" t="str">
            <v>Unit Head</v>
          </cell>
          <cell r="AA837" t="str">
            <v>3B</v>
          </cell>
        </row>
        <row r="838">
          <cell r="A838">
            <v>1741</v>
          </cell>
          <cell r="B838">
            <v>1741</v>
          </cell>
          <cell r="C838" t="str">
            <v>A</v>
          </cell>
          <cell r="D838" t="str">
            <v>Mashael Rashed Alqasimi</v>
          </cell>
          <cell r="E838" t="str">
            <v>مشاعل راشد القاسمي</v>
          </cell>
          <cell r="F838">
            <v>44963</v>
          </cell>
          <cell r="G838" t="str">
            <v>50001105</v>
          </cell>
          <cell r="H838" t="str">
            <v>Marketing Unit Head</v>
          </cell>
          <cell r="I838" t="str">
            <v>رئيس وحدة التسويق</v>
          </cell>
          <cell r="J838" t="str">
            <v>On-Chart</v>
          </cell>
          <cell r="K838" t="str">
            <v>ALC Direct Hires</v>
          </cell>
          <cell r="L838" t="str">
            <v>AL1</v>
          </cell>
          <cell r="M838" t="str">
            <v>Abu Dhabi Arabic Language Centre</v>
          </cell>
          <cell r="N838" t="str">
            <v>Abu Dhabi Arabic Language Centre</v>
          </cell>
          <cell r="O838" t="str">
            <v>مركز أبوظبي للغة العربية</v>
          </cell>
          <cell r="P838" t="str">
            <v>Marketing &amp; Communications</v>
          </cell>
          <cell r="Q838" t="str">
            <v>التسويق والاتصال</v>
          </cell>
          <cell r="R838" t="str">
            <v>Brand Development</v>
          </cell>
          <cell r="S838" t="str">
            <v>تطوير الهوية المؤسسية</v>
          </cell>
          <cell r="T838" t="str">
            <v>Brand Planning - ALC</v>
          </cell>
          <cell r="U838" t="str">
            <v>تخطيط الهوية المؤسسية</v>
          </cell>
          <cell r="V838" t="str">
            <v>Abu Dhabi</v>
          </cell>
          <cell r="W838" t="str">
            <v/>
          </cell>
          <cell r="X838" t="str">
            <v>4519196</v>
          </cell>
          <cell r="Y838" t="str">
            <v>Comms &amp; Marketing _Communications (All Areas)_Unit Head</v>
          </cell>
          <cell r="Z838" t="str">
            <v>Unit Head</v>
          </cell>
          <cell r="AA838" t="str">
            <v>3A</v>
          </cell>
        </row>
        <row r="839">
          <cell r="A839">
            <v>1742</v>
          </cell>
          <cell r="B839">
            <v>1742</v>
          </cell>
          <cell r="C839" t="str">
            <v>A</v>
          </cell>
          <cell r="D839" t="str">
            <v>Hamad Saleh ALmansoori</v>
          </cell>
          <cell r="E839" t="str">
            <v>حمد صالح المنصوري</v>
          </cell>
          <cell r="F839">
            <v>44964</v>
          </cell>
          <cell r="G839" t="str">
            <v>50001944</v>
          </cell>
          <cell r="H839" t="str">
            <v>Protocol Unit Head</v>
          </cell>
          <cell r="I839" t="str">
            <v>رئيس وحدة المراسم</v>
          </cell>
          <cell r="J839" t="str">
            <v>On-Chart</v>
          </cell>
          <cell r="K839" t="str">
            <v>MSS Direct Hires</v>
          </cell>
          <cell r="L839" t="str">
            <v>M1</v>
          </cell>
          <cell r="M839" t="str">
            <v>Department of Culture and Tourism</v>
          </cell>
          <cell r="N839" t="str">
            <v>Abrahamic Family House Center</v>
          </cell>
          <cell r="O839" t="str">
            <v>مركز بيت العائلة الإبراهيمية</v>
          </cell>
          <cell r="P839" t="str">
            <v>Marketing &amp; Communications</v>
          </cell>
          <cell r="Q839" t="str">
            <v>التسويق والاتصال</v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>Abu Dhabi</v>
          </cell>
          <cell r="W839" t="str">
            <v/>
          </cell>
          <cell r="X839" t="str">
            <v>4514121</v>
          </cell>
          <cell r="Y839" t="str">
            <v>Comms &amp; Marketing _Communications (All Areas)_Unit Head</v>
          </cell>
          <cell r="Z839" t="str">
            <v>Unit Head</v>
          </cell>
          <cell r="AA839" t="str">
            <v>3A</v>
          </cell>
        </row>
        <row r="840">
          <cell r="A840">
            <v>1744</v>
          </cell>
          <cell r="B840">
            <v>1744</v>
          </cell>
          <cell r="C840" t="str">
            <v>A</v>
          </cell>
          <cell r="D840" t="str">
            <v>Latifa Ahmed Al Nahyan</v>
          </cell>
          <cell r="E840" t="str">
            <v>لطيفة أحمد أل نهيان</v>
          </cell>
          <cell r="F840">
            <v>44965</v>
          </cell>
          <cell r="G840" t="str">
            <v>10004438</v>
          </cell>
          <cell r="H840" t="str">
            <v>Project Specialist</v>
          </cell>
          <cell r="I840" t="str">
            <v>أخصائي مشاريع</v>
          </cell>
          <cell r="J840" t="str">
            <v>On-Chart</v>
          </cell>
          <cell r="K840" t="str">
            <v>DCT Payroll</v>
          </cell>
          <cell r="L840" t="str">
            <v>A1</v>
          </cell>
          <cell r="M840" t="str">
            <v>Department of Culture and Tourism</v>
          </cell>
          <cell r="N840" t="str">
            <v>Tourism</v>
          </cell>
          <cell r="O840" t="str">
            <v>السياحة</v>
          </cell>
          <cell r="P840" t="str">
            <v>Tourism Sector Management Office</v>
          </cell>
          <cell r="Q840" t="str">
            <v>مكتب إدارة شؤون قطاع السياحة</v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>Abu Dhabi</v>
          </cell>
          <cell r="W840" t="str">
            <v/>
          </cell>
          <cell r="X840" t="str">
            <v>4515010</v>
          </cell>
          <cell r="Y840" t="str">
            <v>Compliance,Governance&amp;Protocol_Policy (Culture/Tourism) _Professional</v>
          </cell>
          <cell r="Z840" t="str">
            <v>Professional</v>
          </cell>
          <cell r="AA840" t="str">
            <v>4A</v>
          </cell>
        </row>
        <row r="841">
          <cell r="A841">
            <v>1745</v>
          </cell>
          <cell r="B841">
            <v>1745</v>
          </cell>
          <cell r="C841" t="str">
            <v>A</v>
          </cell>
          <cell r="D841" t="str">
            <v>Aysha Mohammed AlShamsi</v>
          </cell>
          <cell r="E841" t="str">
            <v>عائشة محمد الشامسي</v>
          </cell>
          <cell r="F841">
            <v>44984</v>
          </cell>
          <cell r="G841" t="str">
            <v>10007101</v>
          </cell>
          <cell r="H841" t="str">
            <v>Accounts Payables Accountant</v>
          </cell>
          <cell r="I841" t="str">
            <v>محاسب الحسابات الدائنة</v>
          </cell>
          <cell r="J841" t="str">
            <v>On-Chart</v>
          </cell>
          <cell r="K841" t="str">
            <v>DCT Payroll</v>
          </cell>
          <cell r="L841" t="str">
            <v>A1</v>
          </cell>
          <cell r="M841" t="str">
            <v>Department of Culture and Tourism</v>
          </cell>
          <cell r="N841" t="str">
            <v>Support Services</v>
          </cell>
          <cell r="O841" t="str">
            <v>الخدمات المساندة</v>
          </cell>
          <cell r="P841" t="str">
            <v>Finance</v>
          </cell>
          <cell r="Q841" t="str">
            <v>إدارة المالية</v>
          </cell>
          <cell r="R841" t="str">
            <v>Payables Operations</v>
          </cell>
          <cell r="S841" t="str">
            <v>عمليات الحسابات الدائنة</v>
          </cell>
          <cell r="T841" t="str">
            <v>Accounts Payables</v>
          </cell>
          <cell r="U841" t="str">
            <v>حسابات دائنة</v>
          </cell>
          <cell r="V841" t="str">
            <v>Abu Dhabi</v>
          </cell>
          <cell r="W841" t="str">
            <v/>
          </cell>
          <cell r="X841" t="str">
            <v>4510210</v>
          </cell>
          <cell r="Y841" t="str">
            <v>Finance_Accountant _Professional Assistant</v>
          </cell>
          <cell r="Z841" t="str">
            <v>Professional</v>
          </cell>
          <cell r="AA841" t="str">
            <v>4B</v>
          </cell>
        </row>
        <row r="842">
          <cell r="A842">
            <v>1746</v>
          </cell>
          <cell r="B842">
            <v>1746</v>
          </cell>
          <cell r="C842" t="str">
            <v>A</v>
          </cell>
          <cell r="D842" t="str">
            <v>Alia Abdulla Alhammadi</v>
          </cell>
          <cell r="E842" t="str">
            <v>علياء عبدالله الحمادي</v>
          </cell>
          <cell r="F842">
            <v>44970</v>
          </cell>
          <cell r="G842" t="str">
            <v>50002197</v>
          </cell>
          <cell r="H842" t="str">
            <v>Sales &amp; Events Section Head</v>
          </cell>
          <cell r="I842" t="str">
            <v>رئيس قسم الفعاليات و المبيعات</v>
          </cell>
          <cell r="J842" t="str">
            <v>On-Chart</v>
          </cell>
          <cell r="K842" t="str">
            <v>MSS Direct Hires</v>
          </cell>
          <cell r="L842" t="str">
            <v>M1</v>
          </cell>
          <cell r="M842" t="str">
            <v>Department of Culture and Tourism</v>
          </cell>
          <cell r="N842" t="str">
            <v>Abrahamic Family House Center</v>
          </cell>
          <cell r="O842" t="str">
            <v>مركز بيت العائلة الإبراهيمية</v>
          </cell>
          <cell r="P842" t="str">
            <v>-</v>
          </cell>
          <cell r="Q842" t="str">
            <v>-</v>
          </cell>
          <cell r="R842" t="str">
            <v>Sales &amp; Events</v>
          </cell>
          <cell r="S842" t="str">
            <v>الفعاليات والمبيعات</v>
          </cell>
          <cell r="T842" t="str">
            <v/>
          </cell>
          <cell r="U842" t="str">
            <v/>
          </cell>
          <cell r="V842" t="str">
            <v>Abu Dhabi</v>
          </cell>
          <cell r="W842" t="str">
            <v/>
          </cell>
          <cell r="X842" t="str">
            <v>4514121</v>
          </cell>
          <cell r="Y842" t="str">
            <v>Design_Visitor Experience Design_Section Head</v>
          </cell>
          <cell r="Z842" t="str">
            <v>Section Manager</v>
          </cell>
          <cell r="AA842" t="str">
            <v>2B</v>
          </cell>
        </row>
        <row r="843">
          <cell r="A843">
            <v>1748</v>
          </cell>
          <cell r="B843">
            <v>1748</v>
          </cell>
          <cell r="C843" t="str">
            <v>A</v>
          </cell>
          <cell r="D843" t="str">
            <v>Noura Naser Alghafri</v>
          </cell>
          <cell r="E843" t="str">
            <v>نورة ناصر الغافري</v>
          </cell>
          <cell r="F843">
            <v>44977</v>
          </cell>
          <cell r="G843" t="str">
            <v>10012300</v>
          </cell>
          <cell r="H843" t="str">
            <v>Culture Summit Programming Specialist</v>
          </cell>
          <cell r="I843" t="str">
            <v>أخصائي برنامج القمة الثقافية</v>
          </cell>
          <cell r="J843" t="str">
            <v>On-Chart</v>
          </cell>
          <cell r="K843" t="str">
            <v>DCT Payroll</v>
          </cell>
          <cell r="L843" t="str">
            <v>A1</v>
          </cell>
          <cell r="M843" t="str">
            <v>Department of Culture and Tourism</v>
          </cell>
          <cell r="N843" t="str">
            <v>Culture</v>
          </cell>
          <cell r="O843" t="str">
            <v>الثقافة</v>
          </cell>
          <cell r="P843" t="str">
            <v>Culture Programming</v>
          </cell>
          <cell r="Q843" t="str">
            <v>البرامج الثقافية</v>
          </cell>
          <cell r="R843" t="str">
            <v>Culture Summit</v>
          </cell>
          <cell r="S843" t="str">
            <v>القمة الثقافية</v>
          </cell>
          <cell r="T843" t="str">
            <v/>
          </cell>
          <cell r="U843" t="str">
            <v/>
          </cell>
          <cell r="V843" t="str">
            <v>Abu Dhabi</v>
          </cell>
          <cell r="W843" t="str">
            <v/>
          </cell>
          <cell r="X843" t="str">
            <v>4511700</v>
          </cell>
          <cell r="Y843" t="str">
            <v>Compliance,Governance&amp;Protocol_Policy (Culture/Tourism) _Professional</v>
          </cell>
          <cell r="Z843" t="str">
            <v>Professional</v>
          </cell>
          <cell r="AA843" t="str">
            <v>4A</v>
          </cell>
        </row>
        <row r="844">
          <cell r="A844">
            <v>1749</v>
          </cell>
          <cell r="B844">
            <v>1749</v>
          </cell>
          <cell r="C844" t="str">
            <v>A</v>
          </cell>
          <cell r="D844" t="str">
            <v>Nooralhoda Ibrahim Abdulrahman</v>
          </cell>
          <cell r="E844" t="str">
            <v>نورالهدى ابراهيم عبدالرحمن</v>
          </cell>
          <cell r="F844">
            <v>44985</v>
          </cell>
          <cell r="G844" t="str">
            <v>50000714</v>
          </cell>
          <cell r="H844" t="str">
            <v>Marketing Specialist</v>
          </cell>
          <cell r="I844" t="str">
            <v>أخصائي التسويق</v>
          </cell>
          <cell r="J844" t="str">
            <v>On-Chart</v>
          </cell>
          <cell r="K844" t="str">
            <v>MSS Direct Hires</v>
          </cell>
          <cell r="L844" t="str">
            <v>M1</v>
          </cell>
          <cell r="M844" t="str">
            <v>Department of Culture and Tourism</v>
          </cell>
          <cell r="N844" t="str">
            <v>Zayed National Museum</v>
          </cell>
          <cell r="O844" t="str">
            <v>متحف زايد الوطني</v>
          </cell>
          <cell r="P844" t="str">
            <v>Marketing &amp; Communication</v>
          </cell>
          <cell r="Q844" t="str">
            <v>التسويق والاتصال</v>
          </cell>
          <cell r="R844" t="str">
            <v>Marketing</v>
          </cell>
          <cell r="S844" t="str">
            <v>التسويق</v>
          </cell>
          <cell r="T844" t="str">
            <v>Marketing</v>
          </cell>
          <cell r="U844" t="str">
            <v>التسويق</v>
          </cell>
          <cell r="V844" t="str">
            <v>Abu Dhabi</v>
          </cell>
          <cell r="W844" t="str">
            <v/>
          </cell>
          <cell r="X844" t="str">
            <v>4510185</v>
          </cell>
          <cell r="Y844" t="str">
            <v>Specialization Marketing &amp; Communications</v>
          </cell>
          <cell r="Z844" t="str">
            <v>Professional</v>
          </cell>
          <cell r="AA844" t="str">
            <v>4A</v>
          </cell>
        </row>
        <row r="845">
          <cell r="A845">
            <v>1750</v>
          </cell>
          <cell r="B845">
            <v>1750</v>
          </cell>
          <cell r="C845" t="str">
            <v>A</v>
          </cell>
          <cell r="D845" t="str">
            <v>Mohamed Saeed Almaashari</v>
          </cell>
          <cell r="E845" t="str">
            <v>محمد سعيد المعشري</v>
          </cell>
          <cell r="F845">
            <v>45000</v>
          </cell>
          <cell r="G845" t="str">
            <v>10008835</v>
          </cell>
          <cell r="H845" t="str">
            <v>Supplier Performance Unit Head</v>
          </cell>
          <cell r="I845" t="str">
            <v>رئيس وحدة أداء الموردين</v>
          </cell>
          <cell r="J845" t="str">
            <v>On-Chart</v>
          </cell>
          <cell r="K845" t="str">
            <v>DCT Payroll</v>
          </cell>
          <cell r="L845" t="str">
            <v>A1</v>
          </cell>
          <cell r="M845" t="str">
            <v>Department of Culture and Tourism</v>
          </cell>
          <cell r="N845" t="str">
            <v>Support Services</v>
          </cell>
          <cell r="O845" t="str">
            <v>الخدمات المساندة</v>
          </cell>
          <cell r="P845" t="str">
            <v>Supply Management</v>
          </cell>
          <cell r="Q845" t="str">
            <v>إدارة الإمداد</v>
          </cell>
          <cell r="R845" t="str">
            <v>Contracts, System &amp; Reporting</v>
          </cell>
          <cell r="S845" t="str">
            <v>العقود والأنظمة والتقارير</v>
          </cell>
          <cell r="T845" t="str">
            <v>Supplier Performance</v>
          </cell>
          <cell r="U845" t="str">
            <v>أداء الموردين</v>
          </cell>
          <cell r="V845" t="str">
            <v>Abu Dhabi</v>
          </cell>
          <cell r="W845" t="str">
            <v/>
          </cell>
          <cell r="X845" t="str">
            <v>4510240</v>
          </cell>
          <cell r="Y845" t="str">
            <v>Procurement_Supplier  Management _Unit Head</v>
          </cell>
          <cell r="Z845" t="str">
            <v>Unit Head</v>
          </cell>
          <cell r="AA845" t="str">
            <v>3B</v>
          </cell>
        </row>
        <row r="846">
          <cell r="A846">
            <v>1751</v>
          </cell>
          <cell r="B846">
            <v>1751</v>
          </cell>
          <cell r="C846" t="str">
            <v>A</v>
          </cell>
          <cell r="D846" t="str">
            <v>Asmaa Omar Alhashmi</v>
          </cell>
          <cell r="E846" t="str">
            <v>أسماء عمر الهاشمي</v>
          </cell>
          <cell r="F846">
            <v>44998</v>
          </cell>
          <cell r="G846" t="str">
            <v>10008765</v>
          </cell>
          <cell r="H846" t="str">
            <v>Career Development Senior Specialist</v>
          </cell>
          <cell r="I846" t="str">
            <v>أخصائي أول التطوير الوظيفي</v>
          </cell>
          <cell r="J846" t="str">
            <v>On-Chart</v>
          </cell>
          <cell r="K846" t="str">
            <v>DCT Payroll</v>
          </cell>
          <cell r="L846" t="str">
            <v>A1</v>
          </cell>
          <cell r="M846" t="str">
            <v>Department of Culture and Tourism</v>
          </cell>
          <cell r="N846" t="str">
            <v>Support Services</v>
          </cell>
          <cell r="O846" t="str">
            <v>الخدمات المساندة</v>
          </cell>
          <cell r="P846" t="str">
            <v>People &amp; Performance</v>
          </cell>
          <cell r="Q846" t="str">
            <v>إدارة الكوادر البشرية والأداء</v>
          </cell>
          <cell r="R846" t="str">
            <v>Talent Development</v>
          </cell>
          <cell r="S846" t="str">
            <v>تطوير المواهب</v>
          </cell>
          <cell r="T846" t="str">
            <v>Career Development</v>
          </cell>
          <cell r="U846" t="str">
            <v>التطوير الوظيفي</v>
          </cell>
          <cell r="V846" t="str">
            <v>Abu Dhabi</v>
          </cell>
          <cell r="W846" t="str">
            <v/>
          </cell>
          <cell r="X846" t="str">
            <v>4510220</v>
          </cell>
          <cell r="Y846" t="str">
            <v>People &amp; Performance _Learning, Talent &amp; Capability Development _Senior Professional</v>
          </cell>
          <cell r="Z846" t="str">
            <v>Senior Professional</v>
          </cell>
          <cell r="AA846" t="str">
            <v>3B</v>
          </cell>
        </row>
        <row r="847">
          <cell r="A847">
            <v>1752</v>
          </cell>
          <cell r="B847">
            <v>1752</v>
          </cell>
          <cell r="C847" t="str">
            <v>A</v>
          </cell>
          <cell r="D847" t="str">
            <v>Muna Mohammed ALKaabi</v>
          </cell>
          <cell r="E847" t="str">
            <v>منى محمد الكعبي</v>
          </cell>
          <cell r="F847">
            <v>44986</v>
          </cell>
          <cell r="G847" t="str">
            <v>50002096</v>
          </cell>
          <cell r="H847" t="str">
            <v>ICH Retail &amp; Market Development Officer</v>
          </cell>
          <cell r="I847" t="str">
            <v>مسؤول تطوير أسواق التجزئة والأسواق بالتراث الثقافي المعنوي</v>
          </cell>
          <cell r="J847" t="str">
            <v>On-Chart</v>
          </cell>
          <cell r="K847" t="str">
            <v>DCT Payroll</v>
          </cell>
          <cell r="L847" t="str">
            <v>A1</v>
          </cell>
          <cell r="M847" t="str">
            <v>Department of Culture and Tourism</v>
          </cell>
          <cell r="N847" t="str">
            <v>Culture</v>
          </cell>
          <cell r="O847" t="str">
            <v>الثقافة</v>
          </cell>
          <cell r="P847" t="str">
            <v>Intangible Cultural Heritage</v>
          </cell>
          <cell r="Q847" t="str">
            <v>التراث الثقافي المعنوي</v>
          </cell>
          <cell r="R847" t="str">
            <v>ICH Retail &amp; Market Development</v>
          </cell>
          <cell r="S847" t="str">
            <v>تطوير سوق التراث الثقافي المعنوي والبيع بالتجزئة</v>
          </cell>
          <cell r="T847" t="str">
            <v/>
          </cell>
          <cell r="U847" t="str">
            <v/>
          </cell>
          <cell r="V847" t="str">
            <v>Abu Dhabi</v>
          </cell>
          <cell r="W847" t="str">
            <v/>
          </cell>
          <cell r="X847" t="str">
            <v>4511600</v>
          </cell>
          <cell r="Y847" t="str">
            <v>Content &amp; Care_World Heritage Sites Planning &amp; Monitoring _Professional</v>
          </cell>
          <cell r="Z847" t="str">
            <v>Professional</v>
          </cell>
          <cell r="AA847" t="str">
            <v>4C</v>
          </cell>
        </row>
        <row r="848">
          <cell r="A848">
            <v>1753</v>
          </cell>
          <cell r="B848">
            <v>1753</v>
          </cell>
          <cell r="C848" t="str">
            <v>A</v>
          </cell>
          <cell r="D848" t="str">
            <v>Maitha Hamad ALMheiri</v>
          </cell>
          <cell r="E848" t="str">
            <v>ميثاء محمد المهيري</v>
          </cell>
          <cell r="F848">
            <v>44986</v>
          </cell>
          <cell r="G848" t="str">
            <v>50002097</v>
          </cell>
          <cell r="H848" t="str">
            <v>Artisans Capacity Building Programmes Specialist</v>
          </cell>
          <cell r="I848" t="str">
            <v>أخصائي برامج تطوير قدرات الحرفيين</v>
          </cell>
          <cell r="J848" t="str">
            <v>On-Chart</v>
          </cell>
          <cell r="K848" t="str">
            <v>DCT Payroll</v>
          </cell>
          <cell r="L848" t="str">
            <v>A1</v>
          </cell>
          <cell r="M848" t="str">
            <v>Department of Culture and Tourism</v>
          </cell>
          <cell r="N848" t="str">
            <v>Culture</v>
          </cell>
          <cell r="O848" t="str">
            <v>الثقافة</v>
          </cell>
          <cell r="P848" t="str">
            <v>Intangible Cultural Heritage</v>
          </cell>
          <cell r="Q848" t="str">
            <v>التراث الثقافي المعنوي</v>
          </cell>
          <cell r="R848" t="str">
            <v>Handicrafts Development</v>
          </cell>
          <cell r="S848" t="str">
            <v>تطوير الحرف اليدوية</v>
          </cell>
          <cell r="T848" t="str">
            <v>Artisans Capacity Building Programmes</v>
          </cell>
          <cell r="U848" t="str">
            <v>تطوير قدرات الحرفيين</v>
          </cell>
          <cell r="V848" t="str">
            <v>Abu Dhabi</v>
          </cell>
          <cell r="W848" t="str">
            <v/>
          </cell>
          <cell r="X848" t="str">
            <v>4511600</v>
          </cell>
          <cell r="Y848" t="str">
            <v>Content &amp; Care_World Heritage Sites Planning &amp; Monitoring _Professional</v>
          </cell>
          <cell r="Z848" t="str">
            <v>Professional</v>
          </cell>
          <cell r="AA848" t="str">
            <v>4A</v>
          </cell>
        </row>
        <row r="849">
          <cell r="A849">
            <v>1754</v>
          </cell>
          <cell r="B849">
            <v>1754</v>
          </cell>
          <cell r="C849" t="str">
            <v>A</v>
          </cell>
          <cell r="D849" t="str">
            <v>Talal Mohamed AlAmri</v>
          </cell>
          <cell r="E849" t="str">
            <v>طلال محمد العمري</v>
          </cell>
          <cell r="F849">
            <v>44986</v>
          </cell>
          <cell r="G849" t="str">
            <v>50002185</v>
          </cell>
          <cell r="H849" t="str">
            <v>Inspector</v>
          </cell>
          <cell r="I849" t="str">
            <v>مفتش</v>
          </cell>
          <cell r="J849" t="str">
            <v>On-Chart</v>
          </cell>
          <cell r="K849" t="str">
            <v>DCT Payroll</v>
          </cell>
          <cell r="L849" t="str">
            <v>A1</v>
          </cell>
          <cell r="M849" t="str">
            <v>Department of Culture and Tourism</v>
          </cell>
          <cell r="N849" t="str">
            <v>Tourism</v>
          </cell>
          <cell r="O849" t="str">
            <v>السياحة</v>
          </cell>
          <cell r="P849" t="str">
            <v>Licensing &amp; Regulatory Compliance</v>
          </cell>
          <cell r="Q849" t="str">
            <v>الرقابة والترخيص</v>
          </cell>
          <cell r="R849" t="str">
            <v>Abu Dhabi Inspection</v>
          </cell>
          <cell r="S849" t="str">
            <v>التفتيش</v>
          </cell>
          <cell r="T849" t="str">
            <v>Abu Dhabi Inspection (Night Events)</v>
          </cell>
          <cell r="U849" t="str">
            <v>( التفتيش لأبوظبي (الفعاليات الليلية</v>
          </cell>
          <cell r="V849" t="str">
            <v>Abu Dhabi</v>
          </cell>
          <cell r="W849" t="str">
            <v/>
          </cell>
          <cell r="X849" t="str">
            <v>4510170</v>
          </cell>
          <cell r="Y849" t="str">
            <v>Compliance,Governance&amp;Protocol_Licensing &amp; Regulatory Compliance- (Follow-up and Reporting) _Professional Assistant</v>
          </cell>
          <cell r="Z849" t="str">
            <v>Professional</v>
          </cell>
          <cell r="AA849" t="str">
            <v>4B</v>
          </cell>
        </row>
        <row r="850">
          <cell r="A850">
            <v>1755</v>
          </cell>
          <cell r="B850">
            <v>1755</v>
          </cell>
          <cell r="C850" t="str">
            <v>A</v>
          </cell>
          <cell r="D850" t="str">
            <v>Saeed Abdulla ALzaabi</v>
          </cell>
          <cell r="E850" t="str">
            <v>سعيد عبدالله الزعابي</v>
          </cell>
          <cell r="F850">
            <v>44986</v>
          </cell>
          <cell r="G850" t="str">
            <v>10005512</v>
          </cell>
          <cell r="H850" t="str">
            <v>Inspector</v>
          </cell>
          <cell r="I850" t="str">
            <v>مفتش</v>
          </cell>
          <cell r="J850" t="str">
            <v>On-Chart</v>
          </cell>
          <cell r="K850" t="str">
            <v>DCT Payroll</v>
          </cell>
          <cell r="L850" t="str">
            <v>A1</v>
          </cell>
          <cell r="M850" t="str">
            <v>Department of Culture and Tourism</v>
          </cell>
          <cell r="N850" t="str">
            <v>Tourism</v>
          </cell>
          <cell r="O850" t="str">
            <v>السياحة</v>
          </cell>
          <cell r="P850" t="str">
            <v>Licensing &amp; Regulatory Compliance</v>
          </cell>
          <cell r="Q850" t="str">
            <v>الرقابة والترخيص</v>
          </cell>
          <cell r="R850" t="str">
            <v>Abu Dhabi Inspection</v>
          </cell>
          <cell r="S850" t="str">
            <v>التفتيش</v>
          </cell>
          <cell r="T850" t="str">
            <v>Abu Dhabi Inspection (Special Permits)</v>
          </cell>
          <cell r="U850" t="str">
            <v>التفتيش أبوظبي (التصاريح الخاصة)</v>
          </cell>
          <cell r="V850" t="str">
            <v>Abu Dhabi</v>
          </cell>
          <cell r="W850" t="str">
            <v/>
          </cell>
          <cell r="X850" t="str">
            <v>4510170</v>
          </cell>
          <cell r="Y850" t="str">
            <v>Compliance,Governance&amp;Protocol_Licensing &amp; Regulatory Compliance- (Follow-up and Reporting) _Professional Assistant</v>
          </cell>
          <cell r="Z850" t="str">
            <v>Professional</v>
          </cell>
          <cell r="AA850" t="str">
            <v>4B</v>
          </cell>
        </row>
        <row r="851">
          <cell r="A851">
            <v>1756</v>
          </cell>
          <cell r="B851">
            <v>1756</v>
          </cell>
          <cell r="C851" t="str">
            <v>A</v>
          </cell>
          <cell r="D851" t="str">
            <v>Muhimma Mohamed Alriyami</v>
          </cell>
          <cell r="E851" t="str">
            <v>مهمه محمد الريامي</v>
          </cell>
          <cell r="F851">
            <v>44993</v>
          </cell>
          <cell r="G851" t="str">
            <v>50002201</v>
          </cell>
          <cell r="H851" t="str">
            <v>Consumer PR Specialist</v>
          </cell>
          <cell r="I851" t="str">
            <v>أخصائي العلاقات العامة مع المستهلكين</v>
          </cell>
          <cell r="J851" t="str">
            <v>On-Chart</v>
          </cell>
          <cell r="K851" t="str">
            <v>DCT Payroll</v>
          </cell>
          <cell r="L851" t="str">
            <v>A1</v>
          </cell>
          <cell r="M851" t="str">
            <v>Department of Culture and Tourism</v>
          </cell>
          <cell r="N851" t="str">
            <v>Strategic Marketing &amp; Communication</v>
          </cell>
          <cell r="O851" t="str">
            <v>التسويق والاتصال الاستراتيجي</v>
          </cell>
          <cell r="P851" t="str">
            <v>Strategic Communications</v>
          </cell>
          <cell r="Q851" t="str">
            <v>الاتصال الاستراتيجي</v>
          </cell>
          <cell r="R851" t="str">
            <v>Consumer Communications</v>
          </cell>
          <cell r="S851" t="str">
            <v>اتصالات المستهلكين</v>
          </cell>
          <cell r="T851" t="str">
            <v>Consumer PR</v>
          </cell>
          <cell r="U851" t="str">
            <v>العلاقات العامة مع المستهلكين</v>
          </cell>
          <cell r="V851" t="str">
            <v>Abu Dhabi</v>
          </cell>
          <cell r="W851" t="str">
            <v/>
          </cell>
          <cell r="X851" t="str">
            <v>4513120</v>
          </cell>
          <cell r="Y851" t="str">
            <v>Comms &amp; Marketing _Marketing &amp; Communications (All areas)_Senior Professional</v>
          </cell>
          <cell r="Z851" t="str">
            <v>Senior Professional</v>
          </cell>
          <cell r="AA851" t="str">
            <v>3B</v>
          </cell>
        </row>
        <row r="852">
          <cell r="A852">
            <v>1757</v>
          </cell>
          <cell r="B852">
            <v>1757</v>
          </cell>
          <cell r="C852" t="str">
            <v>A</v>
          </cell>
          <cell r="D852" t="str">
            <v>Amena Abdulla Alareefi</v>
          </cell>
          <cell r="E852" t="str">
            <v>امينة عبدالله العريفي</v>
          </cell>
          <cell r="F852">
            <v>44998</v>
          </cell>
          <cell r="G852" t="str">
            <v>47700396</v>
          </cell>
          <cell r="H852" t="str">
            <v>Visitor Experience Specialist</v>
          </cell>
          <cell r="I852" t="str">
            <v>أخصائي تجربة الزوار</v>
          </cell>
          <cell r="J852" t="str">
            <v>On-Chart</v>
          </cell>
          <cell r="K852" t="str">
            <v>DCT Payroll</v>
          </cell>
          <cell r="L852" t="str">
            <v>A1</v>
          </cell>
          <cell r="M852" t="str">
            <v>Department of Culture and Tourism</v>
          </cell>
          <cell r="N852" t="str">
            <v>Culture</v>
          </cell>
          <cell r="O852" t="str">
            <v>الثقافة</v>
          </cell>
          <cell r="P852" t="str">
            <v>Culture Sites Management</v>
          </cell>
          <cell r="Q852" t="str">
            <v>إدارة المواقع الثقافية</v>
          </cell>
          <cell r="R852" t="str">
            <v>Qasr Al Hosn</v>
          </cell>
          <cell r="S852" t="str">
            <v>قصر الحصن</v>
          </cell>
          <cell r="T852" t="str">
            <v>Visitor Experience</v>
          </cell>
          <cell r="U852" t="str">
            <v/>
          </cell>
          <cell r="V852" t="str">
            <v>Abu Dhabi</v>
          </cell>
          <cell r="W852" t="str">
            <v/>
          </cell>
          <cell r="X852" t="str">
            <v>4511250</v>
          </cell>
          <cell r="Y852" t="str">
            <v>Compliance,Governance&amp;Protocol_Policy (Culture/Tourism _Senior Professional</v>
          </cell>
          <cell r="Z852" t="str">
            <v>Professional</v>
          </cell>
          <cell r="AA852" t="str">
            <v>4C</v>
          </cell>
        </row>
        <row r="853">
          <cell r="A853">
            <v>1759</v>
          </cell>
          <cell r="B853">
            <v>1759</v>
          </cell>
          <cell r="C853" t="str">
            <v>A</v>
          </cell>
          <cell r="D853" t="str">
            <v>Sara Jamal Saleh</v>
          </cell>
          <cell r="E853" t="str">
            <v>ساره جمال صالح</v>
          </cell>
          <cell r="F853">
            <v>44998</v>
          </cell>
          <cell r="G853" t="str">
            <v>50002236</v>
          </cell>
          <cell r="H853" t="str">
            <v>Marketing Officer</v>
          </cell>
          <cell r="I853" t="str">
            <v>ضابط تسويق</v>
          </cell>
          <cell r="J853" t="str">
            <v>On-Chart</v>
          </cell>
          <cell r="K853" t="str">
            <v>ALC Direct Hires</v>
          </cell>
          <cell r="L853" t="str">
            <v>AL1</v>
          </cell>
          <cell r="M853" t="str">
            <v>Abu Dhabi Arabic Language Centre</v>
          </cell>
          <cell r="N853" t="str">
            <v>Abu Dhabi Arabic Language Centre</v>
          </cell>
          <cell r="O853" t="str">
            <v>مركز أبوظبي للغة العربية</v>
          </cell>
          <cell r="P853" t="str">
            <v>Marketing &amp; Communications</v>
          </cell>
          <cell r="Q853" t="str">
            <v>التسويق والاتصال</v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>Abu Dhabi</v>
          </cell>
          <cell r="W853" t="str">
            <v/>
          </cell>
          <cell r="X853" t="str">
            <v>4519196</v>
          </cell>
          <cell r="Y853" t="str">
            <v>Comms &amp; Marketing _Marketing &amp; Communications (All)_Professional</v>
          </cell>
          <cell r="Z853" t="str">
            <v>Professional</v>
          </cell>
          <cell r="AA853" t="str">
            <v>4B</v>
          </cell>
        </row>
        <row r="854">
          <cell r="A854">
            <v>1760</v>
          </cell>
          <cell r="B854">
            <v>1760</v>
          </cell>
          <cell r="C854" t="str">
            <v>A</v>
          </cell>
          <cell r="D854" t="str">
            <v>Shamsa Owais Alderei</v>
          </cell>
          <cell r="E854" t="str">
            <v>شمسة عويص الدرعي</v>
          </cell>
          <cell r="F854">
            <v>45005</v>
          </cell>
          <cell r="G854" t="str">
            <v>50003802</v>
          </cell>
          <cell r="H854" t="str">
            <v>Regional and International Partnerships Officer</v>
          </cell>
          <cell r="I854" t="str">
            <v>ضابط الشراكات الإقليمية والدولية</v>
          </cell>
          <cell r="J854" t="str">
            <v>On-Chart</v>
          </cell>
          <cell r="K854" t="str">
            <v>ALC Direct Hires</v>
          </cell>
          <cell r="L854" t="str">
            <v>AL1</v>
          </cell>
          <cell r="M854" t="str">
            <v>Abu Dhabi Arabic Language Centre</v>
          </cell>
          <cell r="N854" t="str">
            <v>Abu Dhabi Arabic Language Centre</v>
          </cell>
          <cell r="O854" t="str">
            <v>مركز أبوظبي للغة العربية</v>
          </cell>
          <cell r="P854" t="str">
            <v>Creative Content</v>
          </cell>
          <cell r="Q854" t="str">
            <v>المحتوى الإبداعي</v>
          </cell>
          <cell r="R854" t="str">
            <v>Publishing Programmes - ALC</v>
          </cell>
          <cell r="S854" t="str">
            <v>برامج النشر</v>
          </cell>
          <cell r="T854" t="str">
            <v>Publishing Copyrights &amp; Agreements Unit</v>
          </cell>
          <cell r="U854" t="str">
            <v/>
          </cell>
          <cell r="V854" t="str">
            <v>Abu Dhabi</v>
          </cell>
          <cell r="W854" t="str">
            <v/>
          </cell>
          <cell r="X854" t="str">
            <v>4519199</v>
          </cell>
          <cell r="Y854" t="str">
            <v>Interpretation &amp; Engagement_Arabic Language Learning &amp; Specialized Programmes _Section Manager</v>
          </cell>
          <cell r="Z854" t="str">
            <v>Professional</v>
          </cell>
          <cell r="AA854" t="str">
            <v>4A</v>
          </cell>
        </row>
        <row r="855">
          <cell r="A855">
            <v>1761</v>
          </cell>
          <cell r="B855">
            <v>1761</v>
          </cell>
          <cell r="C855" t="str">
            <v>A</v>
          </cell>
          <cell r="D855" t="str">
            <v>Rashed Mohamed Alzaabi</v>
          </cell>
          <cell r="E855" t="str">
            <v>راشد محمد الزعابي</v>
          </cell>
          <cell r="F855">
            <v>45006</v>
          </cell>
          <cell r="G855" t="str">
            <v>50002104</v>
          </cell>
          <cell r="H855" t="str">
            <v>Partnerships Lead</v>
          </cell>
          <cell r="I855" t="str">
            <v>أخصائي رئيسي الشراكات</v>
          </cell>
          <cell r="J855" t="str">
            <v>On-Chart</v>
          </cell>
          <cell r="K855" t="str">
            <v>MSS Direct Hires</v>
          </cell>
          <cell r="L855" t="str">
            <v>M1</v>
          </cell>
          <cell r="M855" t="str">
            <v>Department of Culture and Tourism</v>
          </cell>
          <cell r="N855" t="str">
            <v>Culture</v>
          </cell>
          <cell r="O855" t="str">
            <v>الثقافة</v>
          </cell>
          <cell r="P855" t="str">
            <v>Natural History Museum Abu Dhabi</v>
          </cell>
          <cell r="Q855" t="str">
            <v>متحف التاريخ الطبيعي - أبوظبي</v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>Abu Dhabi</v>
          </cell>
          <cell r="W855" t="str">
            <v/>
          </cell>
          <cell r="X855" t="str">
            <v>4510310</v>
          </cell>
          <cell r="Y855" t="str">
            <v>Compliance,Governance&amp;Protocol_Policy  (Culture &amp; Tourism)_Unit Head</v>
          </cell>
          <cell r="Z855" t="str">
            <v>Unit Head</v>
          </cell>
          <cell r="AA855" t="str">
            <v>3A</v>
          </cell>
        </row>
        <row r="856">
          <cell r="A856">
            <v>1762</v>
          </cell>
          <cell r="B856">
            <v>1762</v>
          </cell>
          <cell r="C856" t="str">
            <v>A</v>
          </cell>
          <cell r="D856" t="str">
            <v>Ayesha Reshed Alameri</v>
          </cell>
          <cell r="E856" t="str">
            <v>عائشة راشد العامري</v>
          </cell>
          <cell r="F856">
            <v>45005</v>
          </cell>
          <cell r="G856" t="str">
            <v>50000647</v>
          </cell>
          <cell r="H856" t="str">
            <v>Internal Auditor</v>
          </cell>
          <cell r="I856" t="str">
            <v>مدقق داخلي</v>
          </cell>
          <cell r="J856" t="str">
            <v>On-Chart</v>
          </cell>
          <cell r="K856" t="str">
            <v>DCT Payroll</v>
          </cell>
          <cell r="L856" t="str">
            <v>A1</v>
          </cell>
          <cell r="M856" t="str">
            <v>Department of Culture and Tourism</v>
          </cell>
          <cell r="N856" t="str">
            <v>Internal Audit Office</v>
          </cell>
          <cell r="O856" t="str">
            <v>مكتب وكيل الدائرة</v>
          </cell>
          <cell r="P856" t="str">
            <v>Internal Audit Office</v>
          </cell>
          <cell r="Q856" t="str">
            <v>مكتب التدقيق الداخلي</v>
          </cell>
          <cell r="R856" t="str">
            <v>Corporate Entities Internal Audit</v>
          </cell>
          <cell r="S856" t="str">
            <v>التدقيق الداخلي للدائرة</v>
          </cell>
          <cell r="T856" t="str">
            <v>Continuous Audit</v>
          </cell>
          <cell r="U856" t="str">
            <v>التدقيق الداخلي المستمر</v>
          </cell>
          <cell r="V856" t="str">
            <v>Abu Dhabi</v>
          </cell>
          <cell r="W856" t="str">
            <v/>
          </cell>
          <cell r="X856" t="str">
            <v>4510140</v>
          </cell>
          <cell r="Y856" t="str">
            <v>Compliance,Governance&amp;Protocol_Internal Auditor_Professional</v>
          </cell>
          <cell r="Z856" t="str">
            <v>Professional</v>
          </cell>
          <cell r="AA856" t="str">
            <v>4A</v>
          </cell>
        </row>
        <row r="857">
          <cell r="A857">
            <v>1763</v>
          </cell>
          <cell r="B857">
            <v>1763</v>
          </cell>
          <cell r="C857" t="str">
            <v>A</v>
          </cell>
          <cell r="D857" t="str">
            <v>Hessa Raad Almahri</v>
          </cell>
          <cell r="E857" t="str">
            <v>حصه رعد المهري</v>
          </cell>
          <cell r="F857">
            <v>45019</v>
          </cell>
          <cell r="G857" t="str">
            <v>10008740</v>
          </cell>
          <cell r="H857" t="str">
            <v>CWIP Specialist</v>
          </cell>
          <cell r="I857" t="str">
            <v>اخصائي المشاريع الرأسمالية</v>
          </cell>
          <cell r="J857" t="str">
            <v>On-Chart</v>
          </cell>
          <cell r="K857" t="str">
            <v>DCT Payroll</v>
          </cell>
          <cell r="L857" t="str">
            <v>A1</v>
          </cell>
          <cell r="M857" t="str">
            <v>Department of Culture and Tourism</v>
          </cell>
          <cell r="N857" t="str">
            <v>Tendering &amp; Projects Control</v>
          </cell>
          <cell r="O857" t="str">
            <v>مكتب وكيل الدائرة</v>
          </cell>
          <cell r="P857" t="str">
            <v>Tendering &amp; Projects Control</v>
          </cell>
          <cell r="Q857" t="str">
            <v>المناقصات ومراقبة المشاريع</v>
          </cell>
          <cell r="R857" t="str">
            <v>Contracts Administration &amp; Cost Estimation</v>
          </cell>
          <cell r="S857" t="str">
            <v>إدارة العقود وتقدير التكاليف</v>
          </cell>
          <cell r="T857" t="str">
            <v/>
          </cell>
          <cell r="U857" t="str">
            <v/>
          </cell>
          <cell r="V857" t="str">
            <v>Abu Dhabi</v>
          </cell>
          <cell r="W857" t="str">
            <v/>
          </cell>
          <cell r="X857" t="str">
            <v>4510155</v>
          </cell>
          <cell r="Y857" t="str">
            <v>Procurement_Tendering _Professional</v>
          </cell>
          <cell r="Z857" t="str">
            <v>Professional</v>
          </cell>
          <cell r="AA857" t="str">
            <v>4B</v>
          </cell>
        </row>
        <row r="858">
          <cell r="A858">
            <v>1767</v>
          </cell>
          <cell r="B858">
            <v>1767</v>
          </cell>
          <cell r="C858" t="str">
            <v>A</v>
          </cell>
          <cell r="D858" t="str">
            <v>Naseer Salmeen Al Ameri</v>
          </cell>
          <cell r="E858" t="str">
            <v>ناصر سالمين العامري</v>
          </cell>
          <cell r="F858">
            <v>45042</v>
          </cell>
          <cell r="G858" t="str">
            <v>50004022</v>
          </cell>
          <cell r="H858" t="str">
            <v>Al Ain Museum Operations Unit Head</v>
          </cell>
          <cell r="I858" t="str">
            <v/>
          </cell>
          <cell r="J858" t="str">
            <v>On-Chart</v>
          </cell>
          <cell r="K858" t="str">
            <v>DCT Payroll</v>
          </cell>
          <cell r="L858" t="str">
            <v>A1</v>
          </cell>
          <cell r="M858" t="str">
            <v>Department of Culture and Tourism</v>
          </cell>
          <cell r="N858" t="str">
            <v>Culture</v>
          </cell>
          <cell r="O858" t="str">
            <v>الثقافة</v>
          </cell>
          <cell r="P858" t="str">
            <v>Culture Sites Management</v>
          </cell>
          <cell r="Q858" t="str">
            <v>إدارة المواقع الثقافية</v>
          </cell>
          <cell r="R858" t="str">
            <v>Al Ain Operations</v>
          </cell>
          <cell r="S858" t="str">
            <v>العمليات - العين</v>
          </cell>
          <cell r="T858" t="str">
            <v>Al Ain Museum Operations Unit</v>
          </cell>
          <cell r="U858" t="str">
            <v>وحدة عمليات متحف العين</v>
          </cell>
          <cell r="V858" t="str">
            <v>Al Ain</v>
          </cell>
          <cell r="W858" t="str">
            <v/>
          </cell>
          <cell r="X858" t="str">
            <v>4511250</v>
          </cell>
          <cell r="Y858" t="str">
            <v>Compliance,Governance&amp;Protocol_Policy  (Culture &amp; Tourism)_Unit Head</v>
          </cell>
          <cell r="Z858" t="str">
            <v>Unit Head</v>
          </cell>
          <cell r="AA858" t="str">
            <v>3B</v>
          </cell>
        </row>
        <row r="859">
          <cell r="A859">
            <v>1768</v>
          </cell>
          <cell r="B859">
            <v>1768</v>
          </cell>
          <cell r="C859" t="str">
            <v>A</v>
          </cell>
          <cell r="D859" t="str">
            <v>Salama Mohamed Alharthi</v>
          </cell>
          <cell r="E859" t="str">
            <v>سلامة محمد الحارثي</v>
          </cell>
          <cell r="F859">
            <v>45040</v>
          </cell>
          <cell r="G859" t="str">
            <v>50002088</v>
          </cell>
          <cell r="H859" t="str">
            <v>Internal Communications Specialist</v>
          </cell>
          <cell r="I859" t="str">
            <v>أخصائي الاتصال الداخلي</v>
          </cell>
          <cell r="J859" t="str">
            <v>On-Chart</v>
          </cell>
          <cell r="K859" t="str">
            <v>DCT Payroll</v>
          </cell>
          <cell r="L859" t="str">
            <v>A1</v>
          </cell>
          <cell r="M859" t="str">
            <v>Department of Culture and Tourism</v>
          </cell>
          <cell r="N859" t="str">
            <v>Support Services</v>
          </cell>
          <cell r="O859" t="str">
            <v>الخدمات المساندة</v>
          </cell>
          <cell r="P859" t="str">
            <v>People &amp; Performance</v>
          </cell>
          <cell r="Q859" t="str">
            <v>إدارة الكوادر البشرية والأداء</v>
          </cell>
          <cell r="R859" t="str">
            <v>Internal Communications</v>
          </cell>
          <cell r="S859" t="str">
            <v>الاتصال الداخلي</v>
          </cell>
          <cell r="T859" t="str">
            <v>Internal Communications</v>
          </cell>
          <cell r="U859" t="str">
            <v>الاتصال الداخلي</v>
          </cell>
          <cell r="V859" t="str">
            <v>Abu Dhabi</v>
          </cell>
          <cell r="W859" t="str">
            <v/>
          </cell>
          <cell r="X859" t="str">
            <v>4510220</v>
          </cell>
          <cell r="Y859" t="str">
            <v>Comms &amp; Marketing _Marketing &amp; Communications (All)_Professional</v>
          </cell>
          <cell r="Z859" t="str">
            <v>Professional</v>
          </cell>
          <cell r="AA859" t="str">
            <v>4A</v>
          </cell>
        </row>
        <row r="860">
          <cell r="A860">
            <v>1769</v>
          </cell>
          <cell r="B860">
            <v>1769</v>
          </cell>
          <cell r="C860" t="str">
            <v>A</v>
          </cell>
          <cell r="D860" t="str">
            <v>Mariam Adnan Almarzooqi</v>
          </cell>
          <cell r="E860" t="str">
            <v>مريم عدنان المرزوقي</v>
          </cell>
          <cell r="F860">
            <v>45047</v>
          </cell>
          <cell r="G860" t="str">
            <v>10011763</v>
          </cell>
          <cell r="H860" t="str">
            <v>Risk &amp; Compliance Specialist</v>
          </cell>
          <cell r="I860" t="str">
            <v>أخصائي المخاطر والامتثال</v>
          </cell>
          <cell r="J860" t="str">
            <v>On-Chart</v>
          </cell>
          <cell r="K860" t="str">
            <v>DCT Payroll</v>
          </cell>
          <cell r="L860" t="str">
            <v>A1</v>
          </cell>
          <cell r="M860" t="str">
            <v>Department of Culture and Tourism</v>
          </cell>
          <cell r="N860" t="str">
            <v>Office Of Undersecretary</v>
          </cell>
          <cell r="O860" t="str">
            <v>مكتب وكيل الدائرة</v>
          </cell>
          <cell r="P860" t="str">
            <v>Office Of Undersecretary</v>
          </cell>
          <cell r="Q860" t="str">
            <v>مكتب وكيل الدائرة</v>
          </cell>
          <cell r="R860" t="str">
            <v>Information Security</v>
          </cell>
          <cell r="S860" t="str">
            <v>أمن المعلومات</v>
          </cell>
          <cell r="T860" t="str">
            <v/>
          </cell>
          <cell r="U860" t="str">
            <v/>
          </cell>
          <cell r="V860" t="str">
            <v>Abu Dhabi</v>
          </cell>
          <cell r="W860" t="str">
            <v/>
          </cell>
          <cell r="X860" t="str">
            <v>4510250</v>
          </cell>
          <cell r="Y860" t="str">
            <v>Digital_Emerging Technology _Professional</v>
          </cell>
          <cell r="Z860" t="str">
            <v>Professional</v>
          </cell>
          <cell r="AA860" t="str">
            <v>4A</v>
          </cell>
        </row>
        <row r="861">
          <cell r="A861">
            <v>1770</v>
          </cell>
          <cell r="B861">
            <v>1770</v>
          </cell>
          <cell r="C861" t="str">
            <v>A</v>
          </cell>
          <cell r="D861" t="str">
            <v>Abdulazeez Naser Alhammadi</v>
          </cell>
          <cell r="E861" t="str">
            <v>عبدالعزيز ناصر الحمادي</v>
          </cell>
          <cell r="F861">
            <v>45056</v>
          </cell>
          <cell r="G861" t="str">
            <v>10004893</v>
          </cell>
          <cell r="H861" t="str">
            <v>Inspector</v>
          </cell>
          <cell r="I861" t="str">
            <v>مفتش</v>
          </cell>
          <cell r="J861" t="str">
            <v>On-Chart</v>
          </cell>
          <cell r="K861" t="str">
            <v>DCT Payroll</v>
          </cell>
          <cell r="L861" t="str">
            <v>A1</v>
          </cell>
          <cell r="M861" t="str">
            <v>Department of Culture and Tourism</v>
          </cell>
          <cell r="N861" t="str">
            <v>Tourism</v>
          </cell>
          <cell r="O861" t="str">
            <v>السياحة</v>
          </cell>
          <cell r="P861" t="str">
            <v>Licensing &amp; Regulatory Compliance</v>
          </cell>
          <cell r="Q861" t="str">
            <v>الرقابة والترخيص</v>
          </cell>
          <cell r="R861" t="str">
            <v>Al Ain &amp; Al Dhafra Inspection</v>
          </cell>
          <cell r="S861" t="str">
            <v>التفتيش لمنطقتي العين والظفرة</v>
          </cell>
          <cell r="T861" t="str">
            <v>Al Dhafra Inspection</v>
          </cell>
          <cell r="U861" t="str">
            <v>وحدة تفتيش منطقة الظفرة</v>
          </cell>
          <cell r="V861" t="str">
            <v>Abu Dhabi</v>
          </cell>
          <cell r="W861" t="str">
            <v/>
          </cell>
          <cell r="X861" t="str">
            <v>4510170</v>
          </cell>
          <cell r="Y861" t="str">
            <v>Compliance,Governance&amp;Protocol_Licensing &amp; Regulatory Compliance- (Follow-up and Reporting) _Professional Assistant</v>
          </cell>
          <cell r="Z861" t="str">
            <v>Professional</v>
          </cell>
          <cell r="AA861" t="str">
            <v>4B</v>
          </cell>
        </row>
        <row r="862">
          <cell r="A862">
            <v>1772</v>
          </cell>
          <cell r="B862">
            <v>1772</v>
          </cell>
          <cell r="C862" t="str">
            <v>A</v>
          </cell>
          <cell r="D862" t="str">
            <v>Ahmed Mohamed Alhosani</v>
          </cell>
          <cell r="E862" t="str">
            <v>أحمد محمد الحوسني</v>
          </cell>
          <cell r="F862">
            <v>45111</v>
          </cell>
          <cell r="G862" t="str">
            <v>10008746</v>
          </cell>
          <cell r="H862" t="str">
            <v>Talent Acquisition Section Head</v>
          </cell>
          <cell r="I862" t="str">
            <v>رئيس قسم استقطاب المواهب</v>
          </cell>
          <cell r="J862" t="str">
            <v>On-Chart</v>
          </cell>
          <cell r="K862" t="str">
            <v>DCT Payroll</v>
          </cell>
          <cell r="L862" t="str">
            <v>A1</v>
          </cell>
          <cell r="M862" t="str">
            <v>Department of Culture and Tourism</v>
          </cell>
          <cell r="N862" t="str">
            <v>Support Services</v>
          </cell>
          <cell r="O862" t="str">
            <v>الخدمات المساندة</v>
          </cell>
          <cell r="P862" t="str">
            <v>People &amp; Performance</v>
          </cell>
          <cell r="Q862" t="str">
            <v>إدارة الكوادر البشرية والأداء</v>
          </cell>
          <cell r="R862" t="str">
            <v>Talent Acquisition</v>
          </cell>
          <cell r="S862" t="str">
            <v>قسم استقطاب المواهب</v>
          </cell>
          <cell r="T862" t="str">
            <v/>
          </cell>
          <cell r="U862" t="str">
            <v/>
          </cell>
          <cell r="V862" t="str">
            <v>Abu Dhabi</v>
          </cell>
          <cell r="W862" t="str">
            <v/>
          </cell>
          <cell r="X862" t="str">
            <v>4510220</v>
          </cell>
          <cell r="Y862" t="str">
            <v>People &amp; Performance _Talent Acquisition _Section Head</v>
          </cell>
          <cell r="Z862" t="str">
            <v>Section Manager</v>
          </cell>
          <cell r="AA862" t="str">
            <v>2A</v>
          </cell>
        </row>
        <row r="863">
          <cell r="A863">
            <v>1774</v>
          </cell>
          <cell r="B863">
            <v>1774</v>
          </cell>
          <cell r="C863" t="str">
            <v>A</v>
          </cell>
          <cell r="D863" t="str">
            <v>Hamda Abdulla Alhosani</v>
          </cell>
          <cell r="E863" t="str">
            <v>حمده عبدالله الحوسني</v>
          </cell>
          <cell r="F863">
            <v>45082</v>
          </cell>
          <cell r="G863" t="str">
            <v>50002230</v>
          </cell>
          <cell r="H863" t="str">
            <v>Regional PR &amp; Marketing Lead</v>
          </cell>
          <cell r="I863" t="str">
            <v>تنفيذي رئيسي العلاقات العامة والتسويق الإقليمي</v>
          </cell>
          <cell r="J863" t="str">
            <v>On-Chart</v>
          </cell>
          <cell r="K863" t="str">
            <v>DCT Payroll</v>
          </cell>
          <cell r="L863" t="str">
            <v>A1</v>
          </cell>
          <cell r="M863" t="str">
            <v>Department of Culture and Tourism</v>
          </cell>
          <cell r="N863" t="str">
            <v>Tourism</v>
          </cell>
          <cell r="O863" t="str">
            <v>السياحة</v>
          </cell>
          <cell r="P863" t="str">
            <v>International Operations</v>
          </cell>
          <cell r="Q863" t="str">
            <v>العمليات الدولية</v>
          </cell>
          <cell r="R863" t="str">
            <v>Regional PR &amp; Marketing</v>
          </cell>
          <cell r="S863" t="str">
            <v>العلاقات العامة والتسويق الإقليمي</v>
          </cell>
          <cell r="T863" t="str">
            <v/>
          </cell>
          <cell r="U863" t="str">
            <v/>
          </cell>
          <cell r="V863" t="str">
            <v>Abu Dhabi</v>
          </cell>
          <cell r="W863" t="str">
            <v/>
          </cell>
          <cell r="X863" t="str">
            <v>4515100</v>
          </cell>
          <cell r="Y863" t="str">
            <v>Compliance,Governance&amp;Protocol_Policy  (Culture &amp; Tourism)_Unit Head</v>
          </cell>
          <cell r="Z863" t="str">
            <v>Unit Head</v>
          </cell>
          <cell r="AA863" t="str">
            <v>3A</v>
          </cell>
        </row>
        <row r="864">
          <cell r="A864">
            <v>1775</v>
          </cell>
          <cell r="B864">
            <v>1775</v>
          </cell>
          <cell r="C864" t="str">
            <v>A</v>
          </cell>
          <cell r="D864" t="str">
            <v>Samah Rashed Almheiri</v>
          </cell>
          <cell r="E864" t="str">
            <v>سماح راشد المهيري</v>
          </cell>
          <cell r="F864">
            <v>45096</v>
          </cell>
          <cell r="G864" t="str">
            <v>47700398</v>
          </cell>
          <cell r="H864" t="str">
            <v>Sourcing Specialist</v>
          </cell>
          <cell r="I864" t="str">
            <v>أخصائي التوريد</v>
          </cell>
          <cell r="J864" t="str">
            <v>On-Chart</v>
          </cell>
          <cell r="K864" t="str">
            <v>DCT Payroll</v>
          </cell>
          <cell r="L864" t="str">
            <v>A1</v>
          </cell>
          <cell r="M864" t="str">
            <v>Department of Culture and Tourism</v>
          </cell>
          <cell r="N864" t="str">
            <v>Support Services</v>
          </cell>
          <cell r="O864" t="str">
            <v>الخدمات المساندة</v>
          </cell>
          <cell r="P864" t="str">
            <v>Supply Management</v>
          </cell>
          <cell r="Q864" t="str">
            <v>إدارة الإمداد</v>
          </cell>
          <cell r="R864" t="str">
            <v>Sourcing</v>
          </cell>
          <cell r="S864" t="str">
            <v>التوريد</v>
          </cell>
          <cell r="T864" t="str">
            <v>Sourcing</v>
          </cell>
          <cell r="U864" t="str">
            <v>توريد المشتريات</v>
          </cell>
          <cell r="V864" t="str">
            <v>Abu Dhabi</v>
          </cell>
          <cell r="W864" t="str">
            <v/>
          </cell>
          <cell r="X864" t="str">
            <v>4510240</v>
          </cell>
          <cell r="Y864" t="str">
            <v>Procurement_Procurement General_Professional</v>
          </cell>
          <cell r="Z864" t="str">
            <v>Professional</v>
          </cell>
          <cell r="AA864" t="str">
            <v>4B</v>
          </cell>
        </row>
        <row r="865">
          <cell r="A865">
            <v>1776</v>
          </cell>
          <cell r="B865">
            <v>1776</v>
          </cell>
          <cell r="C865" t="str">
            <v>A</v>
          </cell>
          <cell r="D865" t="str">
            <v>Deema Ahmed Almheiri</v>
          </cell>
          <cell r="E865" t="str">
            <v>ديمه احمد المهيري</v>
          </cell>
          <cell r="F865">
            <v>45132</v>
          </cell>
          <cell r="G865" t="str">
            <v>50000553</v>
          </cell>
          <cell r="H865" t="str">
            <v>Curator</v>
          </cell>
          <cell r="I865" t="str">
            <v>أمين متحف</v>
          </cell>
          <cell r="J865" t="str">
            <v>On-Chart</v>
          </cell>
          <cell r="K865" t="str">
            <v>MSS Direct Hires</v>
          </cell>
          <cell r="L865" t="str">
            <v>M1</v>
          </cell>
          <cell r="M865" t="str">
            <v>Department of Culture and Tourism</v>
          </cell>
          <cell r="N865" t="str">
            <v>Zayed National Museum</v>
          </cell>
          <cell r="O865" t="str">
            <v>متحف زايد الوطني</v>
          </cell>
          <cell r="P865" t="str">
            <v>Curatorial &amp; Collection Management</v>
          </cell>
          <cell r="Q865" t="str">
            <v>أمناء المتحف وإدارة المقتنيات</v>
          </cell>
          <cell r="R865" t="str">
            <v>Curatorial</v>
          </cell>
          <cell r="S865" t="str">
            <v>أمناء المتحف</v>
          </cell>
          <cell r="T865" t="str">
            <v/>
          </cell>
          <cell r="U865" t="str">
            <v/>
          </cell>
          <cell r="V865" t="str">
            <v>Abu Dhabi</v>
          </cell>
          <cell r="W865" t="str">
            <v/>
          </cell>
          <cell r="X865" t="str">
            <v>4510181</v>
          </cell>
          <cell r="Y865" t="str">
            <v>Content &amp; Care_Curatorial  Management_Senior Professional</v>
          </cell>
          <cell r="Z865" t="str">
            <v>Senior Professional</v>
          </cell>
          <cell r="AA865" t="str">
            <v>3A</v>
          </cell>
        </row>
        <row r="866">
          <cell r="A866">
            <v>1777</v>
          </cell>
          <cell r="B866">
            <v>1777</v>
          </cell>
          <cell r="C866" t="str">
            <v>A</v>
          </cell>
          <cell r="D866" t="str">
            <v>Aysha Sultan Alnuaimi</v>
          </cell>
          <cell r="E866" t="str">
            <v>عائشة سلطان النعيمي</v>
          </cell>
          <cell r="F866">
            <v>45111</v>
          </cell>
          <cell r="G866" t="str">
            <v>50000788</v>
          </cell>
          <cell r="H866" t="str">
            <v>Department Officer</v>
          </cell>
          <cell r="I866" t="str">
            <v>ضابط إداري</v>
          </cell>
          <cell r="J866" t="str">
            <v>On-Chart</v>
          </cell>
          <cell r="K866" t="str">
            <v>MSS Direct Hires</v>
          </cell>
          <cell r="L866" t="str">
            <v>M1</v>
          </cell>
          <cell r="M866" t="str">
            <v>Department of Culture and Tourism</v>
          </cell>
          <cell r="N866" t="str">
            <v>Zayed National Museum</v>
          </cell>
          <cell r="O866" t="str">
            <v>متحف زايد الوطني</v>
          </cell>
          <cell r="P866" t="str">
            <v>Learning &amp; Public Engagement</v>
          </cell>
          <cell r="Q866" t="str">
            <v>التعليم والمشاركة المجتمعية</v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>Abu Dhabi</v>
          </cell>
          <cell r="W866" t="str">
            <v/>
          </cell>
          <cell r="X866" t="str">
            <v>4510182</v>
          </cell>
          <cell r="Y866" t="str">
            <v>Interpretation &amp; Engagement_Learning Resources_Professional</v>
          </cell>
          <cell r="Z866" t="str">
            <v>Professional Assistant</v>
          </cell>
          <cell r="AA866" t="str">
            <v>4C</v>
          </cell>
        </row>
        <row r="867">
          <cell r="A867">
            <v>1778</v>
          </cell>
          <cell r="B867">
            <v>1778</v>
          </cell>
          <cell r="C867" t="str">
            <v>A</v>
          </cell>
          <cell r="D867" t="str">
            <v>Fatima Saeed Alzaabi</v>
          </cell>
          <cell r="E867" t="str">
            <v>فاطمه سعيد الزعابي</v>
          </cell>
          <cell r="F867">
            <v>45113</v>
          </cell>
          <cell r="G867" t="str">
            <v>50000690</v>
          </cell>
          <cell r="H867" t="str">
            <v>Digital Learning Specialist</v>
          </cell>
          <cell r="I867" t="str">
            <v>أخصائي التعلم الرقمي</v>
          </cell>
          <cell r="J867" t="str">
            <v>On-Chart</v>
          </cell>
          <cell r="K867" t="str">
            <v>MSS Direct Hires</v>
          </cell>
          <cell r="L867" t="str">
            <v>M1</v>
          </cell>
          <cell r="M867" t="str">
            <v>Department of Culture and Tourism</v>
          </cell>
          <cell r="N867" t="str">
            <v>Zayed National Museum</v>
          </cell>
          <cell r="O867" t="str">
            <v>متحف زايد الوطني</v>
          </cell>
          <cell r="P867" t="str">
            <v>Learning &amp; Public Engagement</v>
          </cell>
          <cell r="Q867" t="str">
            <v>التعليم والمشاركة المجتمعية</v>
          </cell>
          <cell r="R867" t="str">
            <v>Digital Learning</v>
          </cell>
          <cell r="S867" t="str">
            <v>التعلم الرقمي</v>
          </cell>
          <cell r="T867" t="str">
            <v>Digital Learning</v>
          </cell>
          <cell r="U867" t="str">
            <v>التعلم الرقمي</v>
          </cell>
          <cell r="V867" t="str">
            <v>Abu Dhabi</v>
          </cell>
          <cell r="W867" t="str">
            <v/>
          </cell>
          <cell r="X867" t="str">
            <v>4510182</v>
          </cell>
          <cell r="Y867" t="str">
            <v>Interpretation &amp; Engagement_Learning Resources_Professional</v>
          </cell>
          <cell r="Z867" t="str">
            <v>Professional</v>
          </cell>
          <cell r="AA867" t="str">
            <v>4B</v>
          </cell>
        </row>
        <row r="868">
          <cell r="A868">
            <v>1779</v>
          </cell>
          <cell r="B868">
            <v>1779</v>
          </cell>
          <cell r="C868" t="str">
            <v>A</v>
          </cell>
          <cell r="D868" t="str">
            <v>Maitha Hamdan Najed</v>
          </cell>
          <cell r="E868" t="str">
            <v>ميثه حمدان نجد</v>
          </cell>
          <cell r="F868">
            <v>45096</v>
          </cell>
          <cell r="G868" t="str">
            <v>50002385</v>
          </cell>
          <cell r="H868" t="str">
            <v>Programmes Development Specialist</v>
          </cell>
          <cell r="I868" t="str">
            <v>أخصائي تطوير البرامج</v>
          </cell>
          <cell r="J868" t="str">
            <v>On-Chart</v>
          </cell>
          <cell r="K868" t="str">
            <v>DCT Payroll</v>
          </cell>
          <cell r="L868" t="str">
            <v>A1</v>
          </cell>
          <cell r="M868" t="str">
            <v>Department of Culture and Tourism</v>
          </cell>
          <cell r="N868" t="str">
            <v>Culture</v>
          </cell>
          <cell r="O868" t="str">
            <v>الثقافة</v>
          </cell>
          <cell r="P868" t="str">
            <v>Culture Festivals &amp; Platforms</v>
          </cell>
          <cell r="Q868" t="str">
            <v>المهرجانات والمنصات الثقافية</v>
          </cell>
          <cell r="R868" t="str">
            <v>Programmes Development</v>
          </cell>
          <cell r="S868" t="str">
            <v>تطوير البرامج</v>
          </cell>
          <cell r="T868" t="str">
            <v/>
          </cell>
          <cell r="U868" t="str">
            <v/>
          </cell>
          <cell r="V868" t="str">
            <v>Abu Dhabi</v>
          </cell>
          <cell r="W868" t="str">
            <v/>
          </cell>
          <cell r="X868" t="str">
            <v>4511750</v>
          </cell>
          <cell r="Y868" t="str">
            <v>Commercial _Conventions, Exhibitions, Events &amp; Festivals Development &amp; Sales  _Professional</v>
          </cell>
          <cell r="Z868" t="str">
            <v>Professional</v>
          </cell>
          <cell r="AA868" t="str">
            <v>4B</v>
          </cell>
        </row>
        <row r="869">
          <cell r="A869">
            <v>1780</v>
          </cell>
          <cell r="B869">
            <v>1780</v>
          </cell>
          <cell r="C869" t="str">
            <v>A</v>
          </cell>
          <cell r="D869" t="str">
            <v>Rawdha Ali Aldhaheri</v>
          </cell>
          <cell r="E869" t="str">
            <v>روضه علي الظاهري</v>
          </cell>
          <cell r="F869">
            <v>45131</v>
          </cell>
          <cell r="G869" t="str">
            <v>50000782</v>
          </cell>
          <cell r="H869" t="str">
            <v>Institutional Affairs Senior Specialist</v>
          </cell>
          <cell r="I869" t="str">
            <v>أخصائي أول شؤون العلاقات المؤسسية</v>
          </cell>
          <cell r="J869" t="str">
            <v>On-Chart</v>
          </cell>
          <cell r="K869" t="str">
            <v>MSS Direct Hires</v>
          </cell>
          <cell r="L869" t="str">
            <v>M1</v>
          </cell>
          <cell r="M869" t="str">
            <v>Department of Culture and Tourism</v>
          </cell>
          <cell r="N869" t="str">
            <v>Zayed National Museum</v>
          </cell>
          <cell r="O869" t="str">
            <v>متحف زايد الوطني</v>
          </cell>
          <cell r="P869" t="str">
            <v>Director’s Office</v>
          </cell>
          <cell r="Q869" t="str">
            <v>مكتب مدير المتحف</v>
          </cell>
          <cell r="R869" t="str">
            <v>Institutional &amp; International Affairs</v>
          </cell>
          <cell r="S869" t="str">
            <v>شؤون العلاقات المؤسسية والدولية</v>
          </cell>
          <cell r="T869" t="str">
            <v>Institutional Affairs Unit</v>
          </cell>
          <cell r="U869" t="str">
            <v/>
          </cell>
          <cell r="V869" t="str">
            <v>Abu Dhabi</v>
          </cell>
          <cell r="W869" t="str">
            <v/>
          </cell>
          <cell r="X869" t="str">
            <v>4510180</v>
          </cell>
          <cell r="Y869" t="str">
            <v>Strategy, Planning, Project Mgt_Business Excellence &amp; Foresight Planning _Senior Professional</v>
          </cell>
          <cell r="Z869" t="str">
            <v>Senior Professional</v>
          </cell>
          <cell r="AA869" t="str">
            <v>3A</v>
          </cell>
        </row>
        <row r="870">
          <cell r="A870">
            <v>1782</v>
          </cell>
          <cell r="B870">
            <v>1782</v>
          </cell>
          <cell r="C870" t="str">
            <v>A</v>
          </cell>
          <cell r="D870" t="str">
            <v>Mouza Obaid Aldhaheri</v>
          </cell>
          <cell r="E870" t="str">
            <v>موزة عبيد الظاهري</v>
          </cell>
          <cell r="F870">
            <v>45131</v>
          </cell>
          <cell r="G870" t="str">
            <v>50000917</v>
          </cell>
          <cell r="H870" t="str">
            <v>Corporate Social Responsibility Unit Head</v>
          </cell>
          <cell r="I870" t="str">
            <v>رئيس وحدة المسؤولية الاجتماعية المؤسسية</v>
          </cell>
          <cell r="J870" t="str">
            <v>On-Chart</v>
          </cell>
          <cell r="K870" t="str">
            <v>DCT Payroll</v>
          </cell>
          <cell r="L870" t="str">
            <v>A1</v>
          </cell>
          <cell r="M870" t="str">
            <v>Department of Culture and Tourism</v>
          </cell>
          <cell r="N870" t="str">
            <v>Support Services</v>
          </cell>
          <cell r="O870" t="str">
            <v>الخدمات المساندة</v>
          </cell>
          <cell r="P870" t="str">
            <v>People &amp; Performance</v>
          </cell>
          <cell r="Q870" t="str">
            <v>إدارة الكوادر البشرية والأداء</v>
          </cell>
          <cell r="R870" t="str">
            <v>Internal Communications</v>
          </cell>
          <cell r="S870" t="str">
            <v>الاتصال الداخلي</v>
          </cell>
          <cell r="T870" t="str">
            <v>Corporate Social Responsibility</v>
          </cell>
          <cell r="U870" t="str">
            <v>المسؤولية الاجتماعية المؤسسية</v>
          </cell>
          <cell r="V870" t="str">
            <v>Abu Dhabi</v>
          </cell>
          <cell r="W870" t="str">
            <v/>
          </cell>
          <cell r="X870" t="str">
            <v>4510220</v>
          </cell>
          <cell r="Y870" t="str">
            <v>Comms &amp; Marketing _Communications (All Areas)_Unit Head</v>
          </cell>
          <cell r="Z870" t="str">
            <v>Unit Head</v>
          </cell>
          <cell r="AA870" t="str">
            <v>3B</v>
          </cell>
        </row>
        <row r="871">
          <cell r="A871">
            <v>1785</v>
          </cell>
          <cell r="B871">
            <v>1785</v>
          </cell>
          <cell r="C871" t="str">
            <v>A</v>
          </cell>
          <cell r="D871" t="str">
            <v>Fatima Abdulla Alkatheeri</v>
          </cell>
          <cell r="E871" t="str">
            <v>فاطمة عبدالله الكثيري</v>
          </cell>
          <cell r="F871">
            <v>45117</v>
          </cell>
          <cell r="G871" t="str">
            <v>10007567</v>
          </cell>
          <cell r="H871" t="str">
            <v>Marketing &amp; Communications Senior Specialist</v>
          </cell>
          <cell r="I871" t="str">
            <v>أخصائي أول التسويق والاتصال</v>
          </cell>
          <cell r="J871" t="str">
            <v>On-Chart</v>
          </cell>
          <cell r="K871" t="str">
            <v>DCT Payroll</v>
          </cell>
          <cell r="L871" t="str">
            <v>A1</v>
          </cell>
          <cell r="M871" t="str">
            <v>Department of Culture and Tourism</v>
          </cell>
          <cell r="N871" t="str">
            <v>Culture</v>
          </cell>
          <cell r="O871" t="str">
            <v>الثقافة</v>
          </cell>
          <cell r="P871" t="str">
            <v>Culture Sector Marketing</v>
          </cell>
          <cell r="Q871" t="str">
            <v>التسويق لقطاع الثقافة</v>
          </cell>
          <cell r="R871" t="str">
            <v>-</v>
          </cell>
          <cell r="S871" t="str">
            <v>-</v>
          </cell>
          <cell r="T871" t="str">
            <v>Marketing &amp; Communications</v>
          </cell>
          <cell r="U871" t="str">
            <v>التسويق والاتصال</v>
          </cell>
          <cell r="V871" t="str">
            <v>Abu Dhabi</v>
          </cell>
          <cell r="W871" t="str">
            <v/>
          </cell>
          <cell r="X871" t="str">
            <v>4511550</v>
          </cell>
          <cell r="Y871" t="str">
            <v>Compliance,Governance&amp;Protocol_Policy (Culture/Tourism _Senior Professional</v>
          </cell>
          <cell r="Z871" t="str">
            <v>Senior Professional</v>
          </cell>
          <cell r="AA871" t="str">
            <v>3B</v>
          </cell>
        </row>
        <row r="872">
          <cell r="A872">
            <v>1786</v>
          </cell>
          <cell r="B872">
            <v>1786</v>
          </cell>
          <cell r="C872" t="str">
            <v>A</v>
          </cell>
          <cell r="D872" t="str">
            <v>Alhanoof Yousef Alhammadi</v>
          </cell>
          <cell r="E872" t="str">
            <v>الهنوف يوسف الحمادي</v>
          </cell>
          <cell r="F872">
            <v>45118</v>
          </cell>
          <cell r="G872" t="str">
            <v>50004227</v>
          </cell>
          <cell r="H872" t="str">
            <v>Events Partnerships Management Specialist</v>
          </cell>
          <cell r="I872" t="str">
            <v>أخصائي إدارة شراكات الفعاليات</v>
          </cell>
          <cell r="J872" t="str">
            <v>On-Chart</v>
          </cell>
          <cell r="K872" t="str">
            <v>DCT Payroll</v>
          </cell>
          <cell r="L872" t="str">
            <v>A1</v>
          </cell>
          <cell r="M872" t="str">
            <v>Department of Culture and Tourism</v>
          </cell>
          <cell r="N872" t="str">
            <v>Tourism</v>
          </cell>
          <cell r="O872" t="str">
            <v>السياحة</v>
          </cell>
          <cell r="P872" t="str">
            <v>Abu Dhabi Events Bureau</v>
          </cell>
          <cell r="Q872" t="str">
            <v>مكتب أبوظبي للفعاليات</v>
          </cell>
          <cell r="R872" t="str">
            <v>Events Partnerships Management</v>
          </cell>
          <cell r="S872" t="str">
            <v>قسم تدقيق العائدات</v>
          </cell>
          <cell r="T872" t="str">
            <v>Events Partnerships Management</v>
          </cell>
          <cell r="U872" t="str">
            <v>وحدة إدارة شراكات الفعاليات</v>
          </cell>
          <cell r="V872" t="str">
            <v>Abu Dhabi</v>
          </cell>
          <cell r="W872" t="str">
            <v/>
          </cell>
          <cell r="X872" t="str">
            <v>4515500</v>
          </cell>
          <cell r="Y872" t="str">
            <v>Specialization Festivals &amp; Events</v>
          </cell>
          <cell r="Z872" t="str">
            <v>Professional</v>
          </cell>
          <cell r="AA872" t="str">
            <v>4B</v>
          </cell>
        </row>
        <row r="873">
          <cell r="A873">
            <v>1787</v>
          </cell>
          <cell r="B873">
            <v>1787</v>
          </cell>
          <cell r="C873" t="str">
            <v>A</v>
          </cell>
          <cell r="D873" t="str">
            <v>Saif Sulaiman Albusaeedi</v>
          </cell>
          <cell r="E873" t="str">
            <v>سيف سليمان البوسعيدي</v>
          </cell>
          <cell r="F873">
            <v>45126</v>
          </cell>
          <cell r="G873" t="str">
            <v>50002377</v>
          </cell>
          <cell r="H873" t="str">
            <v>Assistant Archaeologist</v>
          </cell>
          <cell r="I873" t="str">
            <v>مساعد آثاري</v>
          </cell>
          <cell r="J873" t="str">
            <v>On-Chart</v>
          </cell>
          <cell r="K873" t="str">
            <v>DCT Payroll</v>
          </cell>
          <cell r="L873" t="str">
            <v>A1</v>
          </cell>
          <cell r="M873" t="str">
            <v>Department of Culture and Tourism</v>
          </cell>
          <cell r="N873" t="str">
            <v>Culture</v>
          </cell>
          <cell r="O873" t="str">
            <v>الثقافة</v>
          </cell>
          <cell r="P873" t="str">
            <v>Historic Environment</v>
          </cell>
          <cell r="Q873" t="str">
            <v>البيئة التاريخية</v>
          </cell>
          <cell r="R873" t="str">
            <v>Archaeology &amp; Paleontology</v>
          </cell>
          <cell r="S873" t="str">
            <v>علم الآثار</v>
          </cell>
          <cell r="T873" t="str">
            <v>Archaeological Rescue Survey &amp; Excavation</v>
          </cell>
          <cell r="U873" t="str">
            <v>المسح والتنقيب الأثري</v>
          </cell>
          <cell r="V873" t="str">
            <v>Abu Dhabi</v>
          </cell>
          <cell r="W873" t="str">
            <v/>
          </cell>
          <cell r="X873" t="str">
            <v>4511300</v>
          </cell>
          <cell r="Y873" t="str">
            <v>Compliance,Governance&amp;Protocol_Policy (Culture/Tourism) _Professional</v>
          </cell>
          <cell r="Z873" t="str">
            <v>Professional</v>
          </cell>
          <cell r="AA873" t="str">
            <v>4C</v>
          </cell>
        </row>
        <row r="874">
          <cell r="A874">
            <v>1788</v>
          </cell>
          <cell r="B874">
            <v>1788</v>
          </cell>
          <cell r="C874" t="str">
            <v>A</v>
          </cell>
          <cell r="D874" t="str">
            <v>Mahfood Mahmood Aljneibi</v>
          </cell>
          <cell r="E874" t="str">
            <v>محفوظ محمود الجنيبي</v>
          </cell>
          <cell r="F874">
            <v>45131</v>
          </cell>
          <cell r="G874" t="str">
            <v>50002277</v>
          </cell>
          <cell r="H874" t="str">
            <v>Auditor</v>
          </cell>
          <cell r="I874" t="str">
            <v>مدقق</v>
          </cell>
          <cell r="J874" t="str">
            <v>On-Chart</v>
          </cell>
          <cell r="K874" t="str">
            <v>DCT Payroll</v>
          </cell>
          <cell r="L874" t="str">
            <v>A1</v>
          </cell>
          <cell r="M874" t="str">
            <v>Department of Culture and Tourism</v>
          </cell>
          <cell r="N874" t="str">
            <v>Tourism</v>
          </cell>
          <cell r="O874" t="str">
            <v>السياحة</v>
          </cell>
          <cell r="P874" t="str">
            <v>Licensing &amp; Regulatory Compliance</v>
          </cell>
          <cell r="Q874" t="str">
            <v>الرقابة والترخيص</v>
          </cell>
          <cell r="R874" t="str">
            <v>Revenue Assurance</v>
          </cell>
          <cell r="S874" t="str">
            <v>تدقيق العائدات</v>
          </cell>
          <cell r="T874" t="str">
            <v>Revenue Assurance (Hotels &amp; Cultural Establishments)</v>
          </cell>
          <cell r="U874" t="str">
            <v>( وحدة  تدقيق العائدات (الفنادق والمؤسسات الثقافية</v>
          </cell>
          <cell r="V874" t="str">
            <v>Abu Dhabi</v>
          </cell>
          <cell r="W874" t="str">
            <v/>
          </cell>
          <cell r="X874" t="str">
            <v>4510170</v>
          </cell>
          <cell r="Y874" t="str">
            <v>Compliance,Governance&amp;Protocol_Licensing &amp; Regulatory Compliance- (Follow-up and Reporting) _Professional Assistant</v>
          </cell>
          <cell r="Z874" t="str">
            <v>Professional</v>
          </cell>
          <cell r="AA874" t="str">
            <v>4B</v>
          </cell>
        </row>
        <row r="875">
          <cell r="A875">
            <v>1789</v>
          </cell>
          <cell r="B875">
            <v>1789</v>
          </cell>
          <cell r="C875" t="str">
            <v>A</v>
          </cell>
          <cell r="D875" t="str">
            <v>Mussaifah Mana Alotaiba</v>
          </cell>
          <cell r="E875" t="str">
            <v>مصيفه مانع العتيبه</v>
          </cell>
          <cell r="F875">
            <v>45132</v>
          </cell>
          <cell r="G875" t="str">
            <v>50004284</v>
          </cell>
          <cell r="H875" t="str">
            <v>Celebrities &amp; VIPs Management Officer</v>
          </cell>
          <cell r="I875" t="str">
            <v>ضابط إدارة المشاهير وكبار الشخصيات</v>
          </cell>
          <cell r="J875" t="str">
            <v>On-Chart</v>
          </cell>
          <cell r="K875" t="str">
            <v>DCT Payroll</v>
          </cell>
          <cell r="L875" t="str">
            <v>A1</v>
          </cell>
          <cell r="M875" t="str">
            <v>Department of Culture and Tourism</v>
          </cell>
          <cell r="N875" t="str">
            <v>Strategic Marketing &amp; Communication</v>
          </cell>
          <cell r="O875" t="str">
            <v>التسويق والاتصال الاستراتيجي</v>
          </cell>
          <cell r="P875" t="str">
            <v>Planning, Strategy &amp; Operations</v>
          </cell>
          <cell r="Q875" t="str">
            <v>التخطيط والاستراتيجية والعمليات</v>
          </cell>
          <cell r="R875" t="str">
            <v>Media &amp; Partnerships</v>
          </cell>
          <cell r="S875" t="str">
            <v>الإعلام والشراكات</v>
          </cell>
          <cell r="T875" t="str">
            <v/>
          </cell>
          <cell r="U875" t="str">
            <v/>
          </cell>
          <cell r="V875" t="str">
            <v>Abu Dhabi</v>
          </cell>
          <cell r="W875" t="str">
            <v/>
          </cell>
          <cell r="X875" t="str">
            <v>4513130</v>
          </cell>
          <cell r="Y875" t="str">
            <v/>
          </cell>
          <cell r="Z875" t="str">
            <v>Professional</v>
          </cell>
          <cell r="AA875" t="str">
            <v>4B</v>
          </cell>
        </row>
        <row r="876">
          <cell r="A876">
            <v>1790</v>
          </cell>
          <cell r="B876">
            <v>1790</v>
          </cell>
          <cell r="C876" t="str">
            <v>A</v>
          </cell>
          <cell r="D876" t="str">
            <v>Lateefa Abdulaziz Alhammadi</v>
          </cell>
          <cell r="E876" t="str">
            <v>لطيفه عبدالعزيز الحمادي</v>
          </cell>
          <cell r="F876">
            <v>45138</v>
          </cell>
          <cell r="G876" t="str">
            <v>50002274</v>
          </cell>
          <cell r="H876" t="str">
            <v>Inspector</v>
          </cell>
          <cell r="I876" t="str">
            <v>مفتش</v>
          </cell>
          <cell r="J876" t="str">
            <v>On-Chart</v>
          </cell>
          <cell r="K876" t="str">
            <v>DCT Payroll</v>
          </cell>
          <cell r="L876" t="str">
            <v>A1</v>
          </cell>
          <cell r="M876" t="str">
            <v>Department of Culture and Tourism</v>
          </cell>
          <cell r="N876" t="str">
            <v>Tourism</v>
          </cell>
          <cell r="O876" t="str">
            <v>السياحة</v>
          </cell>
          <cell r="P876" t="str">
            <v>Licensing &amp; Regulatory Compliance</v>
          </cell>
          <cell r="Q876" t="str">
            <v>الرقابة والترخيص</v>
          </cell>
          <cell r="R876" t="str">
            <v>Abu Dhabi Inspection</v>
          </cell>
          <cell r="S876" t="str">
            <v>التفتيش</v>
          </cell>
          <cell r="T876" t="str">
            <v>Abu Dhabi Inspection (Night Events)</v>
          </cell>
          <cell r="U876" t="str">
            <v>( التفتيش لأبوظبي (الفعاليات الليلية</v>
          </cell>
          <cell r="V876" t="str">
            <v>Abu Dhabi</v>
          </cell>
          <cell r="W876" t="str">
            <v/>
          </cell>
          <cell r="X876" t="str">
            <v>4510170</v>
          </cell>
          <cell r="Y876" t="str">
            <v>Compliance,Governance&amp;Protocol_Licensing &amp; Regulatory Compliance- (Follow-up and Reporting) _Professional Assistant</v>
          </cell>
          <cell r="Z876" t="str">
            <v>Professional</v>
          </cell>
          <cell r="AA876" t="str">
            <v>4C</v>
          </cell>
        </row>
        <row r="877">
          <cell r="A877">
            <v>1792</v>
          </cell>
          <cell r="B877">
            <v>1792</v>
          </cell>
          <cell r="C877" t="str">
            <v>A</v>
          </cell>
          <cell r="D877" t="str">
            <v>Munwa Badeea Ali</v>
          </cell>
          <cell r="E877" t="str">
            <v>منوه بديع علي</v>
          </cell>
          <cell r="F877">
            <v>45173</v>
          </cell>
          <cell r="G877" t="str">
            <v>50000733</v>
          </cell>
          <cell r="H877" t="str">
            <v>Department Officer</v>
          </cell>
          <cell r="I877" t="str">
            <v>ضابط إدارة</v>
          </cell>
          <cell r="J877" t="str">
            <v>On-Chart</v>
          </cell>
          <cell r="K877" t="str">
            <v>MSS Direct Hires</v>
          </cell>
          <cell r="L877" t="str">
            <v>M1</v>
          </cell>
          <cell r="M877" t="str">
            <v>Department of Culture and Tourism</v>
          </cell>
          <cell r="N877" t="str">
            <v>Zayed National Museum</v>
          </cell>
          <cell r="O877" t="str">
            <v>متحف زايد الوطني</v>
          </cell>
          <cell r="P877" t="str">
            <v>Marketing &amp; Communication</v>
          </cell>
          <cell r="Q877" t="str">
            <v>التسويق والاتصال</v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>Abu Dhabi</v>
          </cell>
          <cell r="W877" t="str">
            <v/>
          </cell>
          <cell r="X877" t="str">
            <v>4510185</v>
          </cell>
          <cell r="Y877" t="str">
            <v>Comms &amp; Marketing _Marketing &amp; Communications (All)_Professional</v>
          </cell>
          <cell r="Z877" t="str">
            <v>Professional Assistant</v>
          </cell>
          <cell r="AA877" t="str">
            <v>4C</v>
          </cell>
        </row>
        <row r="878">
          <cell r="A878">
            <v>1793</v>
          </cell>
          <cell r="B878">
            <v>1793</v>
          </cell>
          <cell r="C878" t="str">
            <v>A</v>
          </cell>
          <cell r="D878" t="str">
            <v>Mansoor Mohamed Alblooshi</v>
          </cell>
          <cell r="E878" t="str">
            <v>منصور محمد البلوشي</v>
          </cell>
          <cell r="F878">
            <v>45173</v>
          </cell>
          <cell r="G878" t="str">
            <v>50002446</v>
          </cell>
          <cell r="H878" t="str">
            <v>Facilities Management Engineer</v>
          </cell>
          <cell r="I878" t="str">
            <v>مهندس إدارة المرافق</v>
          </cell>
          <cell r="J878" t="str">
            <v>On-Chart</v>
          </cell>
          <cell r="K878" t="str">
            <v>DCT Payroll</v>
          </cell>
          <cell r="L878" t="str">
            <v>A1</v>
          </cell>
          <cell r="M878" t="str">
            <v>Department of Culture and Tourism</v>
          </cell>
          <cell r="N878" t="str">
            <v>Support Services</v>
          </cell>
          <cell r="O878" t="str">
            <v>الخدمات المساندة</v>
          </cell>
          <cell r="P878" t="str">
            <v>Supply Management</v>
          </cell>
          <cell r="Q878" t="str">
            <v>إدارة الإمداد</v>
          </cell>
          <cell r="R878" t="str">
            <v>Facilities Management</v>
          </cell>
          <cell r="S878" t="str">
            <v>إدارة المرافق</v>
          </cell>
          <cell r="T878" t="str">
            <v>Facilities Management (Abu Dhabi)</v>
          </cell>
          <cell r="U878" t="str">
            <v>إدارة المرافق - أبوظبي</v>
          </cell>
          <cell r="V878" t="str">
            <v>Abu Dhabi</v>
          </cell>
          <cell r="W878" t="str">
            <v/>
          </cell>
          <cell r="X878" t="str">
            <v>4510240</v>
          </cell>
          <cell r="Y878" t="str">
            <v>Procurement_Procurement General_Professional</v>
          </cell>
          <cell r="Z878" t="str">
            <v>Senior Professional</v>
          </cell>
          <cell r="AA878" t="str">
            <v>3B</v>
          </cell>
        </row>
        <row r="879">
          <cell r="A879">
            <v>1795</v>
          </cell>
          <cell r="B879">
            <v>1795</v>
          </cell>
          <cell r="C879" t="str">
            <v>A</v>
          </cell>
          <cell r="D879" t="str">
            <v>Rashed Nasser AlAlwi</v>
          </cell>
          <cell r="E879" t="str">
            <v>راشد ناصر العلوي</v>
          </cell>
          <cell r="F879">
            <v>45141</v>
          </cell>
          <cell r="G879" t="str">
            <v>50002410</v>
          </cell>
          <cell r="H879" t="str">
            <v>Events Licensing Executive</v>
          </cell>
          <cell r="I879" t="str">
            <v>تنفيذي ترخيص الفعاليات</v>
          </cell>
          <cell r="J879" t="str">
            <v>On-Chart</v>
          </cell>
          <cell r="K879" t="str">
            <v>DCT Payroll</v>
          </cell>
          <cell r="L879" t="str">
            <v>A1</v>
          </cell>
          <cell r="M879" t="str">
            <v>Department of Culture and Tourism</v>
          </cell>
          <cell r="N879" t="str">
            <v>Tourism</v>
          </cell>
          <cell r="O879" t="str">
            <v>السياحة</v>
          </cell>
          <cell r="P879" t="str">
            <v>Licensing &amp; Regulatory Compliance</v>
          </cell>
          <cell r="Q879" t="str">
            <v>الرقابة والترخيص</v>
          </cell>
          <cell r="R879" t="str">
            <v>Licensing</v>
          </cell>
          <cell r="S879" t="str">
            <v>الترخيص</v>
          </cell>
          <cell r="T879" t="str">
            <v>Entertainment Licensing</v>
          </cell>
          <cell r="U879" t="str">
            <v>تراخيص الترفيه</v>
          </cell>
          <cell r="V879" t="str">
            <v>Abu Dhabi</v>
          </cell>
          <cell r="W879" t="str">
            <v/>
          </cell>
          <cell r="X879" t="str">
            <v>4510170</v>
          </cell>
          <cell r="Y879" t="str">
            <v>Compliance,Governance&amp;Protocol_Licensing &amp; Regulatory Compliance- (Follow-up and Reporting) _Professional Assistant</v>
          </cell>
          <cell r="Z879" t="str">
            <v>Professional</v>
          </cell>
          <cell r="AA879" t="str">
            <v>4B</v>
          </cell>
        </row>
        <row r="880">
          <cell r="A880">
            <v>1796</v>
          </cell>
          <cell r="B880">
            <v>1796</v>
          </cell>
          <cell r="C880" t="str">
            <v>A</v>
          </cell>
          <cell r="D880" t="str">
            <v>Alyazia Slayem Alderei</v>
          </cell>
          <cell r="E880" t="str">
            <v>اليازيه سليم الدرعي</v>
          </cell>
          <cell r="F880">
            <v>45166</v>
          </cell>
          <cell r="G880" t="str">
            <v>50002450</v>
          </cell>
          <cell r="H880" t="str">
            <v>Visitor Experience Specialist</v>
          </cell>
          <cell r="I880" t="str">
            <v>اخصائي تجربة الزوار</v>
          </cell>
          <cell r="J880" t="str">
            <v>On-Chart</v>
          </cell>
          <cell r="K880" t="str">
            <v>DCT Payroll</v>
          </cell>
          <cell r="L880" t="str">
            <v>A1</v>
          </cell>
          <cell r="M880" t="str">
            <v>Department of Culture and Tourism</v>
          </cell>
          <cell r="N880" t="str">
            <v>Culture</v>
          </cell>
          <cell r="O880" t="str">
            <v>الثقافة</v>
          </cell>
          <cell r="P880" t="str">
            <v>Culture Sites Management</v>
          </cell>
          <cell r="Q880" t="str">
            <v>إدارة المواقع الثقافية</v>
          </cell>
          <cell r="R880" t="str">
            <v>Al Ain Historical Sites</v>
          </cell>
          <cell r="S880" t="str">
            <v>مواقع العين التاريخية</v>
          </cell>
          <cell r="T880" t="str">
            <v>Qasr Al Muwaiji</v>
          </cell>
          <cell r="U880" t="str">
            <v>قصر المويجعي</v>
          </cell>
          <cell r="V880" t="str">
            <v>Abu Dhabi</v>
          </cell>
          <cell r="W880" t="str">
            <v/>
          </cell>
          <cell r="X880" t="str">
            <v>4511250</v>
          </cell>
          <cell r="Y880" t="str">
            <v>Compliance,Governance&amp;Protocol_Policy (Culture/Tourism _Senior Professional</v>
          </cell>
          <cell r="Z880" t="str">
            <v>Professional</v>
          </cell>
          <cell r="AA880" t="str">
            <v>4C</v>
          </cell>
        </row>
        <row r="881">
          <cell r="A881">
            <v>1797</v>
          </cell>
          <cell r="B881">
            <v>1797</v>
          </cell>
          <cell r="C881" t="str">
            <v>A</v>
          </cell>
          <cell r="D881" t="str">
            <v>Noora Abdulla Albalooshi</v>
          </cell>
          <cell r="E881" t="str">
            <v>نورا عبدالله البلوشي</v>
          </cell>
          <cell r="F881">
            <v>45188</v>
          </cell>
          <cell r="G881" t="str">
            <v>50001964</v>
          </cell>
          <cell r="H881" t="str">
            <v>Assistant Curator</v>
          </cell>
          <cell r="I881" t="str">
            <v>مساعد أمين متحف</v>
          </cell>
          <cell r="J881" t="str">
            <v>On-Chart</v>
          </cell>
          <cell r="K881" t="str">
            <v>MSS Direct Hires</v>
          </cell>
          <cell r="L881" t="str">
            <v>M1</v>
          </cell>
          <cell r="M881" t="str">
            <v>Department of Culture and Tourism</v>
          </cell>
          <cell r="N881" t="str">
            <v>Culture</v>
          </cell>
          <cell r="O881" t="str">
            <v>الثقافة</v>
          </cell>
          <cell r="P881" t="str">
            <v>Natural History Museum Abu Dhabi</v>
          </cell>
          <cell r="Q881" t="str">
            <v>متحف التاريخ الطبيعي - أبوظبي</v>
          </cell>
          <cell r="R881" t="str">
            <v>Scientific, Curatorial, &amp; Collections Management</v>
          </cell>
          <cell r="S881" t="str">
            <v>أمناء المتحف وإدارة المقتنيات</v>
          </cell>
          <cell r="T881" t="str">
            <v/>
          </cell>
          <cell r="U881" t="str">
            <v/>
          </cell>
          <cell r="V881" t="str">
            <v>Abu Dhabi</v>
          </cell>
          <cell r="W881" t="str">
            <v/>
          </cell>
          <cell r="X881" t="str">
            <v>4510310</v>
          </cell>
          <cell r="Y881" t="str">
            <v>Compliance,Governance&amp;Protocol_Policy (Culture/Tourism) _Professional</v>
          </cell>
          <cell r="Z881" t="str">
            <v>Professional</v>
          </cell>
          <cell r="AA881" t="str">
            <v>4A</v>
          </cell>
        </row>
        <row r="882">
          <cell r="A882">
            <v>1798</v>
          </cell>
          <cell r="B882">
            <v>1798</v>
          </cell>
          <cell r="C882" t="str">
            <v>A</v>
          </cell>
          <cell r="D882" t="str">
            <v>Himyan Husain Alkhoori</v>
          </cell>
          <cell r="E882" t="str">
            <v>هميان حسين الخوري</v>
          </cell>
          <cell r="F882">
            <v>45173</v>
          </cell>
          <cell r="G882" t="str">
            <v>10011225</v>
          </cell>
          <cell r="H882" t="str">
            <v>Events Management Specialist</v>
          </cell>
          <cell r="I882" t="str">
            <v>أخصائي إدارة الفعاليات</v>
          </cell>
          <cell r="J882" t="str">
            <v>On-Chart</v>
          </cell>
          <cell r="K882" t="str">
            <v>DCT Payroll</v>
          </cell>
          <cell r="L882" t="str">
            <v>A1</v>
          </cell>
          <cell r="M882" t="str">
            <v>Department of Culture and Tourism</v>
          </cell>
          <cell r="N882" t="str">
            <v>Culture</v>
          </cell>
          <cell r="O882" t="str">
            <v>الثقافة</v>
          </cell>
          <cell r="P882" t="str">
            <v>Culture Sites Management</v>
          </cell>
          <cell r="Q882" t="str">
            <v>إدارة المواقع الثقافية</v>
          </cell>
          <cell r="R882" t="str">
            <v>Abu Dhabi Culture Sites</v>
          </cell>
          <cell r="S882" t="str">
            <v>مواقع أبوظبي الثقافية</v>
          </cell>
          <cell r="T882" t="str">
            <v>Berklee Abu Dhabi</v>
          </cell>
          <cell r="U882" t="str">
            <v>بيركلي أبوظبي</v>
          </cell>
          <cell r="V882" t="str">
            <v>Abu Dhabi</v>
          </cell>
          <cell r="W882" t="str">
            <v/>
          </cell>
          <cell r="X882" t="str">
            <v>4511250</v>
          </cell>
          <cell r="Y882" t="str">
            <v>Compliance,Governance&amp;Protocol_Policy (Culture/Tourism _Senior Professional</v>
          </cell>
          <cell r="Z882" t="str">
            <v>Professional</v>
          </cell>
          <cell r="AA882" t="str">
            <v>4C</v>
          </cell>
        </row>
        <row r="883">
          <cell r="A883">
            <v>1800</v>
          </cell>
          <cell r="B883">
            <v>1800</v>
          </cell>
          <cell r="C883" t="str">
            <v>A</v>
          </cell>
          <cell r="D883" t="str">
            <v>Asma Sina Alkhoori</v>
          </cell>
          <cell r="E883" t="str">
            <v>اسماء سينا الخوري</v>
          </cell>
          <cell r="F883">
            <v>45174</v>
          </cell>
          <cell r="G883" t="str">
            <v>50002362</v>
          </cell>
          <cell r="H883" t="str">
            <v>Interpretation Senior Specialist (Experience)</v>
          </cell>
          <cell r="I883" t="str">
            <v>أخصائي أول  الإرشاد الثقافي (الخبرة)</v>
          </cell>
          <cell r="J883" t="str">
            <v>On-Chart</v>
          </cell>
          <cell r="K883" t="str">
            <v>MSS Direct Hires</v>
          </cell>
          <cell r="L883" t="str">
            <v>M1</v>
          </cell>
          <cell r="M883" t="str">
            <v>Department of Culture and Tourism</v>
          </cell>
          <cell r="N883" t="str">
            <v>Zayed National Museum</v>
          </cell>
          <cell r="O883" t="str">
            <v>متحف زايد الوطني</v>
          </cell>
          <cell r="P883" t="str">
            <v>Learning &amp; Public Engagement</v>
          </cell>
          <cell r="Q883" t="str">
            <v>التعليم والمشاركة المجتمعية</v>
          </cell>
          <cell r="R883" t="str">
            <v>Interpretation</v>
          </cell>
          <cell r="S883" t="str">
            <v>الإرشاد الثقافي</v>
          </cell>
          <cell r="T883" t="str">
            <v>Interpretation (Experience)</v>
          </cell>
          <cell r="U883" t="str">
            <v>الإرشاد الثقافي</v>
          </cell>
          <cell r="V883" t="str">
            <v>Abu Dhabi</v>
          </cell>
          <cell r="W883" t="str">
            <v/>
          </cell>
          <cell r="X883" t="str">
            <v>4510182</v>
          </cell>
          <cell r="Y883" t="str">
            <v>Interpretation &amp; Engagement_Learning Resources_Professional</v>
          </cell>
          <cell r="Z883" t="str">
            <v>Professional</v>
          </cell>
          <cell r="AA883" t="str">
            <v>3B</v>
          </cell>
        </row>
        <row r="884">
          <cell r="A884">
            <v>1801</v>
          </cell>
          <cell r="B884">
            <v>1801</v>
          </cell>
          <cell r="C884" t="str">
            <v>A</v>
          </cell>
          <cell r="D884" t="str">
            <v>Mouza Hamad Almazrouei</v>
          </cell>
          <cell r="E884" t="str">
            <v>موزه حمد المزروعي</v>
          </cell>
          <cell r="F884">
            <v>45175</v>
          </cell>
          <cell r="G884" t="str">
            <v>50000681</v>
          </cell>
          <cell r="H884" t="str">
            <v>Interpretation Specialist (Experience)</v>
          </cell>
          <cell r="I884" t="str">
            <v>أخصائي الإرشاد الثقافي (الخبرة)</v>
          </cell>
          <cell r="J884" t="str">
            <v>On-Chart</v>
          </cell>
          <cell r="K884" t="str">
            <v>MSS Direct Hires</v>
          </cell>
          <cell r="L884" t="str">
            <v>M1</v>
          </cell>
          <cell r="M884" t="str">
            <v>Department of Culture and Tourism</v>
          </cell>
          <cell r="N884" t="str">
            <v>Zayed National Museum</v>
          </cell>
          <cell r="O884" t="str">
            <v>متحف زايد الوطني</v>
          </cell>
          <cell r="P884" t="str">
            <v>Learning &amp; Public Engagement</v>
          </cell>
          <cell r="Q884" t="str">
            <v>التعليم والمشاركة المجتمعية</v>
          </cell>
          <cell r="R884" t="str">
            <v>Interpretation</v>
          </cell>
          <cell r="S884" t="str">
            <v>الإرشاد الثقافي</v>
          </cell>
          <cell r="T884" t="str">
            <v>Interpretation (Experience)</v>
          </cell>
          <cell r="U884" t="str">
            <v>الإرشاد الثقافي</v>
          </cell>
          <cell r="V884" t="str">
            <v>Abu Dhabi</v>
          </cell>
          <cell r="W884" t="str">
            <v/>
          </cell>
          <cell r="X884" t="str">
            <v>4510182</v>
          </cell>
          <cell r="Y884" t="str">
            <v>Interpretation &amp; Engagement_Learning Resources_Professional</v>
          </cell>
          <cell r="Z884" t="str">
            <v>Professional</v>
          </cell>
          <cell r="AA884" t="str">
            <v>4C</v>
          </cell>
        </row>
        <row r="885">
          <cell r="A885">
            <v>1802</v>
          </cell>
          <cell r="B885">
            <v>1802</v>
          </cell>
          <cell r="C885" t="str">
            <v>A</v>
          </cell>
          <cell r="D885" t="str">
            <v>Meaad Esmaeel Alkamali</v>
          </cell>
          <cell r="E885" t="str">
            <v>ميعاد اسماعيل الكمالي</v>
          </cell>
          <cell r="F885">
            <v>45173</v>
          </cell>
          <cell r="G885" t="str">
            <v>50002303</v>
          </cell>
          <cell r="H885" t="str">
            <v>Planning &amp; Operations (France, Central &amp; East Europe) Executive</v>
          </cell>
          <cell r="I885" t="str">
            <v>تنفيذي لالتخطيط والعمليات (منطقة ألمانيا وأستراليا وسويسرا)</v>
          </cell>
          <cell r="J885" t="str">
            <v>On-Chart</v>
          </cell>
          <cell r="K885" t="str">
            <v>DCT Payroll</v>
          </cell>
          <cell r="L885" t="str">
            <v>A1</v>
          </cell>
          <cell r="M885" t="str">
            <v>Department of Culture and Tourism</v>
          </cell>
          <cell r="N885" t="str">
            <v>Tourism</v>
          </cell>
          <cell r="O885" t="str">
            <v>السياحة</v>
          </cell>
          <cell r="P885" t="str">
            <v>International Operations</v>
          </cell>
          <cell r="Q885" t="str">
            <v>العمليات الدولية</v>
          </cell>
          <cell r="R885" t="str">
            <v>Europe</v>
          </cell>
          <cell r="S885" t="str">
            <v>منطقة أوروبا</v>
          </cell>
          <cell r="T885" t="str">
            <v>France, Central &amp; East Europe</v>
          </cell>
          <cell r="U885" t="str">
            <v>منطقة ألمانيا وأستراليا وسويسرا</v>
          </cell>
          <cell r="V885" t="str">
            <v>Abu Dhabi</v>
          </cell>
          <cell r="W885" t="str">
            <v/>
          </cell>
          <cell r="X885" t="str">
            <v>4515100</v>
          </cell>
          <cell r="Y885" t="str">
            <v>Senior Specialization Marketing &amp; Communications</v>
          </cell>
          <cell r="Z885" t="str">
            <v>Professional</v>
          </cell>
          <cell r="AA885" t="str">
            <v>4A</v>
          </cell>
        </row>
        <row r="886">
          <cell r="A886">
            <v>1806</v>
          </cell>
          <cell r="B886">
            <v>1806</v>
          </cell>
          <cell r="C886" t="str">
            <v>A</v>
          </cell>
          <cell r="D886" t="str">
            <v>Amer Ahmed Almahri</v>
          </cell>
          <cell r="E886" t="str">
            <v>عامر أحمد المهري</v>
          </cell>
          <cell r="F886">
            <v>45180</v>
          </cell>
          <cell r="G886" t="str">
            <v>50002276</v>
          </cell>
          <cell r="H886" t="str">
            <v>Inspector</v>
          </cell>
          <cell r="I886" t="str">
            <v>مفتش</v>
          </cell>
          <cell r="J886" t="str">
            <v>On-Chart</v>
          </cell>
          <cell r="K886" t="str">
            <v>DCT Payroll</v>
          </cell>
          <cell r="L886" t="str">
            <v>A1</v>
          </cell>
          <cell r="M886" t="str">
            <v>Department of Culture and Tourism</v>
          </cell>
          <cell r="N886" t="str">
            <v>Tourism</v>
          </cell>
          <cell r="O886" t="str">
            <v>السياحة</v>
          </cell>
          <cell r="P886" t="str">
            <v>Licensing &amp; Regulatory Compliance</v>
          </cell>
          <cell r="Q886" t="str">
            <v>الرقابة والترخيص</v>
          </cell>
          <cell r="R886" t="str">
            <v>Abu Dhabi Inspection</v>
          </cell>
          <cell r="S886" t="str">
            <v>التفتيش</v>
          </cell>
          <cell r="T886" t="str">
            <v>Inspection Unit (Day Events)</v>
          </cell>
          <cell r="U886" t="str">
            <v>(التفتيش لأبوظبي (الفعاليات النهارية</v>
          </cell>
          <cell r="V886" t="str">
            <v>Abu Dhabi</v>
          </cell>
          <cell r="W886" t="str">
            <v/>
          </cell>
          <cell r="X886" t="str">
            <v>4510170</v>
          </cell>
          <cell r="Y886" t="str">
            <v>Compliance,Governance&amp;Protocol_Licensing &amp; Regulatory Compliance- (Follow-up and Reporting) _Professional Assistant</v>
          </cell>
          <cell r="Z886" t="str">
            <v>Professional</v>
          </cell>
          <cell r="AA886" t="str">
            <v>4A</v>
          </cell>
        </row>
        <row r="887">
          <cell r="A887">
            <v>1808</v>
          </cell>
          <cell r="B887">
            <v>1808</v>
          </cell>
          <cell r="C887" t="str">
            <v>A</v>
          </cell>
          <cell r="D887" t="str">
            <v>Fatema Mohamed Alzaabi</v>
          </cell>
          <cell r="E887" t="str">
            <v>فاطمة أحمد الزعابي</v>
          </cell>
          <cell r="F887">
            <v>45180</v>
          </cell>
          <cell r="G887" t="str">
            <v>50002232</v>
          </cell>
          <cell r="H887" t="str">
            <v>Regional PR &amp; Marketing Executive</v>
          </cell>
          <cell r="I887" t="str">
            <v>تنفيذي العلاقات العامة والتسويق الإقليمي</v>
          </cell>
          <cell r="J887" t="str">
            <v>On-Chart</v>
          </cell>
          <cell r="K887" t="str">
            <v>DCT Payroll</v>
          </cell>
          <cell r="L887" t="str">
            <v>A1</v>
          </cell>
          <cell r="M887" t="str">
            <v>Department of Culture and Tourism</v>
          </cell>
          <cell r="N887" t="str">
            <v>Tourism</v>
          </cell>
          <cell r="O887" t="str">
            <v>السياحة</v>
          </cell>
          <cell r="P887" t="str">
            <v>International Operations</v>
          </cell>
          <cell r="Q887" t="str">
            <v>العمليات الدولية</v>
          </cell>
          <cell r="R887" t="str">
            <v>Regional PR &amp; Marketing</v>
          </cell>
          <cell r="S887" t="str">
            <v>العلاقات العامة والتسويق الإقليمي</v>
          </cell>
          <cell r="T887" t="str">
            <v/>
          </cell>
          <cell r="U887" t="str">
            <v/>
          </cell>
          <cell r="V887" t="str">
            <v>Abu Dhabi</v>
          </cell>
          <cell r="W887" t="str">
            <v/>
          </cell>
          <cell r="X887" t="str">
            <v>4515100</v>
          </cell>
          <cell r="Y887" t="str">
            <v>Compliance,Governance&amp;Protocol_Policy (Culture/Tourism) _Professional</v>
          </cell>
          <cell r="Z887" t="str">
            <v>Professional</v>
          </cell>
          <cell r="AA887" t="str">
            <v>4B</v>
          </cell>
        </row>
        <row r="888">
          <cell r="A888">
            <v>1809</v>
          </cell>
          <cell r="B888">
            <v>1809</v>
          </cell>
          <cell r="C888" t="str">
            <v>A</v>
          </cell>
          <cell r="D888" t="str">
            <v>Alhanouf Abdulla Alhammadi</v>
          </cell>
          <cell r="E888" t="str">
            <v>الهنوف عبدالله الحمادي</v>
          </cell>
          <cell r="F888">
            <v>45194</v>
          </cell>
          <cell r="G888" t="str">
            <v>10008789</v>
          </cell>
          <cell r="H888" t="str">
            <v>Travel &amp; Hospitality Coordinator</v>
          </cell>
          <cell r="I888" t="str">
            <v>منسق شؤون السفر والضيافة</v>
          </cell>
          <cell r="J888" t="str">
            <v>On-Chart</v>
          </cell>
          <cell r="K888" t="str">
            <v>DCT Payroll</v>
          </cell>
          <cell r="L888" t="str">
            <v>A1</v>
          </cell>
          <cell r="M888" t="str">
            <v>Department of Culture and Tourism</v>
          </cell>
          <cell r="N888" t="str">
            <v>Support Services</v>
          </cell>
          <cell r="O888" t="str">
            <v>الخدمات المساندة</v>
          </cell>
          <cell r="P888" t="str">
            <v>People &amp; Performance</v>
          </cell>
          <cell r="Q888" t="str">
            <v>إدارة الكوادر البشرية والأداء</v>
          </cell>
          <cell r="R888" t="str">
            <v>Rewards &amp; Policy</v>
          </cell>
          <cell r="S888" t="str">
            <v>المكافآت والسياسات</v>
          </cell>
          <cell r="T888" t="str">
            <v>Travel &amp; Hospitality</v>
          </cell>
          <cell r="U888" t="str">
            <v>السفر والضيافة</v>
          </cell>
          <cell r="V888" t="str">
            <v>Abu Dhabi</v>
          </cell>
          <cell r="W888" t="str">
            <v/>
          </cell>
          <cell r="X888" t="str">
            <v>4510220</v>
          </cell>
          <cell r="Y888" t="str">
            <v>Specialization General &amp; Administration</v>
          </cell>
          <cell r="Z888" t="str">
            <v>Professional Assistant</v>
          </cell>
          <cell r="AA888" t="str">
            <v>5C</v>
          </cell>
        </row>
        <row r="889">
          <cell r="A889">
            <v>1810</v>
          </cell>
          <cell r="B889">
            <v>1810</v>
          </cell>
          <cell r="C889" t="str">
            <v>A</v>
          </cell>
          <cell r="D889" t="str">
            <v>Saad Ali Alomaira</v>
          </cell>
          <cell r="E889" t="str">
            <v>سعد علي العميره</v>
          </cell>
          <cell r="F889">
            <v>45194</v>
          </cell>
          <cell r="G889" t="str">
            <v>50002488</v>
          </cell>
          <cell r="H889" t="str">
            <v>Planning &amp; Operations (GCC) Senior Executive</v>
          </cell>
          <cell r="I889" t="str">
            <v>تنفيذي أول التخطيط والعمليات (منطقة مجلس التعاون الخليجي)</v>
          </cell>
          <cell r="J889" t="str">
            <v>On-Chart</v>
          </cell>
          <cell r="K889" t="str">
            <v>DCT Payroll</v>
          </cell>
          <cell r="L889" t="str">
            <v>A1</v>
          </cell>
          <cell r="M889" t="str">
            <v>Department of Culture and Tourism</v>
          </cell>
          <cell r="N889" t="str">
            <v>Tourism</v>
          </cell>
          <cell r="O889" t="str">
            <v>السياحة</v>
          </cell>
          <cell r="P889" t="str">
            <v>International Operations</v>
          </cell>
          <cell r="Q889" t="str">
            <v>العمليات الدولية</v>
          </cell>
          <cell r="R889" t="str">
            <v>Middle East &amp; Proximity Markets</v>
          </cell>
          <cell r="S889" t="str">
            <v>منطقة الشرق الأوسط والأسواق المجاورة</v>
          </cell>
          <cell r="T889" t="str">
            <v>GCC</v>
          </cell>
          <cell r="U889" t="str">
            <v/>
          </cell>
          <cell r="V889" t="str">
            <v>Abu Dhabi</v>
          </cell>
          <cell r="W889" t="str">
            <v/>
          </cell>
          <cell r="X889" t="str">
            <v>4515100</v>
          </cell>
          <cell r="Y889" t="str">
            <v>Compliance,Governance&amp;Protocol_Policy (Culture/Tourism _Senior Professional</v>
          </cell>
          <cell r="Z889" t="str">
            <v>Senior Professional</v>
          </cell>
          <cell r="AA889" t="str">
            <v>3A</v>
          </cell>
        </row>
        <row r="890">
          <cell r="A890">
            <v>1812</v>
          </cell>
          <cell r="B890">
            <v>1812</v>
          </cell>
          <cell r="C890" t="str">
            <v>A</v>
          </cell>
          <cell r="D890" t="str">
            <v>Fatema Humaid Alnuaimi</v>
          </cell>
          <cell r="E890" t="str">
            <v>فاطمة حميد النعيمي</v>
          </cell>
          <cell r="F890">
            <v>45201</v>
          </cell>
          <cell r="G890" t="str">
            <v>10011319</v>
          </cell>
          <cell r="H890" t="str">
            <v>Nominations Officer</v>
          </cell>
          <cell r="I890" t="str">
            <v>ضابط الترشيحات</v>
          </cell>
          <cell r="J890" t="str">
            <v>On-Chart</v>
          </cell>
          <cell r="K890" t="str">
            <v>ALC Direct Hires</v>
          </cell>
          <cell r="L890" t="str">
            <v>AL1</v>
          </cell>
          <cell r="M890" t="str">
            <v>Abu Dhabi Arabic Language Centre</v>
          </cell>
          <cell r="N890" t="str">
            <v>Abu Dhabi Arabic Language Centre</v>
          </cell>
          <cell r="O890" t="str">
            <v>مركز أبوظبي للغة العربية</v>
          </cell>
          <cell r="P890" t="str">
            <v>Literature Awards</v>
          </cell>
          <cell r="Q890" t="str">
            <v>الجوائز الأدبية</v>
          </cell>
          <cell r="R890" t="str">
            <v>Nominations - ALC</v>
          </cell>
          <cell r="S890" t="str">
            <v>الترشيحات</v>
          </cell>
          <cell r="T890" t="str">
            <v/>
          </cell>
          <cell r="U890" t="str">
            <v/>
          </cell>
          <cell r="V890" t="str">
            <v>Abu Dhabi</v>
          </cell>
          <cell r="W890" t="str">
            <v/>
          </cell>
          <cell r="X890" t="str">
            <v>4519201</v>
          </cell>
          <cell r="Y890" t="str">
            <v>Interpretation &amp; Engagement_Literature Awards Nominations _Professional</v>
          </cell>
          <cell r="Z890" t="str">
            <v>Professional</v>
          </cell>
          <cell r="AA890" t="str">
            <v>4B</v>
          </cell>
        </row>
        <row r="891">
          <cell r="A891">
            <v>1813</v>
          </cell>
          <cell r="B891">
            <v>1813</v>
          </cell>
          <cell r="C891" t="str">
            <v>A</v>
          </cell>
          <cell r="D891" t="str">
            <v>Abdulla Salem Alamri</v>
          </cell>
          <cell r="E891" t="str">
            <v>العمرى عبدالله سالم</v>
          </cell>
          <cell r="F891">
            <v>45202</v>
          </cell>
          <cell r="G891" t="str">
            <v>47700418</v>
          </cell>
          <cell r="H891" t="str">
            <v>Inspector</v>
          </cell>
          <cell r="I891" t="str">
            <v>مفتش</v>
          </cell>
          <cell r="J891" t="str">
            <v>On-Chart</v>
          </cell>
          <cell r="K891" t="str">
            <v>DCT Payroll</v>
          </cell>
          <cell r="L891" t="str">
            <v>A1</v>
          </cell>
          <cell r="M891" t="str">
            <v>Department of Culture and Tourism</v>
          </cell>
          <cell r="N891" t="str">
            <v>Tourism</v>
          </cell>
          <cell r="O891" t="str">
            <v>السياحة</v>
          </cell>
          <cell r="P891" t="str">
            <v>Licensing &amp; Regulatory Compliance</v>
          </cell>
          <cell r="Q891" t="str">
            <v>الرقابة والترخيص</v>
          </cell>
          <cell r="R891" t="str">
            <v>Abu Dhabi Inspection</v>
          </cell>
          <cell r="S891" t="str">
            <v>التفتيش</v>
          </cell>
          <cell r="T891" t="str">
            <v>Abu Dhabi Inspection (Special Permits)</v>
          </cell>
          <cell r="U891" t="str">
            <v>التفتيش أبوظبي (التصاريح الخاصة)</v>
          </cell>
          <cell r="V891" t="str">
            <v>Abu Dhabi</v>
          </cell>
          <cell r="W891" t="str">
            <v/>
          </cell>
          <cell r="X891" t="str">
            <v>4510170</v>
          </cell>
          <cell r="Y891" t="str">
            <v>Compliance,Governance&amp;Protocol_Licensing &amp; Regulatory Compliance- (Follow-up and Reporting) _Professional Assistant</v>
          </cell>
          <cell r="Z891" t="str">
            <v>Professional</v>
          </cell>
          <cell r="AA891" t="str">
            <v>4B</v>
          </cell>
        </row>
        <row r="892">
          <cell r="A892">
            <v>1814</v>
          </cell>
          <cell r="B892">
            <v>1814</v>
          </cell>
          <cell r="C892" t="str">
            <v>A</v>
          </cell>
          <cell r="D892" t="str">
            <v>Afra Eissa Al Nahyan</v>
          </cell>
          <cell r="E892" t="str">
            <v>عفراء عيسى أل نهيان</v>
          </cell>
          <cell r="F892">
            <v>45215</v>
          </cell>
          <cell r="G892" t="str">
            <v>50002233</v>
          </cell>
          <cell r="H892" t="str">
            <v>Project Specialist</v>
          </cell>
          <cell r="I892" t="str">
            <v>أخصائي مشاريع</v>
          </cell>
          <cell r="J892" t="str">
            <v>On-Chart</v>
          </cell>
          <cell r="K892" t="str">
            <v>DCT Payroll</v>
          </cell>
          <cell r="L892" t="str">
            <v>A1</v>
          </cell>
          <cell r="M892" t="str">
            <v>Department of Culture and Tourism</v>
          </cell>
          <cell r="N892" t="str">
            <v>Tourism</v>
          </cell>
          <cell r="O892" t="str">
            <v>السياحة</v>
          </cell>
          <cell r="P892" t="str">
            <v>Tourism Sector Management Office</v>
          </cell>
          <cell r="Q892" t="str">
            <v>مكتب إدارة شؤون قطاع السياحة</v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>Abu Dhabi</v>
          </cell>
          <cell r="W892" t="str">
            <v/>
          </cell>
          <cell r="X892" t="str">
            <v>4515010</v>
          </cell>
          <cell r="Y892" t="str">
            <v>Compliance,Governance&amp;Protocol_Policy (Culture/Tourism) _Professional</v>
          </cell>
          <cell r="Z892" t="str">
            <v>Professional</v>
          </cell>
          <cell r="AA892" t="str">
            <v>4C</v>
          </cell>
        </row>
        <row r="893">
          <cell r="A893">
            <v>1815</v>
          </cell>
          <cell r="B893">
            <v>1815</v>
          </cell>
          <cell r="C893" t="str">
            <v>A</v>
          </cell>
          <cell r="D893" t="str">
            <v>Mouza Abdulrahman Alshamsi</v>
          </cell>
          <cell r="E893" t="str">
            <v>موزة عبدالرحمن الشامسي</v>
          </cell>
          <cell r="F893">
            <v>45229</v>
          </cell>
          <cell r="G893" t="str">
            <v>50002896</v>
          </cell>
          <cell r="H893" t="str">
            <v>Facilities Management Specialist</v>
          </cell>
          <cell r="I893" t="str">
            <v>أخصائي إدارة المرافق</v>
          </cell>
          <cell r="J893" t="str">
            <v>On-Chart</v>
          </cell>
          <cell r="K893" t="str">
            <v>DCT Payroll</v>
          </cell>
          <cell r="L893" t="str">
            <v>A1</v>
          </cell>
          <cell r="M893" t="str">
            <v>Department of Culture and Tourism</v>
          </cell>
          <cell r="N893" t="str">
            <v>Support Services</v>
          </cell>
          <cell r="O893" t="str">
            <v>الخدمات المساندة</v>
          </cell>
          <cell r="P893" t="str">
            <v>Supply Management</v>
          </cell>
          <cell r="Q893" t="str">
            <v>إدارة الإمداد</v>
          </cell>
          <cell r="R893" t="str">
            <v>Facilities Management</v>
          </cell>
          <cell r="S893" t="str">
            <v>إدارة المرافق</v>
          </cell>
          <cell r="T893" t="str">
            <v>Facilities Management(Al Ain)</v>
          </cell>
          <cell r="U893" t="str">
            <v>مرافق العين</v>
          </cell>
          <cell r="V893" t="str">
            <v>Al Ain</v>
          </cell>
          <cell r="W893" t="str">
            <v/>
          </cell>
          <cell r="X893" t="str">
            <v>4510240</v>
          </cell>
          <cell r="Y893" t="str">
            <v>Procurement_Procurement General_Professional</v>
          </cell>
          <cell r="Z893" t="str">
            <v>Professional</v>
          </cell>
          <cell r="AA893" t="str">
            <v>4C</v>
          </cell>
        </row>
        <row r="894">
          <cell r="A894">
            <v>1816</v>
          </cell>
          <cell r="B894">
            <v>1816</v>
          </cell>
          <cell r="C894" t="str">
            <v>A</v>
          </cell>
          <cell r="D894" t="str">
            <v>Majed Ahmed Alqubaisi</v>
          </cell>
          <cell r="E894" t="str">
            <v>ماجد أحمد القبيسي</v>
          </cell>
          <cell r="F894">
            <v>45230</v>
          </cell>
          <cell r="G894" t="str">
            <v>50002658</v>
          </cell>
          <cell r="H894" t="str">
            <v>Visitor Services Specialist</v>
          </cell>
          <cell r="I894" t="str">
            <v>أخصائي خدمات الزوار</v>
          </cell>
          <cell r="J894" t="str">
            <v>On-Chart</v>
          </cell>
          <cell r="K894" t="str">
            <v>DCT Payroll</v>
          </cell>
          <cell r="L894" t="str">
            <v>A1</v>
          </cell>
          <cell r="M894" t="str">
            <v>Department of Culture and Tourism</v>
          </cell>
          <cell r="N894" t="str">
            <v>Culture</v>
          </cell>
          <cell r="O894" t="str">
            <v>الثقافة</v>
          </cell>
          <cell r="P894" t="str">
            <v>Culture Sites Management</v>
          </cell>
          <cell r="Q894" t="str">
            <v>إدارة المواقع الثقافية</v>
          </cell>
          <cell r="R894" t="str">
            <v>Al Dhafra Culture Sites</v>
          </cell>
          <cell r="S894" t="str">
            <v>مواقع الظفرة الثقافية</v>
          </cell>
          <cell r="T894" t="str">
            <v>Al Dhafra Forts (Hosn Al Dhafra &amp; Liwa Forts)</v>
          </cell>
          <cell r="U894" t="str">
            <v>قلاع الظفرة (حصن الظفرة وقلاع ليوا)</v>
          </cell>
          <cell r="V894" t="str">
            <v>Abu Dhabi</v>
          </cell>
          <cell r="W894" t="str">
            <v/>
          </cell>
          <cell r="X894" t="str">
            <v>4511250</v>
          </cell>
          <cell r="Y894" t="str">
            <v>Compliance,Governance&amp;Protocol_Policy (Culture/Tourism _Senior Professional</v>
          </cell>
          <cell r="Z894" t="str">
            <v>Professional</v>
          </cell>
          <cell r="AA894" t="str">
            <v>4C</v>
          </cell>
        </row>
        <row r="895">
          <cell r="A895">
            <v>1817</v>
          </cell>
          <cell r="B895">
            <v>1817</v>
          </cell>
          <cell r="C895" t="str">
            <v>A</v>
          </cell>
          <cell r="D895" t="str">
            <v>Sultan Mohamed Alqubaisi</v>
          </cell>
          <cell r="E895" t="str">
            <v>سلطان محمد القبيسي</v>
          </cell>
          <cell r="F895">
            <v>45230</v>
          </cell>
          <cell r="G895" t="str">
            <v>50002662</v>
          </cell>
          <cell r="H895" t="str">
            <v>Visitor Services Senior Specialist</v>
          </cell>
          <cell r="I895" t="str">
            <v>أخصائي أول خدمات الزوار</v>
          </cell>
          <cell r="J895" t="str">
            <v>On-Chart</v>
          </cell>
          <cell r="K895" t="str">
            <v>DCT Payroll</v>
          </cell>
          <cell r="L895" t="str">
            <v>A1</v>
          </cell>
          <cell r="M895" t="str">
            <v>Department of Culture and Tourism</v>
          </cell>
          <cell r="N895" t="str">
            <v>Culture</v>
          </cell>
          <cell r="O895" t="str">
            <v>الثقافة</v>
          </cell>
          <cell r="P895" t="str">
            <v>Culture Sites Management</v>
          </cell>
          <cell r="Q895" t="str">
            <v>إدارة المواقع الثقافية</v>
          </cell>
          <cell r="R895" t="str">
            <v>Al Dhafra Culture Sites</v>
          </cell>
          <cell r="S895" t="str">
            <v>مواقع الظفرة الثقافية</v>
          </cell>
          <cell r="T895" t="str">
            <v>Al Dhafra Forts (Hosn Al Dhafra &amp; Liwa Forts)</v>
          </cell>
          <cell r="U895" t="str">
            <v>قلاع الظفرة (حصن الظفرة وقلاع ليوا)</v>
          </cell>
          <cell r="V895" t="str">
            <v>Abu Dhabi</v>
          </cell>
          <cell r="W895" t="str">
            <v/>
          </cell>
          <cell r="X895" t="str">
            <v>4511250</v>
          </cell>
          <cell r="Y895" t="str">
            <v>Compliance,Governance&amp;Protocol_Policy (Culture/Tourism _Senior Professional</v>
          </cell>
          <cell r="Z895" t="str">
            <v>Senior Professional</v>
          </cell>
          <cell r="AA895" t="str">
            <v>3C</v>
          </cell>
        </row>
        <row r="896">
          <cell r="A896">
            <v>1818</v>
          </cell>
          <cell r="B896">
            <v>1818</v>
          </cell>
          <cell r="C896" t="str">
            <v>A</v>
          </cell>
          <cell r="D896" t="str">
            <v>Khawla Yousef Almarzooqi</v>
          </cell>
          <cell r="E896" t="str">
            <v>خوله يوسف المرزوقي</v>
          </cell>
          <cell r="F896">
            <v>45236</v>
          </cell>
          <cell r="G896" t="str">
            <v>10009470</v>
          </cell>
          <cell r="H896" t="str">
            <v>E-Publishing Specialist</v>
          </cell>
          <cell r="I896" t="str">
            <v>أخصائي النشر الإلكتروني</v>
          </cell>
          <cell r="J896" t="str">
            <v>On-Chart</v>
          </cell>
          <cell r="K896" t="str">
            <v>ALC Direct Hires</v>
          </cell>
          <cell r="L896" t="str">
            <v>AL1</v>
          </cell>
          <cell r="M896" t="str">
            <v>Abu Dhabi Arabic Language Centre</v>
          </cell>
          <cell r="N896" t="str">
            <v>Abu Dhabi Arabic Language Centre</v>
          </cell>
          <cell r="O896" t="str">
            <v>مركز أبوظبي للغة العربية</v>
          </cell>
          <cell r="P896" t="str">
            <v>Creative Content</v>
          </cell>
          <cell r="Q896" t="str">
            <v>المحتوى الإبداعي</v>
          </cell>
          <cell r="R896" t="str">
            <v>E-Publishing</v>
          </cell>
          <cell r="S896" t="str">
            <v>النشر الإلكتروني</v>
          </cell>
          <cell r="T896" t="str">
            <v/>
          </cell>
          <cell r="U896" t="str">
            <v/>
          </cell>
          <cell r="V896" t="str">
            <v>Abu Dhabi</v>
          </cell>
          <cell r="W896" t="str">
            <v/>
          </cell>
          <cell r="X896" t="str">
            <v>4519199</v>
          </cell>
          <cell r="Y896" t="str">
            <v>Interpretation &amp; Engagement_Arabic Language Forum &amp; Events _Professional</v>
          </cell>
          <cell r="Z896" t="str">
            <v>Senior Professional</v>
          </cell>
          <cell r="AA896" t="str">
            <v>3A</v>
          </cell>
        </row>
        <row r="897">
          <cell r="A897">
            <v>1819</v>
          </cell>
          <cell r="B897">
            <v>1819</v>
          </cell>
          <cell r="C897" t="str">
            <v>A</v>
          </cell>
          <cell r="D897" t="str">
            <v>Asma Rubayea Almenhali</v>
          </cell>
          <cell r="E897" t="str">
            <v>أسماء ربيع المنهالي</v>
          </cell>
          <cell r="F897">
            <v>45236</v>
          </cell>
          <cell r="G897" t="str">
            <v>50001934</v>
          </cell>
          <cell r="H897" t="str">
            <v>Communications Lead</v>
          </cell>
          <cell r="I897" t="str">
            <v>تنفيذي رئيسي الاتصال</v>
          </cell>
          <cell r="J897" t="str">
            <v>On-Chart</v>
          </cell>
          <cell r="K897" t="str">
            <v>MSS Direct Hires</v>
          </cell>
          <cell r="L897" t="str">
            <v>M1</v>
          </cell>
          <cell r="M897" t="str">
            <v>Department of Culture and Tourism</v>
          </cell>
          <cell r="N897" t="str">
            <v>Abrahamic Family House Center</v>
          </cell>
          <cell r="O897" t="str">
            <v>مركز بيت العائلة الإبراهيمية</v>
          </cell>
          <cell r="P897" t="str">
            <v>Marketing &amp; Communications</v>
          </cell>
          <cell r="Q897" t="str">
            <v>التسويق والاتصال</v>
          </cell>
          <cell r="R897" t="str">
            <v>Communications</v>
          </cell>
          <cell r="S897" t="str">
            <v>الاتصال</v>
          </cell>
          <cell r="T897" t="str">
            <v/>
          </cell>
          <cell r="U897" t="str">
            <v/>
          </cell>
          <cell r="V897" t="str">
            <v>Abu Dhabi</v>
          </cell>
          <cell r="W897" t="str">
            <v/>
          </cell>
          <cell r="X897" t="str">
            <v>4514121</v>
          </cell>
          <cell r="Y897" t="str">
            <v>Senior Specialization Marketing &amp; Communications</v>
          </cell>
          <cell r="Z897" t="str">
            <v>Unit Head</v>
          </cell>
          <cell r="AA897" t="str">
            <v>3B</v>
          </cell>
        </row>
        <row r="898">
          <cell r="A898">
            <v>1820</v>
          </cell>
          <cell r="B898">
            <v>1820</v>
          </cell>
          <cell r="C898" t="str">
            <v>A</v>
          </cell>
          <cell r="D898" t="str">
            <v>Sultan Abdulla Alkaabi</v>
          </cell>
          <cell r="E898" t="str">
            <v>سلطان عبدالله الكعبي</v>
          </cell>
          <cell r="F898">
            <v>45250</v>
          </cell>
          <cell r="G898" t="str">
            <v>50002923</v>
          </cell>
          <cell r="H898" t="str">
            <v>Community Outreach &amp; Cultural Engagement Specialist</v>
          </cell>
          <cell r="I898" t="str">
            <v>أخصائي التوعية المجتمعية والمشاركة الثقافية</v>
          </cell>
          <cell r="J898" t="str">
            <v>On-Chart</v>
          </cell>
          <cell r="K898" t="str">
            <v>ALC Direct Hires</v>
          </cell>
          <cell r="L898" t="str">
            <v>AL1</v>
          </cell>
          <cell r="M898" t="str">
            <v>Abu Dhabi Arabic Language Centre</v>
          </cell>
          <cell r="N898" t="str">
            <v>Abu Dhabi Arabic Language Centre</v>
          </cell>
          <cell r="O898" t="str">
            <v>مركز أبوظبي للغة العربية</v>
          </cell>
          <cell r="P898" t="str">
            <v>Specialized Library</v>
          </cell>
          <cell r="Q898" t="str">
            <v>المكتبات المتخصصة</v>
          </cell>
          <cell r="R898" t="str">
            <v>Library Services - ALC</v>
          </cell>
          <cell r="S898" t="str">
            <v>الخدمات المكتبية</v>
          </cell>
          <cell r="T898" t="str">
            <v>Library Services Delivery</v>
          </cell>
          <cell r="U898" t="str">
            <v>تقديم الخدمات المكتبية</v>
          </cell>
          <cell r="V898" t="str">
            <v>Abu Dhabi</v>
          </cell>
          <cell r="W898" t="str">
            <v/>
          </cell>
          <cell r="X898" t="str">
            <v>4519202</v>
          </cell>
          <cell r="Y898" t="str">
            <v>Operations_Library Operational  Management _Professional Assistant</v>
          </cell>
          <cell r="Z898" t="str">
            <v>Professional</v>
          </cell>
          <cell r="AA898" t="str">
            <v>3B</v>
          </cell>
        </row>
        <row r="899">
          <cell r="A899">
            <v>1821</v>
          </cell>
          <cell r="B899">
            <v>1821</v>
          </cell>
          <cell r="C899" t="str">
            <v>A</v>
          </cell>
          <cell r="D899" t="str">
            <v>Musab Mohamed Ahmed</v>
          </cell>
          <cell r="E899" t="str">
            <v>مصعب محمد أحمد</v>
          </cell>
          <cell r="F899">
            <v>45244</v>
          </cell>
          <cell r="G899" t="str">
            <v>50001930</v>
          </cell>
          <cell r="H899" t="str">
            <v>Visitor Experience Supervisor</v>
          </cell>
          <cell r="I899" t="str">
            <v>مشرف تجربة الزائر</v>
          </cell>
          <cell r="J899" t="str">
            <v>On-Chart</v>
          </cell>
          <cell r="K899" t="str">
            <v>MSS Direct Hires</v>
          </cell>
          <cell r="L899" t="str">
            <v>M1</v>
          </cell>
          <cell r="M899" t="str">
            <v>Department of Culture and Tourism</v>
          </cell>
          <cell r="N899" t="str">
            <v>Abrahamic Family House Center</v>
          </cell>
          <cell r="O899" t="str">
            <v>مركز بيت العائلة الإبراهيمية</v>
          </cell>
          <cell r="P899" t="str">
            <v>-</v>
          </cell>
          <cell r="Q899" t="str">
            <v>-</v>
          </cell>
          <cell r="R899" t="str">
            <v>Sales &amp; Events</v>
          </cell>
          <cell r="S899" t="str">
            <v>الفعاليات والمبيعات</v>
          </cell>
          <cell r="T899" t="str">
            <v/>
          </cell>
          <cell r="U899" t="str">
            <v/>
          </cell>
          <cell r="V899" t="str">
            <v>Abu Dhabi</v>
          </cell>
          <cell r="W899" t="str">
            <v/>
          </cell>
          <cell r="X899" t="str">
            <v>4514121</v>
          </cell>
          <cell r="Y899" t="str">
            <v>Design_Visitor Experience Design_Senior Professional</v>
          </cell>
          <cell r="Z899" t="str">
            <v>Senior Professional</v>
          </cell>
          <cell r="AA899" t="str">
            <v>3A</v>
          </cell>
        </row>
        <row r="900">
          <cell r="A900">
            <v>1822</v>
          </cell>
          <cell r="B900">
            <v>1822</v>
          </cell>
          <cell r="C900" t="str">
            <v>A</v>
          </cell>
          <cell r="D900" t="str">
            <v>Mouza Matar Almeraikhi</v>
          </cell>
          <cell r="E900" t="str">
            <v>موزة مطر المريخي</v>
          </cell>
          <cell r="F900">
            <v>45245</v>
          </cell>
          <cell r="G900" t="str">
            <v>50002661</v>
          </cell>
          <cell r="H900" t="str">
            <v>Al Dhafra Forts Unit Head (Hosn Al Dhafra &amp; Liwa Forts)</v>
          </cell>
          <cell r="I900" t="str">
            <v>رئيس وحدة قلاع الظفرة (حصن الظفرة وقلاع ليوا)</v>
          </cell>
          <cell r="J900" t="str">
            <v>On-Chart</v>
          </cell>
          <cell r="K900" t="str">
            <v>DCT Payroll</v>
          </cell>
          <cell r="L900" t="str">
            <v>A1</v>
          </cell>
          <cell r="M900" t="str">
            <v>Department of Culture and Tourism</v>
          </cell>
          <cell r="N900" t="str">
            <v>Culture</v>
          </cell>
          <cell r="O900" t="str">
            <v>الثقافة</v>
          </cell>
          <cell r="P900" t="str">
            <v>Culture Sites Management</v>
          </cell>
          <cell r="Q900" t="str">
            <v>إدارة المواقع الثقافية</v>
          </cell>
          <cell r="R900" t="str">
            <v>Al Dhafra Culture Sites</v>
          </cell>
          <cell r="S900" t="str">
            <v>مواقع الظفرة الثقافية</v>
          </cell>
          <cell r="T900" t="str">
            <v>Al Dhafra Forts (Hosn Al Dhafra &amp; Liwa Forts)</v>
          </cell>
          <cell r="U900" t="str">
            <v>قلاع الظفرة (حصن الظفرة وقلاع ليوا)</v>
          </cell>
          <cell r="V900" t="str">
            <v>Abu Dhabi</v>
          </cell>
          <cell r="W900" t="str">
            <v/>
          </cell>
          <cell r="X900" t="str">
            <v>4511250</v>
          </cell>
          <cell r="Y900" t="str">
            <v>Compliance,Governance&amp;Protocol_Policy  (Culture &amp; Tourism)_Unit Head</v>
          </cell>
          <cell r="Z900" t="str">
            <v>Unit Head</v>
          </cell>
          <cell r="AA900" t="str">
            <v>3A</v>
          </cell>
        </row>
        <row r="901">
          <cell r="A901">
            <v>1823</v>
          </cell>
          <cell r="B901">
            <v>1823</v>
          </cell>
          <cell r="C901" t="str">
            <v>A</v>
          </cell>
          <cell r="D901" t="str">
            <v>Sara Aqeel Alhosani</v>
          </cell>
          <cell r="E901" t="str">
            <v>ساره عقيل الحوسني</v>
          </cell>
          <cell r="F901">
            <v>45285</v>
          </cell>
          <cell r="G901" t="str">
            <v>50000524</v>
          </cell>
          <cell r="H901" t="str">
            <v>ICH Retail &amp; Market Development Senior Specialist</v>
          </cell>
          <cell r="I901" t="str">
            <v>أخصائي أول تطوير سوق التراث الثقافي المعنوي والبيع بالتجزئة</v>
          </cell>
          <cell r="J901" t="str">
            <v>On-Chart</v>
          </cell>
          <cell r="K901" t="str">
            <v>DCT Payroll</v>
          </cell>
          <cell r="L901" t="str">
            <v>A1</v>
          </cell>
          <cell r="M901" t="str">
            <v>Department of Culture and Tourism</v>
          </cell>
          <cell r="N901" t="str">
            <v>Culture</v>
          </cell>
          <cell r="O901" t="str">
            <v>الثقافة</v>
          </cell>
          <cell r="P901" t="str">
            <v>Intangible Cultural Heritage</v>
          </cell>
          <cell r="Q901" t="str">
            <v>التراث الثقافي المعنوي</v>
          </cell>
          <cell r="R901" t="str">
            <v>ICH Retail &amp; Market Development</v>
          </cell>
          <cell r="S901" t="str">
            <v>تطوير سوق التراث الثقافي المعنوي والبيع بالتجزئة</v>
          </cell>
          <cell r="T901" t="str">
            <v/>
          </cell>
          <cell r="U901" t="str">
            <v/>
          </cell>
          <cell r="V901" t="str">
            <v>Abu Dhabi</v>
          </cell>
          <cell r="W901" t="str">
            <v/>
          </cell>
          <cell r="X901" t="str">
            <v>4511600</v>
          </cell>
          <cell r="Y901" t="str">
            <v>Content &amp; Care_World Heritage Sites Planning &amp; Monitoring_Senior Professional</v>
          </cell>
          <cell r="Z901" t="str">
            <v>Senior Professional</v>
          </cell>
          <cell r="AA901" t="str">
            <v>3A</v>
          </cell>
        </row>
        <row r="902">
          <cell r="A902">
            <v>1825</v>
          </cell>
          <cell r="B902">
            <v>1825</v>
          </cell>
          <cell r="C902" t="str">
            <v>A</v>
          </cell>
          <cell r="D902" t="str">
            <v>ٍShamsa Hasher Alameemi</v>
          </cell>
          <cell r="E902" t="str">
            <v>شمسة حشر العميمي</v>
          </cell>
          <cell r="F902">
            <v>45306</v>
          </cell>
          <cell r="G902" t="str">
            <v>10005879</v>
          </cell>
          <cell r="H902" t="str">
            <v>Strategic Planning Senior Specialist (Culture)</v>
          </cell>
          <cell r="I902" t="str">
            <v>أخصائي أول التخطيط الاستراتيجي (قطاع الثقافة)</v>
          </cell>
          <cell r="J902" t="str">
            <v>On-Chart</v>
          </cell>
          <cell r="K902" t="str">
            <v>DCT Payroll</v>
          </cell>
          <cell r="L902" t="str">
            <v>A1</v>
          </cell>
          <cell r="M902" t="str">
            <v>Department of Culture and Tourism</v>
          </cell>
          <cell r="N902" t="str">
            <v>Strategic Affairs</v>
          </cell>
          <cell r="O902" t="str">
            <v>الشؤون الاستراتيجية</v>
          </cell>
          <cell r="P902" t="str">
            <v>Strategic Planning</v>
          </cell>
          <cell r="Q902" t="str">
            <v>التخطيط الاستراتيجي</v>
          </cell>
          <cell r="R902" t="str">
            <v>Culture, Museums &amp; Affiliated Entities Strategic Planning</v>
          </cell>
          <cell r="S902" t="str">
            <v>التخطيط الاستراتيجي لقطاع الثقافة والمتاحف والجهات التابعة</v>
          </cell>
          <cell r="T902" t="str">
            <v>Strategic Planning (Culture)</v>
          </cell>
          <cell r="U902" t="str">
            <v>التخطيط الاستراتيجي (قطاع الثقافة)</v>
          </cell>
          <cell r="V902" t="str">
            <v>Abu Dhabi</v>
          </cell>
          <cell r="W902" t="str">
            <v/>
          </cell>
          <cell r="X902" t="str">
            <v>4512100</v>
          </cell>
          <cell r="Y902" t="str">
            <v>Strategy, Planning, Project Mgt_Operational Planning &amp; Project Management _Senior Professional</v>
          </cell>
          <cell r="Z902" t="str">
            <v>Senior Professional</v>
          </cell>
          <cell r="AA902" t="str">
            <v>3B</v>
          </cell>
        </row>
        <row r="903">
          <cell r="A903">
            <v>1826</v>
          </cell>
          <cell r="B903">
            <v>1826</v>
          </cell>
          <cell r="C903" t="str">
            <v>A</v>
          </cell>
          <cell r="D903" t="str">
            <v>Sultan Hadi Almansoori</v>
          </cell>
          <cell r="E903" t="str">
            <v>سلطان هادي المنصوري</v>
          </cell>
          <cell r="F903">
            <v>45301</v>
          </cell>
          <cell r="G903" t="str">
            <v>50000783</v>
          </cell>
          <cell r="H903" t="str">
            <v>Institutional Affairs Specialist</v>
          </cell>
          <cell r="I903" t="str">
            <v>أخصائي شؤون العلاقات المؤسسية</v>
          </cell>
          <cell r="J903" t="str">
            <v>On-Chart</v>
          </cell>
          <cell r="K903" t="str">
            <v>MSS Direct Hires</v>
          </cell>
          <cell r="L903" t="str">
            <v>M1</v>
          </cell>
          <cell r="M903" t="str">
            <v>Department of Culture and Tourism</v>
          </cell>
          <cell r="N903" t="str">
            <v>Zayed National Museum</v>
          </cell>
          <cell r="O903" t="str">
            <v>متحف زايد الوطني</v>
          </cell>
          <cell r="P903" t="str">
            <v>Director’s Office</v>
          </cell>
          <cell r="Q903" t="str">
            <v>مكتب مدير المتحف</v>
          </cell>
          <cell r="R903" t="str">
            <v>Institutional &amp; International Affairs</v>
          </cell>
          <cell r="S903" t="str">
            <v>شؤون العلاقات المؤسسية والدولية</v>
          </cell>
          <cell r="T903" t="str">
            <v>Institutional Affairs Unit</v>
          </cell>
          <cell r="U903" t="str">
            <v/>
          </cell>
          <cell r="V903" t="str">
            <v>Abu Dhabi</v>
          </cell>
          <cell r="W903" t="str">
            <v/>
          </cell>
          <cell r="X903" t="str">
            <v>4510180</v>
          </cell>
          <cell r="Y903" t="str">
            <v>Strategy, Planning, Project Mgt_Strategy Planning Delivery &amp; Reporting_Professional</v>
          </cell>
          <cell r="Z903" t="str">
            <v>Professional</v>
          </cell>
          <cell r="AA903" t="str">
            <v>4B</v>
          </cell>
        </row>
        <row r="904">
          <cell r="A904">
            <v>1828</v>
          </cell>
          <cell r="B904">
            <v>1828</v>
          </cell>
          <cell r="C904" t="str">
            <v>A</v>
          </cell>
          <cell r="D904" t="str">
            <v>Nada Khaled Almessabi</v>
          </cell>
          <cell r="E904" t="str">
            <v>ندى خالد المصعبي</v>
          </cell>
          <cell r="F904">
            <v>45265</v>
          </cell>
          <cell r="G904" t="str">
            <v>50001741</v>
          </cell>
          <cell r="H904" t="str">
            <v>Performance Management Senior Specialist</v>
          </cell>
          <cell r="I904" t="str">
            <v>أخصائي أول إدارة الأداء</v>
          </cell>
          <cell r="J904" t="str">
            <v>On-Chart</v>
          </cell>
          <cell r="K904" t="str">
            <v>DCT Payroll</v>
          </cell>
          <cell r="L904" t="str">
            <v>A1</v>
          </cell>
          <cell r="M904" t="str">
            <v>Department of Culture and Tourism</v>
          </cell>
          <cell r="N904" t="str">
            <v>Tourism</v>
          </cell>
          <cell r="O904" t="str">
            <v>السياحة</v>
          </cell>
          <cell r="P904" t="str">
            <v>Tourism Sector Management Office</v>
          </cell>
          <cell r="Q904" t="str">
            <v>مكتب إدارة شؤون قطاع السياحة</v>
          </cell>
          <cell r="R904" t="str">
            <v>Tourism PMO Section</v>
          </cell>
          <cell r="S904" t="str">
            <v>قسم  مكتب إدارة مشاريع السياحة</v>
          </cell>
          <cell r="T904" t="str">
            <v>Performance Management Unit</v>
          </cell>
          <cell r="U904" t="str">
            <v>وحدة إدارة الأداء</v>
          </cell>
          <cell r="V904" t="str">
            <v>Abu Dhabi</v>
          </cell>
          <cell r="W904" t="str">
            <v/>
          </cell>
          <cell r="X904" t="str">
            <v>4515010</v>
          </cell>
          <cell r="Y904" t="str">
            <v>Compliance,Governance&amp;Protocol_Policy (Culture/Tourism _Senior Professional</v>
          </cell>
          <cell r="Z904" t="str">
            <v>Senior Professional</v>
          </cell>
          <cell r="AA904" t="str">
            <v>3C</v>
          </cell>
        </row>
        <row r="905">
          <cell r="A905">
            <v>1829</v>
          </cell>
          <cell r="B905">
            <v>1829</v>
          </cell>
          <cell r="C905" t="str">
            <v>A</v>
          </cell>
          <cell r="D905" t="str">
            <v>Amna Ali Aldarmaki</v>
          </cell>
          <cell r="E905" t="str">
            <v>امنه على الدرمكي</v>
          </cell>
          <cell r="F905">
            <v>45285</v>
          </cell>
          <cell r="G905" t="str">
            <v>50001466</v>
          </cell>
          <cell r="H905" t="str">
            <v>Global Partnerships Senior Executive</v>
          </cell>
          <cell r="I905" t="str">
            <v>تنفيذي أول الشراكات العالمية</v>
          </cell>
          <cell r="J905" t="str">
            <v>On-Chart</v>
          </cell>
          <cell r="K905" t="str">
            <v>DCT Payroll</v>
          </cell>
          <cell r="L905" t="str">
            <v>A1</v>
          </cell>
          <cell r="M905" t="str">
            <v>Department of Culture and Tourism</v>
          </cell>
          <cell r="N905" t="str">
            <v>Tourism</v>
          </cell>
          <cell r="O905" t="str">
            <v>السياحة</v>
          </cell>
          <cell r="P905" t="str">
            <v>Tourism Products Development</v>
          </cell>
          <cell r="Q905" t="str">
            <v>تطوير المنتجات السياحية</v>
          </cell>
          <cell r="R905" t="str">
            <v>Aviation, Cruise, &amp; Global Partnerships</v>
          </cell>
          <cell r="S905" t="str">
            <v>الطيران والرحلات البحرية والشراكات العالمية</v>
          </cell>
          <cell r="T905" t="str">
            <v>Global Partnerships</v>
          </cell>
          <cell r="U905" t="str">
            <v>الشراكات العالمية</v>
          </cell>
          <cell r="V905" t="str">
            <v>Abu Dhabi</v>
          </cell>
          <cell r="W905" t="str">
            <v/>
          </cell>
          <cell r="X905" t="str">
            <v>4515100</v>
          </cell>
          <cell r="Y905" t="str">
            <v>Compliance,Governance&amp;Protocol_Policy (Culture/Tourism _Senior Professional</v>
          </cell>
          <cell r="Z905" t="str">
            <v>Senior Professional</v>
          </cell>
          <cell r="AA905" t="str">
            <v>3A</v>
          </cell>
        </row>
        <row r="906">
          <cell r="A906">
            <v>1830</v>
          </cell>
          <cell r="B906">
            <v>1830</v>
          </cell>
          <cell r="C906" t="str">
            <v>A</v>
          </cell>
          <cell r="D906" t="str">
            <v>Asmaa Ebrahim Alhosani</v>
          </cell>
          <cell r="E906" t="str">
            <v>أسماء إبراهيم الحوسني</v>
          </cell>
          <cell r="F906">
            <v>45279</v>
          </cell>
          <cell r="G906" t="str">
            <v>50000868</v>
          </cell>
          <cell r="H906" t="str">
            <v>Heritage Planner</v>
          </cell>
          <cell r="I906" t="str">
            <v>أخصائي تخطيط التراث</v>
          </cell>
          <cell r="J906" t="str">
            <v>On-Chart</v>
          </cell>
          <cell r="K906" t="str">
            <v>DCT Payroll</v>
          </cell>
          <cell r="L906" t="str">
            <v>A1</v>
          </cell>
          <cell r="M906" t="str">
            <v>Department of Culture and Tourism</v>
          </cell>
          <cell r="N906" t="str">
            <v>Culture</v>
          </cell>
          <cell r="O906" t="str">
            <v>الثقافة</v>
          </cell>
          <cell r="P906" t="str">
            <v>Historic Environment</v>
          </cell>
          <cell r="Q906" t="str">
            <v>البيئة التاريخية</v>
          </cell>
          <cell r="R906" t="str">
            <v>World Heritage Sites Management</v>
          </cell>
          <cell r="S906" t="str">
            <v>إدارة مواقع التراث العالمي</v>
          </cell>
          <cell r="T906" t="str">
            <v>World Heritage Planning</v>
          </cell>
          <cell r="U906" t="str">
            <v>تخطيط التراث العالمي</v>
          </cell>
          <cell r="V906" t="str">
            <v>Al Ain</v>
          </cell>
          <cell r="W906" t="str">
            <v/>
          </cell>
          <cell r="X906" t="str">
            <v>4511300</v>
          </cell>
          <cell r="Y906" t="str">
            <v>Compliance,Governance&amp;Protocol_Policy (Culture/Tourism) _Professional</v>
          </cell>
          <cell r="Z906" t="str">
            <v>Professional</v>
          </cell>
          <cell r="AA906" t="str">
            <v>4C</v>
          </cell>
        </row>
        <row r="907">
          <cell r="A907">
            <v>1833</v>
          </cell>
          <cell r="B907">
            <v>1833</v>
          </cell>
          <cell r="C907" t="str">
            <v>A</v>
          </cell>
          <cell r="D907" t="str">
            <v>Shaikha Dana Bint Sultan  Al-Nahyan</v>
          </cell>
          <cell r="E907" t="str">
            <v>دانة سلطان آل نهيان</v>
          </cell>
          <cell r="F907">
            <v>45293</v>
          </cell>
          <cell r="G907" t="str">
            <v>50002386</v>
          </cell>
          <cell r="H907" t="str">
            <v>Programmes Development Specialist</v>
          </cell>
          <cell r="I907" t="str">
            <v>أخصائي تطوير البرامج</v>
          </cell>
          <cell r="J907" t="str">
            <v>On-Chart</v>
          </cell>
          <cell r="K907" t="str">
            <v>DCT Payroll</v>
          </cell>
          <cell r="L907" t="str">
            <v>A1</v>
          </cell>
          <cell r="M907" t="str">
            <v>Department of Culture and Tourism</v>
          </cell>
          <cell r="N907" t="str">
            <v>Culture</v>
          </cell>
          <cell r="O907" t="str">
            <v>الثقافة</v>
          </cell>
          <cell r="P907" t="str">
            <v>Culture Festivals &amp; Platforms</v>
          </cell>
          <cell r="Q907" t="str">
            <v>المهرجانات والمنصات الثقافية</v>
          </cell>
          <cell r="R907" t="str">
            <v>Programmes Development</v>
          </cell>
          <cell r="S907" t="str">
            <v>تطوير البرامج</v>
          </cell>
          <cell r="T907" t="str">
            <v/>
          </cell>
          <cell r="U907" t="str">
            <v/>
          </cell>
          <cell r="V907" t="str">
            <v>Abu Dhabi</v>
          </cell>
          <cell r="W907" t="str">
            <v/>
          </cell>
          <cell r="X907" t="str">
            <v>4511750</v>
          </cell>
          <cell r="Y907" t="str">
            <v>Commercial _Conventions, Exhibitions, Events &amp; Festivals Development &amp; Sales  _Professional</v>
          </cell>
          <cell r="Z907" t="str">
            <v>Professional</v>
          </cell>
          <cell r="AA907" t="str">
            <v>4B</v>
          </cell>
        </row>
        <row r="908">
          <cell r="A908">
            <v>1834</v>
          </cell>
          <cell r="B908">
            <v>1834</v>
          </cell>
          <cell r="C908" t="str">
            <v>A</v>
          </cell>
          <cell r="D908" t="str">
            <v>Fatima Husain Alhammadi</v>
          </cell>
          <cell r="E908" t="str">
            <v>فاطمة حسين الحمادي</v>
          </cell>
          <cell r="F908">
            <v>45285</v>
          </cell>
          <cell r="G908" t="str">
            <v>50004000</v>
          </cell>
          <cell r="H908" t="str">
            <v>IT Service Desk Agent</v>
          </cell>
          <cell r="I908" t="str">
            <v>مسؤول مكتب خدمات تكنولوجيا المعلومات</v>
          </cell>
          <cell r="J908" t="str">
            <v>On-Chart</v>
          </cell>
          <cell r="K908" t="str">
            <v>DCT Payroll</v>
          </cell>
          <cell r="L908" t="str">
            <v>A1</v>
          </cell>
          <cell r="M908" t="str">
            <v>Department of Culture and Tourism</v>
          </cell>
          <cell r="N908" t="str">
            <v>Support Services</v>
          </cell>
          <cell r="O908" t="str">
            <v>الخدمات المساندة</v>
          </cell>
          <cell r="P908" t="str">
            <v>Technology</v>
          </cell>
          <cell r="Q908" t="str">
            <v>التكنولوجيا</v>
          </cell>
          <cell r="R908" t="str">
            <v>Technology Infrastructure</v>
          </cell>
          <cell r="S908" t="str">
            <v>البنية التحتية للتكنولوجيا</v>
          </cell>
          <cell r="T908" t="str">
            <v>E Support</v>
          </cell>
          <cell r="U908" t="str">
            <v>الدعم الإلكتروني</v>
          </cell>
          <cell r="V908" t="str">
            <v>Abu Dhabi</v>
          </cell>
          <cell r="W908" t="str">
            <v/>
          </cell>
          <cell r="X908" t="str">
            <v>4510250</v>
          </cell>
          <cell r="Y908" t="str">
            <v>Information Technology_IT Service Management Specialist_Professional</v>
          </cell>
          <cell r="Z908" t="str">
            <v>Professional</v>
          </cell>
          <cell r="AA908" t="str">
            <v>4A</v>
          </cell>
        </row>
        <row r="909">
          <cell r="A909">
            <v>1835</v>
          </cell>
          <cell r="B909">
            <v>1835</v>
          </cell>
          <cell r="C909" t="str">
            <v>A</v>
          </cell>
          <cell r="D909" t="str">
            <v>Fatema Mohsin Alfardan</v>
          </cell>
          <cell r="E909" t="str">
            <v>فاطمة محسن الفردان</v>
          </cell>
          <cell r="F909">
            <v>45334</v>
          </cell>
          <cell r="G909" t="str">
            <v>50002718</v>
          </cell>
          <cell r="H909" t="str">
            <v>Procurement Business Partner</v>
          </cell>
          <cell r="I909" t="str">
            <v>شريك أعمال المشتريات</v>
          </cell>
          <cell r="J909" t="str">
            <v>On-Chart</v>
          </cell>
          <cell r="K909" t="str">
            <v>DCT Payroll</v>
          </cell>
          <cell r="L909" t="str">
            <v>A1</v>
          </cell>
          <cell r="M909" t="str">
            <v>Department of Culture and Tourism</v>
          </cell>
          <cell r="N909" t="str">
            <v>Support Services</v>
          </cell>
          <cell r="O909" t="str">
            <v>الخدمات المساندة</v>
          </cell>
          <cell r="P909" t="str">
            <v>Supply Management</v>
          </cell>
          <cell r="Q909" t="str">
            <v>إدارة الإمداد</v>
          </cell>
          <cell r="R909" t="str">
            <v>Business Partners</v>
          </cell>
          <cell r="S909" t="str">
            <v>شركاء أعمال</v>
          </cell>
          <cell r="T909" t="str">
            <v>Procurement Business Partners</v>
          </cell>
          <cell r="U909" t="str">
            <v>شركاء أعمال المشتريات</v>
          </cell>
          <cell r="V909" t="str">
            <v>Abu Dhabi</v>
          </cell>
          <cell r="W909" t="str">
            <v/>
          </cell>
          <cell r="X909" t="str">
            <v>4510240</v>
          </cell>
          <cell r="Y909" t="str">
            <v>Procurement_Procurement Business Partner _Senior Professional</v>
          </cell>
          <cell r="Z909" t="str">
            <v>Professional</v>
          </cell>
          <cell r="AA909" t="str">
            <v>3B</v>
          </cell>
        </row>
        <row r="910">
          <cell r="A910">
            <v>1836</v>
          </cell>
          <cell r="B910">
            <v>1836</v>
          </cell>
          <cell r="C910" t="str">
            <v>A</v>
          </cell>
          <cell r="D910" t="str">
            <v>Mohamed Alzarooni</v>
          </cell>
          <cell r="E910" t="str">
            <v>محمد  الزرعوني</v>
          </cell>
          <cell r="F910">
            <v>45355</v>
          </cell>
          <cell r="G910" t="str">
            <v>50002615</v>
          </cell>
          <cell r="H910" t="str">
            <v>Succession Planning Specialist</v>
          </cell>
          <cell r="I910" t="str">
            <v>أخصائي التعاقب الوظيفي</v>
          </cell>
          <cell r="J910" t="str">
            <v>On-Chart</v>
          </cell>
          <cell r="K910" t="str">
            <v>MSS Direct Hires</v>
          </cell>
          <cell r="L910" t="str">
            <v>M1</v>
          </cell>
          <cell r="M910" t="str">
            <v>Department of Culture and Tourism</v>
          </cell>
          <cell r="N910" t="str">
            <v>Museums Shared Services</v>
          </cell>
          <cell r="O910" t="str">
            <v>الخدمات المشتركة للمتاحف</v>
          </cell>
          <cell r="P910" t="str">
            <v>People and Performance - MSS</v>
          </cell>
          <cell r="Q910" t="str">
            <v>إدارة الكوادر البشرية والأداء - الخدمات المشتركة للمتاحف</v>
          </cell>
          <cell r="R910" t="str">
            <v>Talent Development Section - MSS</v>
          </cell>
          <cell r="S910" t="str">
            <v>قسم تطوير المواهب</v>
          </cell>
          <cell r="T910" t="str">
            <v>Succession Planning Unit - MSS</v>
          </cell>
          <cell r="U910" t="str">
            <v>وحدة التعاقب الوظيفي</v>
          </cell>
          <cell r="V910" t="str">
            <v>Abu Dhabi</v>
          </cell>
          <cell r="W910" t="str">
            <v/>
          </cell>
          <cell r="X910" t="str">
            <v>4514140</v>
          </cell>
          <cell r="Y910" t="str">
            <v>People &amp; Performance _Learning, Talent &amp; Capability Development _Professional</v>
          </cell>
          <cell r="Z910" t="str">
            <v>Professional</v>
          </cell>
          <cell r="AA910" t="str">
            <v>4B</v>
          </cell>
        </row>
        <row r="911">
          <cell r="A911">
            <v>1837</v>
          </cell>
          <cell r="B911">
            <v>1837</v>
          </cell>
          <cell r="C911" t="str">
            <v>A</v>
          </cell>
          <cell r="D911" t="str">
            <v>Rashed Obaid Alsuwaidi</v>
          </cell>
          <cell r="E911" t="str">
            <v>راشد عبيد السويدي</v>
          </cell>
          <cell r="F911">
            <v>45320</v>
          </cell>
          <cell r="G911" t="str">
            <v>50000686</v>
          </cell>
          <cell r="H911" t="str">
            <v>Public Events Specialist</v>
          </cell>
          <cell r="I911" t="str">
            <v>أخصائي الفعاليات المجتمعية</v>
          </cell>
          <cell r="J911" t="str">
            <v>On-Chart</v>
          </cell>
          <cell r="K911" t="str">
            <v>MSS Direct Hires</v>
          </cell>
          <cell r="L911" t="str">
            <v>M1</v>
          </cell>
          <cell r="M911" t="str">
            <v>Department of Culture and Tourism</v>
          </cell>
          <cell r="N911" t="str">
            <v>Zayed National Museum</v>
          </cell>
          <cell r="O911" t="str">
            <v>متحف زايد الوطني</v>
          </cell>
          <cell r="P911" t="str">
            <v>Learning &amp; Public Engagement</v>
          </cell>
          <cell r="Q911" t="str">
            <v>التعليم والمشاركة المجتمعية</v>
          </cell>
          <cell r="R911" t="str">
            <v>Public Events</v>
          </cell>
          <cell r="S911" t="str">
            <v>الفعاليات المجتمعية</v>
          </cell>
          <cell r="T911" t="str">
            <v>Public Events</v>
          </cell>
          <cell r="U911" t="str">
            <v>الفعاليات المجتمعية</v>
          </cell>
          <cell r="V911" t="str">
            <v>Abu Dhabi</v>
          </cell>
          <cell r="W911" t="str">
            <v/>
          </cell>
          <cell r="X911" t="str">
            <v>4510182</v>
          </cell>
          <cell r="Y911" t="str">
            <v>Interpretation &amp; Engagement_Learning Resources_Professional</v>
          </cell>
          <cell r="Z911" t="str">
            <v>Professional</v>
          </cell>
          <cell r="AA911" t="str">
            <v>4B</v>
          </cell>
        </row>
        <row r="912">
          <cell r="A912">
            <v>1838</v>
          </cell>
          <cell r="B912">
            <v>1838</v>
          </cell>
          <cell r="C912" t="str">
            <v>A</v>
          </cell>
          <cell r="D912" t="str">
            <v>Ammar Ahmad Albanna</v>
          </cell>
          <cell r="E912" t="str">
            <v>عمار احمد البنا</v>
          </cell>
          <cell r="F912">
            <v>45327</v>
          </cell>
          <cell r="G912" t="str">
            <v>10008953</v>
          </cell>
          <cell r="H912" t="str">
            <v>Associate Curator</v>
          </cell>
          <cell r="I912" t="str">
            <v>أمين متحف معاون</v>
          </cell>
          <cell r="J912" t="str">
            <v>On-Chart</v>
          </cell>
          <cell r="K912" t="str">
            <v>MSS Direct Hires</v>
          </cell>
          <cell r="L912" t="str">
            <v>M1</v>
          </cell>
          <cell r="M912" t="str">
            <v>Department of Culture and Tourism</v>
          </cell>
          <cell r="N912" t="str">
            <v>Zayed National Museum</v>
          </cell>
          <cell r="O912" t="str">
            <v>متحف زايد الوطني</v>
          </cell>
          <cell r="P912" t="str">
            <v>Curatorial &amp; Collection Management</v>
          </cell>
          <cell r="Q912" t="str">
            <v>أمناء المتحف وإدارة المقتنيات</v>
          </cell>
          <cell r="R912" t="str">
            <v>Curatorial</v>
          </cell>
          <cell r="S912" t="str">
            <v>أمناء المتحف</v>
          </cell>
          <cell r="T912" t="str">
            <v/>
          </cell>
          <cell r="U912" t="str">
            <v/>
          </cell>
          <cell r="V912" t="str">
            <v>Abu Dhabi</v>
          </cell>
          <cell r="W912" t="str">
            <v/>
          </cell>
          <cell r="X912" t="str">
            <v>4510181</v>
          </cell>
          <cell r="Y912" t="str">
            <v>Content &amp; Care_Curatorial  Management  _Professional</v>
          </cell>
          <cell r="Z912" t="str">
            <v>Professional</v>
          </cell>
          <cell r="AA912" t="str">
            <v>4B</v>
          </cell>
        </row>
        <row r="913">
          <cell r="A913">
            <v>1839</v>
          </cell>
          <cell r="B913">
            <v>1839</v>
          </cell>
          <cell r="C913" t="str">
            <v>A</v>
          </cell>
          <cell r="D913" t="str">
            <v>Khawla Abdullatif Alhammadi</v>
          </cell>
          <cell r="E913" t="str">
            <v>خولة عبداللطيف الحمادي</v>
          </cell>
          <cell r="F913">
            <v>45335</v>
          </cell>
          <cell r="G913" t="str">
            <v>10008975</v>
          </cell>
          <cell r="H913" t="str">
            <v>Graphic Designer</v>
          </cell>
          <cell r="I913" t="str">
            <v>مصمم جرافيك</v>
          </cell>
          <cell r="J913" t="str">
            <v>On-Chart</v>
          </cell>
          <cell r="K913" t="str">
            <v>DCT Payroll</v>
          </cell>
          <cell r="L913" t="str">
            <v>A1</v>
          </cell>
          <cell r="M913" t="str">
            <v>Department of Culture and Tourism</v>
          </cell>
          <cell r="N913" t="str">
            <v>Culture</v>
          </cell>
          <cell r="O913" t="str">
            <v>الثقافة</v>
          </cell>
          <cell r="P913" t="str">
            <v>Culture Sector Marketing</v>
          </cell>
          <cell r="Q913" t="str">
            <v>التسويق لقطاع الثقافة</v>
          </cell>
          <cell r="R913" t="str">
            <v>Creative</v>
          </cell>
          <cell r="S913" t="str">
            <v>الإبداع</v>
          </cell>
          <cell r="T913" t="str">
            <v/>
          </cell>
          <cell r="U913" t="str">
            <v/>
          </cell>
          <cell r="V913" t="str">
            <v>Abu Dhabi</v>
          </cell>
          <cell r="W913" t="str">
            <v/>
          </cell>
          <cell r="X913" t="str">
            <v>4511550</v>
          </cell>
          <cell r="Y913" t="str">
            <v>Compliance,Governance&amp;Protocol_Policy (Culture/Tourism) _Professional</v>
          </cell>
          <cell r="Z913" t="str">
            <v>Professional</v>
          </cell>
          <cell r="AA913" t="str">
            <v>4C</v>
          </cell>
        </row>
        <row r="914">
          <cell r="A914">
            <v>1840</v>
          </cell>
          <cell r="B914">
            <v>1840</v>
          </cell>
          <cell r="C914" t="str">
            <v>A</v>
          </cell>
          <cell r="D914" t="str">
            <v xml:space="preserve">Mariam  Malek   </v>
          </cell>
          <cell r="E914" t="str">
            <v xml:space="preserve">مريم   مالك </v>
          </cell>
          <cell r="F914">
            <v>45357</v>
          </cell>
          <cell r="G914" t="str">
            <v>50002627</v>
          </cell>
          <cell r="H914" t="str">
            <v>Rewards Unit Head</v>
          </cell>
          <cell r="I914" t="str">
            <v>رئيس وحدة المكافآت</v>
          </cell>
          <cell r="J914" t="str">
            <v>On-Chart</v>
          </cell>
          <cell r="K914" t="str">
            <v>MSS Direct Hires</v>
          </cell>
          <cell r="L914" t="str">
            <v>M1</v>
          </cell>
          <cell r="M914" t="str">
            <v>Department of Culture and Tourism</v>
          </cell>
          <cell r="N914" t="str">
            <v>Museums Shared Services</v>
          </cell>
          <cell r="O914" t="str">
            <v>الخدمات المشتركة للمتاحف</v>
          </cell>
          <cell r="P914" t="str">
            <v>People and Performance - MSS</v>
          </cell>
          <cell r="Q914" t="str">
            <v>إدارة الكوادر البشرية والأداء - الخدمات المشتركة للمتاحف</v>
          </cell>
          <cell r="R914" t="str">
            <v>P&amp;P Operations Section - MSS</v>
          </cell>
          <cell r="S914" t="str">
            <v>قسم عمليات إدارة الكوادر البشرية والأداء</v>
          </cell>
          <cell r="T914" t="str">
            <v>Rewards Unit - MSS</v>
          </cell>
          <cell r="U914" t="str">
            <v>وحدة المكافآت</v>
          </cell>
          <cell r="V914" t="str">
            <v>Abu Dhabi</v>
          </cell>
          <cell r="W914" t="str">
            <v/>
          </cell>
          <cell r="X914" t="str">
            <v>4514140</v>
          </cell>
          <cell r="Y914" t="str">
            <v>People &amp; Performance _Rewards Policy &amp; Recognition _Unit Head</v>
          </cell>
          <cell r="Z914" t="str">
            <v>Unit Head</v>
          </cell>
          <cell r="AA914" t="str">
            <v>3B</v>
          </cell>
        </row>
        <row r="915">
          <cell r="A915">
            <v>1841</v>
          </cell>
          <cell r="B915">
            <v>1841</v>
          </cell>
          <cell r="C915" t="str">
            <v>A</v>
          </cell>
          <cell r="D915" t="str">
            <v>Fatima Al Maazmi</v>
          </cell>
          <cell r="E915" t="str">
            <v>فاطمة  المازمي</v>
          </cell>
          <cell r="F915">
            <v>45320</v>
          </cell>
          <cell r="G915" t="str">
            <v>50003369</v>
          </cell>
          <cell r="H915" t="str">
            <v>Commissions Officer</v>
          </cell>
          <cell r="I915" t="str">
            <v>ضابط التفويضات</v>
          </cell>
          <cell r="J915" t="str">
            <v>On-Chart</v>
          </cell>
          <cell r="K915" t="str">
            <v>MSS Direct Hires</v>
          </cell>
          <cell r="L915" t="str">
            <v>M1</v>
          </cell>
          <cell r="M915" t="str">
            <v>Department of Culture and Tourism</v>
          </cell>
          <cell r="N915" t="str">
            <v>Culture</v>
          </cell>
          <cell r="O915" t="str">
            <v>الثقافة</v>
          </cell>
          <cell r="P915" t="str">
            <v>Guggenheim Abu Dhabi Museum</v>
          </cell>
          <cell r="Q915" t="str">
            <v>متحف جوجينهايم أبوظبي</v>
          </cell>
          <cell r="R915" t="str">
            <v>Guggenheim Abu Dhabi</v>
          </cell>
          <cell r="S915" t="str">
            <v>جوجينهايم أبوظبي</v>
          </cell>
          <cell r="T915" t="str">
            <v/>
          </cell>
          <cell r="U915" t="str">
            <v/>
          </cell>
          <cell r="V915" t="str">
            <v>Abu Dhabi</v>
          </cell>
          <cell r="W915" t="str">
            <v/>
          </cell>
          <cell r="X915" t="str">
            <v>4510410</v>
          </cell>
          <cell r="Y915" t="str">
            <v>Compliance,Governance&amp;Protocol_Policy (Culture/Tourism) _Professional</v>
          </cell>
          <cell r="Z915" t="str">
            <v>Professional</v>
          </cell>
          <cell r="AA915" t="str">
            <v>4C</v>
          </cell>
        </row>
        <row r="916">
          <cell r="A916">
            <v>1842</v>
          </cell>
          <cell r="B916">
            <v>1842</v>
          </cell>
          <cell r="C916" t="str">
            <v>A</v>
          </cell>
          <cell r="D916" t="str">
            <v>Mariam Mahmoud Alzadjali</v>
          </cell>
          <cell r="E916" t="str">
            <v>مريم محمود الزدجالي</v>
          </cell>
          <cell r="F916">
            <v>45327</v>
          </cell>
          <cell r="G916" t="str">
            <v>50003371</v>
          </cell>
          <cell r="H916" t="str">
            <v>Acquisition Officer</v>
          </cell>
          <cell r="I916" t="str">
            <v>ضابط المقتنيات</v>
          </cell>
          <cell r="J916" t="str">
            <v>On-Chart</v>
          </cell>
          <cell r="K916" t="str">
            <v>MSS Direct Hires</v>
          </cell>
          <cell r="L916" t="str">
            <v>M1</v>
          </cell>
          <cell r="M916" t="str">
            <v>Department of Culture and Tourism</v>
          </cell>
          <cell r="N916" t="str">
            <v>Culture</v>
          </cell>
          <cell r="O916" t="str">
            <v>الثقافة</v>
          </cell>
          <cell r="P916" t="str">
            <v>Guggenheim Abu Dhabi Museum</v>
          </cell>
          <cell r="Q916" t="str">
            <v>متحف جوجينهايم أبوظبي</v>
          </cell>
          <cell r="R916" t="str">
            <v>Guggenheim Abu Dhabi</v>
          </cell>
          <cell r="S916" t="str">
            <v>جوجينهايم أبوظبي</v>
          </cell>
          <cell r="T916" t="str">
            <v/>
          </cell>
          <cell r="U916" t="str">
            <v/>
          </cell>
          <cell r="V916" t="str">
            <v>Abu Dhabi</v>
          </cell>
          <cell r="W916" t="str">
            <v/>
          </cell>
          <cell r="X916" t="str">
            <v>4510410</v>
          </cell>
          <cell r="Y916" t="str">
            <v>Compliance,Governance&amp;Protocol_Policy (Culture/Tourism) _Professional</v>
          </cell>
          <cell r="Z916" t="str">
            <v>Professional</v>
          </cell>
          <cell r="AA916" t="str">
            <v>4C</v>
          </cell>
        </row>
        <row r="917">
          <cell r="A917">
            <v>1843</v>
          </cell>
          <cell r="B917">
            <v>1843</v>
          </cell>
          <cell r="C917" t="str">
            <v>A</v>
          </cell>
          <cell r="D917" t="str">
            <v>Khawla Ali Almarzooqi</v>
          </cell>
          <cell r="E917" t="str">
            <v>خولة علي المرزوقي</v>
          </cell>
          <cell r="F917">
            <v>45336</v>
          </cell>
          <cell r="G917" t="str">
            <v>50001884</v>
          </cell>
          <cell r="H917" t="str">
            <v>Public Engagement Programmes Specialist</v>
          </cell>
          <cell r="I917" t="str">
            <v>أخصائي برامج المشاركة المجتمعية</v>
          </cell>
          <cell r="J917" t="str">
            <v>On-Chart</v>
          </cell>
          <cell r="K917" t="str">
            <v>MSS Direct Hires</v>
          </cell>
          <cell r="L917" t="str">
            <v>M1</v>
          </cell>
          <cell r="M917" t="str">
            <v>Department of Culture and Tourism</v>
          </cell>
          <cell r="N917" t="str">
            <v>Culture</v>
          </cell>
          <cell r="O917" t="str">
            <v>الثقافة</v>
          </cell>
          <cell r="P917" t="str">
            <v>Guggenheim Abu Dhabi Museum</v>
          </cell>
          <cell r="Q917" t="str">
            <v>متحف جوجينهايم أبوظبي</v>
          </cell>
          <cell r="R917" t="str">
            <v>Guggenheim Abu Dhabi</v>
          </cell>
          <cell r="S917" t="str">
            <v>جوجينهايم أبوظبي</v>
          </cell>
          <cell r="T917" t="str">
            <v/>
          </cell>
          <cell r="U917" t="str">
            <v/>
          </cell>
          <cell r="V917" t="str">
            <v>Abu Dhabi</v>
          </cell>
          <cell r="W917" t="str">
            <v/>
          </cell>
          <cell r="X917" t="str">
            <v>4510410</v>
          </cell>
          <cell r="Y917" t="str">
            <v>Specialization Interpretation &amp; Engagement</v>
          </cell>
          <cell r="Z917" t="str">
            <v>Professional</v>
          </cell>
          <cell r="AA917" t="str">
            <v>4A</v>
          </cell>
        </row>
        <row r="918">
          <cell r="A918">
            <v>1846</v>
          </cell>
          <cell r="B918">
            <v>1846</v>
          </cell>
          <cell r="C918" t="str">
            <v>A</v>
          </cell>
          <cell r="D918" t="str">
            <v>Mohammed Salah Almessabi</v>
          </cell>
          <cell r="E918" t="str">
            <v>محمد صلاح المصعبي</v>
          </cell>
          <cell r="F918">
            <v>45537</v>
          </cell>
          <cell r="G918" t="str">
            <v>10005382</v>
          </cell>
          <cell r="H918" t="str">
            <v>Strategic Workforce &amp; Emiratization Unit Head</v>
          </cell>
          <cell r="I918" t="str">
            <v>رئيس وحدة  القوى العاملة الاستراتيجية والتوطين</v>
          </cell>
          <cell r="J918" t="str">
            <v>On-Chart</v>
          </cell>
          <cell r="K918" t="str">
            <v>DCT Payroll</v>
          </cell>
          <cell r="L918" t="str">
            <v>A1</v>
          </cell>
          <cell r="M918" t="str">
            <v>Department of Culture and Tourism</v>
          </cell>
          <cell r="N918" t="str">
            <v>Tourism</v>
          </cell>
          <cell r="O918" t="str">
            <v>السياحة</v>
          </cell>
          <cell r="P918" t="str">
            <v>Emiratization &amp; Capability Development Office</v>
          </cell>
          <cell r="Q918" t="str">
            <v>مكتب التوطين وتطوير القدرات</v>
          </cell>
          <cell r="R918" t="str">
            <v>Sector Emiratization &amp; Capability Development Section</v>
          </cell>
          <cell r="S918" t="str">
            <v/>
          </cell>
          <cell r="T918" t="str">
            <v>Strategic Workforce &amp; Emiratization</v>
          </cell>
          <cell r="U918" t="str">
            <v/>
          </cell>
          <cell r="V918" t="str">
            <v>Abu Dhabi</v>
          </cell>
          <cell r="W918" t="str">
            <v/>
          </cell>
          <cell r="X918" t="str">
            <v>4515020</v>
          </cell>
          <cell r="Y918" t="str">
            <v>Commercial _Travel Trade &amp; Tourism  Market Development _Unit Head</v>
          </cell>
          <cell r="Z918" t="str">
            <v>Unit Head</v>
          </cell>
          <cell r="AA918" t="str">
            <v>3C</v>
          </cell>
        </row>
        <row r="919">
          <cell r="A919">
            <v>1847</v>
          </cell>
          <cell r="B919">
            <v>1847</v>
          </cell>
          <cell r="C919" t="str">
            <v>A</v>
          </cell>
          <cell r="D919" t="str">
            <v>Noora Albadrsharif Alshateri</v>
          </cell>
          <cell r="E919" t="str">
            <v>نوره البدرشربف الشاطري</v>
          </cell>
          <cell r="F919">
            <v>45544</v>
          </cell>
          <cell r="G919" t="str">
            <v>50003002</v>
          </cell>
          <cell r="H919" t="str">
            <v>Finance Business Partner</v>
          </cell>
          <cell r="I919" t="str">
            <v>شريك الأعمال المالية</v>
          </cell>
          <cell r="J919" t="str">
            <v>On-Chart</v>
          </cell>
          <cell r="K919" t="str">
            <v>DCT Payroll</v>
          </cell>
          <cell r="L919" t="str">
            <v>A1</v>
          </cell>
          <cell r="M919" t="str">
            <v>Department of Culture and Tourism</v>
          </cell>
          <cell r="N919" t="str">
            <v>Support Services</v>
          </cell>
          <cell r="O919" t="str">
            <v>الخدمات المساندة</v>
          </cell>
          <cell r="P919" t="str">
            <v>Finance</v>
          </cell>
          <cell r="Q919" t="str">
            <v>إدارة المالية</v>
          </cell>
          <cell r="R919" t="str">
            <v>Finance Business Partners</v>
          </cell>
          <cell r="S919" t="str">
            <v>شركاء الأعمال المالية</v>
          </cell>
          <cell r="T919" t="str">
            <v>Finance Business Partners</v>
          </cell>
          <cell r="U919" t="str">
            <v>شركاء الأعمال المالية</v>
          </cell>
          <cell r="V919" t="str">
            <v>Abu Dhabi</v>
          </cell>
          <cell r="W919" t="str">
            <v/>
          </cell>
          <cell r="X919" t="str">
            <v>4510210</v>
          </cell>
          <cell r="Y919" t="str">
            <v>Finance_Financial Business Partners _Senior Professional</v>
          </cell>
          <cell r="Z919" t="str">
            <v>Senior Professional</v>
          </cell>
          <cell r="AA919" t="str">
            <v>3C</v>
          </cell>
        </row>
        <row r="920">
          <cell r="A920">
            <v>1848</v>
          </cell>
          <cell r="B920">
            <v>1848</v>
          </cell>
          <cell r="C920" t="str">
            <v>A</v>
          </cell>
          <cell r="D920" t="str">
            <v>Safea Mohammed Alsenaani</v>
          </cell>
          <cell r="E920" t="str">
            <v>صفيه محمد السناني</v>
          </cell>
          <cell r="F920">
            <v>45544</v>
          </cell>
          <cell r="G920" t="str">
            <v>50002707</v>
          </cell>
          <cell r="H920" t="str">
            <v>Applications Unit Head</v>
          </cell>
          <cell r="I920" t="str">
            <v>رئيس وحدة التطبيقات</v>
          </cell>
          <cell r="J920" t="str">
            <v>On-Chart</v>
          </cell>
          <cell r="K920" t="str">
            <v>DCT Payroll</v>
          </cell>
          <cell r="L920" t="str">
            <v>A1</v>
          </cell>
          <cell r="M920" t="str">
            <v>Department of Culture and Tourism</v>
          </cell>
          <cell r="N920" t="str">
            <v>Support Services</v>
          </cell>
          <cell r="O920" t="str">
            <v>الخدمات المساندة</v>
          </cell>
          <cell r="P920" t="str">
            <v>Technology</v>
          </cell>
          <cell r="Q920" t="str">
            <v>التكنولوجيا</v>
          </cell>
          <cell r="R920" t="str">
            <v>Business Applications</v>
          </cell>
          <cell r="S920" t="str">
            <v>التطبيقات المؤسسية</v>
          </cell>
          <cell r="T920" t="str">
            <v>Applications</v>
          </cell>
          <cell r="U920" t="str">
            <v>التطبيقات</v>
          </cell>
          <cell r="V920" t="str">
            <v>Abu Dhabi</v>
          </cell>
          <cell r="W920" t="str">
            <v/>
          </cell>
          <cell r="X920" t="str">
            <v>4510250</v>
          </cell>
          <cell r="Y920" t="str">
            <v>Information Technology_Business Applications _Unit Head</v>
          </cell>
          <cell r="Z920" t="str">
            <v>Unit Head</v>
          </cell>
          <cell r="AA920" t="str">
            <v>3C</v>
          </cell>
        </row>
        <row r="921">
          <cell r="A921">
            <v>1849</v>
          </cell>
          <cell r="B921">
            <v>1849</v>
          </cell>
          <cell r="C921" t="str">
            <v>A</v>
          </cell>
          <cell r="D921" t="str">
            <v>Mariam Slayem AlBlooshi</v>
          </cell>
          <cell r="E921" t="str">
            <v>مريم سليم البلوشي</v>
          </cell>
          <cell r="F921">
            <v>45545</v>
          </cell>
          <cell r="G921" t="str">
            <v>50002975</v>
          </cell>
          <cell r="H921" t="str">
            <v>ADHER Officer</v>
          </cell>
          <cell r="I921" t="str">
            <v>ضابط نظام سجل قاعدة البيانات للبيئة التاريخية</v>
          </cell>
          <cell r="J921" t="str">
            <v>On-Chart</v>
          </cell>
          <cell r="K921" t="str">
            <v>DCT Payroll</v>
          </cell>
          <cell r="L921" t="str">
            <v>A1</v>
          </cell>
          <cell r="M921" t="str">
            <v>Department of Culture and Tourism</v>
          </cell>
          <cell r="N921" t="str">
            <v>Culture</v>
          </cell>
          <cell r="O921" t="str">
            <v>الثقافة</v>
          </cell>
          <cell r="P921" t="str">
            <v>Historic Environment</v>
          </cell>
          <cell r="Q921" t="str">
            <v>البيئة التاريخية</v>
          </cell>
          <cell r="R921" t="str">
            <v>Development Control &amp; Documentation</v>
          </cell>
          <cell r="S921" t="str">
            <v>التوثيق ورقابة التطوير</v>
          </cell>
          <cell r="T921" t="str">
            <v>Documentation &amp; Archiving</v>
          </cell>
          <cell r="U921" t="str">
            <v>التوثيق والأرشفة</v>
          </cell>
          <cell r="V921" t="str">
            <v>Al Ain</v>
          </cell>
          <cell r="W921" t="str">
            <v/>
          </cell>
          <cell r="X921" t="str">
            <v>4511300</v>
          </cell>
          <cell r="Y921" t="str">
            <v>Compliance,Governance&amp;Protocol_Policy (Culture/Tourism) _Professional</v>
          </cell>
          <cell r="Z921" t="str">
            <v>Professional</v>
          </cell>
          <cell r="AA921" t="str">
            <v>4C</v>
          </cell>
        </row>
        <row r="922">
          <cell r="A922">
            <v>1851</v>
          </cell>
          <cell r="B922">
            <v>1851</v>
          </cell>
          <cell r="C922" t="str">
            <v>A</v>
          </cell>
          <cell r="D922" t="str">
            <v>Hamda Ahmed Alhouqani</v>
          </cell>
          <cell r="E922" t="str">
            <v>حمدة أحمد الحوقاني</v>
          </cell>
          <cell r="F922">
            <v>45539</v>
          </cell>
          <cell r="G922" t="str">
            <v>10007147</v>
          </cell>
          <cell r="H922" t="str">
            <v>Administrative Assistant</v>
          </cell>
          <cell r="I922" t="str">
            <v>مساعد إداري</v>
          </cell>
          <cell r="J922" t="str">
            <v>On-Chart</v>
          </cell>
          <cell r="K922" t="str">
            <v>DCT Payroll</v>
          </cell>
          <cell r="L922" t="str">
            <v>A1</v>
          </cell>
          <cell r="M922" t="str">
            <v>Department of Culture and Tourism</v>
          </cell>
          <cell r="N922" t="str">
            <v>Project Management &amp; Engineering</v>
          </cell>
          <cell r="O922" t="str">
            <v>مكتب وكيل الدائرة</v>
          </cell>
          <cell r="P922" t="str">
            <v>Project Management &amp; Engineering</v>
          </cell>
          <cell r="Q922" t="str">
            <v>هندسة وإدارة المشاريع</v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>Abu Dhabi</v>
          </cell>
          <cell r="W922" t="str">
            <v/>
          </cell>
          <cell r="X922" t="str">
            <v>4510150</v>
          </cell>
          <cell r="Y922" t="str">
            <v>GeneralSupport General &amp; Administration</v>
          </cell>
          <cell r="Z922" t="str">
            <v>Professional Assistant</v>
          </cell>
          <cell r="AA922" t="str">
            <v>4C</v>
          </cell>
        </row>
        <row r="923">
          <cell r="A923">
            <v>1852</v>
          </cell>
          <cell r="B923">
            <v>1852</v>
          </cell>
          <cell r="C923" t="str">
            <v>A</v>
          </cell>
          <cell r="D923" t="str">
            <v>Nader Saleh Alrowahi</v>
          </cell>
          <cell r="E923" t="str">
            <v>نادر صالح الرواحي</v>
          </cell>
          <cell r="F923">
            <v>45545</v>
          </cell>
          <cell r="G923" t="str">
            <v>50002487</v>
          </cell>
          <cell r="H923" t="str">
            <v>Data Governance Unit Head</v>
          </cell>
          <cell r="I923" t="str">
            <v>رئيس وحدة حوكمة البيانات</v>
          </cell>
          <cell r="J923" t="str">
            <v>On-Chart</v>
          </cell>
          <cell r="K923" t="str">
            <v>DCT Payroll</v>
          </cell>
          <cell r="L923" t="str">
            <v>A1</v>
          </cell>
          <cell r="M923" t="str">
            <v>Department of Culture and Tourism</v>
          </cell>
          <cell r="N923" t="str">
            <v>Strategic Affairs</v>
          </cell>
          <cell r="O923" t="str">
            <v>الشؤون الاستراتيجية</v>
          </cell>
          <cell r="P923" t="str">
            <v>Data &amp; AI Department</v>
          </cell>
          <cell r="Q923" t="str">
            <v>إدارة البيانات والذكاء الاصطناعي</v>
          </cell>
          <cell r="R923" t="str">
            <v>Enterprise Data Management</v>
          </cell>
          <cell r="S923" t="str">
            <v>قسم إدارة البيانات المؤسسية</v>
          </cell>
          <cell r="T923" t="str">
            <v>Data Governance</v>
          </cell>
          <cell r="U923" t="str">
            <v>حوكمة البيانات</v>
          </cell>
          <cell r="V923" t="str">
            <v>Abu Dhabi</v>
          </cell>
          <cell r="W923" t="str">
            <v/>
          </cell>
          <cell r="X923" t="str">
            <v>4512200</v>
          </cell>
          <cell r="Y923" t="str">
            <v>Strategy, Planning, Project Mgt_Business &amp; Market Intelligence  Analysis &amp; Planning_Unit Head</v>
          </cell>
          <cell r="Z923" t="str">
            <v>Unit Head</v>
          </cell>
          <cell r="AA923" t="str">
            <v>3C</v>
          </cell>
        </row>
        <row r="924">
          <cell r="A924">
            <v>1853</v>
          </cell>
          <cell r="B924">
            <v>1853</v>
          </cell>
          <cell r="C924" t="str">
            <v>A</v>
          </cell>
          <cell r="D924" t="str">
            <v>Tameem Ali Alhammadi</v>
          </cell>
          <cell r="E924" t="str">
            <v>تميم على الحمادي</v>
          </cell>
          <cell r="F924">
            <v>45551</v>
          </cell>
          <cell r="G924" t="str">
            <v>50002664</v>
          </cell>
          <cell r="H924" t="str">
            <v>Al Dhafra Islands Unit Head (Dalma Museum &amp; SBY Sites)</v>
          </cell>
          <cell r="I924" t="str">
            <v>رئيس وحدة جزر الظفرة (متحف دلما ومواقع صير بني ياس)</v>
          </cell>
          <cell r="J924" t="str">
            <v>On-Chart</v>
          </cell>
          <cell r="K924" t="str">
            <v>DCT Payroll</v>
          </cell>
          <cell r="L924" t="str">
            <v>A1</v>
          </cell>
          <cell r="M924" t="str">
            <v>Department of Culture and Tourism</v>
          </cell>
          <cell r="N924" t="str">
            <v>Culture</v>
          </cell>
          <cell r="O924" t="str">
            <v>الثقافة</v>
          </cell>
          <cell r="P924" t="str">
            <v>Culture Sites Management</v>
          </cell>
          <cell r="Q924" t="str">
            <v>إدارة المواقع الثقافية</v>
          </cell>
          <cell r="R924" t="str">
            <v>Al Dhafra Culture Sites</v>
          </cell>
          <cell r="S924" t="str">
            <v>مواقع الظفرة الثقافية</v>
          </cell>
          <cell r="T924" t="str">
            <v>Al Dhafra Islands (Dalma Museum &amp; SBY Sites)</v>
          </cell>
          <cell r="U924" t="str">
            <v>جزر الظفرة (متحف دلما ومواقع صير بني ياس)</v>
          </cell>
          <cell r="V924" t="str">
            <v>Abu Dhabi</v>
          </cell>
          <cell r="W924" t="str">
            <v/>
          </cell>
          <cell r="X924" t="str">
            <v>4511250</v>
          </cell>
          <cell r="Y924" t="str">
            <v>Compliance,Governance&amp;Protocol_Policy  (Culture &amp; Tourism)_Unit Head</v>
          </cell>
          <cell r="Z924" t="str">
            <v>Unit Head</v>
          </cell>
          <cell r="AA924" t="str">
            <v>3C</v>
          </cell>
        </row>
        <row r="925">
          <cell r="A925">
            <v>1855</v>
          </cell>
          <cell r="B925">
            <v>1855</v>
          </cell>
          <cell r="C925" t="str">
            <v>A</v>
          </cell>
          <cell r="D925" t="str">
            <v>Khalfan Mubarak Almazrouei</v>
          </cell>
          <cell r="E925" t="str">
            <v>خلفان مبارك المزروعي</v>
          </cell>
          <cell r="F925">
            <v>45551</v>
          </cell>
          <cell r="G925" t="str">
            <v>50002665</v>
          </cell>
          <cell r="H925" t="str">
            <v>Programming &amp; Public Engagement Senior Specialist</v>
          </cell>
          <cell r="I925" t="str">
            <v>أخصائي أول البرامج والمشاركة المجتمعية</v>
          </cell>
          <cell r="J925" t="str">
            <v>On-Chart</v>
          </cell>
          <cell r="K925" t="str">
            <v>DCT Payroll</v>
          </cell>
          <cell r="L925" t="str">
            <v>A1</v>
          </cell>
          <cell r="M925" t="str">
            <v>Department of Culture and Tourism</v>
          </cell>
          <cell r="N925" t="str">
            <v>Culture</v>
          </cell>
          <cell r="O925" t="str">
            <v>الثقافة</v>
          </cell>
          <cell r="P925" t="str">
            <v>Culture Sites Management</v>
          </cell>
          <cell r="Q925" t="str">
            <v>إدارة المواقع الثقافية</v>
          </cell>
          <cell r="R925" t="str">
            <v>Al Dhafra Culture Sites</v>
          </cell>
          <cell r="S925" t="str">
            <v>مواقع الظفرة الثقافية</v>
          </cell>
          <cell r="T925" t="str">
            <v>Programming &amp; Public Engagement</v>
          </cell>
          <cell r="U925" t="str">
            <v>البرامج والمشاركة المجتمعية</v>
          </cell>
          <cell r="V925" t="str">
            <v>Abu Dhabi</v>
          </cell>
          <cell r="W925" t="str">
            <v/>
          </cell>
          <cell r="X925" t="str">
            <v>4511250</v>
          </cell>
          <cell r="Y925" t="str">
            <v>Compliance,Governance&amp;Protocol_Policy (Culture/Tourism _Senior Professional</v>
          </cell>
          <cell r="Z925" t="str">
            <v>Senior Professional</v>
          </cell>
          <cell r="AA925" t="str">
            <v>3C</v>
          </cell>
        </row>
        <row r="926">
          <cell r="A926">
            <v>1856</v>
          </cell>
          <cell r="B926">
            <v>1856</v>
          </cell>
          <cell r="C926" t="str">
            <v>A</v>
          </cell>
          <cell r="D926" t="str">
            <v>Sara Binsafwan</v>
          </cell>
          <cell r="E926" t="str">
            <v xml:space="preserve">  </v>
          </cell>
          <cell r="F926">
            <v>45552</v>
          </cell>
          <cell r="G926" t="str">
            <v>50001885</v>
          </cell>
          <cell r="H926" t="str">
            <v>Curator</v>
          </cell>
          <cell r="I926" t="str">
            <v>أمين متحف</v>
          </cell>
          <cell r="J926" t="str">
            <v>On-Chart</v>
          </cell>
          <cell r="K926" t="str">
            <v>MSS Direct Hires</v>
          </cell>
          <cell r="L926" t="str">
            <v>M1</v>
          </cell>
          <cell r="M926" t="str">
            <v>Department of Culture and Tourism</v>
          </cell>
          <cell r="N926" t="str">
            <v>Culture</v>
          </cell>
          <cell r="O926" t="str">
            <v>الثقافة</v>
          </cell>
          <cell r="P926" t="str">
            <v>Guggenheim Abu Dhabi Museum</v>
          </cell>
          <cell r="Q926" t="str">
            <v>متحف جوجينهايم أبوظبي</v>
          </cell>
          <cell r="R926" t="str">
            <v>Guggenheim Abu Dhabi</v>
          </cell>
          <cell r="S926" t="str">
            <v>جوجينهايم أبوظبي</v>
          </cell>
          <cell r="T926" t="str">
            <v/>
          </cell>
          <cell r="U926" t="str">
            <v/>
          </cell>
          <cell r="V926" t="str">
            <v>Abu Dhabi</v>
          </cell>
          <cell r="W926" t="str">
            <v/>
          </cell>
          <cell r="X926" t="str">
            <v>4510410</v>
          </cell>
          <cell r="Y926" t="str">
            <v>Senior Specialization Content &amp; Care</v>
          </cell>
          <cell r="Z926" t="str">
            <v>Senior Professional</v>
          </cell>
          <cell r="AA926" t="str">
            <v>3B</v>
          </cell>
        </row>
        <row r="927">
          <cell r="A927">
            <v>1857</v>
          </cell>
          <cell r="B927">
            <v>1857</v>
          </cell>
          <cell r="C927" t="str">
            <v>A</v>
          </cell>
          <cell r="D927" t="str">
            <v>Jwaher Salem Almenhali</v>
          </cell>
          <cell r="E927" t="str">
            <v>جواهر سالم المنهالي</v>
          </cell>
          <cell r="F927">
            <v>45586</v>
          </cell>
          <cell r="G927" t="str">
            <v>50002833</v>
          </cell>
          <cell r="H927" t="str">
            <v>Sourcing Specialist</v>
          </cell>
          <cell r="I927" t="str">
            <v>أخصائي التوريد</v>
          </cell>
          <cell r="J927" t="str">
            <v>On-Chart</v>
          </cell>
          <cell r="K927" t="str">
            <v>MSS Direct Hires</v>
          </cell>
          <cell r="L927" t="str">
            <v>M1</v>
          </cell>
          <cell r="M927" t="str">
            <v>Department of Culture and Tourism</v>
          </cell>
          <cell r="N927" t="str">
            <v>Museums Shared Services</v>
          </cell>
          <cell r="O927" t="str">
            <v>الخدمات المشتركة للمتاحف</v>
          </cell>
          <cell r="P927" t="str">
            <v>Supply Management - MSS</v>
          </cell>
          <cell r="Q927" t="str">
            <v>إدارة الإمداد - الخدمات المشتركة للمتاحف</v>
          </cell>
          <cell r="R927" t="str">
            <v>Supply Management Operations Section</v>
          </cell>
          <cell r="S927" t="str">
            <v>قسم عمليات إدارة الإمداد</v>
          </cell>
          <cell r="T927" t="str">
            <v>Sourcing Unit</v>
          </cell>
          <cell r="U927" t="str">
            <v>وحدة التوريد</v>
          </cell>
          <cell r="V927" t="str">
            <v>Abu Dhabi</v>
          </cell>
          <cell r="W927" t="str">
            <v/>
          </cell>
          <cell r="X927" t="str">
            <v>4514160</v>
          </cell>
          <cell r="Y927" t="str">
            <v>Procurement_Procurement General_Professional</v>
          </cell>
          <cell r="Z927" t="str">
            <v>Professional</v>
          </cell>
          <cell r="AA927" t="str">
            <v>4C</v>
          </cell>
        </row>
        <row r="928">
          <cell r="A928">
            <v>1858</v>
          </cell>
          <cell r="B928">
            <v>1858</v>
          </cell>
          <cell r="C928" t="str">
            <v>A</v>
          </cell>
          <cell r="D928" t="str">
            <v>Iman Mohamad AlBlooshi</v>
          </cell>
          <cell r="E928" t="str">
            <v>إيمان محمد البلوشي</v>
          </cell>
          <cell r="F928">
            <v>45586</v>
          </cell>
          <cell r="G928" t="str">
            <v>50002842</v>
          </cell>
          <cell r="H928" t="str">
            <v>Executive Assistant (Supply Management)</v>
          </cell>
          <cell r="I928" t="str">
            <v>مساعد تنفيذي</v>
          </cell>
          <cell r="J928" t="str">
            <v>On-Chart</v>
          </cell>
          <cell r="K928" t="str">
            <v>MSS Direct Hires</v>
          </cell>
          <cell r="L928" t="str">
            <v>M1</v>
          </cell>
          <cell r="M928" t="str">
            <v>Department of Culture and Tourism</v>
          </cell>
          <cell r="N928" t="str">
            <v>Museums Shared Services</v>
          </cell>
          <cell r="O928" t="str">
            <v>الخدمات المشتركة للمتاحف</v>
          </cell>
          <cell r="P928" t="str">
            <v>Supply Management - MSS</v>
          </cell>
          <cell r="Q928" t="str">
            <v>إدارة الإمداد - الخدمات المشتركة للمتاحف</v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>Abu Dhabi</v>
          </cell>
          <cell r="W928" t="str">
            <v/>
          </cell>
          <cell r="X928" t="str">
            <v>4514160</v>
          </cell>
          <cell r="Y928" t="str">
            <v>Procurement_Procurement General_Professional</v>
          </cell>
          <cell r="Z928" t="str">
            <v>Professional</v>
          </cell>
          <cell r="AA928" t="str">
            <v>4C</v>
          </cell>
        </row>
        <row r="929">
          <cell r="A929">
            <v>1859</v>
          </cell>
          <cell r="B929">
            <v>1859</v>
          </cell>
          <cell r="C929" t="str">
            <v>A</v>
          </cell>
          <cell r="D929" t="str">
            <v>Noora Khalifa Alsuwaidi</v>
          </cell>
          <cell r="E929" t="str">
            <v>نوره خليفه السويدي</v>
          </cell>
          <cell r="F929">
            <v>45600</v>
          </cell>
          <cell r="G929" t="str">
            <v>50003040</v>
          </cell>
          <cell r="H929" t="str">
            <v>Marketing &amp; Communications  Department Director</v>
          </cell>
          <cell r="I929" t="str">
            <v>مدير إدارة التسويق والاتصال</v>
          </cell>
          <cell r="J929" t="str">
            <v>On-Chart</v>
          </cell>
          <cell r="K929" t="str">
            <v>MSS Direct Hires</v>
          </cell>
          <cell r="L929" t="str">
            <v>M1</v>
          </cell>
          <cell r="M929" t="str">
            <v>Department of Culture and Tourism</v>
          </cell>
          <cell r="N929" t="str">
            <v>Abrahamic Family House Center</v>
          </cell>
          <cell r="O929" t="str">
            <v>مركز بيت العائلة الإبراهيمية</v>
          </cell>
          <cell r="P929" t="str">
            <v>Marketing &amp; Communications</v>
          </cell>
          <cell r="Q929" t="str">
            <v>التسويق والاتصال</v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>Abu Dhabi</v>
          </cell>
          <cell r="W929" t="str">
            <v/>
          </cell>
          <cell r="X929" t="str">
            <v>4514121</v>
          </cell>
          <cell r="Y929" t="str">
            <v>Comms &amp; Marketing _Marketing &amp; Communications _Director SP</v>
          </cell>
          <cell r="Z929" t="str">
            <v>Director</v>
          </cell>
          <cell r="AA929" t="str">
            <v>1C</v>
          </cell>
        </row>
        <row r="930">
          <cell r="A930">
            <v>1861</v>
          </cell>
          <cell r="B930">
            <v>1861</v>
          </cell>
          <cell r="C930" t="str">
            <v>A</v>
          </cell>
          <cell r="D930" t="str">
            <v>Amal Ali Aldhaheri</v>
          </cell>
          <cell r="E930" t="str">
            <v>أمل علي الظاهري</v>
          </cell>
          <cell r="F930">
            <v>45607</v>
          </cell>
          <cell r="G930" t="str">
            <v>50001980</v>
          </cell>
          <cell r="H930" t="str">
            <v>Senior Visitor Services Supervisor</v>
          </cell>
          <cell r="I930" t="str">
            <v>مشرف أول خدمات الزوار</v>
          </cell>
          <cell r="J930" t="str">
            <v>On-Chart</v>
          </cell>
          <cell r="K930" t="str">
            <v>MSS Direct Hires</v>
          </cell>
          <cell r="L930" t="str">
            <v>M1</v>
          </cell>
          <cell r="M930" t="str">
            <v>Department of Culture and Tourism</v>
          </cell>
          <cell r="N930" t="str">
            <v>Zayed National Museum</v>
          </cell>
          <cell r="O930" t="str">
            <v>متحف زايد الوطني</v>
          </cell>
          <cell r="P930" t="str">
            <v>Marketing &amp; Communication</v>
          </cell>
          <cell r="Q930" t="str">
            <v>التسويق والاتصال</v>
          </cell>
          <cell r="R930" t="str">
            <v>Visitor Services</v>
          </cell>
          <cell r="S930" t="str">
            <v>خدمات الزوّار</v>
          </cell>
          <cell r="T930" t="str">
            <v>Visitor Services</v>
          </cell>
          <cell r="U930" t="str">
            <v>خدمات الزوّار</v>
          </cell>
          <cell r="V930" t="str">
            <v>Abu Dhabi</v>
          </cell>
          <cell r="W930" t="str">
            <v/>
          </cell>
          <cell r="X930" t="str">
            <v>4510185</v>
          </cell>
          <cell r="Y930" t="str">
            <v>Comms &amp; Marketing _Marketing &amp; Communications (All)_Professional</v>
          </cell>
          <cell r="Z930" t="str">
            <v>Professional</v>
          </cell>
          <cell r="AA930" t="str">
            <v>3C</v>
          </cell>
        </row>
        <row r="931">
          <cell r="A931">
            <v>1862</v>
          </cell>
          <cell r="B931">
            <v>1862</v>
          </cell>
          <cell r="C931" t="str">
            <v>A</v>
          </cell>
          <cell r="D931" t="str">
            <v>Ahmed Khaled Helal</v>
          </cell>
          <cell r="E931" t="str">
            <v>أحمد خالد هلال</v>
          </cell>
          <cell r="F931">
            <v>45587</v>
          </cell>
          <cell r="G931" t="str">
            <v>50001981</v>
          </cell>
          <cell r="H931" t="str">
            <v>Senior Visitor Services Supervisor</v>
          </cell>
          <cell r="I931" t="str">
            <v>مشرف أول خدمات الزوار</v>
          </cell>
          <cell r="J931" t="str">
            <v>On-Chart</v>
          </cell>
          <cell r="K931" t="str">
            <v>MSS Direct Hires</v>
          </cell>
          <cell r="L931" t="str">
            <v>M1</v>
          </cell>
          <cell r="M931" t="str">
            <v>Department of Culture and Tourism</v>
          </cell>
          <cell r="N931" t="str">
            <v>Zayed National Museum</v>
          </cell>
          <cell r="O931" t="str">
            <v>متحف زايد الوطني</v>
          </cell>
          <cell r="P931" t="str">
            <v>Marketing &amp; Communication</v>
          </cell>
          <cell r="Q931" t="str">
            <v>التسويق والاتصال</v>
          </cell>
          <cell r="R931" t="str">
            <v>Visitor Services</v>
          </cell>
          <cell r="S931" t="str">
            <v>خدمات الزوّار</v>
          </cell>
          <cell r="T931" t="str">
            <v/>
          </cell>
          <cell r="U931" t="str">
            <v/>
          </cell>
          <cell r="V931" t="str">
            <v>Abu Dhabi</v>
          </cell>
          <cell r="W931" t="str">
            <v/>
          </cell>
          <cell r="X931" t="str">
            <v>4510185</v>
          </cell>
          <cell r="Y931" t="str">
            <v>Comms &amp; Marketing _Marketing &amp; Communications (All)_Professional</v>
          </cell>
          <cell r="Z931" t="str">
            <v>Professional</v>
          </cell>
          <cell r="AA931" t="str">
            <v>3C</v>
          </cell>
        </row>
        <row r="932">
          <cell r="A932">
            <v>1864</v>
          </cell>
          <cell r="B932">
            <v>1864</v>
          </cell>
          <cell r="C932" t="str">
            <v>A</v>
          </cell>
          <cell r="D932" t="str">
            <v>Alyazia Ali Alalawi</v>
          </cell>
          <cell r="E932" t="str">
            <v>اليازيه علي العلوي</v>
          </cell>
          <cell r="F932">
            <v>45607</v>
          </cell>
          <cell r="G932" t="str">
            <v>50000716</v>
          </cell>
          <cell r="H932" t="str">
            <v>Senior Design Specialist</v>
          </cell>
          <cell r="I932" t="str">
            <v>مصمم أول</v>
          </cell>
          <cell r="J932" t="str">
            <v>On-Chart</v>
          </cell>
          <cell r="K932" t="str">
            <v>MSS Direct Hires</v>
          </cell>
          <cell r="L932" t="str">
            <v>M1</v>
          </cell>
          <cell r="M932" t="str">
            <v>Department of Culture and Tourism</v>
          </cell>
          <cell r="N932" t="str">
            <v>Zayed National Museum</v>
          </cell>
          <cell r="O932" t="str">
            <v>متحف زايد الوطني</v>
          </cell>
          <cell r="P932" t="str">
            <v>Marketing &amp; Communication</v>
          </cell>
          <cell r="Q932" t="str">
            <v>التسويق والاتصال</v>
          </cell>
          <cell r="R932" t="str">
            <v>Marketing</v>
          </cell>
          <cell r="S932" t="str">
            <v>التسويق</v>
          </cell>
          <cell r="T932" t="str">
            <v>Marketing</v>
          </cell>
          <cell r="U932" t="str">
            <v>التسويق</v>
          </cell>
          <cell r="V932" t="str">
            <v>Abu Dhabi</v>
          </cell>
          <cell r="W932" t="str">
            <v/>
          </cell>
          <cell r="X932" t="str">
            <v>4510185</v>
          </cell>
          <cell r="Y932" t="str">
            <v>Comms &amp; Marketing _Marketing &amp; Communications (All areas)_Senior Professional</v>
          </cell>
          <cell r="Z932" t="str">
            <v>Senior Professional</v>
          </cell>
          <cell r="AA932" t="str">
            <v>3C</v>
          </cell>
        </row>
        <row r="933">
          <cell r="A933">
            <v>1865</v>
          </cell>
          <cell r="B933">
            <v>1865</v>
          </cell>
          <cell r="C933" t="str">
            <v>A</v>
          </cell>
          <cell r="D933" t="str">
            <v>Sara Ali Aljneibi</v>
          </cell>
          <cell r="E933" t="str">
            <v>ساره علي الجنيبي</v>
          </cell>
          <cell r="F933">
            <v>45593</v>
          </cell>
          <cell r="G933" t="str">
            <v>50000726</v>
          </cell>
          <cell r="H933" t="str">
            <v>Senior Communications Specialist</v>
          </cell>
          <cell r="I933" t="str">
            <v>أخصائي أول الاتصال</v>
          </cell>
          <cell r="J933" t="str">
            <v>On-Chart</v>
          </cell>
          <cell r="K933" t="str">
            <v>MSS Direct Hires</v>
          </cell>
          <cell r="L933" t="str">
            <v>M1</v>
          </cell>
          <cell r="M933" t="str">
            <v>Department of Culture and Tourism</v>
          </cell>
          <cell r="N933" t="str">
            <v>Zayed National Museum</v>
          </cell>
          <cell r="O933" t="str">
            <v>متحف زايد الوطني</v>
          </cell>
          <cell r="P933" t="str">
            <v>Marketing &amp; Communication</v>
          </cell>
          <cell r="Q933" t="str">
            <v>التسويق والاتصال</v>
          </cell>
          <cell r="R933" t="str">
            <v>Communications</v>
          </cell>
          <cell r="S933" t="str">
            <v>الاتصال</v>
          </cell>
          <cell r="T933" t="str">
            <v>Communications</v>
          </cell>
          <cell r="U933" t="str">
            <v>الاتصال</v>
          </cell>
          <cell r="V933" t="str">
            <v>Abu Dhabi</v>
          </cell>
          <cell r="W933" t="str">
            <v/>
          </cell>
          <cell r="X933" t="str">
            <v>4510185</v>
          </cell>
          <cell r="Y933" t="str">
            <v>Comms &amp; Marketing _Marketing &amp; Communications (All areas)_Senior Professional</v>
          </cell>
          <cell r="Z933" t="str">
            <v>Senior Professional</v>
          </cell>
          <cell r="AA933" t="str">
            <v>3C</v>
          </cell>
        </row>
        <row r="934">
          <cell r="A934">
            <v>1867</v>
          </cell>
          <cell r="B934">
            <v>1867</v>
          </cell>
          <cell r="C934" t="str">
            <v>A</v>
          </cell>
          <cell r="D934" t="str">
            <v>Hamda Dagher Almarar</v>
          </cell>
          <cell r="E934" t="str">
            <v>حمده داغر المرر</v>
          </cell>
          <cell r="F934">
            <v>45579</v>
          </cell>
          <cell r="G934" t="str">
            <v>50000729</v>
          </cell>
          <cell r="H934" t="str">
            <v>Videography And Photography Specialist</v>
          </cell>
          <cell r="I934" t="str">
            <v>أخصائي تصوير الفيديوهات والتصوير الفوتوغرافي</v>
          </cell>
          <cell r="J934" t="str">
            <v>On-Chart</v>
          </cell>
          <cell r="K934" t="str">
            <v>MSS Direct Hires</v>
          </cell>
          <cell r="L934" t="str">
            <v>M1</v>
          </cell>
          <cell r="M934" t="str">
            <v>Department of Culture and Tourism</v>
          </cell>
          <cell r="N934" t="str">
            <v>Zayed National Museum</v>
          </cell>
          <cell r="O934" t="str">
            <v>متحف زايد الوطني</v>
          </cell>
          <cell r="P934" t="str">
            <v>Marketing &amp; Communication</v>
          </cell>
          <cell r="Q934" t="str">
            <v>التسويق والاتصال</v>
          </cell>
          <cell r="R934" t="str">
            <v>Communications</v>
          </cell>
          <cell r="S934" t="str">
            <v>الاتصال</v>
          </cell>
          <cell r="T934" t="str">
            <v>Communications</v>
          </cell>
          <cell r="U934" t="str">
            <v>الاتصال</v>
          </cell>
          <cell r="V934" t="str">
            <v>Abu Dhabi</v>
          </cell>
          <cell r="W934" t="str">
            <v/>
          </cell>
          <cell r="X934" t="str">
            <v>4510185</v>
          </cell>
          <cell r="Y934" t="str">
            <v>Comms &amp; Marketing _Marketing &amp; Communications (All)_Professional</v>
          </cell>
          <cell r="Z934" t="str">
            <v>Professional</v>
          </cell>
          <cell r="AA934" t="str">
            <v>4C</v>
          </cell>
        </row>
        <row r="935">
          <cell r="A935">
            <v>1868</v>
          </cell>
          <cell r="B935">
            <v>1868</v>
          </cell>
          <cell r="C935" t="str">
            <v>A</v>
          </cell>
          <cell r="D935" t="str">
            <v>Shaikha Yaslam Alameri</v>
          </cell>
          <cell r="E935" t="str">
            <v>شيخه يسلم العامري</v>
          </cell>
          <cell r="F935">
            <v>45635</v>
          </cell>
          <cell r="G935" t="str">
            <v>50000713</v>
          </cell>
          <cell r="H935" t="str">
            <v>Marketing Unit Head</v>
          </cell>
          <cell r="I935" t="str">
            <v>رئيس وحدة التسويق</v>
          </cell>
          <cell r="J935" t="str">
            <v>On-Chart</v>
          </cell>
          <cell r="K935" t="str">
            <v>MSS Direct Hires</v>
          </cell>
          <cell r="L935" t="str">
            <v>M1</v>
          </cell>
          <cell r="M935" t="str">
            <v>Department of Culture and Tourism</v>
          </cell>
          <cell r="N935" t="str">
            <v>Zayed National Museum</v>
          </cell>
          <cell r="O935" t="str">
            <v>متحف زايد الوطني</v>
          </cell>
          <cell r="P935" t="str">
            <v>Marketing &amp; Communication</v>
          </cell>
          <cell r="Q935" t="str">
            <v>التسويق والاتصال</v>
          </cell>
          <cell r="R935" t="str">
            <v>Marketing</v>
          </cell>
          <cell r="S935" t="str">
            <v>التسويق</v>
          </cell>
          <cell r="T935" t="str">
            <v>Marketing</v>
          </cell>
          <cell r="U935" t="str">
            <v>التسويق</v>
          </cell>
          <cell r="V935" t="str">
            <v>Abu Dhabi</v>
          </cell>
          <cell r="W935" t="str">
            <v/>
          </cell>
          <cell r="X935" t="str">
            <v>4510185</v>
          </cell>
          <cell r="Y935" t="str">
            <v>Comms &amp; Marketing _Communications (All Areas)_Unit Head</v>
          </cell>
          <cell r="Z935" t="str">
            <v>Unit Head</v>
          </cell>
          <cell r="AA935" t="str">
            <v>3C</v>
          </cell>
        </row>
        <row r="936">
          <cell r="A936">
            <v>1869</v>
          </cell>
          <cell r="B936">
            <v>1869</v>
          </cell>
          <cell r="C936" t="str">
            <v>A</v>
          </cell>
          <cell r="D936" t="str">
            <v>Hend Sultan Al Qemzi</v>
          </cell>
          <cell r="E936" t="str">
            <v>هند سلطان القمزي</v>
          </cell>
          <cell r="F936">
            <v>45586</v>
          </cell>
          <cell r="G936" t="str">
            <v>50000721</v>
          </cell>
          <cell r="H936" t="str">
            <v>Digital Marketing Specialist</v>
          </cell>
          <cell r="I936" t="str">
            <v>أخصائي التسويق الرقمي</v>
          </cell>
          <cell r="J936" t="str">
            <v>On-Chart</v>
          </cell>
          <cell r="K936" t="str">
            <v>MSS Direct Hires</v>
          </cell>
          <cell r="L936" t="str">
            <v>M1</v>
          </cell>
          <cell r="M936" t="str">
            <v>Department of Culture and Tourism</v>
          </cell>
          <cell r="N936" t="str">
            <v>Zayed National Museum</v>
          </cell>
          <cell r="O936" t="str">
            <v>متحف زايد الوطني</v>
          </cell>
          <cell r="P936" t="str">
            <v>Marketing &amp; Communication</v>
          </cell>
          <cell r="Q936" t="str">
            <v>التسويق والاتصال</v>
          </cell>
          <cell r="R936" t="str">
            <v>Marketing</v>
          </cell>
          <cell r="S936" t="str">
            <v>التسويق</v>
          </cell>
          <cell r="T936" t="str">
            <v>Digital Marketing</v>
          </cell>
          <cell r="U936" t="str">
            <v>التسويق الرقمي</v>
          </cell>
          <cell r="V936" t="str">
            <v>Abu Dhabi</v>
          </cell>
          <cell r="W936" t="str">
            <v/>
          </cell>
          <cell r="X936" t="str">
            <v>4510185</v>
          </cell>
          <cell r="Y936" t="str">
            <v>Comms &amp; Marketing _Marketing &amp; Communications (All)_Professional</v>
          </cell>
          <cell r="Z936" t="str">
            <v>Professional</v>
          </cell>
          <cell r="AA936" t="str">
            <v>4C</v>
          </cell>
        </row>
        <row r="937">
          <cell r="A937">
            <v>1872</v>
          </cell>
          <cell r="B937">
            <v>1872</v>
          </cell>
          <cell r="C937" t="str">
            <v>A</v>
          </cell>
          <cell r="D937" t="str">
            <v>Akhil Alayil Anilan</v>
          </cell>
          <cell r="E937" t="str">
            <v>اخيل الايل البلان</v>
          </cell>
          <cell r="F937">
            <v>45616</v>
          </cell>
          <cell r="G937" t="str">
            <v>50000575</v>
          </cell>
          <cell r="H937" t="str">
            <v>Senior Events Specialist</v>
          </cell>
          <cell r="I937" t="str">
            <v>أخصائي أول الفعاليات</v>
          </cell>
          <cell r="J937" t="str">
            <v>On-Chart</v>
          </cell>
          <cell r="K937" t="str">
            <v>MSS Direct Hires</v>
          </cell>
          <cell r="L937" t="str">
            <v>M1</v>
          </cell>
          <cell r="M937" t="str">
            <v>Department of Culture and Tourism</v>
          </cell>
          <cell r="N937" t="str">
            <v>Zayed National Museum</v>
          </cell>
          <cell r="O937" t="str">
            <v>متحف زايد الوطني</v>
          </cell>
          <cell r="P937" t="str">
            <v>Development &amp; Commercial Services</v>
          </cell>
          <cell r="Q937" t="str">
            <v>التطوير والخدمات التجارية</v>
          </cell>
          <cell r="R937" t="str">
            <v>Events</v>
          </cell>
          <cell r="S937" t="str">
            <v>الفعاليات</v>
          </cell>
          <cell r="T937" t="str">
            <v/>
          </cell>
          <cell r="U937" t="str">
            <v/>
          </cell>
          <cell r="V937" t="str">
            <v>Abu Dhabi</v>
          </cell>
          <cell r="W937" t="str">
            <v/>
          </cell>
          <cell r="X937" t="str">
            <v>4510183</v>
          </cell>
          <cell r="Y937" t="str">
            <v>Commercial _Commercial, Sales &amp; Industry  Development _Senior Professional</v>
          </cell>
          <cell r="Z937" t="str">
            <v>Senior Professional</v>
          </cell>
          <cell r="AA937" t="str">
            <v>3C</v>
          </cell>
        </row>
        <row r="938">
          <cell r="A938">
            <v>1873</v>
          </cell>
          <cell r="B938">
            <v>1873</v>
          </cell>
          <cell r="C938" t="str">
            <v>A</v>
          </cell>
          <cell r="D938" t="str">
            <v>Fayeza Yahya Alseiari</v>
          </cell>
          <cell r="E938" t="str">
            <v>فايزه يحيى الصيعري</v>
          </cell>
          <cell r="F938">
            <v>45614</v>
          </cell>
          <cell r="G938" t="str">
            <v>50000674</v>
          </cell>
          <cell r="H938" t="str">
            <v>School Programmes Unit Head</v>
          </cell>
          <cell r="I938" t="str">
            <v>رئيس وحدة برامج المدارس</v>
          </cell>
          <cell r="J938" t="str">
            <v>On-Chart</v>
          </cell>
          <cell r="K938" t="str">
            <v>MSS Direct Hires</v>
          </cell>
          <cell r="L938" t="str">
            <v>M1</v>
          </cell>
          <cell r="M938" t="str">
            <v>Department of Culture and Tourism</v>
          </cell>
          <cell r="N938" t="str">
            <v>Zayed National Museum</v>
          </cell>
          <cell r="O938" t="str">
            <v>متحف زايد الوطني</v>
          </cell>
          <cell r="P938" t="str">
            <v>Learning &amp; Public Engagement</v>
          </cell>
          <cell r="Q938" t="str">
            <v>التعليم والمشاركة المجتمعية</v>
          </cell>
          <cell r="R938" t="str">
            <v>Learning &amp; Audience Engagement</v>
          </cell>
          <cell r="S938" t="str">
            <v>التعليم وإشراك الجمهور</v>
          </cell>
          <cell r="T938" t="str">
            <v>School Programmes</v>
          </cell>
          <cell r="U938" t="str">
            <v>برامج المدارس</v>
          </cell>
          <cell r="V938" t="str">
            <v>Abu Dhabi</v>
          </cell>
          <cell r="W938" t="str">
            <v/>
          </cell>
          <cell r="X938" t="str">
            <v>4510182</v>
          </cell>
          <cell r="Y938" t="str">
            <v>Interpretation &amp; Engagement_Education &amp; Learning Development &amp;   Engagement(All)_Unit Head</v>
          </cell>
          <cell r="Z938" t="str">
            <v>Unit Head</v>
          </cell>
          <cell r="AA938" t="str">
            <v>3C</v>
          </cell>
        </row>
        <row r="939">
          <cell r="A939">
            <v>1874</v>
          </cell>
          <cell r="B939">
            <v>1874</v>
          </cell>
          <cell r="C939" t="str">
            <v>A</v>
          </cell>
          <cell r="D939" t="str">
            <v>Mahra Eisa Alqubaisi</v>
          </cell>
          <cell r="E939" t="str">
            <v>مهره عيسى القبيسي</v>
          </cell>
          <cell r="F939">
            <v>45572</v>
          </cell>
          <cell r="G939" t="str">
            <v>50000787</v>
          </cell>
          <cell r="H939" t="str">
            <v>School Programme Specialist</v>
          </cell>
          <cell r="I939" t="str">
            <v>أخصائي برامج المدارس</v>
          </cell>
          <cell r="J939" t="str">
            <v>On-Chart</v>
          </cell>
          <cell r="K939" t="str">
            <v>MSS Direct Hires</v>
          </cell>
          <cell r="L939" t="str">
            <v>M1</v>
          </cell>
          <cell r="M939" t="str">
            <v>Department of Culture and Tourism</v>
          </cell>
          <cell r="N939" t="str">
            <v>Zayed National Museum</v>
          </cell>
          <cell r="O939" t="str">
            <v>متحف زايد الوطني</v>
          </cell>
          <cell r="P939" t="str">
            <v>Learning &amp; Public Engagement</v>
          </cell>
          <cell r="Q939" t="str">
            <v>التعليم والمشاركة المجتمعية</v>
          </cell>
          <cell r="R939" t="str">
            <v>Learning &amp; Audience Engagement</v>
          </cell>
          <cell r="S939" t="str">
            <v>التعليم وإشراك الجمهور</v>
          </cell>
          <cell r="T939" t="str">
            <v>School Programmes</v>
          </cell>
          <cell r="U939" t="str">
            <v>برامج المدارس</v>
          </cell>
          <cell r="V939" t="str">
            <v>Abu Dhabi</v>
          </cell>
          <cell r="W939" t="str">
            <v/>
          </cell>
          <cell r="X939" t="str">
            <v>4510182</v>
          </cell>
          <cell r="Y939" t="str">
            <v>Interpretation &amp; Engagement_Learning Resources_Professional</v>
          </cell>
          <cell r="Z939" t="str">
            <v>Professional</v>
          </cell>
          <cell r="AA939" t="str">
            <v>4C</v>
          </cell>
        </row>
        <row r="940">
          <cell r="A940">
            <v>1875</v>
          </cell>
          <cell r="B940">
            <v>1875</v>
          </cell>
          <cell r="C940" t="str">
            <v>A</v>
          </cell>
          <cell r="D940" t="str">
            <v>Fatema Ahmed Albahrani</v>
          </cell>
          <cell r="E940" t="str">
            <v>فاطمة أحمد البحراني</v>
          </cell>
          <cell r="F940">
            <v>45603</v>
          </cell>
          <cell r="G940" t="str">
            <v>10010468</v>
          </cell>
          <cell r="H940" t="str">
            <v>Acquisition Specialist</v>
          </cell>
          <cell r="I940" t="str">
            <v>أخصائي تزويد</v>
          </cell>
          <cell r="J940" t="str">
            <v>On-Chart</v>
          </cell>
          <cell r="K940" t="str">
            <v>MSS Direct Hires</v>
          </cell>
          <cell r="L940" t="str">
            <v>M1</v>
          </cell>
          <cell r="M940" t="str">
            <v>Louvre Abu Dhabi</v>
          </cell>
          <cell r="N940" t="str">
            <v>Louvre Abu Dhabi</v>
          </cell>
          <cell r="O940" t="str">
            <v>متحف اللوفر أبوظبي</v>
          </cell>
          <cell r="P940" t="str">
            <v>Scientific, Curatorial &amp; Collection Management</v>
          </cell>
          <cell r="Q940" t="str">
            <v>إدارة المقتنيات العلمية والتنظيمية</v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>Abu Dhabi</v>
          </cell>
          <cell r="W940" t="str">
            <v/>
          </cell>
          <cell r="X940" t="str">
            <v>4510122</v>
          </cell>
          <cell r="Y940" t="str">
            <v>Content &amp; Care_Collections  Acquisition &amp; Commissions_Professional Assistant</v>
          </cell>
          <cell r="Z940" t="str">
            <v>Professional</v>
          </cell>
          <cell r="AA940" t="str">
            <v>4C</v>
          </cell>
        </row>
        <row r="941">
          <cell r="A941">
            <v>1876</v>
          </cell>
          <cell r="B941">
            <v>1876</v>
          </cell>
          <cell r="C941" t="str">
            <v>A</v>
          </cell>
          <cell r="D941" t="str">
            <v>Amani Adel Al Janahi</v>
          </cell>
          <cell r="E941" t="str">
            <v>أماني عادل الجناحي</v>
          </cell>
          <cell r="F941">
            <v>45587</v>
          </cell>
          <cell r="G941" t="str">
            <v>10006943</v>
          </cell>
          <cell r="H941" t="str">
            <v>Resource Centre Officer</v>
          </cell>
          <cell r="I941" t="str">
            <v>ضابط مركز الموارد</v>
          </cell>
          <cell r="J941" t="str">
            <v>On-Chart</v>
          </cell>
          <cell r="K941" t="str">
            <v>MSS Direct Hires</v>
          </cell>
          <cell r="L941" t="str">
            <v>M1</v>
          </cell>
          <cell r="M941" t="str">
            <v>Louvre Abu Dhabi</v>
          </cell>
          <cell r="N941" t="str">
            <v>Louvre Abu Dhabi</v>
          </cell>
          <cell r="O941" t="str">
            <v>متحف اللوفر أبوظبي</v>
          </cell>
          <cell r="P941" t="str">
            <v>Scientific, Curatorial &amp; Collection Management</v>
          </cell>
          <cell r="Q941" t="str">
            <v>إدارة المقتنيات العلمية والتنظيمية</v>
          </cell>
          <cell r="R941" t="str">
            <v>Research &amp; Documentation</v>
          </cell>
          <cell r="S941" t="str">
            <v/>
          </cell>
          <cell r="T941" t="str">
            <v/>
          </cell>
          <cell r="U941" t="str">
            <v/>
          </cell>
          <cell r="V941" t="str">
            <v>Abu Dhabi</v>
          </cell>
          <cell r="W941" t="str">
            <v/>
          </cell>
          <cell r="X941" t="str">
            <v>4510122</v>
          </cell>
          <cell r="Y941" t="str">
            <v>Content &amp; Care_Artisan _Assistant &amp; Technical Staff</v>
          </cell>
          <cell r="Z941" t="str">
            <v>Professional</v>
          </cell>
          <cell r="AA941" t="str">
            <v>4C</v>
          </cell>
        </row>
        <row r="942">
          <cell r="A942">
            <v>1878</v>
          </cell>
          <cell r="B942">
            <v>1878</v>
          </cell>
          <cell r="C942" t="str">
            <v>A</v>
          </cell>
          <cell r="D942" t="str">
            <v>Rauda Mohamed AlDhaheri</v>
          </cell>
          <cell r="E942" t="str">
            <v>روضه محمد الظاهري</v>
          </cell>
          <cell r="F942">
            <v>45579</v>
          </cell>
          <cell r="G942" t="str">
            <v>50001362</v>
          </cell>
          <cell r="H942" t="str">
            <v>Programmes Development Specialist</v>
          </cell>
          <cell r="I942" t="str">
            <v>أخصائي تطوير البرامج</v>
          </cell>
          <cell r="J942" t="str">
            <v>On-Chart</v>
          </cell>
          <cell r="K942" t="str">
            <v>DCT Payroll</v>
          </cell>
          <cell r="L942" t="str">
            <v>A1</v>
          </cell>
          <cell r="M942" t="str">
            <v>Department of Culture and Tourism</v>
          </cell>
          <cell r="N942" t="str">
            <v>Culture</v>
          </cell>
          <cell r="O942" t="str">
            <v>الثقافة</v>
          </cell>
          <cell r="P942" t="str">
            <v>Culture Festivals &amp; Platforms</v>
          </cell>
          <cell r="Q942" t="str">
            <v>المهرجانات والمنصات الثقافية</v>
          </cell>
          <cell r="R942" t="str">
            <v>Programmes Development</v>
          </cell>
          <cell r="S942" t="str">
            <v>تطوير البرامج</v>
          </cell>
          <cell r="T942" t="str">
            <v/>
          </cell>
          <cell r="U942" t="str">
            <v/>
          </cell>
          <cell r="V942" t="str">
            <v>Abu Dhabi</v>
          </cell>
          <cell r="W942" t="str">
            <v/>
          </cell>
          <cell r="X942" t="str">
            <v>4511750</v>
          </cell>
          <cell r="Y942" t="str">
            <v>Commercial _Conventions, Exhibitions, Events &amp; Festivals Development &amp; Sales  _Professional</v>
          </cell>
          <cell r="Z942" t="str">
            <v>Professional</v>
          </cell>
          <cell r="AA942" t="str">
            <v>4C</v>
          </cell>
        </row>
        <row r="943">
          <cell r="A943">
            <v>1879</v>
          </cell>
          <cell r="B943">
            <v>1879</v>
          </cell>
          <cell r="C943" t="str">
            <v>A</v>
          </cell>
          <cell r="D943" t="str">
            <v>Fatima Ibrahim Alameri</v>
          </cell>
          <cell r="E943" t="str">
            <v>فاطمه إبراهيم العامري</v>
          </cell>
          <cell r="F943">
            <v>45579</v>
          </cell>
          <cell r="G943" t="str">
            <v>50000982</v>
          </cell>
          <cell r="H943" t="str">
            <v>Editor</v>
          </cell>
          <cell r="I943" t="str">
            <v>محرر</v>
          </cell>
          <cell r="J943" t="str">
            <v>On-Chart</v>
          </cell>
          <cell r="K943" t="str">
            <v>ALC Direct Hires</v>
          </cell>
          <cell r="L943" t="str">
            <v>AL1</v>
          </cell>
          <cell r="M943" t="str">
            <v>Abu Dhabi Arabic Language Centre</v>
          </cell>
          <cell r="N943" t="str">
            <v>Abu Dhabi Arabic Language Centre</v>
          </cell>
          <cell r="O943" t="str">
            <v>مركز أبوظبي للغة العربية</v>
          </cell>
          <cell r="P943" t="str">
            <v>Creative Content</v>
          </cell>
          <cell r="Q943" t="str">
            <v>المحتوى الإبداعي</v>
          </cell>
          <cell r="R943" t="str">
            <v>Publishing Programmes - ALC</v>
          </cell>
          <cell r="S943" t="str">
            <v>برامج النشر</v>
          </cell>
          <cell r="T943" t="str">
            <v/>
          </cell>
          <cell r="U943" t="str">
            <v/>
          </cell>
          <cell r="V943" t="str">
            <v>Abu Dhabi</v>
          </cell>
          <cell r="W943" t="str">
            <v/>
          </cell>
          <cell r="X943" t="str">
            <v>4519199</v>
          </cell>
          <cell r="Y943" t="str">
            <v>Interpretation &amp; Engagement_Arabic Language Research &amp; Studies_Professional</v>
          </cell>
          <cell r="Z943" t="str">
            <v>Professional</v>
          </cell>
          <cell r="AA943" t="str">
            <v>4C</v>
          </cell>
        </row>
        <row r="944">
          <cell r="A944">
            <v>1880</v>
          </cell>
          <cell r="B944">
            <v>1880</v>
          </cell>
          <cell r="C944" t="str">
            <v>A</v>
          </cell>
          <cell r="D944" t="str">
            <v>Fatima Adnan Aldaweela</v>
          </cell>
          <cell r="E944" t="str">
            <v>فاطمه عدنان الهاشمي</v>
          </cell>
          <cell r="F944">
            <v>45580</v>
          </cell>
          <cell r="G944" t="str">
            <v>50000871</v>
          </cell>
          <cell r="H944" t="str">
            <v>WHS Data Analyst</v>
          </cell>
          <cell r="I944" t="str">
            <v>محلل بيانات مواقع التراث العالمي</v>
          </cell>
          <cell r="J944" t="str">
            <v>On-Chart</v>
          </cell>
          <cell r="K944" t="str">
            <v>DCT Payroll</v>
          </cell>
          <cell r="L944" t="str">
            <v>A1</v>
          </cell>
          <cell r="M944" t="str">
            <v>Department of Culture and Tourism</v>
          </cell>
          <cell r="N944" t="str">
            <v>Culture</v>
          </cell>
          <cell r="O944" t="str">
            <v>الثقافة</v>
          </cell>
          <cell r="P944" t="str">
            <v>Historic Environment</v>
          </cell>
          <cell r="Q944" t="str">
            <v>البيئة التاريخية</v>
          </cell>
          <cell r="R944" t="str">
            <v>World Heritage Sites Management</v>
          </cell>
          <cell r="S944" t="str">
            <v>إدارة مواقع التراث العالمي</v>
          </cell>
          <cell r="T944" t="str">
            <v>World Heritage Monitoring</v>
          </cell>
          <cell r="U944" t="str">
            <v>مراقبة مواقع التراث العالمي</v>
          </cell>
          <cell r="V944" t="str">
            <v>Al Ain</v>
          </cell>
          <cell r="W944" t="str">
            <v/>
          </cell>
          <cell r="X944" t="str">
            <v>4511300</v>
          </cell>
          <cell r="Y944" t="str">
            <v>Compliance,Governance&amp;Protocol_Policy (Culture/Tourism) _Professional</v>
          </cell>
          <cell r="Z944" t="str">
            <v>Professional</v>
          </cell>
          <cell r="AA944" t="str">
            <v>4C</v>
          </cell>
        </row>
        <row r="945">
          <cell r="A945">
            <v>1881</v>
          </cell>
          <cell r="B945">
            <v>1881</v>
          </cell>
          <cell r="C945" t="str">
            <v>A</v>
          </cell>
          <cell r="D945" t="str">
            <v>Fatima Ismail Almarzooqi</v>
          </cell>
          <cell r="E945" t="str">
            <v>فاطمة إسماعيل المرزوقي</v>
          </cell>
          <cell r="F945">
            <v>45580</v>
          </cell>
          <cell r="G945" t="str">
            <v>10007509</v>
          </cell>
          <cell r="H945" t="str">
            <v>Economic Modeling Specialist</v>
          </cell>
          <cell r="I945" t="str">
            <v>أخصائي النمذجة الاقتصادية</v>
          </cell>
          <cell r="J945" t="str">
            <v>On-Chart</v>
          </cell>
          <cell r="K945" t="str">
            <v>DCT Payroll</v>
          </cell>
          <cell r="L945" t="str">
            <v>A1</v>
          </cell>
          <cell r="M945" t="str">
            <v>Department of Culture and Tourism</v>
          </cell>
          <cell r="N945" t="str">
            <v>Strategic Affairs</v>
          </cell>
          <cell r="O945" t="str">
            <v>الشؤون الاستراتيجية</v>
          </cell>
          <cell r="P945" t="str">
            <v>Data &amp; AI Department</v>
          </cell>
          <cell r="Q945" t="str">
            <v>إدارة البيانات والذكاء الاصطناعي</v>
          </cell>
          <cell r="R945" t="str">
            <v>Artificial Intelligence Section</v>
          </cell>
          <cell r="S945" t="str">
            <v>التحليل وعلم البيانات</v>
          </cell>
          <cell r="T945" t="str">
            <v>Economic Modelling</v>
          </cell>
          <cell r="U945" t="str">
            <v>النمذجة الاقتصادية</v>
          </cell>
          <cell r="V945" t="str">
            <v>Abu Dhabi</v>
          </cell>
          <cell r="W945" t="str">
            <v/>
          </cell>
          <cell r="X945" t="str">
            <v>4512200</v>
          </cell>
          <cell r="Y945" t="str">
            <v>Strategy, Planning, Project Mgt_Business &amp; Market Intelligence  Analysis &amp; Planning_Professional</v>
          </cell>
          <cell r="Z945" t="str">
            <v>Professional</v>
          </cell>
          <cell r="AA945" t="str">
            <v>4C</v>
          </cell>
        </row>
        <row r="946">
          <cell r="A946">
            <v>1882</v>
          </cell>
          <cell r="B946">
            <v>1882</v>
          </cell>
          <cell r="C946" t="str">
            <v>A</v>
          </cell>
          <cell r="D946" t="str">
            <v>Afra Humaid Alkhateri</v>
          </cell>
          <cell r="E946" t="str">
            <v>عفراء حميد الخاطري</v>
          </cell>
          <cell r="F946">
            <v>45579</v>
          </cell>
          <cell r="G946" t="str">
            <v>50002639</v>
          </cell>
          <cell r="H946" t="str">
            <v>Talent Acquisition Specialist</v>
          </cell>
          <cell r="I946" t="str">
            <v>أخصائي استقطاب المواهب</v>
          </cell>
          <cell r="J946" t="str">
            <v>On-Chart</v>
          </cell>
          <cell r="K946" t="str">
            <v>MSS Direct Hires</v>
          </cell>
          <cell r="L946" t="str">
            <v>M1</v>
          </cell>
          <cell r="M946" t="str">
            <v>Department of Culture and Tourism</v>
          </cell>
          <cell r="N946" t="str">
            <v>Museums Shared Services</v>
          </cell>
          <cell r="O946" t="str">
            <v>الخدمات المشتركة للمتاحف</v>
          </cell>
          <cell r="P946" t="str">
            <v>People and Performance - MSS</v>
          </cell>
          <cell r="Q946" t="str">
            <v>إدارة الكوادر البشرية والأداء - الخدمات المشتركة للمتاحف</v>
          </cell>
          <cell r="R946" t="str">
            <v>Talent Acquisition Section - MSS</v>
          </cell>
          <cell r="S946" t="str">
            <v>قسم استقطاب المواهب</v>
          </cell>
          <cell r="T946" t="str">
            <v>Talent Acquisition Unit - MSS</v>
          </cell>
          <cell r="U946" t="str">
            <v>وحدة استقطاب المواهب</v>
          </cell>
          <cell r="V946" t="str">
            <v>Abu Dhabi</v>
          </cell>
          <cell r="W946" t="str">
            <v/>
          </cell>
          <cell r="X946" t="str">
            <v>4514140</v>
          </cell>
          <cell r="Y946" t="str">
            <v>People &amp; Performance _Talent Acquisition_Professional</v>
          </cell>
          <cell r="Z946" t="str">
            <v>Professional</v>
          </cell>
          <cell r="AA946" t="str">
            <v>4C</v>
          </cell>
        </row>
        <row r="947">
          <cell r="A947">
            <v>1883</v>
          </cell>
          <cell r="B947">
            <v>1883</v>
          </cell>
          <cell r="C947" t="str">
            <v>A</v>
          </cell>
          <cell r="D947" t="str">
            <v>Mariam Obaid Aldhaheri</v>
          </cell>
          <cell r="E947" t="str">
            <v>مريم عبيد الظاهري</v>
          </cell>
          <cell r="F947">
            <v>45586</v>
          </cell>
          <cell r="G947" t="str">
            <v>50001458</v>
          </cell>
          <cell r="H947" t="str">
            <v>Programming Unit Head</v>
          </cell>
          <cell r="I947" t="str">
            <v>رئيس وحدة البرامج</v>
          </cell>
          <cell r="J947" t="str">
            <v>On-Chart</v>
          </cell>
          <cell r="K947" t="str">
            <v>DCT Payroll</v>
          </cell>
          <cell r="L947" t="str">
            <v>A1</v>
          </cell>
          <cell r="M947" t="str">
            <v>Department of Culture and Tourism</v>
          </cell>
          <cell r="N947" t="str">
            <v>Culture</v>
          </cell>
          <cell r="O947" t="str">
            <v>الثقافة</v>
          </cell>
          <cell r="P947" t="str">
            <v>Culture Sites Management</v>
          </cell>
          <cell r="Q947" t="str">
            <v>إدارة المواقع الثقافية</v>
          </cell>
          <cell r="R947" t="str">
            <v>Manarat Al Saadiyat</v>
          </cell>
          <cell r="S947" t="str">
            <v>منارة السعديات</v>
          </cell>
          <cell r="T947" t="str">
            <v>Programming</v>
          </cell>
          <cell r="U947" t="str">
            <v>البرامج</v>
          </cell>
          <cell r="V947" t="str">
            <v>Abu Dhabi</v>
          </cell>
          <cell r="W947" t="str">
            <v/>
          </cell>
          <cell r="X947" t="str">
            <v>4511250</v>
          </cell>
          <cell r="Y947" t="str">
            <v>Compliance,Governance&amp;Protocol_Policy  (Culture &amp; Tourism)_Unit Head</v>
          </cell>
          <cell r="Z947" t="str">
            <v>Unit Head</v>
          </cell>
          <cell r="AA947" t="str">
            <v>3C</v>
          </cell>
        </row>
        <row r="948">
          <cell r="A948">
            <v>1885</v>
          </cell>
          <cell r="B948">
            <v>1885</v>
          </cell>
          <cell r="C948" t="str">
            <v>A</v>
          </cell>
          <cell r="D948" t="str">
            <v>Moza Ali Alnaqbi</v>
          </cell>
          <cell r="E948" t="str">
            <v>موزه علي النقبي</v>
          </cell>
          <cell r="F948">
            <v>45588</v>
          </cell>
          <cell r="G948" t="str">
            <v>50003264</v>
          </cell>
          <cell r="H948" t="str">
            <v>Assistant Researcher</v>
          </cell>
          <cell r="I948" t="str">
            <v>باحث مساعد</v>
          </cell>
          <cell r="J948" t="str">
            <v>On-Chart</v>
          </cell>
          <cell r="K948" t="str">
            <v>MSS Direct Hires</v>
          </cell>
          <cell r="L948" t="str">
            <v>M1</v>
          </cell>
          <cell r="M948" t="str">
            <v>Louvre Abu Dhabi</v>
          </cell>
          <cell r="N948" t="str">
            <v>Louvre Abu Dhabi</v>
          </cell>
          <cell r="O948" t="str">
            <v>متحف اللوفر أبوظبي</v>
          </cell>
          <cell r="P948" t="str">
            <v>Scientific, Curatorial &amp; Collection Management</v>
          </cell>
          <cell r="Q948" t="str">
            <v>إدارة المقتنيات العلمية والتنظيمية</v>
          </cell>
          <cell r="R948" t="str">
            <v>Research &amp; Documentation</v>
          </cell>
          <cell r="S948" t="str">
            <v/>
          </cell>
          <cell r="T948" t="str">
            <v/>
          </cell>
          <cell r="U948" t="str">
            <v/>
          </cell>
          <cell r="V948" t="str">
            <v>Abu Dhabi</v>
          </cell>
          <cell r="W948" t="str">
            <v/>
          </cell>
          <cell r="X948" t="str">
            <v>4510122</v>
          </cell>
          <cell r="Y948" t="str">
            <v>Content &amp; Care_Researcher (All)_Professional</v>
          </cell>
          <cell r="Z948" t="str">
            <v>Professional</v>
          </cell>
          <cell r="AA948" t="str">
            <v>4C</v>
          </cell>
        </row>
        <row r="949">
          <cell r="A949">
            <v>1886</v>
          </cell>
          <cell r="B949">
            <v>1886</v>
          </cell>
          <cell r="C949" t="str">
            <v>A</v>
          </cell>
          <cell r="D949" t="str">
            <v>Noura Ali Al Ali</v>
          </cell>
          <cell r="E949" t="str">
            <v>نورة علي أل علي</v>
          </cell>
          <cell r="F949">
            <v>45593</v>
          </cell>
          <cell r="G949" t="str">
            <v>50002865</v>
          </cell>
          <cell r="H949" t="str">
            <v>Priority Projects Monitoring Projects Senior Specialist</v>
          </cell>
          <cell r="I949" t="str">
            <v>أخصائي أول مراقبة المشاريع المهمة</v>
          </cell>
          <cell r="J949" t="str">
            <v>On-Chart</v>
          </cell>
          <cell r="K949" t="str">
            <v>DCT Payroll</v>
          </cell>
          <cell r="L949" t="str">
            <v>A1</v>
          </cell>
          <cell r="M949" t="str">
            <v>Department of Culture and Tourism</v>
          </cell>
          <cell r="N949" t="str">
            <v>Executive Affairs</v>
          </cell>
          <cell r="O949" t="str">
            <v>مكتب رئيس الدائرة</v>
          </cell>
          <cell r="P949" t="str">
            <v>Executive Affairs</v>
          </cell>
          <cell r="Q949" t="str">
            <v>الشؤون التنفيذية</v>
          </cell>
          <cell r="R949" t="str">
            <v>Priority Projects Monitoring</v>
          </cell>
          <cell r="S949" t="str">
            <v>مراقبة المشاريع المهمة</v>
          </cell>
          <cell r="T949" t="str">
            <v/>
          </cell>
          <cell r="U949" t="str">
            <v/>
          </cell>
          <cell r="V949" t="str">
            <v>Abu Dhabi</v>
          </cell>
          <cell r="W949" t="str">
            <v/>
          </cell>
          <cell r="X949" t="str">
            <v>4510011</v>
          </cell>
          <cell r="Y949" t="str">
            <v>Stakeholder &amp; Partner Relations_International &amp; Institutional Affairs _Senior Professional</v>
          </cell>
          <cell r="Z949" t="str">
            <v>Senior Professional</v>
          </cell>
          <cell r="AA949" t="str">
            <v>3C</v>
          </cell>
        </row>
        <row r="950">
          <cell r="A950">
            <v>1887</v>
          </cell>
          <cell r="B950">
            <v>1887</v>
          </cell>
          <cell r="C950" t="str">
            <v>A</v>
          </cell>
          <cell r="D950" t="str">
            <v>Noof Qayed Almessabi</v>
          </cell>
          <cell r="E950" t="str">
            <v>نوف قايد المصعبي</v>
          </cell>
          <cell r="F950">
            <v>45600</v>
          </cell>
          <cell r="G950" t="str">
            <v>10007352</v>
          </cell>
          <cell r="H950" t="str">
            <v>Legal Researcher</v>
          </cell>
          <cell r="I950" t="str">
            <v>باحث قانوني</v>
          </cell>
          <cell r="J950" t="str">
            <v>On-Chart</v>
          </cell>
          <cell r="K950" t="str">
            <v>DCT Payroll</v>
          </cell>
          <cell r="L950" t="str">
            <v>A1</v>
          </cell>
          <cell r="M950" t="str">
            <v>Department of Culture and Tourism</v>
          </cell>
          <cell r="N950" t="str">
            <v>Legal &amp; Government Affairs</v>
          </cell>
          <cell r="O950" t="str">
            <v>مكتب وكيل الدائرة</v>
          </cell>
          <cell r="P950" t="str">
            <v>Legal &amp; Government Affairs</v>
          </cell>
          <cell r="Q950" t="str">
            <v>الشؤون القانونية والحكومية</v>
          </cell>
          <cell r="R950" t="str">
            <v>Legislation, Litigation &amp; Government Affairs</v>
          </cell>
          <cell r="S950" t="str">
            <v>التشريعات والتقاضي والشؤون الحكومية</v>
          </cell>
          <cell r="T950" t="str">
            <v/>
          </cell>
          <cell r="U950" t="str">
            <v/>
          </cell>
          <cell r="V950" t="str">
            <v>Abu Dhabi</v>
          </cell>
          <cell r="W950" t="str">
            <v/>
          </cell>
          <cell r="X950" t="str">
            <v>4510160</v>
          </cell>
          <cell r="Y950" t="str">
            <v>Legal _Events Licensing _ Professional</v>
          </cell>
          <cell r="Z950" t="str">
            <v>Professional</v>
          </cell>
          <cell r="AA950" t="str">
            <v>4C</v>
          </cell>
        </row>
        <row r="951">
          <cell r="A951">
            <v>1888</v>
          </cell>
          <cell r="B951">
            <v>1888</v>
          </cell>
          <cell r="C951" t="str">
            <v>A</v>
          </cell>
          <cell r="D951" t="str">
            <v>Sameera Abdulla Alhosani</v>
          </cell>
          <cell r="E951" t="str">
            <v>سميره عبدالله الحوسني</v>
          </cell>
          <cell r="F951">
            <v>45600</v>
          </cell>
          <cell r="G951" t="str">
            <v>50003165</v>
          </cell>
          <cell r="H951" t="str">
            <v>Abu Dhabi Children’s Library Section Head</v>
          </cell>
          <cell r="I951" t="str">
            <v>رئيس قسم مكتبة الأطفال</v>
          </cell>
          <cell r="J951" t="str">
            <v>On-Chart</v>
          </cell>
          <cell r="K951" t="str">
            <v>DCT Payroll</v>
          </cell>
          <cell r="L951" t="str">
            <v>A1</v>
          </cell>
          <cell r="M951" t="str">
            <v>Department of Culture and Tourism</v>
          </cell>
          <cell r="N951" t="str">
            <v>Culture</v>
          </cell>
          <cell r="O951" t="str">
            <v>الثقافة</v>
          </cell>
          <cell r="P951" t="str">
            <v>Culture Sites Management</v>
          </cell>
          <cell r="Q951" t="str">
            <v>إدارة المواقع الثقافية</v>
          </cell>
          <cell r="R951" t="str">
            <v>Abu Dhabi Culture Sites</v>
          </cell>
          <cell r="S951" t="str">
            <v>مواقع أبوظبي الثقافية</v>
          </cell>
          <cell r="T951" t="str">
            <v/>
          </cell>
          <cell r="U951" t="str">
            <v/>
          </cell>
          <cell r="V951" t="str">
            <v>Abu Dhabi</v>
          </cell>
          <cell r="W951" t="str">
            <v/>
          </cell>
          <cell r="X951" t="str">
            <v>4511250</v>
          </cell>
          <cell r="Y951" t="str">
            <v>Compliance,Governance&amp;Protocol_Policy (Culture &amp; Tourism)_Section Head</v>
          </cell>
          <cell r="Z951" t="str">
            <v>Section Manager</v>
          </cell>
          <cell r="AA951" t="str">
            <v>2C</v>
          </cell>
        </row>
        <row r="952">
          <cell r="A952">
            <v>1889</v>
          </cell>
          <cell r="B952">
            <v>1889</v>
          </cell>
          <cell r="C952" t="str">
            <v>A</v>
          </cell>
          <cell r="D952" t="str">
            <v>Mohamed Hayyay Almansoori</v>
          </cell>
          <cell r="E952" t="str">
            <v>محمد هياي المنصوري</v>
          </cell>
          <cell r="F952">
            <v>45658</v>
          </cell>
          <cell r="G952" t="str">
            <v>50003381</v>
          </cell>
          <cell r="H952" t="str">
            <v>Follow-up Lead</v>
          </cell>
          <cell r="I952" t="str">
            <v>أخصائي رئيسي متابعة</v>
          </cell>
          <cell r="J952" t="str">
            <v>On-Chart</v>
          </cell>
          <cell r="K952" t="str">
            <v>DCT Payroll</v>
          </cell>
          <cell r="L952" t="str">
            <v>A1</v>
          </cell>
          <cell r="M952" t="str">
            <v>Department of Culture and Tourism</v>
          </cell>
          <cell r="N952" t="str">
            <v>Support Services</v>
          </cell>
          <cell r="O952" t="str">
            <v>الخدمات المساندة</v>
          </cell>
          <cell r="P952" t="str">
            <v>Office of the Support Services Executive Director</v>
          </cell>
          <cell r="Q952" t="str">
            <v>مكتب المدير التنفيذي لقطاع الخدمات المساندة</v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>Abu Dhabi</v>
          </cell>
          <cell r="W952" t="str">
            <v/>
          </cell>
          <cell r="X952" t="str">
            <v>4510201</v>
          </cell>
          <cell r="Y952" t="str">
            <v>Admin &amp; Support_Administration Coordination &amp; Support Services
(All Areas)_Unit Head</v>
          </cell>
          <cell r="Z952" t="str">
            <v>Unit Head</v>
          </cell>
          <cell r="AA952" t="str">
            <v>2B</v>
          </cell>
        </row>
        <row r="953">
          <cell r="A953">
            <v>1890</v>
          </cell>
          <cell r="B953">
            <v>1890</v>
          </cell>
          <cell r="C953" t="str">
            <v>A</v>
          </cell>
          <cell r="D953" t="str">
            <v>Ahmed Abdulla Alsubousi</v>
          </cell>
          <cell r="E953" t="str">
            <v>أحمد عبدالله  السبوسي</v>
          </cell>
          <cell r="F953">
            <v>45658</v>
          </cell>
          <cell r="G953" t="str">
            <v>50003383</v>
          </cell>
          <cell r="H953" t="str">
            <v>Protocol Lead</v>
          </cell>
          <cell r="I953" t="str">
            <v>ضابط رئيسي التشريفات</v>
          </cell>
          <cell r="J953" t="str">
            <v>On-Chart</v>
          </cell>
          <cell r="K953" t="str">
            <v>DCT Payroll</v>
          </cell>
          <cell r="L953" t="str">
            <v>A1</v>
          </cell>
          <cell r="M953" t="str">
            <v>Department of Culture and Tourism</v>
          </cell>
          <cell r="N953" t="str">
            <v>Support Services</v>
          </cell>
          <cell r="O953" t="str">
            <v>الخدمات المساندة</v>
          </cell>
          <cell r="P953" t="str">
            <v>Office of the Support Services Executive Director</v>
          </cell>
          <cell r="Q953" t="str">
            <v>مكتب المدير التنفيذي لقطاع الخدمات المساندة</v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>Abu Dhabi</v>
          </cell>
          <cell r="W953" t="str">
            <v/>
          </cell>
          <cell r="X953" t="str">
            <v>4510201</v>
          </cell>
          <cell r="Y953" t="str">
            <v>Admin &amp; Support_Business Operations &amp;
Support _Director</v>
          </cell>
          <cell r="Z953" t="str">
            <v>Senior Professional</v>
          </cell>
          <cell r="AA953" t="str">
            <v>3A</v>
          </cell>
        </row>
        <row r="954">
          <cell r="A954">
            <v>1891</v>
          </cell>
          <cell r="B954">
            <v>1891</v>
          </cell>
          <cell r="C954" t="str">
            <v>A</v>
          </cell>
          <cell r="D954" t="str">
            <v>Fadhel Omair Almansoori</v>
          </cell>
          <cell r="E954" t="str">
            <v>فاضل محمد المنصوري</v>
          </cell>
          <cell r="F954">
            <v>45658</v>
          </cell>
          <cell r="G954" t="str">
            <v>50003385</v>
          </cell>
          <cell r="H954" t="str">
            <v>Strategic Planning Lead</v>
          </cell>
          <cell r="I954" t="str">
            <v>أخصائي رئيسي التخطيط الاستراتيجي</v>
          </cell>
          <cell r="J954" t="str">
            <v>On-Chart</v>
          </cell>
          <cell r="K954" t="str">
            <v>DCT Payroll</v>
          </cell>
          <cell r="L954" t="str">
            <v>A1</v>
          </cell>
          <cell r="M954" t="str">
            <v>Department of Culture and Tourism</v>
          </cell>
          <cell r="N954" t="str">
            <v>Support Services</v>
          </cell>
          <cell r="O954" t="str">
            <v>الخدمات المساندة</v>
          </cell>
          <cell r="P954" t="str">
            <v>Office of the Support Services Executive Director</v>
          </cell>
          <cell r="Q954" t="str">
            <v>مكتب المدير التنفيذي لقطاع الخدمات المساندة</v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>Abu Dhabi</v>
          </cell>
          <cell r="W954" t="str">
            <v/>
          </cell>
          <cell r="X954" t="str">
            <v>4510201</v>
          </cell>
          <cell r="Y954" t="str">
            <v>Strategy, Planning, Project Mgt_Data Statisics, Analysis &amp; Reporting _Unit Head</v>
          </cell>
          <cell r="Z954" t="str">
            <v>Unit Head</v>
          </cell>
          <cell r="AA954" t="str">
            <v>2A</v>
          </cell>
        </row>
        <row r="955">
          <cell r="A955">
            <v>1892</v>
          </cell>
          <cell r="B955">
            <v>1892</v>
          </cell>
          <cell r="C955" t="str">
            <v>A</v>
          </cell>
          <cell r="D955" t="str">
            <v>Amna Mohammed Alameri</v>
          </cell>
          <cell r="E955" t="str">
            <v>امنه محمد العامري</v>
          </cell>
          <cell r="F955">
            <v>45631</v>
          </cell>
          <cell r="G955" t="str">
            <v>50003250</v>
          </cell>
          <cell r="H955" t="str">
            <v>Communication Officer</v>
          </cell>
          <cell r="I955" t="str">
            <v>ضابط اتصال</v>
          </cell>
          <cell r="J955" t="str">
            <v>On-Chart</v>
          </cell>
          <cell r="K955" t="str">
            <v>MSS Direct Hires</v>
          </cell>
          <cell r="L955" t="str">
            <v>M1</v>
          </cell>
          <cell r="M955" t="str">
            <v>Louvre Abu Dhabi</v>
          </cell>
          <cell r="N955" t="str">
            <v>Louvre Abu Dhabi</v>
          </cell>
          <cell r="O955" t="str">
            <v>متحف اللوفر أبوظبي</v>
          </cell>
          <cell r="P955" t="str">
            <v>Development, Marketing &amp; Communications</v>
          </cell>
          <cell r="Q955" t="str">
            <v>إدارة التطوير،التسويق والاتصال</v>
          </cell>
          <cell r="R955" t="str">
            <v>Communications</v>
          </cell>
          <cell r="S955" t="str">
            <v>الاتصال</v>
          </cell>
          <cell r="T955" t="str">
            <v>Communications</v>
          </cell>
          <cell r="U955" t="str">
            <v>الاتصال</v>
          </cell>
          <cell r="V955" t="str">
            <v>Abu Dhabi</v>
          </cell>
          <cell r="W955" t="str">
            <v/>
          </cell>
          <cell r="X955" t="str">
            <v>4510124</v>
          </cell>
          <cell r="Y955" t="str">
            <v>Comms &amp; Marketing _Marketing &amp; Communications (All)_Professional</v>
          </cell>
          <cell r="Z955" t="str">
            <v>Professional</v>
          </cell>
          <cell r="AA955" t="str">
            <v>4C</v>
          </cell>
        </row>
        <row r="956">
          <cell r="A956">
            <v>1893</v>
          </cell>
          <cell r="B956">
            <v>1893</v>
          </cell>
          <cell r="C956" t="str">
            <v>A</v>
          </cell>
          <cell r="D956" t="str">
            <v>Ward Hachem Morad</v>
          </cell>
          <cell r="E956" t="str">
            <v>ورد هاشم مراد</v>
          </cell>
          <cell r="F956">
            <v>45614</v>
          </cell>
          <cell r="G956" t="str">
            <v>50003244</v>
          </cell>
          <cell r="H956" t="str">
            <v>Marketing Officer</v>
          </cell>
          <cell r="I956" t="str">
            <v>ضابط تسويق</v>
          </cell>
          <cell r="J956" t="str">
            <v>On-Chart</v>
          </cell>
          <cell r="K956" t="str">
            <v>MSS Direct Hires</v>
          </cell>
          <cell r="L956" t="str">
            <v>M1</v>
          </cell>
          <cell r="M956" t="str">
            <v>Louvre Abu Dhabi</v>
          </cell>
          <cell r="N956" t="str">
            <v>Louvre Abu Dhabi</v>
          </cell>
          <cell r="O956" t="str">
            <v>متحف اللوفر أبوظبي</v>
          </cell>
          <cell r="P956" t="str">
            <v>Development, Marketing &amp; Communications</v>
          </cell>
          <cell r="Q956" t="str">
            <v>إدارة التطوير،التسويق والاتصال</v>
          </cell>
          <cell r="R956" t="str">
            <v>Marketing  LAD</v>
          </cell>
          <cell r="S956" t="str">
            <v/>
          </cell>
          <cell r="T956" t="str">
            <v>Marketing  LAD</v>
          </cell>
          <cell r="U956" t="str">
            <v/>
          </cell>
          <cell r="V956" t="str">
            <v>Abu Dhabi</v>
          </cell>
          <cell r="W956" t="str">
            <v/>
          </cell>
          <cell r="X956" t="str">
            <v>4510123</v>
          </cell>
          <cell r="Y956" t="str">
            <v>Comms &amp; Marketing _Marketing &amp; Communications (All)_Professional</v>
          </cell>
          <cell r="Z956" t="str">
            <v>Professional</v>
          </cell>
          <cell r="AA956" t="str">
            <v>4C</v>
          </cell>
        </row>
        <row r="957">
          <cell r="A957">
            <v>1894</v>
          </cell>
          <cell r="B957">
            <v>1894</v>
          </cell>
          <cell r="C957" t="str">
            <v>A</v>
          </cell>
          <cell r="D957" t="str">
            <v>Hussain Abdulla Al Saadi</v>
          </cell>
          <cell r="E957" t="str">
            <v>حسين عبدالله السعدي</v>
          </cell>
          <cell r="F957">
            <v>45657</v>
          </cell>
          <cell r="G957" t="str">
            <v>50003010</v>
          </cell>
          <cell r="H957" t="str">
            <v>Patrons &amp; Memberships Unit Head</v>
          </cell>
          <cell r="I957" t="str">
            <v>رئيس وحدة التطوير و الشراكات</v>
          </cell>
          <cell r="J957" t="str">
            <v>On-Chart</v>
          </cell>
          <cell r="K957" t="str">
            <v>MSS Direct Hires</v>
          </cell>
          <cell r="L957" t="str">
            <v>M1</v>
          </cell>
          <cell r="M957" t="str">
            <v>Louvre Abu Dhabi</v>
          </cell>
          <cell r="N957" t="str">
            <v>Louvre Abu Dhabi</v>
          </cell>
          <cell r="O957" t="str">
            <v>متحف اللوفر أبوظبي</v>
          </cell>
          <cell r="P957" t="str">
            <v>Development, Marketing &amp; Communications</v>
          </cell>
          <cell r="Q957" t="str">
            <v>إدارة التطوير،التسويق والاتصال</v>
          </cell>
          <cell r="R957" t="str">
            <v>Development and Partnerships</v>
          </cell>
          <cell r="S957" t="str">
            <v>قسم خدمات الزوار وتنمية الجمهور</v>
          </cell>
          <cell r="T957" t="str">
            <v/>
          </cell>
          <cell r="U957" t="str">
            <v/>
          </cell>
          <cell r="V957" t="str">
            <v>Abu Dhabi</v>
          </cell>
          <cell r="W957" t="str">
            <v/>
          </cell>
          <cell r="X957" t="str">
            <v>4510124</v>
          </cell>
          <cell r="Y957" t="str">
            <v>Comms &amp; Marketing _Marketing &amp; Communications _Unit Head</v>
          </cell>
          <cell r="Z957" t="str">
            <v>Unit Head</v>
          </cell>
          <cell r="AA957" t="str">
            <v>3C</v>
          </cell>
        </row>
        <row r="958">
          <cell r="A958">
            <v>1895</v>
          </cell>
          <cell r="B958">
            <v>1895</v>
          </cell>
          <cell r="C958" t="str">
            <v>A</v>
          </cell>
          <cell r="D958" t="str">
            <v>Reem Alabed Altamimi</v>
          </cell>
          <cell r="E958" t="str">
            <v>ريم العبد التميمي</v>
          </cell>
          <cell r="F958">
            <v>45649</v>
          </cell>
          <cell r="G958" t="str">
            <v>50003136</v>
          </cell>
          <cell r="H958" t="str">
            <v>Protocol Officer</v>
          </cell>
          <cell r="I958" t="str">
            <v>ضابط بروتوكول</v>
          </cell>
          <cell r="J958" t="str">
            <v>On-Chart</v>
          </cell>
          <cell r="K958" t="str">
            <v>MSS Direct Hires</v>
          </cell>
          <cell r="L958" t="str">
            <v>M1</v>
          </cell>
          <cell r="M958" t="str">
            <v>Louvre Abu Dhabi</v>
          </cell>
          <cell r="N958" t="str">
            <v>Louvre Abu Dhabi</v>
          </cell>
          <cell r="O958" t="str">
            <v>متحف اللوفر أبوظبي</v>
          </cell>
          <cell r="P958" t="str">
            <v>External Affairs, Outreach and Cultural Engagement</v>
          </cell>
          <cell r="Q958" t="str">
            <v>إدارة الشؤون الخارجية والتواصل، المشاركة الثقافية</v>
          </cell>
          <cell r="R958" t="str">
            <v>International &amp; Institutional Affairs</v>
          </cell>
          <cell r="S958" t="str">
            <v/>
          </cell>
          <cell r="T958" t="str">
            <v/>
          </cell>
          <cell r="U958" t="str">
            <v/>
          </cell>
          <cell r="V958" t="str">
            <v>Abu Dhabi</v>
          </cell>
          <cell r="W958" t="str">
            <v/>
          </cell>
          <cell r="X958" t="str">
            <v>4510123</v>
          </cell>
          <cell r="Y958" t="str">
            <v>Interpretation &amp; Engagement_Outreach &amp; Cultural Engagement _Professional</v>
          </cell>
          <cell r="Z958" t="str">
            <v>Professional</v>
          </cell>
          <cell r="AA958" t="str">
            <v>4C</v>
          </cell>
        </row>
        <row r="959">
          <cell r="A959">
            <v>1896</v>
          </cell>
          <cell r="B959">
            <v>1896</v>
          </cell>
          <cell r="C959" t="str">
            <v>A</v>
          </cell>
          <cell r="D959" t="str">
            <v>Aisha Abdulqader Alhashmi</v>
          </cell>
          <cell r="E959" t="str">
            <v>عائشه عبدالقادر الهاشمي</v>
          </cell>
          <cell r="F959">
            <v>45656</v>
          </cell>
          <cell r="G959" t="str">
            <v>10009723</v>
          </cell>
          <cell r="H959" t="str">
            <v>Senior Health &amp; Safety Specialist</v>
          </cell>
          <cell r="I959" t="str">
            <v>أخصائي أول الصحة والسلامة</v>
          </cell>
          <cell r="J959" t="str">
            <v>On-Chart</v>
          </cell>
          <cell r="K959" t="str">
            <v>MSS Direct Hires</v>
          </cell>
          <cell r="L959" t="str">
            <v>M1</v>
          </cell>
          <cell r="M959" t="str">
            <v>Louvre Abu Dhabi</v>
          </cell>
          <cell r="N959" t="str">
            <v>Louvre Abu Dhabi</v>
          </cell>
          <cell r="O959" t="str">
            <v>متحف اللوفر أبوظبي</v>
          </cell>
          <cell r="P959" t="str">
            <v>Technical Operations</v>
          </cell>
          <cell r="Q959" t="str">
            <v>العمليات الفنية</v>
          </cell>
          <cell r="R959" t="str">
            <v>Safety &amp; Security</v>
          </cell>
          <cell r="S959" t="str">
            <v>السلامة والأمن</v>
          </cell>
          <cell r="T959" t="str">
            <v>Health &amp; Safety</v>
          </cell>
          <cell r="U959" t="str">
            <v>الصحة والسلامة</v>
          </cell>
          <cell r="V959" t="str">
            <v>Abu Dhabi</v>
          </cell>
          <cell r="W959" t="str">
            <v/>
          </cell>
          <cell r="X959" t="str">
            <v>4510127</v>
          </cell>
          <cell r="Y959" t="str">
            <v>Information Technology_Security Architect_Senior Professional</v>
          </cell>
          <cell r="Z959" t="str">
            <v>Senior Professional</v>
          </cell>
          <cell r="AA959" t="str">
            <v>3B</v>
          </cell>
        </row>
        <row r="960">
          <cell r="A960">
            <v>1900</v>
          </cell>
          <cell r="B960">
            <v>1900</v>
          </cell>
          <cell r="C960" t="str">
            <v>A</v>
          </cell>
          <cell r="D960" t="str">
            <v>Zayed Khalifa Alteneiji</v>
          </cell>
          <cell r="E960" t="str">
            <v>زايد خليفه الطنيجي</v>
          </cell>
          <cell r="F960">
            <v>45600</v>
          </cell>
          <cell r="G960" t="str">
            <v>50000700</v>
          </cell>
          <cell r="H960" t="str">
            <v>Government Relations Specialist</v>
          </cell>
          <cell r="I960" t="str">
            <v>أخصائي العلاقات الحكومية</v>
          </cell>
          <cell r="J960" t="str">
            <v>On-Chart</v>
          </cell>
          <cell r="K960" t="str">
            <v>MSS Direct Hires</v>
          </cell>
          <cell r="L960" t="str">
            <v>M1</v>
          </cell>
          <cell r="M960" t="str">
            <v>Department of Culture and Tourism</v>
          </cell>
          <cell r="N960" t="str">
            <v>Zayed National Museum</v>
          </cell>
          <cell r="O960" t="str">
            <v>متحف زايد الوطني</v>
          </cell>
          <cell r="P960" t="str">
            <v>Director’s Office</v>
          </cell>
          <cell r="Q960" t="str">
            <v>مكتب مدير المتحف</v>
          </cell>
          <cell r="R960" t="str">
            <v>Institutional &amp; International Affairs</v>
          </cell>
          <cell r="S960" t="str">
            <v>شؤون العلاقات المؤسسية والدولية</v>
          </cell>
          <cell r="T960" t="str">
            <v/>
          </cell>
          <cell r="U960" t="str">
            <v/>
          </cell>
          <cell r="V960" t="str">
            <v>Abu Dhabi</v>
          </cell>
          <cell r="W960" t="str">
            <v/>
          </cell>
          <cell r="X960" t="str">
            <v>4510180</v>
          </cell>
          <cell r="Y960" t="str">
            <v>Strategy, Planning, Project Mgt_Strategy Planning Delivery &amp; Reporting_Professional</v>
          </cell>
          <cell r="Z960" t="str">
            <v>Professional</v>
          </cell>
          <cell r="AA960" t="str">
            <v>4C</v>
          </cell>
        </row>
        <row r="961">
          <cell r="A961">
            <v>1902</v>
          </cell>
          <cell r="B961">
            <v>1902</v>
          </cell>
          <cell r="C961" t="str">
            <v>A</v>
          </cell>
          <cell r="D961" t="str">
            <v>Tristan James Lowe</v>
          </cell>
          <cell r="E961" t="str">
            <v>تريستان جيمس لوى</v>
          </cell>
          <cell r="F961">
            <v>45670</v>
          </cell>
          <cell r="G961" t="str">
            <v>50003588</v>
          </cell>
          <cell r="H961" t="str">
            <v>Research Lab Lead</v>
          </cell>
          <cell r="I961" t="str">
            <v>أخصائي رئيسي مختبر البحوث</v>
          </cell>
          <cell r="J961" t="str">
            <v>On-Chart</v>
          </cell>
          <cell r="K961" t="str">
            <v>MSS Direct Hires</v>
          </cell>
          <cell r="L961" t="str">
            <v>M1</v>
          </cell>
          <cell r="M961" t="str">
            <v>Department of Culture and Tourism</v>
          </cell>
          <cell r="N961" t="str">
            <v>Culture</v>
          </cell>
          <cell r="O961" t="str">
            <v>الثقافة</v>
          </cell>
          <cell r="P961" t="str">
            <v>Natural History Museum Abu Dhabi</v>
          </cell>
          <cell r="Q961" t="str">
            <v>متحف التاريخ الطبيعي - أبوظبي</v>
          </cell>
          <cell r="R961" t="str">
            <v>Scientific, Curatorial, &amp; Collections Management</v>
          </cell>
          <cell r="S961" t="str">
            <v>أمناء المتحف وإدارة المقتنيات</v>
          </cell>
          <cell r="T961" t="str">
            <v/>
          </cell>
          <cell r="U961" t="str">
            <v/>
          </cell>
          <cell r="V961" t="str">
            <v>Abu Dhabi</v>
          </cell>
          <cell r="W961" t="str">
            <v/>
          </cell>
          <cell r="X961" t="str">
            <v>4510310</v>
          </cell>
          <cell r="Y961" t="str">
            <v>Content &amp; Care_Researcher-(All)_Senior Professional</v>
          </cell>
          <cell r="Z961" t="str">
            <v>Senior Professional</v>
          </cell>
          <cell r="AA961" t="str">
            <v>3C</v>
          </cell>
        </row>
        <row r="962">
          <cell r="A962">
            <v>1903</v>
          </cell>
          <cell r="B962">
            <v>1903</v>
          </cell>
          <cell r="C962" t="str">
            <v>A</v>
          </cell>
          <cell r="D962" t="str">
            <v>Noof Waleed Alsayed</v>
          </cell>
          <cell r="E962" t="str">
            <v>نوف وليد السيد</v>
          </cell>
          <cell r="F962">
            <v>45642</v>
          </cell>
          <cell r="G962" t="str">
            <v>50003895</v>
          </cell>
          <cell r="H962" t="str">
            <v>Marketing Specialist</v>
          </cell>
          <cell r="I962" t="str">
            <v>أخصائي تسويق</v>
          </cell>
          <cell r="J962" t="str">
            <v>On-Chart</v>
          </cell>
          <cell r="K962" t="str">
            <v>MSS Direct Hires</v>
          </cell>
          <cell r="L962" t="str">
            <v>M1</v>
          </cell>
          <cell r="M962" t="str">
            <v>Department of Culture and Tourism</v>
          </cell>
          <cell r="N962" t="str">
            <v>Culture</v>
          </cell>
          <cell r="O962" t="str">
            <v>الثقافة</v>
          </cell>
          <cell r="P962" t="str">
            <v>Natural History Museum Abu Dhabi</v>
          </cell>
          <cell r="Q962" t="str">
            <v>متحف التاريخ الطبيعي - أبوظبي</v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>Abu Dhabi</v>
          </cell>
          <cell r="W962" t="str">
            <v/>
          </cell>
          <cell r="X962" t="str">
            <v>4510310</v>
          </cell>
          <cell r="Y962" t="str">
            <v>Comms &amp; Marketing _Marketing &amp; Communications (All)_Professional</v>
          </cell>
          <cell r="Z962" t="str">
            <v>Professional</v>
          </cell>
          <cell r="AA962" t="str">
            <v>4C</v>
          </cell>
        </row>
        <row r="963">
          <cell r="A963">
            <v>1904</v>
          </cell>
          <cell r="B963">
            <v>1904</v>
          </cell>
          <cell r="C963" t="str">
            <v>A</v>
          </cell>
          <cell r="D963" t="str">
            <v>Luma Salah Miqdadi</v>
          </cell>
          <cell r="E963" t="str">
            <v>لمى صلاح مقدادى</v>
          </cell>
          <cell r="F963">
            <v>45656</v>
          </cell>
          <cell r="G963" t="str">
            <v>50003583</v>
          </cell>
          <cell r="H963" t="str">
            <v>Executive Assistant</v>
          </cell>
          <cell r="I963" t="str">
            <v>مساعد إداري</v>
          </cell>
          <cell r="J963" t="str">
            <v>On-Chart</v>
          </cell>
          <cell r="K963" t="str">
            <v>MSS Direct Hires</v>
          </cell>
          <cell r="L963" t="str">
            <v>M1</v>
          </cell>
          <cell r="M963" t="str">
            <v>Department of Culture and Tourism</v>
          </cell>
          <cell r="N963" t="str">
            <v>Culture</v>
          </cell>
          <cell r="O963" t="str">
            <v>الثقافة</v>
          </cell>
          <cell r="P963" t="str">
            <v>Natural History Museum Abu Dhabi</v>
          </cell>
          <cell r="Q963" t="str">
            <v>متحف التاريخ الطبيعي - أبوظبي</v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>Abu Dhabi</v>
          </cell>
          <cell r="W963" t="str">
            <v/>
          </cell>
          <cell r="X963" t="str">
            <v>4510310</v>
          </cell>
          <cell r="Y963" t="str">
            <v>Strategy, Planning, Project Mgt_Strategy Planning Delivery &amp; Reporting_Professional</v>
          </cell>
          <cell r="Z963" t="str">
            <v>Professional</v>
          </cell>
          <cell r="AA963" t="str">
            <v>4C</v>
          </cell>
        </row>
        <row r="964">
          <cell r="A964">
            <v>1905</v>
          </cell>
          <cell r="B964">
            <v>1905</v>
          </cell>
          <cell r="C964" t="str">
            <v>A</v>
          </cell>
          <cell r="D964" t="str">
            <v>Fatima Ali Alkatheeri</v>
          </cell>
          <cell r="E964" t="str">
            <v>فاطمه علي الكثيري</v>
          </cell>
          <cell r="F964">
            <v>45656</v>
          </cell>
          <cell r="G964" t="str">
            <v>50003610</v>
          </cell>
          <cell r="H964" t="str">
            <v>Communications Senior Specialist</v>
          </cell>
          <cell r="I964" t="str">
            <v>أخصائي أول اتصال</v>
          </cell>
          <cell r="J964" t="str">
            <v>On-Chart</v>
          </cell>
          <cell r="K964" t="str">
            <v>MSS Direct Hires</v>
          </cell>
          <cell r="L964" t="str">
            <v>M1</v>
          </cell>
          <cell r="M964" t="str">
            <v>Department of Culture and Tourism</v>
          </cell>
          <cell r="N964" t="str">
            <v>Culture</v>
          </cell>
          <cell r="O964" t="str">
            <v>الثقافة</v>
          </cell>
          <cell r="P964" t="str">
            <v>Natural History Museum Abu Dhabi</v>
          </cell>
          <cell r="Q964" t="str">
            <v>متحف التاريخ الطبيعي - أبوظبي</v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>Abu Dhabi</v>
          </cell>
          <cell r="W964" t="str">
            <v/>
          </cell>
          <cell r="X964" t="str">
            <v>4510310</v>
          </cell>
          <cell r="Y964" t="str">
            <v>Comms &amp; Marketing _Marketing &amp; Communications (All areas)_Senior Professional</v>
          </cell>
          <cell r="Z964" t="str">
            <v>Senior Professional</v>
          </cell>
          <cell r="AA964" t="str">
            <v>3C</v>
          </cell>
        </row>
        <row r="965">
          <cell r="A965">
            <v>1906</v>
          </cell>
          <cell r="B965">
            <v>1906</v>
          </cell>
          <cell r="C965" t="str">
            <v>A</v>
          </cell>
          <cell r="D965" t="str">
            <v>Sara Abdulla Almazrouei</v>
          </cell>
          <cell r="E965" t="str">
            <v>ساره عبدالله المزروعي</v>
          </cell>
          <cell r="F965">
            <v>45719</v>
          </cell>
          <cell r="G965" t="str">
            <v>50003042</v>
          </cell>
          <cell r="H965" t="str">
            <v>Communications Officer</v>
          </cell>
          <cell r="I965" t="str">
            <v>ضابط الاتصال</v>
          </cell>
          <cell r="J965" t="str">
            <v>On-Chart</v>
          </cell>
          <cell r="K965" t="str">
            <v>MSS Direct Hires</v>
          </cell>
          <cell r="L965" t="str">
            <v>M1</v>
          </cell>
          <cell r="M965" t="str">
            <v>Department of Culture and Tourism</v>
          </cell>
          <cell r="N965" t="str">
            <v>Abrahamic Family House Center</v>
          </cell>
          <cell r="O965" t="str">
            <v>مركز بيت العائلة الإبراهيمية</v>
          </cell>
          <cell r="P965" t="str">
            <v>Marketing &amp; Communications</v>
          </cell>
          <cell r="Q965" t="str">
            <v>التسويق والاتصال</v>
          </cell>
          <cell r="R965" t="str">
            <v>Communications</v>
          </cell>
          <cell r="S965" t="str">
            <v>الاتصال</v>
          </cell>
          <cell r="T965" t="str">
            <v/>
          </cell>
          <cell r="U965" t="str">
            <v/>
          </cell>
          <cell r="V965" t="str">
            <v>Abu Dhabi</v>
          </cell>
          <cell r="W965" t="str">
            <v/>
          </cell>
          <cell r="X965" t="str">
            <v>4514121</v>
          </cell>
          <cell r="Y965" t="str">
            <v>Specialization Marketing &amp; Communications</v>
          </cell>
          <cell r="Z965" t="str">
            <v>Professional</v>
          </cell>
          <cell r="AA965" t="str">
            <v>4C</v>
          </cell>
        </row>
        <row r="966">
          <cell r="A966">
            <v>1908</v>
          </cell>
          <cell r="B966">
            <v>1908</v>
          </cell>
          <cell r="C966" t="str">
            <v>A</v>
          </cell>
          <cell r="D966" t="str">
            <v>Salem Ahmed Alhammadi</v>
          </cell>
          <cell r="E966" t="str">
            <v>سالم أحمد الحمادي</v>
          </cell>
          <cell r="F966">
            <v>45686</v>
          </cell>
          <cell r="G966" t="str">
            <v>50003054</v>
          </cell>
          <cell r="H966" t="str">
            <v>Security Supervisor</v>
          </cell>
          <cell r="I966" t="str">
            <v>مشرف أمن</v>
          </cell>
          <cell r="J966" t="str">
            <v>On-Chart</v>
          </cell>
          <cell r="K966" t="str">
            <v>MSS Direct Hires</v>
          </cell>
          <cell r="L966" t="str">
            <v>M1</v>
          </cell>
          <cell r="M966" t="str">
            <v>Department of Culture and Tourism</v>
          </cell>
          <cell r="N966" t="str">
            <v>Abrahamic Family House Center</v>
          </cell>
          <cell r="O966" t="str">
            <v>مركز بيت العائلة الإبراهيمية</v>
          </cell>
          <cell r="P966" t="str">
            <v>-</v>
          </cell>
          <cell r="Q966" t="str">
            <v>-</v>
          </cell>
          <cell r="R966" t="str">
            <v>Sales &amp; Events</v>
          </cell>
          <cell r="S966" t="str">
            <v>الفعاليات والمبيعات</v>
          </cell>
          <cell r="T966" t="str">
            <v/>
          </cell>
          <cell r="U966" t="str">
            <v/>
          </cell>
          <cell r="V966" t="str">
            <v>Abu Dhabi</v>
          </cell>
          <cell r="W966" t="str">
            <v/>
          </cell>
          <cell r="X966" t="str">
            <v>4514121</v>
          </cell>
          <cell r="Y966" t="str">
            <v>Senior Specialization Operations</v>
          </cell>
          <cell r="Z966" t="str">
            <v>Senior Professional</v>
          </cell>
          <cell r="AA966" t="str">
            <v>3C</v>
          </cell>
        </row>
        <row r="967">
          <cell r="A967">
            <v>1909</v>
          </cell>
          <cell r="B967">
            <v>1909</v>
          </cell>
          <cell r="C967" t="str">
            <v>A</v>
          </cell>
          <cell r="D967" t="str">
            <v>Safa Fouad Fadhel</v>
          </cell>
          <cell r="E967" t="str">
            <v>صفا فؤاد فاضل</v>
          </cell>
          <cell r="F967">
            <v>45733</v>
          </cell>
          <cell r="G967" t="str">
            <v>50003608</v>
          </cell>
          <cell r="H967" t="str">
            <v>Communications Specialist</v>
          </cell>
          <cell r="I967" t="str">
            <v>أخصائي الاتصال</v>
          </cell>
          <cell r="J967" t="str">
            <v>On-Chart</v>
          </cell>
          <cell r="K967" t="str">
            <v>MSS Direct Hires</v>
          </cell>
          <cell r="L967" t="str">
            <v>M1</v>
          </cell>
          <cell r="M967" t="str">
            <v>Department of Culture and Tourism</v>
          </cell>
          <cell r="N967" t="str">
            <v>Culture</v>
          </cell>
          <cell r="O967" t="str">
            <v>الثقافة</v>
          </cell>
          <cell r="P967" t="str">
            <v>Natural History Museum Abu Dhabi</v>
          </cell>
          <cell r="Q967" t="str">
            <v>متحف التاريخ الطبيعي - أبوظبي</v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>Abu Dhabi</v>
          </cell>
          <cell r="W967" t="str">
            <v/>
          </cell>
          <cell r="X967" t="str">
            <v>4510310</v>
          </cell>
          <cell r="Y967" t="str">
            <v>Comms &amp; Marketing _Marketing &amp; Communications (All)_Professional</v>
          </cell>
          <cell r="Z967" t="str">
            <v>Professional</v>
          </cell>
          <cell r="AA967" t="str">
            <v>4A</v>
          </cell>
        </row>
        <row r="968">
          <cell r="A968">
            <v>1910</v>
          </cell>
          <cell r="B968">
            <v>1910</v>
          </cell>
          <cell r="C968" t="str">
            <v>A</v>
          </cell>
          <cell r="D968" t="str">
            <v>Wadeema Sulaiman Alhammadi</v>
          </cell>
          <cell r="E968" t="str">
            <v>وديمة سليمان الحمادي</v>
          </cell>
          <cell r="F968">
            <v>45607</v>
          </cell>
          <cell r="G968" t="str">
            <v>47700395</v>
          </cell>
          <cell r="H968" t="str">
            <v>Associate Registrar</v>
          </cell>
          <cell r="I968" t="str">
            <v>معاون أخصائي تسجيل المقتنيات</v>
          </cell>
          <cell r="J968" t="str">
            <v>On-Chart</v>
          </cell>
          <cell r="K968" t="str">
            <v>MSS Direct Hires</v>
          </cell>
          <cell r="L968" t="str">
            <v>M1</v>
          </cell>
          <cell r="M968" t="str">
            <v>Department of Culture and Tourism</v>
          </cell>
          <cell r="N968" t="str">
            <v>Culture</v>
          </cell>
          <cell r="O968" t="str">
            <v>الثقافة</v>
          </cell>
          <cell r="P968" t="str">
            <v>Guggenheim Abu Dhabi Museum</v>
          </cell>
          <cell r="Q968" t="str">
            <v>متحف جوجينهايم أبوظبي</v>
          </cell>
          <cell r="R968" t="str">
            <v>Guggenheim Abu Dhabi</v>
          </cell>
          <cell r="S968" t="str">
            <v>جوجينهايم أبوظبي</v>
          </cell>
          <cell r="T968" t="str">
            <v/>
          </cell>
          <cell r="U968" t="str">
            <v/>
          </cell>
          <cell r="V968" t="str">
            <v>Abu Dhabi</v>
          </cell>
          <cell r="W968" t="str">
            <v/>
          </cell>
          <cell r="X968" t="str">
            <v>4510410</v>
          </cell>
          <cell r="Y968" t="str">
            <v>Compliance,Governance&amp;Protocol_Policy (Culture/Tourism) _Professional</v>
          </cell>
          <cell r="Z968" t="str">
            <v>Professional</v>
          </cell>
          <cell r="AA968" t="str">
            <v>4C</v>
          </cell>
        </row>
        <row r="969">
          <cell r="A969">
            <v>1911</v>
          </cell>
          <cell r="B969">
            <v>1911</v>
          </cell>
          <cell r="C969" t="str">
            <v>A</v>
          </cell>
          <cell r="D969" t="str">
            <v>Ahmed Younus Alhammadi</v>
          </cell>
          <cell r="E969" t="str">
            <v>احمد يونس الحمادي</v>
          </cell>
          <cell r="F969">
            <v>45608</v>
          </cell>
          <cell r="G969" t="str">
            <v>10006061</v>
          </cell>
          <cell r="H969" t="str">
            <v>Accounts Receivables Accountant</v>
          </cell>
          <cell r="I969" t="str">
            <v>محاسب الحسابات المستحقة</v>
          </cell>
          <cell r="J969" t="str">
            <v>On-Chart</v>
          </cell>
          <cell r="K969" t="str">
            <v>DCT Payroll</v>
          </cell>
          <cell r="L969" t="str">
            <v>A1</v>
          </cell>
          <cell r="M969" t="str">
            <v>Department of Culture and Tourism</v>
          </cell>
          <cell r="N969" t="str">
            <v>Support Services</v>
          </cell>
          <cell r="O969" t="str">
            <v>الخدمات المساندة</v>
          </cell>
          <cell r="P969" t="str">
            <v>Finance</v>
          </cell>
          <cell r="Q969" t="str">
            <v>إدارة المالية</v>
          </cell>
          <cell r="R969" t="str">
            <v>Receivables Operations</v>
          </cell>
          <cell r="S969" t="str">
            <v>عمليات الحسابات المستحقة</v>
          </cell>
          <cell r="T969" t="str">
            <v>Accounts Receivables</v>
          </cell>
          <cell r="U969" t="str">
            <v>حسابات مستحقة</v>
          </cell>
          <cell r="V969" t="str">
            <v>Abu Dhabi</v>
          </cell>
          <cell r="W969" t="str">
            <v/>
          </cell>
          <cell r="X969" t="str">
            <v>4510210</v>
          </cell>
          <cell r="Y969" t="str">
            <v>Finance_Accountant _Professional Assistant</v>
          </cell>
          <cell r="Z969" t="str">
            <v>Professional</v>
          </cell>
          <cell r="AA969" t="str">
            <v>4C</v>
          </cell>
        </row>
        <row r="970">
          <cell r="A970">
            <v>1912</v>
          </cell>
          <cell r="B970">
            <v>1912</v>
          </cell>
          <cell r="C970" t="str">
            <v>A</v>
          </cell>
          <cell r="D970" t="str">
            <v>Khawla Ibrahim Almarzooqi</v>
          </cell>
          <cell r="E970" t="str">
            <v>خوله ابراهيم المرزوقي</v>
          </cell>
          <cell r="F970">
            <v>45608</v>
          </cell>
          <cell r="G970" t="str">
            <v>50001059</v>
          </cell>
          <cell r="H970" t="str">
            <v>Internal Communications Officer</v>
          </cell>
          <cell r="I970" t="str">
            <v>ضابط الاتصال الداخلي</v>
          </cell>
          <cell r="J970" t="str">
            <v>On-Chart</v>
          </cell>
          <cell r="K970" t="str">
            <v>ALC Direct Hires</v>
          </cell>
          <cell r="L970" t="str">
            <v>AL1</v>
          </cell>
          <cell r="M970" t="str">
            <v>Abu Dhabi Arabic Language Centre</v>
          </cell>
          <cell r="N970" t="str">
            <v>Abu Dhabi Arabic Language Centre</v>
          </cell>
          <cell r="O970" t="str">
            <v>مركز أبوظبي للغة العربية</v>
          </cell>
          <cell r="P970" t="str">
            <v>-</v>
          </cell>
          <cell r="Q970" t="str">
            <v>-</v>
          </cell>
          <cell r="R970" t="str">
            <v>Corporate Communication Office</v>
          </cell>
          <cell r="S970" t="str">
            <v>مكتب الاتصال المؤسسي</v>
          </cell>
          <cell r="T970" t="str">
            <v/>
          </cell>
          <cell r="U970" t="str">
            <v/>
          </cell>
          <cell r="V970" t="str">
            <v>Abu Dhabi</v>
          </cell>
          <cell r="W970" t="str">
            <v/>
          </cell>
          <cell r="X970" t="str">
            <v>4510195</v>
          </cell>
          <cell r="Y970" t="str">
            <v>Interpretation &amp; Engagement_Arabic Language Forum &amp; Events _Professional</v>
          </cell>
          <cell r="Z970" t="str">
            <v>Professional</v>
          </cell>
          <cell r="AA970" t="str">
            <v>4C</v>
          </cell>
        </row>
        <row r="971">
          <cell r="A971">
            <v>1913</v>
          </cell>
          <cell r="B971">
            <v>1913</v>
          </cell>
          <cell r="C971" t="str">
            <v>A</v>
          </cell>
          <cell r="D971" t="str">
            <v>Aysha Saif Almazrouei</v>
          </cell>
          <cell r="E971" t="str">
            <v>عائشه سيف المزروعي</v>
          </cell>
          <cell r="F971">
            <v>45636</v>
          </cell>
          <cell r="G971" t="str">
            <v>50003133</v>
          </cell>
          <cell r="H971" t="str">
            <v>Database Officer</v>
          </cell>
          <cell r="I971" t="str">
            <v>ضابط قاعدة بيانات</v>
          </cell>
          <cell r="J971" t="str">
            <v>On-Chart</v>
          </cell>
          <cell r="K971" t="str">
            <v>MSS Direct Hires</v>
          </cell>
          <cell r="L971" t="str">
            <v>M1</v>
          </cell>
          <cell r="M971" t="str">
            <v>Louvre Abu Dhabi</v>
          </cell>
          <cell r="N971" t="str">
            <v>Louvre Abu Dhabi</v>
          </cell>
          <cell r="O971" t="str">
            <v>متحف اللوفر أبوظبي</v>
          </cell>
          <cell r="P971" t="str">
            <v>Scientific, Curatorial &amp; Collection Management</v>
          </cell>
          <cell r="Q971" t="str">
            <v>إدارة المقتنيات العلمية والتنظيمية</v>
          </cell>
          <cell r="R971" t="str">
            <v>Research &amp; Documentation</v>
          </cell>
          <cell r="S971" t="str">
            <v/>
          </cell>
          <cell r="T971" t="str">
            <v/>
          </cell>
          <cell r="U971" t="str">
            <v/>
          </cell>
          <cell r="V971" t="str">
            <v>Abu Dhabi</v>
          </cell>
          <cell r="W971" t="str">
            <v/>
          </cell>
          <cell r="X971" t="str">
            <v>4510122</v>
          </cell>
          <cell r="Y971" t="str">
            <v>Content &amp; Care_Registrar  (All)_Professional</v>
          </cell>
          <cell r="Z971" t="str">
            <v>Professional</v>
          </cell>
          <cell r="AA971" t="str">
            <v>4C</v>
          </cell>
        </row>
        <row r="972">
          <cell r="A972">
            <v>1914</v>
          </cell>
          <cell r="B972">
            <v>1914</v>
          </cell>
          <cell r="C972" t="str">
            <v>A</v>
          </cell>
          <cell r="D972" t="str">
            <v>Lulwa Issa Hasan</v>
          </cell>
          <cell r="E972" t="str">
            <v>لولوه عيسى حسن</v>
          </cell>
          <cell r="F972">
            <v>45691</v>
          </cell>
          <cell r="G972" t="str">
            <v>50000707</v>
          </cell>
          <cell r="H972" t="str">
            <v>Senior Events Specialist</v>
          </cell>
          <cell r="I972" t="str">
            <v>أخصائي أول الفعاليات</v>
          </cell>
          <cell r="J972" t="str">
            <v>On-Chart</v>
          </cell>
          <cell r="K972" t="str">
            <v>MSS Direct Hires</v>
          </cell>
          <cell r="L972" t="str">
            <v>M1</v>
          </cell>
          <cell r="M972" t="str">
            <v>Department of Culture and Tourism</v>
          </cell>
          <cell r="N972" t="str">
            <v>Zayed National Museum</v>
          </cell>
          <cell r="O972" t="str">
            <v>متحف زايد الوطني</v>
          </cell>
          <cell r="P972" t="str">
            <v>Development &amp; Commercial Services</v>
          </cell>
          <cell r="Q972" t="str">
            <v>التطوير والخدمات التجارية</v>
          </cell>
          <cell r="R972" t="str">
            <v>Events</v>
          </cell>
          <cell r="S972" t="str">
            <v>الفعاليات</v>
          </cell>
          <cell r="T972" t="str">
            <v/>
          </cell>
          <cell r="U972" t="str">
            <v/>
          </cell>
          <cell r="V972" t="str">
            <v>Abu Dhabi</v>
          </cell>
          <cell r="W972" t="str">
            <v/>
          </cell>
          <cell r="X972" t="str">
            <v>4510183</v>
          </cell>
          <cell r="Y972" t="str">
            <v>Senior Specialization Festivals &amp; Events</v>
          </cell>
          <cell r="Z972" t="str">
            <v>Senior Professional</v>
          </cell>
          <cell r="AA972" t="str">
            <v>3C</v>
          </cell>
        </row>
        <row r="973">
          <cell r="A973">
            <v>1917</v>
          </cell>
          <cell r="B973">
            <v>1917</v>
          </cell>
          <cell r="C973" t="str">
            <v>A</v>
          </cell>
          <cell r="D973" t="str">
            <v>Maitha Mohammed Alblooshi</v>
          </cell>
          <cell r="E973" t="str">
            <v>ميثه محمد البلوشي</v>
          </cell>
          <cell r="F973">
            <v>45621</v>
          </cell>
          <cell r="G973" t="str">
            <v>50001712</v>
          </cell>
          <cell r="H973" t="str">
            <v>Administrative Officer</v>
          </cell>
          <cell r="I973" t="str">
            <v>ضابط إداري</v>
          </cell>
          <cell r="J973" t="str">
            <v>On-Chart</v>
          </cell>
          <cell r="K973" t="str">
            <v>DCT Payroll</v>
          </cell>
          <cell r="L973" t="str">
            <v>A1</v>
          </cell>
          <cell r="M973" t="str">
            <v>Department of Culture and Tourism</v>
          </cell>
          <cell r="N973" t="str">
            <v>Support Services</v>
          </cell>
          <cell r="O973" t="str">
            <v>الخدمات المساندة</v>
          </cell>
          <cell r="P973" t="str">
            <v>Finance</v>
          </cell>
          <cell r="Q973" t="str">
            <v>إدارة المالية</v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>Abu Dhabi</v>
          </cell>
          <cell r="W973" t="str">
            <v/>
          </cell>
          <cell r="X973" t="str">
            <v>4510210</v>
          </cell>
          <cell r="Y973" t="str">
            <v>Finance_Accountant_Professional</v>
          </cell>
          <cell r="Z973" t="str">
            <v>Professional</v>
          </cell>
          <cell r="AA973" t="str">
            <v>4C</v>
          </cell>
        </row>
        <row r="974">
          <cell r="A974">
            <v>1918</v>
          </cell>
          <cell r="B974">
            <v>1918</v>
          </cell>
          <cell r="C974" t="str">
            <v>A</v>
          </cell>
          <cell r="D974" t="str">
            <v>May Shafi Alhajeri</v>
          </cell>
          <cell r="E974" t="str">
            <v>مي شافي الهاجري</v>
          </cell>
          <cell r="F974">
            <v>45621</v>
          </cell>
          <cell r="G974" t="str">
            <v>50004202</v>
          </cell>
          <cell r="H974" t="str">
            <v>Sector Capability Development Unit Head (Gaming)</v>
          </cell>
          <cell r="I974" t="str">
            <v>رئيس وحدة تطوير قدرات القطاع (الألعاب)</v>
          </cell>
          <cell r="J974" t="str">
            <v>On-Chart</v>
          </cell>
          <cell r="K974" t="str">
            <v>DCT Payroll</v>
          </cell>
          <cell r="L974" t="str">
            <v>A1</v>
          </cell>
          <cell r="M974" t="str">
            <v>Department of Culture and Tourism</v>
          </cell>
          <cell r="N974" t="str">
            <v>Strategic Affairs</v>
          </cell>
          <cell r="O974" t="str">
            <v>مكتب وكيل الدائرة</v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>Abu Dhabi</v>
          </cell>
          <cell r="W974" t="str">
            <v/>
          </cell>
          <cell r="X974" t="str">
            <v>4510110</v>
          </cell>
          <cell r="Y974" t="str">
            <v/>
          </cell>
          <cell r="Z974" t="str">
            <v>Unit Head</v>
          </cell>
          <cell r="AA974" t="str">
            <v>3C</v>
          </cell>
        </row>
        <row r="975">
          <cell r="A975">
            <v>1919</v>
          </cell>
          <cell r="B975">
            <v>1919</v>
          </cell>
          <cell r="C975" t="str">
            <v>A</v>
          </cell>
          <cell r="D975" t="str">
            <v>Claudine Sami Alzahed</v>
          </cell>
          <cell r="E975" t="str">
            <v>كلودين سامي الزاهد</v>
          </cell>
          <cell r="F975">
            <v>45632</v>
          </cell>
          <cell r="G975" t="str">
            <v>50002558</v>
          </cell>
          <cell r="H975" t="str">
            <v>Executive Assistant</v>
          </cell>
          <cell r="I975" t="str">
            <v>مساعد تنفيذي</v>
          </cell>
          <cell r="J975" t="str">
            <v>On-Chart</v>
          </cell>
          <cell r="K975" t="str">
            <v>MSS Direct Hires</v>
          </cell>
          <cell r="L975" t="str">
            <v>M1</v>
          </cell>
          <cell r="M975" t="str">
            <v>Department of Culture and Tourism</v>
          </cell>
          <cell r="N975" t="str">
            <v>Museums Shared Services</v>
          </cell>
          <cell r="O975" t="str">
            <v>الخدمات المشتركة للمتاحف</v>
          </cell>
          <cell r="P975" t="str">
            <v>People and Performance - MSS</v>
          </cell>
          <cell r="Q975" t="str">
            <v>إدارة الكوادر البشرية والأداء - الخدمات المشتركة للمتاحف</v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>Abu Dhabi</v>
          </cell>
          <cell r="W975" t="str">
            <v/>
          </cell>
          <cell r="X975" t="str">
            <v>4514140</v>
          </cell>
          <cell r="Y975" t="str">
            <v>People &amp; Performance _HR
Advisor_Section Head</v>
          </cell>
          <cell r="Z975" t="str">
            <v>Professional</v>
          </cell>
          <cell r="AA975" t="str">
            <v>4C</v>
          </cell>
        </row>
        <row r="976">
          <cell r="A976">
            <v>1920</v>
          </cell>
          <cell r="B976">
            <v>1920</v>
          </cell>
          <cell r="C976" t="str">
            <v>A</v>
          </cell>
          <cell r="D976" t="str">
            <v>Noura Ali Almansoori</v>
          </cell>
          <cell r="E976" t="str">
            <v>نورة علي المنصوري</v>
          </cell>
          <cell r="F976">
            <v>45636</v>
          </cell>
          <cell r="G976" t="str">
            <v>50002660</v>
          </cell>
          <cell r="H976" t="str">
            <v>Al Dhafra Culture Sites Section Head</v>
          </cell>
          <cell r="I976" t="str">
            <v>رئيس قسم مواقع الظفرة الثقافية</v>
          </cell>
          <cell r="J976" t="str">
            <v>On-Chart</v>
          </cell>
          <cell r="K976" t="str">
            <v>DCT Payroll</v>
          </cell>
          <cell r="L976" t="str">
            <v>A1</v>
          </cell>
          <cell r="M976" t="str">
            <v>Department of Culture and Tourism</v>
          </cell>
          <cell r="N976" t="str">
            <v>Culture</v>
          </cell>
          <cell r="O976" t="str">
            <v>الثقافة</v>
          </cell>
          <cell r="P976" t="str">
            <v>Culture Sites Management</v>
          </cell>
          <cell r="Q976" t="str">
            <v>إدارة المواقع الثقافية</v>
          </cell>
          <cell r="R976" t="str">
            <v>Al Dhafra Culture Sites</v>
          </cell>
          <cell r="S976" t="str">
            <v>مواقع الظفرة الثقافية</v>
          </cell>
          <cell r="T976" t="str">
            <v/>
          </cell>
          <cell r="U976" t="str">
            <v/>
          </cell>
          <cell r="V976" t="str">
            <v>Abu Dhabi</v>
          </cell>
          <cell r="W976" t="str">
            <v/>
          </cell>
          <cell r="X976" t="str">
            <v>4511250</v>
          </cell>
          <cell r="Y976" t="str">
            <v>Compliance,Governance&amp;Protocol_Policy (Culture &amp; Tourism)_Section Head</v>
          </cell>
          <cell r="Z976" t="str">
            <v>Section Manager</v>
          </cell>
          <cell r="AA976" t="str">
            <v>2C</v>
          </cell>
        </row>
        <row r="977">
          <cell r="A977">
            <v>1922</v>
          </cell>
          <cell r="B977">
            <v>1922</v>
          </cell>
          <cell r="C977" t="str">
            <v>A</v>
          </cell>
          <cell r="D977" t="str">
            <v>Sara Mansour Aljneibi</v>
          </cell>
          <cell r="E977" t="str">
            <v>ساره منصور الجنيبي</v>
          </cell>
          <cell r="F977">
            <v>45691</v>
          </cell>
          <cell r="G977" t="str">
            <v>50003604</v>
          </cell>
          <cell r="H977" t="str">
            <v>Education Specialist</v>
          </cell>
          <cell r="I977" t="str">
            <v>أخصائي التعليم</v>
          </cell>
          <cell r="J977" t="str">
            <v>On-Chart</v>
          </cell>
          <cell r="K977" t="str">
            <v>MSS Direct Hires</v>
          </cell>
          <cell r="L977" t="str">
            <v>M1</v>
          </cell>
          <cell r="M977" t="str">
            <v>Department of Culture and Tourism</v>
          </cell>
          <cell r="N977" t="str">
            <v>Culture</v>
          </cell>
          <cell r="O977" t="str">
            <v>الثقافة</v>
          </cell>
          <cell r="P977" t="str">
            <v>Natural History Museum Abu Dhabi</v>
          </cell>
          <cell r="Q977" t="str">
            <v>متحف التاريخ الطبيعي - أبوظبي</v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>Abu Dhabi</v>
          </cell>
          <cell r="W977" t="str">
            <v/>
          </cell>
          <cell r="X977" t="str">
            <v>4510310</v>
          </cell>
          <cell r="Y977" t="str">
            <v>Interpretation &amp; Engagement_Education &amp; Leaning Development &amp;  Engagement _Professional</v>
          </cell>
          <cell r="Z977" t="str">
            <v>Professional</v>
          </cell>
          <cell r="AA977" t="str">
            <v>4C</v>
          </cell>
        </row>
        <row r="978">
          <cell r="A978">
            <v>1924</v>
          </cell>
          <cell r="B978">
            <v>1924</v>
          </cell>
          <cell r="C978" t="str">
            <v>A</v>
          </cell>
          <cell r="D978" t="str">
            <v>Abdulla Kamal Alkatheeri</v>
          </cell>
          <cell r="E978" t="str">
            <v>عبدالله كمال الكثيري</v>
          </cell>
          <cell r="F978">
            <v>45670</v>
          </cell>
          <cell r="G978" t="str">
            <v>50003587</v>
          </cell>
          <cell r="H978" t="str">
            <v>Facilities Management Specialist</v>
          </cell>
          <cell r="I978" t="str">
            <v>أخصائي إدارة المرافق</v>
          </cell>
          <cell r="J978" t="str">
            <v>On-Chart</v>
          </cell>
          <cell r="K978" t="str">
            <v>MSS Direct Hires</v>
          </cell>
          <cell r="L978" t="str">
            <v>M1</v>
          </cell>
          <cell r="M978" t="str">
            <v>Department of Culture and Tourism</v>
          </cell>
          <cell r="N978" t="str">
            <v>Culture</v>
          </cell>
          <cell r="O978" t="str">
            <v>الثقافة</v>
          </cell>
          <cell r="P978" t="str">
            <v>Natural History Museum Abu Dhabi</v>
          </cell>
          <cell r="Q978" t="str">
            <v>متحف التاريخ الطبيعي - أبوظبي</v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>Abu Dhabi</v>
          </cell>
          <cell r="W978" t="str">
            <v/>
          </cell>
          <cell r="X978" t="str">
            <v>4510310</v>
          </cell>
          <cell r="Y978" t="str">
            <v>Technical Safety &amp; Security_Facilities Management &amp; Building Services _Professional</v>
          </cell>
          <cell r="Z978" t="str">
            <v>Professional</v>
          </cell>
          <cell r="AA978" t="str">
            <v>4C</v>
          </cell>
        </row>
        <row r="979">
          <cell r="A979">
            <v>1925</v>
          </cell>
          <cell r="B979">
            <v>1925</v>
          </cell>
          <cell r="C979" t="str">
            <v>A</v>
          </cell>
          <cell r="D979" t="str">
            <v>Saqib Riaz Bhatti</v>
          </cell>
          <cell r="E979" t="str">
            <v>ثاقب رياض بهاتي</v>
          </cell>
          <cell r="F979">
            <v>45635</v>
          </cell>
          <cell r="G979" t="str">
            <v>50002416</v>
          </cell>
          <cell r="H979" t="str">
            <v>GIS Senior Specialist</v>
          </cell>
          <cell r="I979" t="str">
            <v>أخصائي أول نظم المعلومات الجغرافية</v>
          </cell>
          <cell r="J979" t="str">
            <v>On-Chart</v>
          </cell>
          <cell r="K979" t="str">
            <v>DCT Payroll</v>
          </cell>
          <cell r="L979" t="str">
            <v>A1</v>
          </cell>
          <cell r="M979" t="str">
            <v>Department of Culture and Tourism</v>
          </cell>
          <cell r="N979" t="str">
            <v>Culture</v>
          </cell>
          <cell r="O979" t="str">
            <v>الثقافة</v>
          </cell>
          <cell r="P979" t="str">
            <v>Historic Environment</v>
          </cell>
          <cell r="Q979" t="str">
            <v>البيئة التاريخية</v>
          </cell>
          <cell r="R979" t="str">
            <v>Development Control &amp; Documentation</v>
          </cell>
          <cell r="S979" t="str">
            <v>التوثيق ورقابة التطوير</v>
          </cell>
          <cell r="T979" t="str">
            <v>Documentation &amp; Archiving</v>
          </cell>
          <cell r="U979" t="str">
            <v>التوثيق والأرشفة</v>
          </cell>
          <cell r="V979" t="str">
            <v>Abu Dhabi</v>
          </cell>
          <cell r="W979" t="str">
            <v/>
          </cell>
          <cell r="X979" t="str">
            <v>4511300</v>
          </cell>
          <cell r="Y979" t="str">
            <v>Compliance,Governance&amp;Protocol_Policy (Culture/Tourism _Senior Professional</v>
          </cell>
          <cell r="Z979" t="str">
            <v>Senior Professional</v>
          </cell>
          <cell r="AA979" t="str">
            <v>3C</v>
          </cell>
        </row>
        <row r="980">
          <cell r="A980">
            <v>1926</v>
          </cell>
          <cell r="B980">
            <v>1926</v>
          </cell>
          <cell r="C980" t="str">
            <v>A</v>
          </cell>
          <cell r="D980" t="str">
            <v>Laila Ali Aljawadri</v>
          </cell>
          <cell r="E980" t="str">
            <v>ليلى علي الجوادري</v>
          </cell>
          <cell r="F980">
            <v>45656</v>
          </cell>
          <cell r="G980" t="str">
            <v>50002733</v>
          </cell>
          <cell r="H980" t="str">
            <v>Project Management and Business Partnership   Section Head</v>
          </cell>
          <cell r="I980" t="str">
            <v>رئيس قسم ادارة المشاريع  والشراكة التجارية</v>
          </cell>
          <cell r="J980" t="str">
            <v>On-Chart</v>
          </cell>
          <cell r="K980" t="str">
            <v>MSS Direct Hires</v>
          </cell>
          <cell r="L980" t="str">
            <v>M1</v>
          </cell>
          <cell r="M980" t="str">
            <v>Department of Culture and Tourism</v>
          </cell>
          <cell r="N980" t="str">
            <v>Museums Shared Services</v>
          </cell>
          <cell r="O980" t="str">
            <v>الخدمات المشتركة للمتاحف</v>
          </cell>
          <cell r="P980" t="str">
            <v>Technology - MSS</v>
          </cell>
          <cell r="Q980" t="str">
            <v>إدارة التكنولوجيا - الخدمات المشتركة للمتاحف</v>
          </cell>
          <cell r="R980" t="str">
            <v>Project Management and Business Partnership Section</v>
          </cell>
          <cell r="S980" t="str">
            <v>قسم إدارة المشاريع وشراكات الأعمال</v>
          </cell>
          <cell r="T980" t="str">
            <v/>
          </cell>
          <cell r="U980" t="str">
            <v/>
          </cell>
          <cell r="V980" t="str">
            <v>Abu Dhabi</v>
          </cell>
          <cell r="W980" t="str">
            <v/>
          </cell>
          <cell r="X980" t="str">
            <v>4514180</v>
          </cell>
          <cell r="Y980" t="str">
            <v>Information Technology_IT Operations _Unit Head</v>
          </cell>
          <cell r="Z980" t="str">
            <v>Unit Head</v>
          </cell>
          <cell r="AA980" t="str">
            <v>2C</v>
          </cell>
        </row>
        <row r="981">
          <cell r="A981">
            <v>1927</v>
          </cell>
          <cell r="B981">
            <v>1927</v>
          </cell>
          <cell r="C981" t="str">
            <v>A</v>
          </cell>
          <cell r="D981" t="str">
            <v>Ayesha Mohamed Almansoori</v>
          </cell>
          <cell r="E981" t="str">
            <v>عائشه محمد المنصوري</v>
          </cell>
          <cell r="F981">
            <v>45653</v>
          </cell>
          <cell r="G981" t="str">
            <v>50003391</v>
          </cell>
          <cell r="H981" t="str">
            <v>Associate Curator</v>
          </cell>
          <cell r="I981" t="str">
            <v>أمين متحف معاون</v>
          </cell>
          <cell r="J981" t="str">
            <v>On-Chart</v>
          </cell>
          <cell r="K981" t="str">
            <v>MSS Direct Hires</v>
          </cell>
          <cell r="L981" t="str">
            <v>M1</v>
          </cell>
          <cell r="M981" t="str">
            <v>Department of Culture and Tourism</v>
          </cell>
          <cell r="N981" t="str">
            <v>Zayed National Museum</v>
          </cell>
          <cell r="O981" t="str">
            <v>متحف زايد الوطني</v>
          </cell>
          <cell r="P981" t="str">
            <v>Curatorial &amp; Collection Management</v>
          </cell>
          <cell r="Q981" t="str">
            <v>أمناء المتحف وإدارة المقتنيات</v>
          </cell>
          <cell r="R981" t="str">
            <v>Curatorial</v>
          </cell>
          <cell r="S981" t="str">
            <v>أمناء المتحف</v>
          </cell>
          <cell r="T981" t="str">
            <v/>
          </cell>
          <cell r="U981" t="str">
            <v/>
          </cell>
          <cell r="V981" t="str">
            <v>Abu Dhabi</v>
          </cell>
          <cell r="W981" t="str">
            <v/>
          </cell>
          <cell r="X981" t="str">
            <v>4510181</v>
          </cell>
          <cell r="Y981" t="str">
            <v>Content &amp; Care_Curatorial  Management  _Professional</v>
          </cell>
          <cell r="Z981" t="str">
            <v>Professional</v>
          </cell>
          <cell r="AA981" t="str">
            <v>4C</v>
          </cell>
        </row>
        <row r="982">
          <cell r="A982">
            <v>1928</v>
          </cell>
          <cell r="B982">
            <v>1928</v>
          </cell>
          <cell r="C982" t="str">
            <v>A</v>
          </cell>
          <cell r="D982" t="str">
            <v>Noora Salem Alrashdi</v>
          </cell>
          <cell r="E982" t="str">
            <v>نوره سالم الراشدي</v>
          </cell>
          <cell r="F982">
            <v>45638</v>
          </cell>
          <cell r="G982" t="str">
            <v>50003243</v>
          </cell>
          <cell r="H982" t="str">
            <v>Treasury Accountant</v>
          </cell>
          <cell r="I982" t="str">
            <v>محاسب الخزانة</v>
          </cell>
          <cell r="J982" t="str">
            <v>On-Chart</v>
          </cell>
          <cell r="K982" t="str">
            <v>DCT Payroll</v>
          </cell>
          <cell r="L982" t="str">
            <v>A1</v>
          </cell>
          <cell r="M982" t="str">
            <v>Department of Culture and Tourism</v>
          </cell>
          <cell r="N982" t="str">
            <v>Support Services</v>
          </cell>
          <cell r="O982" t="str">
            <v>الخدمات المساندة</v>
          </cell>
          <cell r="P982" t="str">
            <v>Finance</v>
          </cell>
          <cell r="Q982" t="str">
            <v>إدارة المالية</v>
          </cell>
          <cell r="R982" t="str">
            <v>Finance Operations</v>
          </cell>
          <cell r="S982" t="str">
            <v>العمليات المالية</v>
          </cell>
          <cell r="T982" t="str">
            <v>Treasury</v>
          </cell>
          <cell r="U982" t="str">
            <v>خزينة</v>
          </cell>
          <cell r="V982" t="str">
            <v>Abu Dhabi</v>
          </cell>
          <cell r="W982" t="str">
            <v/>
          </cell>
          <cell r="X982" t="str">
            <v>4510210</v>
          </cell>
          <cell r="Y982" t="str">
            <v>Finance_Accountant _Professional Assistant</v>
          </cell>
          <cell r="Z982" t="str">
            <v>Professional</v>
          </cell>
          <cell r="AA982" t="str">
            <v>4C</v>
          </cell>
        </row>
        <row r="983">
          <cell r="A983">
            <v>1931</v>
          </cell>
          <cell r="B983">
            <v>1931</v>
          </cell>
          <cell r="C983" t="str">
            <v>A</v>
          </cell>
          <cell r="D983" t="str">
            <v>Abdul Qader Mohammed Bin Yahya</v>
          </cell>
          <cell r="E983" t="str">
            <v>عبدالقادر محمد بن يحيى</v>
          </cell>
          <cell r="F983">
            <v>45644</v>
          </cell>
          <cell r="G983" t="str">
            <v>50002630</v>
          </cell>
          <cell r="H983" t="str">
            <v>General Services​ Unit Head</v>
          </cell>
          <cell r="I983" t="str">
            <v>رئيس وحدة الخدمات العامة</v>
          </cell>
          <cell r="J983" t="str">
            <v>On-Chart</v>
          </cell>
          <cell r="K983" t="str">
            <v>MSS Direct Hires</v>
          </cell>
          <cell r="L983" t="str">
            <v>M1</v>
          </cell>
          <cell r="M983" t="str">
            <v>Department of Culture and Tourism</v>
          </cell>
          <cell r="N983" t="str">
            <v>Museums Shared Services</v>
          </cell>
          <cell r="O983" t="str">
            <v>الخدمات المشتركة للمتاحف</v>
          </cell>
          <cell r="P983" t="str">
            <v>People and Performance - MSS</v>
          </cell>
          <cell r="Q983" t="str">
            <v>إدارة الكوادر البشرية والأداء - الخدمات المشتركة للمتاحف</v>
          </cell>
          <cell r="R983" t="str">
            <v>General Services Section - MSS</v>
          </cell>
          <cell r="S983" t="str">
            <v>قسم الخدمات العامة</v>
          </cell>
          <cell r="T983" t="str">
            <v/>
          </cell>
          <cell r="U983" t="str">
            <v/>
          </cell>
          <cell r="V983" t="str">
            <v>Abu Dhabi</v>
          </cell>
          <cell r="W983" t="str">
            <v/>
          </cell>
          <cell r="X983" t="str">
            <v>4514140</v>
          </cell>
          <cell r="Y983" t="str">
            <v>People &amp; Performance _Rewards Policy &amp; Recognition _Unit Head</v>
          </cell>
          <cell r="Z983" t="str">
            <v>Unit Head</v>
          </cell>
          <cell r="AA983" t="str">
            <v>3C</v>
          </cell>
        </row>
        <row r="984">
          <cell r="A984">
            <v>1932</v>
          </cell>
          <cell r="B984">
            <v>1932</v>
          </cell>
          <cell r="C984" t="str">
            <v>A</v>
          </cell>
          <cell r="D984" t="str">
            <v>Afra Naser Alafeefi</v>
          </cell>
          <cell r="E984" t="str">
            <v>عفراء ناصر العفيفي</v>
          </cell>
          <cell r="F984">
            <v>45691</v>
          </cell>
          <cell r="G984" t="str">
            <v>50002637</v>
          </cell>
          <cell r="H984" t="str">
            <v>Talent Acquisition Unit Head</v>
          </cell>
          <cell r="I984" t="str">
            <v>رئيس وحدة استقطاب المواهب</v>
          </cell>
          <cell r="J984" t="str">
            <v>On-Chart</v>
          </cell>
          <cell r="K984" t="str">
            <v>MSS Direct Hires</v>
          </cell>
          <cell r="L984" t="str">
            <v>M1</v>
          </cell>
          <cell r="M984" t="str">
            <v>Department of Culture and Tourism</v>
          </cell>
          <cell r="N984" t="str">
            <v>Museums Shared Services</v>
          </cell>
          <cell r="O984" t="str">
            <v>الخدمات المشتركة للمتاحف</v>
          </cell>
          <cell r="P984" t="str">
            <v>People and Performance - MSS</v>
          </cell>
          <cell r="Q984" t="str">
            <v>إدارة الكوادر البشرية والأداء - الخدمات المشتركة للمتاحف</v>
          </cell>
          <cell r="R984" t="str">
            <v>Talent Acquisition Section - MSS</v>
          </cell>
          <cell r="S984" t="str">
            <v>قسم استقطاب المواهب</v>
          </cell>
          <cell r="T984" t="str">
            <v>Talent Acquisition Unit - MSS</v>
          </cell>
          <cell r="U984" t="str">
            <v>وحدة استقطاب المواهب</v>
          </cell>
          <cell r="V984" t="str">
            <v>Abu Dhabi</v>
          </cell>
          <cell r="W984" t="str">
            <v/>
          </cell>
          <cell r="X984" t="str">
            <v>4514140</v>
          </cell>
          <cell r="Y984" t="str">
            <v>Senior Specialization HR</v>
          </cell>
          <cell r="Z984" t="str">
            <v>Unit Head</v>
          </cell>
          <cell r="AA984" t="str">
            <v>3C</v>
          </cell>
        </row>
        <row r="985">
          <cell r="A985">
            <v>1933</v>
          </cell>
          <cell r="B985">
            <v>1933</v>
          </cell>
          <cell r="C985" t="str">
            <v>A</v>
          </cell>
          <cell r="D985" t="str">
            <v>Mohammed Awni Darwish</v>
          </cell>
          <cell r="E985" t="str">
            <v>محمد عونى  درويش</v>
          </cell>
          <cell r="F985">
            <v>45596</v>
          </cell>
          <cell r="G985" t="str">
            <v>50003129</v>
          </cell>
          <cell r="H985" t="str">
            <v>Tourism PMO Section Head</v>
          </cell>
          <cell r="I985" t="str">
            <v>رئيس قسم  مكتب إدارة مشاريع السياحة</v>
          </cell>
          <cell r="J985" t="str">
            <v>On-Chart</v>
          </cell>
          <cell r="K985" t="str">
            <v>DCT Payroll</v>
          </cell>
          <cell r="L985" t="str">
            <v>A1</v>
          </cell>
          <cell r="M985" t="str">
            <v>Department of Culture and Tourism</v>
          </cell>
          <cell r="N985" t="str">
            <v>Tourism</v>
          </cell>
          <cell r="O985" t="str">
            <v>السياحة</v>
          </cell>
          <cell r="P985" t="str">
            <v>Tourism Sector Management Office</v>
          </cell>
          <cell r="Q985" t="str">
            <v>مكتب إدارة شؤون قطاع السياحة</v>
          </cell>
          <cell r="R985" t="str">
            <v>Tourism PMO Section</v>
          </cell>
          <cell r="S985" t="str">
            <v>قسم  مكتب إدارة مشاريع السياحة</v>
          </cell>
          <cell r="T985" t="str">
            <v/>
          </cell>
          <cell r="U985" t="str">
            <v/>
          </cell>
          <cell r="V985" t="str">
            <v>Abu Dhabi</v>
          </cell>
          <cell r="W985" t="str">
            <v/>
          </cell>
          <cell r="X985" t="str">
            <v>4515010</v>
          </cell>
          <cell r="Y985" t="str">
            <v>Middle Management Operations</v>
          </cell>
          <cell r="Z985" t="str">
            <v>Section Manager</v>
          </cell>
          <cell r="AA985" t="str">
            <v>2A</v>
          </cell>
        </row>
        <row r="986">
          <cell r="A986">
            <v>1935</v>
          </cell>
          <cell r="B986">
            <v>1935</v>
          </cell>
          <cell r="C986" t="str">
            <v>A</v>
          </cell>
          <cell r="D986" t="str">
            <v>Amna Ahmed Alzaabi</v>
          </cell>
          <cell r="E986" t="str">
            <v>امنه أحمد الزعابي</v>
          </cell>
          <cell r="F986">
            <v>45680</v>
          </cell>
          <cell r="G986" t="str">
            <v>50003081</v>
          </cell>
          <cell r="H986" t="str">
            <v>Programming &amp; Community Engagement Senior Specialist</v>
          </cell>
          <cell r="I986" t="str">
            <v>أخصائي أول البرامج والمشاركة المجتمعية</v>
          </cell>
          <cell r="J986" t="str">
            <v>On-Chart</v>
          </cell>
          <cell r="K986" t="str">
            <v>DCT Payroll</v>
          </cell>
          <cell r="L986" t="str">
            <v>A1</v>
          </cell>
          <cell r="M986" t="str">
            <v>Department of Culture and Tourism</v>
          </cell>
          <cell r="N986" t="str">
            <v>Culture</v>
          </cell>
          <cell r="O986" t="str">
            <v>الثقافة</v>
          </cell>
          <cell r="P986" t="str">
            <v>Culture Sites Management</v>
          </cell>
          <cell r="Q986" t="str">
            <v>إدارة المواقع الثقافية</v>
          </cell>
          <cell r="R986" t="str">
            <v>House of Artisans</v>
          </cell>
          <cell r="S986" t="str">
            <v>بيت الحرفيين</v>
          </cell>
          <cell r="T986" t="str">
            <v>Programming &amp; Community Engagement</v>
          </cell>
          <cell r="U986" t="str">
            <v>البرامج والمشاركة المجتمعية</v>
          </cell>
          <cell r="V986" t="str">
            <v>Abu Dhabi</v>
          </cell>
          <cell r="W986" t="str">
            <v/>
          </cell>
          <cell r="X986" t="str">
            <v>4511250</v>
          </cell>
          <cell r="Y986" t="str">
            <v>Senior Specialization Interpretation &amp; Engagement</v>
          </cell>
          <cell r="Z986" t="str">
            <v>Senior Professional</v>
          </cell>
          <cell r="AA986" t="str">
            <v>3A</v>
          </cell>
        </row>
        <row r="987">
          <cell r="A987">
            <v>1936</v>
          </cell>
          <cell r="B987">
            <v>1936</v>
          </cell>
          <cell r="C987" t="str">
            <v>A</v>
          </cell>
          <cell r="D987" t="str">
            <v>Nouf Suhail Aldhaheri</v>
          </cell>
          <cell r="E987" t="str">
            <v>نوف سهيل الظاهري</v>
          </cell>
          <cell r="F987">
            <v>45692</v>
          </cell>
          <cell r="G987" t="str">
            <v>50001137</v>
          </cell>
          <cell r="H987" t="str">
            <v>Artisans Administration Officer</v>
          </cell>
          <cell r="I987" t="str">
            <v>ضابط إدارة الحرفيين</v>
          </cell>
          <cell r="J987" t="str">
            <v>On-Chart</v>
          </cell>
          <cell r="K987" t="str">
            <v>DCT Payroll</v>
          </cell>
          <cell r="L987" t="str">
            <v>A1</v>
          </cell>
          <cell r="M987" t="str">
            <v>Department of Culture and Tourism</v>
          </cell>
          <cell r="N987" t="str">
            <v>Culture</v>
          </cell>
          <cell r="O987" t="str">
            <v>الثقافة</v>
          </cell>
          <cell r="P987" t="str">
            <v>Culture Sites Management</v>
          </cell>
          <cell r="Q987" t="str">
            <v>إدارة المواقع الثقافية</v>
          </cell>
          <cell r="R987" t="str">
            <v>House of Artisans</v>
          </cell>
          <cell r="S987" t="str">
            <v>بيت الحرفيين</v>
          </cell>
          <cell r="T987" t="str">
            <v>Artisans Administration</v>
          </cell>
          <cell r="U987" t="str">
            <v>إدارة الحرفيين</v>
          </cell>
          <cell r="V987" t="str">
            <v>Abu Dhabi</v>
          </cell>
          <cell r="W987" t="str">
            <v/>
          </cell>
          <cell r="X987" t="str">
            <v>4511250</v>
          </cell>
          <cell r="Y987" t="str">
            <v>Specialization Interpretation &amp; Engagement</v>
          </cell>
          <cell r="Z987" t="str">
            <v>Professional</v>
          </cell>
          <cell r="AA987" t="str">
            <v>4C</v>
          </cell>
        </row>
        <row r="988">
          <cell r="A988">
            <v>1937</v>
          </cell>
          <cell r="B988">
            <v>1937</v>
          </cell>
          <cell r="C988" t="str">
            <v>A</v>
          </cell>
          <cell r="D988" t="str">
            <v>Alanoud Abdulla Almezaini</v>
          </cell>
          <cell r="E988" t="str">
            <v>العنود عبدالله المزيني</v>
          </cell>
          <cell r="F988">
            <v>45692</v>
          </cell>
          <cell r="G988" t="str">
            <v>50002269</v>
          </cell>
          <cell r="H988" t="str">
            <v>Artisan Registration &amp; Database Coordinator</v>
          </cell>
          <cell r="I988" t="str">
            <v>منسق بيانات وتسجيل حرفيين</v>
          </cell>
          <cell r="J988" t="str">
            <v>On-Chart</v>
          </cell>
          <cell r="K988" t="str">
            <v>DCT Payroll</v>
          </cell>
          <cell r="L988" t="str">
            <v>A1</v>
          </cell>
          <cell r="M988" t="str">
            <v>Department of Culture and Tourism</v>
          </cell>
          <cell r="N988" t="str">
            <v>Culture</v>
          </cell>
          <cell r="O988" t="str">
            <v>الثقافة</v>
          </cell>
          <cell r="P988" t="str">
            <v>Intangible Cultural Heritage</v>
          </cell>
          <cell r="Q988" t="str">
            <v>التراث الثقافي المعنوي</v>
          </cell>
          <cell r="R988" t="str">
            <v>Handicrafts Development</v>
          </cell>
          <cell r="S988" t="str">
            <v>تطوير الحرف اليدوية</v>
          </cell>
          <cell r="T988" t="str">
            <v>Artisans Capacity Building Programmes</v>
          </cell>
          <cell r="U988" t="str">
            <v>تطوير قدرات الحرفيين</v>
          </cell>
          <cell r="V988" t="str">
            <v>Abu Dhabi</v>
          </cell>
          <cell r="W988" t="str">
            <v/>
          </cell>
          <cell r="X988" t="str">
            <v>4511600</v>
          </cell>
          <cell r="Y988" t="str">
            <v>Specialization Interpretation &amp; Engagement</v>
          </cell>
          <cell r="Z988" t="str">
            <v>Professional Assistant</v>
          </cell>
          <cell r="AA988" t="str">
            <v>5C</v>
          </cell>
        </row>
        <row r="989">
          <cell r="A989">
            <v>1938</v>
          </cell>
          <cell r="B989">
            <v>1938</v>
          </cell>
          <cell r="C989" t="str">
            <v>A</v>
          </cell>
          <cell r="D989" t="str">
            <v>Hind Mohamed Alnaqeeb</v>
          </cell>
          <cell r="E989" t="str">
            <v>هند محمد النقيب</v>
          </cell>
          <cell r="F989">
            <v>45699</v>
          </cell>
          <cell r="G989" t="str">
            <v>50002826</v>
          </cell>
          <cell r="H989" t="str">
            <v>Sourcing Specialist</v>
          </cell>
          <cell r="I989" t="str">
            <v>أخصائي التوريد</v>
          </cell>
          <cell r="J989" t="str">
            <v>On-Chart</v>
          </cell>
          <cell r="K989" t="str">
            <v>MSS Direct Hires</v>
          </cell>
          <cell r="L989" t="str">
            <v>M1</v>
          </cell>
          <cell r="M989" t="str">
            <v>Department of Culture and Tourism</v>
          </cell>
          <cell r="N989" t="str">
            <v>Museums Shared Services</v>
          </cell>
          <cell r="O989" t="str">
            <v>الخدمات المشتركة للمتاحف</v>
          </cell>
          <cell r="P989" t="str">
            <v>Supply Management - MSS</v>
          </cell>
          <cell r="Q989" t="str">
            <v>إدارة الإمداد - الخدمات المشتركة للمتاحف</v>
          </cell>
          <cell r="R989" t="str">
            <v>Supply Management Operations Section</v>
          </cell>
          <cell r="S989" t="str">
            <v>قسم عمليات إدارة الإمداد</v>
          </cell>
          <cell r="T989" t="str">
            <v>Sourcing Unit</v>
          </cell>
          <cell r="U989" t="str">
            <v>وحدة التوريد</v>
          </cell>
          <cell r="V989" t="str">
            <v>Abu Dhabi</v>
          </cell>
          <cell r="W989" t="str">
            <v/>
          </cell>
          <cell r="X989" t="str">
            <v>4514160</v>
          </cell>
          <cell r="Y989" t="str">
            <v>Specialization Procurement</v>
          </cell>
          <cell r="Z989" t="str">
            <v>Professional</v>
          </cell>
          <cell r="AA989" t="str">
            <v>4C</v>
          </cell>
        </row>
        <row r="990">
          <cell r="A990">
            <v>1940</v>
          </cell>
          <cell r="B990">
            <v>1940</v>
          </cell>
          <cell r="C990" t="str">
            <v>A</v>
          </cell>
          <cell r="D990" t="str">
            <v>Mariam Saeed Alneyadi</v>
          </cell>
          <cell r="E990" t="str">
            <v>مريم سعيد النيادي</v>
          </cell>
          <cell r="F990">
            <v>45741</v>
          </cell>
          <cell r="G990" t="str">
            <v>50002798</v>
          </cell>
          <cell r="H990" t="str">
            <v>Projects Specialist</v>
          </cell>
          <cell r="I990" t="str">
            <v>أخصائي مشاريع</v>
          </cell>
          <cell r="J990" t="str">
            <v>On-Chart</v>
          </cell>
          <cell r="K990" t="str">
            <v>MSS Direct Hires</v>
          </cell>
          <cell r="L990" t="str">
            <v>M1</v>
          </cell>
          <cell r="M990" t="str">
            <v>Department of Culture and Tourism</v>
          </cell>
          <cell r="N990" t="str">
            <v>Museums Shared Services</v>
          </cell>
          <cell r="O990" t="str">
            <v>الخدمات المشتركة للمتاحف</v>
          </cell>
          <cell r="P990" t="str">
            <v>Technology - MSS</v>
          </cell>
          <cell r="Q990" t="str">
            <v>إدارة التكنولوجيا - الخدمات المشتركة للمتاحف</v>
          </cell>
          <cell r="R990" t="str">
            <v>Project Management and Business Partnership Section</v>
          </cell>
          <cell r="S990" t="str">
            <v>قسم إدارة المشاريع وشراكات الأعمال</v>
          </cell>
          <cell r="T990" t="str">
            <v>Technology PMO Unit</v>
          </cell>
          <cell r="U990" t="str">
            <v>وحدة إدارة مشاريع التكنولوجيا</v>
          </cell>
          <cell r="V990" t="str">
            <v>Abu Dhabi</v>
          </cell>
          <cell r="W990" t="str">
            <v/>
          </cell>
          <cell r="X990" t="str">
            <v>4514180</v>
          </cell>
          <cell r="Y990" t="str">
            <v>Specialization IT &amp; Digital Services</v>
          </cell>
          <cell r="Z990" t="str">
            <v>Professional</v>
          </cell>
          <cell r="AA990" t="str">
            <v>4C</v>
          </cell>
        </row>
        <row r="991">
          <cell r="A991">
            <v>1941</v>
          </cell>
          <cell r="B991">
            <v>1941</v>
          </cell>
          <cell r="C991" t="str">
            <v>A</v>
          </cell>
          <cell r="D991" t="str">
            <v>Nour Abdulla Almarzooqi</v>
          </cell>
          <cell r="E991" t="str">
            <v>نور عبدالله المرزوقي</v>
          </cell>
          <cell r="F991">
            <v>45733</v>
          </cell>
          <cell r="G991" t="str">
            <v>50002844</v>
          </cell>
          <cell r="H991" t="str">
            <v>Executive Assistant</v>
          </cell>
          <cell r="I991" t="str">
            <v>مساعد تنفيذي</v>
          </cell>
          <cell r="J991" t="str">
            <v>On-Chart</v>
          </cell>
          <cell r="K991" t="str">
            <v>MSS Direct Hires</v>
          </cell>
          <cell r="L991" t="str">
            <v>M1</v>
          </cell>
          <cell r="M991" t="str">
            <v>Department of Culture and Tourism</v>
          </cell>
          <cell r="N991" t="str">
            <v>Museums Shared Services</v>
          </cell>
          <cell r="O991" t="str">
            <v>الخدمات المشتركة للمتاحف</v>
          </cell>
          <cell r="P991" t="str">
            <v>Technology - MSS</v>
          </cell>
          <cell r="Q991" t="str">
            <v>إدارة التكنولوجيا - الخدمات المشتركة للمتاحف</v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>Abu Dhabi</v>
          </cell>
          <cell r="W991" t="str">
            <v/>
          </cell>
          <cell r="X991" t="str">
            <v>4514180</v>
          </cell>
          <cell r="Y991" t="str">
            <v>Specialization IT &amp; Digital Services</v>
          </cell>
          <cell r="Z991" t="str">
            <v>Professional</v>
          </cell>
          <cell r="AA991" t="str">
            <v>4C</v>
          </cell>
        </row>
        <row r="992">
          <cell r="A992">
            <v>1942</v>
          </cell>
          <cell r="B992">
            <v>1942</v>
          </cell>
          <cell r="C992" t="str">
            <v>A</v>
          </cell>
          <cell r="D992" t="str">
            <v>Sultan Salem Alsalmi</v>
          </cell>
          <cell r="E992" t="str">
            <v>سلطان سالم السالمي</v>
          </cell>
          <cell r="F992">
            <v>45754</v>
          </cell>
          <cell r="G992" t="str">
            <v>50002576</v>
          </cell>
          <cell r="H992" t="str">
            <v>Accounts Payables Senior Accountant</v>
          </cell>
          <cell r="I992" t="str">
            <v>محاسب أول الحسابات الدائنة</v>
          </cell>
          <cell r="J992" t="str">
            <v>On-Chart</v>
          </cell>
          <cell r="K992" t="str">
            <v>MSS Direct Hires</v>
          </cell>
          <cell r="L992" t="str">
            <v>M1</v>
          </cell>
          <cell r="M992" t="str">
            <v>Department of Culture and Tourism</v>
          </cell>
          <cell r="N992" t="str">
            <v>Museums Shared Services</v>
          </cell>
          <cell r="O992" t="str">
            <v>الخدمات المشتركة للمتاحف</v>
          </cell>
          <cell r="P992" t="str">
            <v>Finance - MSS</v>
          </cell>
          <cell r="Q992" t="str">
            <v>الإدارة المالية - الخدمات المشتركة للمتاحف</v>
          </cell>
          <cell r="R992" t="str">
            <v>Payables Operations Section - MSS</v>
          </cell>
          <cell r="S992" t="str">
            <v>قسم عمليات الحسابات الدائنة</v>
          </cell>
          <cell r="T992" t="str">
            <v>Accounts Payables Unit - MSS</v>
          </cell>
          <cell r="U992" t="str">
            <v>وحدة الحسابات الدائنة</v>
          </cell>
          <cell r="V992" t="str">
            <v>Abu Dhabi</v>
          </cell>
          <cell r="W992" t="str">
            <v/>
          </cell>
          <cell r="X992" t="str">
            <v>4514120</v>
          </cell>
          <cell r="Y992" t="str">
            <v>Senior Specialization Finance</v>
          </cell>
          <cell r="Z992" t="str">
            <v>Senior Professional</v>
          </cell>
          <cell r="AA992" t="str">
            <v>3C</v>
          </cell>
        </row>
        <row r="993">
          <cell r="A993">
            <v>1943</v>
          </cell>
          <cell r="B993">
            <v>1943</v>
          </cell>
          <cell r="C993" t="str">
            <v>A</v>
          </cell>
          <cell r="D993" t="str">
            <v>Salama Mohammed Alameri</v>
          </cell>
          <cell r="E993" t="str">
            <v>سلامه محمد العامري</v>
          </cell>
          <cell r="F993">
            <v>45681</v>
          </cell>
          <cell r="G993" t="str">
            <v>41000518</v>
          </cell>
          <cell r="H993" t="str">
            <v>Children Services Assistant</v>
          </cell>
          <cell r="I993" t="str">
            <v>مساعد خدمات الأطفال</v>
          </cell>
          <cell r="J993" t="str">
            <v>On-Chart</v>
          </cell>
          <cell r="K993" t="str">
            <v>DCT Payroll</v>
          </cell>
          <cell r="L993" t="str">
            <v>A1</v>
          </cell>
          <cell r="M993" t="str">
            <v>Department of Culture and Tourism</v>
          </cell>
          <cell r="N993" t="str">
            <v>Culture</v>
          </cell>
          <cell r="O993" t="str">
            <v>الثقافة</v>
          </cell>
          <cell r="P993" t="str">
            <v>Library Management</v>
          </cell>
          <cell r="Q993" t="str">
            <v>إدارة المكتبات</v>
          </cell>
          <cell r="R993" t="str">
            <v>Zayed Central Library - Al Ain</v>
          </cell>
          <cell r="S993" t="str">
            <v>مكتبة زايد المركزية - العين</v>
          </cell>
          <cell r="T993" t="str">
            <v>Children Services</v>
          </cell>
          <cell r="U993" t="str">
            <v>خدمات الأطفال</v>
          </cell>
          <cell r="V993" t="str">
            <v>Al Ain</v>
          </cell>
          <cell r="W993" t="str">
            <v/>
          </cell>
          <cell r="X993" t="str">
            <v>4516100</v>
          </cell>
          <cell r="Y993" t="str">
            <v>Administration Support Visitor Services &amp; Protocol</v>
          </cell>
          <cell r="Z993" t="str">
            <v>Professional Assistant</v>
          </cell>
          <cell r="AA993" t="str">
            <v>6C</v>
          </cell>
        </row>
        <row r="994">
          <cell r="A994">
            <v>1944</v>
          </cell>
          <cell r="B994">
            <v>1944</v>
          </cell>
          <cell r="C994" t="str">
            <v>A</v>
          </cell>
          <cell r="D994" t="str">
            <v>Hajar Hasan Alshehhi</v>
          </cell>
          <cell r="E994" t="str">
            <v>هاجر حسن الشحي</v>
          </cell>
          <cell r="F994">
            <v>45699</v>
          </cell>
          <cell r="G994" t="str">
            <v>50003332</v>
          </cell>
          <cell r="H994" t="str">
            <v>Stakeholder Engagement Specialist (Entertainment &amp; Attractions)</v>
          </cell>
          <cell r="I994" t="str">
            <v>(أخصائي إشراك أصحاب المصلحة (الترفيه والوجهات الترفيهية</v>
          </cell>
          <cell r="J994" t="str">
            <v>On-Chart</v>
          </cell>
          <cell r="K994" t="str">
            <v>DCT Payroll</v>
          </cell>
          <cell r="L994" t="str">
            <v>A1</v>
          </cell>
          <cell r="M994" t="str">
            <v>Department of Culture and Tourism</v>
          </cell>
          <cell r="N994" t="str">
            <v>Tourism</v>
          </cell>
          <cell r="O994" t="str">
            <v>السياحة</v>
          </cell>
          <cell r="P994" t="str">
            <v>Tourism Sector Management Office</v>
          </cell>
          <cell r="Q994" t="str">
            <v>مكتب إدارة شؤون قطاع السياحة</v>
          </cell>
          <cell r="R994" t="str">
            <v>Stakeholder Engagement</v>
          </cell>
          <cell r="S994" t="str">
            <v>إشراك أصحاب المصلحة</v>
          </cell>
          <cell r="T994" t="str">
            <v>Stakeholder Engagement Unit</v>
          </cell>
          <cell r="U994" t="str">
            <v>وحدة إشراك أصحاب المصلحة</v>
          </cell>
          <cell r="V994" t="str">
            <v>Abu Dhabi</v>
          </cell>
          <cell r="W994" t="str">
            <v/>
          </cell>
          <cell r="X994" t="str">
            <v>4515010</v>
          </cell>
          <cell r="Y994" t="str">
            <v>Specialization Visitor Services &amp; Protocol</v>
          </cell>
          <cell r="Z994" t="str">
            <v>Professional</v>
          </cell>
          <cell r="AA994" t="str">
            <v>4C</v>
          </cell>
        </row>
        <row r="995">
          <cell r="A995">
            <v>1945</v>
          </cell>
          <cell r="B995">
            <v>1945</v>
          </cell>
          <cell r="C995" t="str">
            <v>A</v>
          </cell>
          <cell r="D995" t="str">
            <v>Priyata Bosamia</v>
          </cell>
          <cell r="E995" t="str">
            <v>برياتا  بوساميا</v>
          </cell>
          <cell r="F995">
            <v>45726</v>
          </cell>
          <cell r="G995" t="str">
            <v>50003619</v>
          </cell>
          <cell r="H995" t="str">
            <v>Exhibitions Design Specialist</v>
          </cell>
          <cell r="I995" t="str">
            <v>أخصائي تصميم المعارض</v>
          </cell>
          <cell r="J995" t="str">
            <v>On-Chart</v>
          </cell>
          <cell r="K995" t="str">
            <v>MSS Direct Hires</v>
          </cell>
          <cell r="L995" t="str">
            <v>M1</v>
          </cell>
          <cell r="M995" t="str">
            <v>Department of Culture and Tourism</v>
          </cell>
          <cell r="N995" t="str">
            <v>Culture</v>
          </cell>
          <cell r="O995" t="str">
            <v>الثقافة</v>
          </cell>
          <cell r="P995" t="str">
            <v>Guggenheim Abu Dhabi Museum</v>
          </cell>
          <cell r="Q995" t="str">
            <v>متحف جوجينهايم أبوظبي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>Abu Dhabi</v>
          </cell>
          <cell r="W995" t="str">
            <v/>
          </cell>
          <cell r="X995" t="str">
            <v>4510410</v>
          </cell>
          <cell r="Y995" t="str">
            <v>Design_Exhibitions Design _Senior Professional</v>
          </cell>
          <cell r="Z995" t="str">
            <v>Senior Professional</v>
          </cell>
          <cell r="AA995" t="str">
            <v>3C</v>
          </cell>
        </row>
        <row r="996">
          <cell r="A996">
            <v>1946</v>
          </cell>
          <cell r="B996">
            <v>1946</v>
          </cell>
          <cell r="C996" t="str">
            <v>A</v>
          </cell>
          <cell r="D996" t="str">
            <v>Rowdah Azizoghly</v>
          </cell>
          <cell r="E996" t="str">
            <v>روضة عزيز أوغلي</v>
          </cell>
          <cell r="F996">
            <v>45719</v>
          </cell>
          <cell r="G996" t="str">
            <v>50003615</v>
          </cell>
          <cell r="H996" t="str">
            <v>Registrar</v>
          </cell>
          <cell r="I996" t="str">
            <v>مسجل المقتنيات</v>
          </cell>
          <cell r="J996" t="str">
            <v>On-Chart</v>
          </cell>
          <cell r="K996" t="str">
            <v>MSS Direct Hires</v>
          </cell>
          <cell r="L996" t="str">
            <v>M1</v>
          </cell>
          <cell r="M996" t="str">
            <v>Department of Culture and Tourism</v>
          </cell>
          <cell r="N996" t="str">
            <v>Culture</v>
          </cell>
          <cell r="O996" t="str">
            <v>الثقافة</v>
          </cell>
          <cell r="P996" t="str">
            <v>Guggenheim Abu Dhabi Museum</v>
          </cell>
          <cell r="Q996" t="str">
            <v>متحف جوجينهايم أبوظبي</v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>Abu Dhabi</v>
          </cell>
          <cell r="W996" t="str">
            <v/>
          </cell>
          <cell r="X996" t="str">
            <v>4510410</v>
          </cell>
          <cell r="Y996" t="str">
            <v>Strategy, Planning, Project Mgt_Operational Planning &amp; Project Management_Unit Head</v>
          </cell>
          <cell r="Z996" t="str">
            <v>Senior Professional</v>
          </cell>
          <cell r="AA996" t="str">
            <v>3C</v>
          </cell>
        </row>
        <row r="997">
          <cell r="A997">
            <v>1947</v>
          </cell>
          <cell r="B997">
            <v>1947</v>
          </cell>
          <cell r="C997" t="str">
            <v>A</v>
          </cell>
          <cell r="D997" t="str">
            <v>Amelia Jane Martin</v>
          </cell>
          <cell r="E997" t="str">
            <v>اميليا جين مارتن</v>
          </cell>
          <cell r="F997">
            <v>45712</v>
          </cell>
          <cell r="G997" t="str">
            <v>50003612</v>
          </cell>
          <cell r="H997" t="str">
            <v>Public Engagement Section Head</v>
          </cell>
          <cell r="I997" t="str">
            <v>رئيس قسم المشاركة المجتمعية</v>
          </cell>
          <cell r="J997" t="str">
            <v>On-Chart</v>
          </cell>
          <cell r="K997" t="str">
            <v>MSS Direct Hires</v>
          </cell>
          <cell r="L997" t="str">
            <v>M1</v>
          </cell>
          <cell r="M997" t="str">
            <v>Department of Culture and Tourism</v>
          </cell>
          <cell r="N997" t="str">
            <v>Culture</v>
          </cell>
          <cell r="O997" t="str">
            <v>الثقافة</v>
          </cell>
          <cell r="P997" t="str">
            <v>Guggenheim Abu Dhabi Museum</v>
          </cell>
          <cell r="Q997" t="str">
            <v>متحف جوجينهايم أبوظبي</v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>Abu Dhabi</v>
          </cell>
          <cell r="W997" t="str">
            <v/>
          </cell>
          <cell r="X997" t="str">
            <v>4510410</v>
          </cell>
          <cell r="Y997" t="str">
            <v>Interpretation &amp; Engagement_Education Learning &amp;  Engagement _Section Manager</v>
          </cell>
          <cell r="Z997" t="str">
            <v>Section Manager</v>
          </cell>
          <cell r="AA997" t="str">
            <v>2C</v>
          </cell>
        </row>
        <row r="998">
          <cell r="A998">
            <v>1949</v>
          </cell>
          <cell r="B998">
            <v>1949</v>
          </cell>
          <cell r="C998" t="str">
            <v>A</v>
          </cell>
          <cell r="D998" t="str">
            <v>Suhail Mahmoud Altamimi</v>
          </cell>
          <cell r="E998" t="str">
            <v>سهيل محمود التميمي</v>
          </cell>
          <cell r="F998">
            <v>45754</v>
          </cell>
          <cell r="G998" t="str">
            <v>50001982</v>
          </cell>
          <cell r="H998" t="str">
            <v>Senior Visitor Services Supervisor</v>
          </cell>
          <cell r="I998" t="str">
            <v>مشرف أول خدمات الزوار</v>
          </cell>
          <cell r="J998" t="str">
            <v>On-Chart</v>
          </cell>
          <cell r="K998" t="str">
            <v>MSS Direct Hires</v>
          </cell>
          <cell r="L998" t="str">
            <v>M1</v>
          </cell>
          <cell r="M998" t="str">
            <v>Department of Culture and Tourism</v>
          </cell>
          <cell r="N998" t="str">
            <v>Zayed National Museum</v>
          </cell>
          <cell r="O998" t="str">
            <v>متحف زايد الوطني</v>
          </cell>
          <cell r="P998" t="str">
            <v>Marketing &amp; Communication</v>
          </cell>
          <cell r="Q998" t="str">
            <v>التسويق والاتصال</v>
          </cell>
          <cell r="R998" t="str">
            <v>Visitor Services</v>
          </cell>
          <cell r="S998" t="str">
            <v>خدمات الزوّار</v>
          </cell>
          <cell r="T998" t="str">
            <v/>
          </cell>
          <cell r="U998" t="str">
            <v/>
          </cell>
          <cell r="V998" t="str">
            <v>Abu Dhabi</v>
          </cell>
          <cell r="W998" t="str">
            <v/>
          </cell>
          <cell r="X998" t="str">
            <v>4510185</v>
          </cell>
          <cell r="Y998" t="str">
            <v>Specialization Visitor Services &amp; Protocol</v>
          </cell>
          <cell r="Z998" t="str">
            <v>Senior Professional</v>
          </cell>
          <cell r="AA998" t="str">
            <v>3C</v>
          </cell>
        </row>
        <row r="999">
          <cell r="A999">
            <v>1950</v>
          </cell>
          <cell r="B999">
            <v>1950</v>
          </cell>
          <cell r="C999" t="str">
            <v>A</v>
          </cell>
          <cell r="D999" t="str">
            <v>Shamma Shehab Albreiki</v>
          </cell>
          <cell r="E999" t="str">
            <v>شما شهاب البريكي</v>
          </cell>
          <cell r="F999">
            <v>45705</v>
          </cell>
          <cell r="G999" t="str">
            <v>50002124</v>
          </cell>
          <cell r="H999" t="str">
            <v>Museum &amp; Cultural Research Associate</v>
          </cell>
          <cell r="I999" t="str">
            <v>باحث مساعد في الشؤون المتحفية و الثقافية</v>
          </cell>
          <cell r="J999" t="str">
            <v>On-Chart</v>
          </cell>
          <cell r="K999" t="str">
            <v>MSS Direct Hires</v>
          </cell>
          <cell r="L999" t="str">
            <v>M1</v>
          </cell>
          <cell r="M999" t="str">
            <v>Louvre Abu Dhabi</v>
          </cell>
          <cell r="N999" t="str">
            <v>Louvre Abu Dhabi</v>
          </cell>
          <cell r="O999" t="str">
            <v>متحف اللوفر أبوظبي</v>
          </cell>
          <cell r="P999" t="str">
            <v>Museum’s Director Office</v>
          </cell>
          <cell r="Q999" t="str">
            <v>مكتب مدير المتحف</v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>Abu Dhabi</v>
          </cell>
          <cell r="W999" t="str">
            <v/>
          </cell>
          <cell r="X999" t="str">
            <v>4510121</v>
          </cell>
          <cell r="Y999" t="str">
            <v>Specialization Interpretation &amp; Engagement</v>
          </cell>
          <cell r="Z999" t="str">
            <v>Professional</v>
          </cell>
          <cell r="AA999" t="str">
            <v>4C</v>
          </cell>
        </row>
        <row r="1000">
          <cell r="A1000">
            <v>1951</v>
          </cell>
          <cell r="B1000">
            <v>1951</v>
          </cell>
          <cell r="C1000" t="str">
            <v>A</v>
          </cell>
          <cell r="D1000" t="str">
            <v>Madiha Malik Malik</v>
          </cell>
          <cell r="E1000" t="str">
            <v>مديحه مالك مالك</v>
          </cell>
          <cell r="F1000">
            <v>45705</v>
          </cell>
          <cell r="G1000" t="str">
            <v>10009034</v>
          </cell>
          <cell r="H1000" t="str">
            <v>Protocol Lead</v>
          </cell>
          <cell r="I1000" t="str">
            <v>ضابط رئيسي المراسم</v>
          </cell>
          <cell r="J1000" t="str">
            <v>On-Chart</v>
          </cell>
          <cell r="K1000" t="str">
            <v>DCT Payroll</v>
          </cell>
          <cell r="L1000" t="str">
            <v>A1</v>
          </cell>
          <cell r="M1000" t="str">
            <v>Department of Culture and Tourism</v>
          </cell>
          <cell r="N1000" t="str">
            <v>Culture</v>
          </cell>
          <cell r="O1000" t="str">
            <v>الثقافة</v>
          </cell>
          <cell r="P1000" t="str">
            <v>Office of the Culture Executive Director</v>
          </cell>
          <cell r="Q1000" t="str">
            <v>مكتب المدير التنفيذي لقطاع الثقافة</v>
          </cell>
          <cell r="R1000" t="str">
            <v>Protocol</v>
          </cell>
          <cell r="S1000" t="str">
            <v>المراسم</v>
          </cell>
          <cell r="T1000" t="str">
            <v/>
          </cell>
          <cell r="U1000" t="str">
            <v/>
          </cell>
          <cell r="V1000" t="str">
            <v>Abu Dhabi</v>
          </cell>
          <cell r="W1000" t="str">
            <v/>
          </cell>
          <cell r="X1000" t="str">
            <v>4511010</v>
          </cell>
          <cell r="Y1000" t="str">
            <v>Senior Specialization Visitor Services &amp; Protocol</v>
          </cell>
          <cell r="Z1000" t="str">
            <v>Unit Head</v>
          </cell>
          <cell r="AA1000" t="str">
            <v>3C</v>
          </cell>
        </row>
        <row r="1001">
          <cell r="A1001">
            <v>1952</v>
          </cell>
          <cell r="B1001">
            <v>1952</v>
          </cell>
          <cell r="C1001" t="str">
            <v>A</v>
          </cell>
          <cell r="D1001" t="str">
            <v>Nouf Saud Aldosari</v>
          </cell>
          <cell r="E1001" t="str">
            <v>نوف سعود الدوسري</v>
          </cell>
          <cell r="F1001">
            <v>45712</v>
          </cell>
          <cell r="G1001" t="str">
            <v>50001727</v>
          </cell>
          <cell r="H1001" t="str">
            <v>Executive Assistant</v>
          </cell>
          <cell r="I1001" t="str">
            <v>مساعد تنفيذي</v>
          </cell>
          <cell r="J1001" t="str">
            <v>On-Chart</v>
          </cell>
          <cell r="K1001" t="str">
            <v>DCT Payroll</v>
          </cell>
          <cell r="L1001" t="str">
            <v>A1</v>
          </cell>
          <cell r="M1001" t="str">
            <v>Department of Culture and Tourism</v>
          </cell>
          <cell r="N1001" t="str">
            <v>Tourism</v>
          </cell>
          <cell r="O1001" t="str">
            <v>السياحة</v>
          </cell>
          <cell r="P1001" t="str">
            <v>Tourism Sector Management Office</v>
          </cell>
          <cell r="Q1001" t="str">
            <v>مكتب إدارة شؤون قطاع السياحة</v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>Abu Dhabi</v>
          </cell>
          <cell r="W1001" t="str">
            <v/>
          </cell>
          <cell r="X1001" t="str">
            <v>4515010</v>
          </cell>
          <cell r="Y1001" t="str">
            <v>Specialization Marketing &amp; Communications</v>
          </cell>
          <cell r="Z1001" t="str">
            <v>Professional</v>
          </cell>
          <cell r="AA1001" t="str">
            <v>4C</v>
          </cell>
        </row>
        <row r="1002">
          <cell r="A1002">
            <v>1954</v>
          </cell>
          <cell r="B1002">
            <v>1954</v>
          </cell>
          <cell r="C1002" t="str">
            <v>A</v>
          </cell>
          <cell r="D1002" t="str">
            <v>Mariam Khamis Alhassani</v>
          </cell>
          <cell r="E1002" t="str">
            <v>مريم خميس الحساني</v>
          </cell>
          <cell r="F1002">
            <v>45719</v>
          </cell>
          <cell r="G1002" t="str">
            <v>50003593</v>
          </cell>
          <cell r="H1002" t="str">
            <v>Graduate Trainee - Scientific Officer</v>
          </cell>
          <cell r="I1002" t="str">
            <v>خريج متدرب – ضابط العلوم</v>
          </cell>
          <cell r="J1002" t="str">
            <v>On-Chart</v>
          </cell>
          <cell r="K1002" t="str">
            <v>MSS Direct Hires</v>
          </cell>
          <cell r="L1002" t="str">
            <v>M1</v>
          </cell>
          <cell r="M1002" t="str">
            <v>Department of Culture and Tourism</v>
          </cell>
          <cell r="N1002" t="str">
            <v>Culture</v>
          </cell>
          <cell r="O1002" t="str">
            <v>الثقافة</v>
          </cell>
          <cell r="P1002" t="str">
            <v>Natural History Museum Abu Dhabi</v>
          </cell>
          <cell r="Q1002" t="str">
            <v>متحف التاريخ الطبيعي - أبوظبي</v>
          </cell>
          <cell r="R1002" t="str">
            <v>Scientific, Curatorial, &amp; Collections Management</v>
          </cell>
          <cell r="S1002" t="str">
            <v>أمناء المتحف وإدارة المقتنيات</v>
          </cell>
          <cell r="T1002" t="str">
            <v/>
          </cell>
          <cell r="U1002" t="str">
            <v/>
          </cell>
          <cell r="V1002" t="str">
            <v>Abu Dhabi</v>
          </cell>
          <cell r="W1002" t="str">
            <v/>
          </cell>
          <cell r="X1002" t="str">
            <v>4510310</v>
          </cell>
          <cell r="Y1002" t="str">
            <v>Content &amp; Care_Collections  Conservation  Management_Professional</v>
          </cell>
          <cell r="Z1002" t="str">
            <v>Professional</v>
          </cell>
          <cell r="AA1002" t="str">
            <v>4C</v>
          </cell>
        </row>
        <row r="1003">
          <cell r="A1003">
            <v>1956</v>
          </cell>
          <cell r="B1003">
            <v>1956</v>
          </cell>
          <cell r="C1003" t="str">
            <v>A</v>
          </cell>
          <cell r="D1003" t="str">
            <v>Shamma Abdulla Alhammadi</v>
          </cell>
          <cell r="E1003" t="str">
            <v>شما عبدالله الحمادي</v>
          </cell>
          <cell r="F1003">
            <v>45719</v>
          </cell>
          <cell r="G1003" t="str">
            <v>50003592</v>
          </cell>
          <cell r="H1003" t="str">
            <v>Graduate Trainee - Scientific Officer</v>
          </cell>
          <cell r="I1003" t="str">
            <v>خريج متدرب – ضابط العلوم</v>
          </cell>
          <cell r="J1003" t="str">
            <v>On-Chart</v>
          </cell>
          <cell r="K1003" t="str">
            <v>MSS Direct Hires</v>
          </cell>
          <cell r="L1003" t="str">
            <v>M1</v>
          </cell>
          <cell r="M1003" t="str">
            <v>Department of Culture and Tourism</v>
          </cell>
          <cell r="N1003" t="str">
            <v>Culture</v>
          </cell>
          <cell r="O1003" t="str">
            <v>الثقافة</v>
          </cell>
          <cell r="P1003" t="str">
            <v>Natural History Museum Abu Dhabi</v>
          </cell>
          <cell r="Q1003" t="str">
            <v>متحف التاريخ الطبيعي - أبوظبي</v>
          </cell>
          <cell r="R1003" t="str">
            <v>Scientific, Curatorial, &amp; Collections Management</v>
          </cell>
          <cell r="S1003" t="str">
            <v>أمناء المتحف وإدارة المقتنيات</v>
          </cell>
          <cell r="T1003" t="str">
            <v/>
          </cell>
          <cell r="U1003" t="str">
            <v/>
          </cell>
          <cell r="V1003" t="str">
            <v>Abu Dhabi</v>
          </cell>
          <cell r="W1003" t="str">
            <v/>
          </cell>
          <cell r="X1003" t="str">
            <v>4510310</v>
          </cell>
          <cell r="Y1003" t="str">
            <v>Content &amp; Care_Collections  Conservation  Management_Professional</v>
          </cell>
          <cell r="Z1003" t="str">
            <v>Professional</v>
          </cell>
          <cell r="AA1003" t="str">
            <v>4C</v>
          </cell>
        </row>
        <row r="1004">
          <cell r="A1004">
            <v>1957</v>
          </cell>
          <cell r="B1004">
            <v>1957</v>
          </cell>
          <cell r="C1004" t="str">
            <v>A</v>
          </cell>
          <cell r="D1004" t="str">
            <v>Fatima Ahmed Albusaeedi</v>
          </cell>
          <cell r="E1004" t="str">
            <v>فاطمة أحمد البوسعيدي</v>
          </cell>
          <cell r="F1004">
            <v>45719</v>
          </cell>
          <cell r="G1004" t="str">
            <v>50003603</v>
          </cell>
          <cell r="H1004" t="str">
            <v>Education Specialist</v>
          </cell>
          <cell r="I1004" t="str">
            <v>أخصائي التعليم</v>
          </cell>
          <cell r="J1004" t="str">
            <v>On-Chart</v>
          </cell>
          <cell r="K1004" t="str">
            <v>MSS Direct Hires</v>
          </cell>
          <cell r="L1004" t="str">
            <v>M1</v>
          </cell>
          <cell r="M1004" t="str">
            <v>Department of Culture and Tourism</v>
          </cell>
          <cell r="N1004" t="str">
            <v>Culture</v>
          </cell>
          <cell r="O1004" t="str">
            <v>الثقافة</v>
          </cell>
          <cell r="P1004" t="str">
            <v>Natural History Museum Abu Dhabi</v>
          </cell>
          <cell r="Q1004" t="str">
            <v>متحف التاريخ الطبيعي - أبوظبي</v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>Abu Dhabi</v>
          </cell>
          <cell r="W1004" t="str">
            <v/>
          </cell>
          <cell r="X1004" t="str">
            <v>4510310</v>
          </cell>
          <cell r="Y1004" t="str">
            <v>Interpretation &amp; Engagement_Education &amp; Leaning Development &amp;  Engagement _Professional</v>
          </cell>
          <cell r="Z1004" t="str">
            <v>Professional</v>
          </cell>
          <cell r="AA1004" t="str">
            <v>4C</v>
          </cell>
        </row>
        <row r="1005">
          <cell r="A1005">
            <v>1958</v>
          </cell>
          <cell r="B1005">
            <v>1958</v>
          </cell>
          <cell r="C1005" t="str">
            <v>A</v>
          </cell>
          <cell r="D1005" t="str">
            <v>Mai Eid Almeraikhi</v>
          </cell>
          <cell r="E1005" t="str">
            <v>مي عيد المريخي</v>
          </cell>
          <cell r="F1005">
            <v>45727</v>
          </cell>
          <cell r="G1005" t="str">
            <v>50002598</v>
          </cell>
          <cell r="H1005" t="str">
            <v>Accounts Payables Accountant</v>
          </cell>
          <cell r="I1005" t="str">
            <v>محاسب الحسابات الدائنة</v>
          </cell>
          <cell r="J1005" t="str">
            <v>On-Chart</v>
          </cell>
          <cell r="K1005" t="str">
            <v>MSS Direct Hires</v>
          </cell>
          <cell r="L1005" t="str">
            <v>M1</v>
          </cell>
          <cell r="M1005" t="str">
            <v>Department of Culture and Tourism</v>
          </cell>
          <cell r="N1005" t="str">
            <v>Museums Shared Services</v>
          </cell>
          <cell r="O1005" t="str">
            <v>الخدمات المشتركة للمتاحف</v>
          </cell>
          <cell r="P1005" t="str">
            <v>Finance - MSS</v>
          </cell>
          <cell r="Q1005" t="str">
            <v>الإدارة المالية - الخدمات المشتركة للمتاحف</v>
          </cell>
          <cell r="R1005" t="str">
            <v>Payables Operations Section - MSS</v>
          </cell>
          <cell r="S1005" t="str">
            <v>قسم عمليات الحسابات الدائنة</v>
          </cell>
          <cell r="T1005" t="str">
            <v>Accounts Payables Unit - MSS</v>
          </cell>
          <cell r="U1005" t="str">
            <v>وحدة الحسابات الدائنة</v>
          </cell>
          <cell r="V1005" t="str">
            <v>Abu Dhabi</v>
          </cell>
          <cell r="W1005" t="str">
            <v/>
          </cell>
          <cell r="X1005" t="str">
            <v>4514120</v>
          </cell>
          <cell r="Y1005" t="str">
            <v>Administration Support General &amp; Administration</v>
          </cell>
          <cell r="Z1005" t="str">
            <v>Professional</v>
          </cell>
          <cell r="AA1005" t="str">
            <v>4C</v>
          </cell>
        </row>
        <row r="1006">
          <cell r="A1006">
            <v>1959</v>
          </cell>
          <cell r="B1006">
            <v>1959</v>
          </cell>
          <cell r="C1006" t="str">
            <v>A</v>
          </cell>
          <cell r="D1006" t="str">
            <v>Malek Mohammed ALHammadi</v>
          </cell>
          <cell r="E1006" t="str">
            <v>مالك محمد الحمادي</v>
          </cell>
          <cell r="F1006">
            <v>45719</v>
          </cell>
          <cell r="G1006" t="str">
            <v>47700583</v>
          </cell>
          <cell r="H1006" t="str">
            <v>Programmes Development Senior Specialist</v>
          </cell>
          <cell r="I1006" t="str">
            <v>أخصائي أول تطوير البرامج</v>
          </cell>
          <cell r="J1006" t="str">
            <v>On-Chart</v>
          </cell>
          <cell r="K1006" t="str">
            <v>DCT Payroll</v>
          </cell>
          <cell r="L1006" t="str">
            <v>A1</v>
          </cell>
          <cell r="M1006" t="str">
            <v>Department of Culture and Tourism</v>
          </cell>
          <cell r="N1006" t="str">
            <v>Culture</v>
          </cell>
          <cell r="O1006" t="str">
            <v>الثقافة</v>
          </cell>
          <cell r="P1006" t="str">
            <v>Culture Festivals &amp; Platforms</v>
          </cell>
          <cell r="Q1006" t="str">
            <v>المهرجانات والمنصات الثقافية</v>
          </cell>
          <cell r="R1006" t="str">
            <v>Production &amp; Operations Management</v>
          </cell>
          <cell r="S1006" t="str">
            <v>إدارة الإنتاج والعمليات</v>
          </cell>
          <cell r="T1006" t="str">
            <v>Programmes Development</v>
          </cell>
          <cell r="U1006" t="str">
            <v/>
          </cell>
          <cell r="V1006" t="str">
            <v>Abu Dhabi</v>
          </cell>
          <cell r="W1006" t="str">
            <v/>
          </cell>
          <cell r="X1006" t="str">
            <v>4511750</v>
          </cell>
          <cell r="Y1006" t="str">
            <v>Senior Specialization Festivals &amp; Events</v>
          </cell>
          <cell r="Z1006" t="str">
            <v>Senior Professional</v>
          </cell>
          <cell r="AA1006" t="str">
            <v>3C</v>
          </cell>
        </row>
        <row r="1007">
          <cell r="A1007">
            <v>1961</v>
          </cell>
          <cell r="B1007">
            <v>1961</v>
          </cell>
          <cell r="C1007" t="str">
            <v>A</v>
          </cell>
          <cell r="D1007" t="str">
            <v>Alya Naser Albreiki</v>
          </cell>
          <cell r="E1007" t="str">
            <v>علياء ناصر البريكي</v>
          </cell>
          <cell r="F1007">
            <v>45754</v>
          </cell>
          <cell r="G1007" t="str">
            <v>50003585</v>
          </cell>
          <cell r="H1007" t="str">
            <v>Exhibitions Specialist</v>
          </cell>
          <cell r="I1007" t="str">
            <v>أخصائي المعارض</v>
          </cell>
          <cell r="J1007" t="str">
            <v>On-Chart</v>
          </cell>
          <cell r="K1007" t="str">
            <v>MSS Direct Hires</v>
          </cell>
          <cell r="L1007" t="str">
            <v>M1</v>
          </cell>
          <cell r="M1007" t="str">
            <v>Department of Culture and Tourism</v>
          </cell>
          <cell r="N1007" t="str">
            <v>Culture</v>
          </cell>
          <cell r="O1007" t="str">
            <v>الثقافة</v>
          </cell>
          <cell r="P1007" t="str">
            <v>Natural History Museum Abu Dhabi</v>
          </cell>
          <cell r="Q1007" t="str">
            <v>متحف التاريخ الطبيعي - أبوظبي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>Abu Dhabi</v>
          </cell>
          <cell r="W1007" t="str">
            <v/>
          </cell>
          <cell r="X1007" t="str">
            <v>4510310</v>
          </cell>
          <cell r="Y1007" t="str">
            <v>Design_Exhibitions Design _Professional</v>
          </cell>
          <cell r="Z1007" t="str">
            <v>Professional</v>
          </cell>
          <cell r="AA1007" t="str">
            <v>4C</v>
          </cell>
        </row>
        <row r="1008">
          <cell r="A1008">
            <v>1962</v>
          </cell>
          <cell r="B1008">
            <v>1962</v>
          </cell>
          <cell r="C1008" t="str">
            <v>A</v>
          </cell>
          <cell r="D1008" t="str">
            <v>Willem Koekemoer</v>
          </cell>
          <cell r="E1008" t="str">
            <v>ويليم  كوكيموير</v>
          </cell>
          <cell r="F1008">
            <v>45770</v>
          </cell>
          <cell r="G1008" t="str">
            <v>50003627</v>
          </cell>
          <cell r="H1008" t="str">
            <v>HSE Unit Head</v>
          </cell>
          <cell r="I1008" t="str">
            <v>رئيس وحدة الصحة والسلامة والبيئة</v>
          </cell>
          <cell r="J1008" t="str">
            <v>On-Chart</v>
          </cell>
          <cell r="K1008" t="str">
            <v>MSS Direct Hires</v>
          </cell>
          <cell r="L1008" t="str">
            <v>M1</v>
          </cell>
          <cell r="M1008" t="str">
            <v>Department of Culture and Tourism</v>
          </cell>
          <cell r="N1008" t="str">
            <v>Culture</v>
          </cell>
          <cell r="O1008" t="str">
            <v>الثقافة</v>
          </cell>
          <cell r="P1008" t="str">
            <v>Guggenheim Abu Dhabi Museum</v>
          </cell>
          <cell r="Q1008" t="str">
            <v>متحف جوجينهايم أبوظبي</v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>Abu Dhabi</v>
          </cell>
          <cell r="W1008" t="str">
            <v/>
          </cell>
          <cell r="X1008" t="str">
            <v>4510410</v>
          </cell>
          <cell r="Y1008" t="str">
            <v>Technical Safety &amp; Security_Technical Operations_Unit Head</v>
          </cell>
          <cell r="Z1008" t="str">
            <v>Unit Head</v>
          </cell>
          <cell r="AA1008" t="str">
            <v>3C</v>
          </cell>
        </row>
        <row r="1009">
          <cell r="A1009">
            <v>1963</v>
          </cell>
          <cell r="B1009">
            <v>1963</v>
          </cell>
          <cell r="C1009" t="str">
            <v>A</v>
          </cell>
          <cell r="D1009" t="str">
            <v>Mohammed Abdelgadir Eltahir</v>
          </cell>
          <cell r="E1009" t="str">
            <v>محمد عبدالقادر الطاهر</v>
          </cell>
          <cell r="F1009">
            <v>45754</v>
          </cell>
          <cell r="G1009" t="str">
            <v>50003624</v>
          </cell>
          <cell r="H1009" t="str">
            <v>Security Unit Head</v>
          </cell>
          <cell r="I1009" t="str">
            <v>رئيس وحدة الأمن</v>
          </cell>
          <cell r="J1009" t="str">
            <v>On-Chart</v>
          </cell>
          <cell r="K1009" t="str">
            <v>MSS Direct Hires</v>
          </cell>
          <cell r="L1009" t="str">
            <v>M1</v>
          </cell>
          <cell r="M1009" t="str">
            <v>Department of Culture and Tourism</v>
          </cell>
          <cell r="N1009" t="str">
            <v>Culture</v>
          </cell>
          <cell r="O1009" t="str">
            <v>الثقافة</v>
          </cell>
          <cell r="P1009" t="str">
            <v>Guggenheim Abu Dhabi Museum</v>
          </cell>
          <cell r="Q1009" t="str">
            <v>متحف جوجينهايم أبوظبي</v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>Abu Dhabi</v>
          </cell>
          <cell r="W1009" t="str">
            <v/>
          </cell>
          <cell r="X1009" t="str">
            <v>4510410</v>
          </cell>
          <cell r="Y1009" t="str">
            <v>Technical Safety &amp; Security_Technical Operations_Unit Head</v>
          </cell>
          <cell r="Z1009" t="str">
            <v>Unit Head</v>
          </cell>
          <cell r="AA1009" t="str">
            <v>3C</v>
          </cell>
        </row>
        <row r="1010">
          <cell r="A1010">
            <v>1964</v>
          </cell>
          <cell r="B1010">
            <v>1964</v>
          </cell>
          <cell r="C1010" t="str">
            <v>A</v>
          </cell>
          <cell r="D1010" t="str">
            <v>Ayesha Abdulla Binsalma</v>
          </cell>
          <cell r="E1010" t="str">
            <v>عائشه عبدالله بن سلمه</v>
          </cell>
          <cell r="F1010">
            <v>45761</v>
          </cell>
          <cell r="G1010" t="str">
            <v>50000728</v>
          </cell>
          <cell r="H1010" t="str">
            <v>Communications Specialist</v>
          </cell>
          <cell r="I1010" t="str">
            <v>أخصائي الاتصال</v>
          </cell>
          <cell r="J1010" t="str">
            <v>On-Chart</v>
          </cell>
          <cell r="K1010" t="str">
            <v>MSS Direct Hires</v>
          </cell>
          <cell r="L1010" t="str">
            <v>M1</v>
          </cell>
          <cell r="M1010" t="str">
            <v>Department of Culture and Tourism</v>
          </cell>
          <cell r="N1010" t="str">
            <v>Zayed National Museum</v>
          </cell>
          <cell r="O1010" t="str">
            <v>متحف زايد الوطني</v>
          </cell>
          <cell r="P1010" t="str">
            <v>Marketing &amp; Communication</v>
          </cell>
          <cell r="Q1010" t="str">
            <v>التسويق والاتصال</v>
          </cell>
          <cell r="R1010" t="str">
            <v>Communications</v>
          </cell>
          <cell r="S1010" t="str">
            <v>الاتصال</v>
          </cell>
          <cell r="T1010" t="str">
            <v>Communications</v>
          </cell>
          <cell r="U1010" t="str">
            <v>الاتصال</v>
          </cell>
          <cell r="V1010" t="str">
            <v>Abu Dhabi</v>
          </cell>
          <cell r="W1010" t="str">
            <v/>
          </cell>
          <cell r="X1010" t="str">
            <v>4510185</v>
          </cell>
          <cell r="Y1010" t="str">
            <v>Specialization Marketing &amp; Communications</v>
          </cell>
          <cell r="Z1010" t="str">
            <v>Professional</v>
          </cell>
          <cell r="AA1010" t="str">
            <v>4C</v>
          </cell>
        </row>
        <row r="1011">
          <cell r="A1011">
            <v>1965</v>
          </cell>
          <cell r="B1011">
            <v>1965</v>
          </cell>
          <cell r="C1011" t="str">
            <v>A</v>
          </cell>
          <cell r="D1011" t="str">
            <v>Mouza Mohammed Al Darmaki</v>
          </cell>
          <cell r="E1011" t="str">
            <v>موزه محمد الدرمكي</v>
          </cell>
          <cell r="F1011">
            <v>45838</v>
          </cell>
          <cell r="G1011" t="str">
            <v>50000727</v>
          </cell>
          <cell r="H1011" t="str">
            <v>Communications Specialist</v>
          </cell>
          <cell r="I1011" t="str">
            <v>أخصائي الاتصال</v>
          </cell>
          <cell r="J1011" t="str">
            <v>On-Chart</v>
          </cell>
          <cell r="K1011" t="str">
            <v>MSS Direct Hires</v>
          </cell>
          <cell r="L1011" t="str">
            <v>M1</v>
          </cell>
          <cell r="M1011" t="str">
            <v>Department of Culture and Tourism</v>
          </cell>
          <cell r="N1011" t="str">
            <v>Zayed National Museum</v>
          </cell>
          <cell r="O1011" t="str">
            <v>متحف زايد الوطني</v>
          </cell>
          <cell r="P1011" t="str">
            <v>Marketing &amp; Communication</v>
          </cell>
          <cell r="Q1011" t="str">
            <v>التسويق والاتصال</v>
          </cell>
          <cell r="R1011" t="str">
            <v>Communications</v>
          </cell>
          <cell r="S1011" t="str">
            <v>الاتصال</v>
          </cell>
          <cell r="T1011" t="str">
            <v>Communications</v>
          </cell>
          <cell r="U1011" t="str">
            <v>الاتصال</v>
          </cell>
          <cell r="V1011" t="str">
            <v>Abu Dhabi</v>
          </cell>
          <cell r="W1011" t="str">
            <v/>
          </cell>
          <cell r="X1011" t="str">
            <v>4510185</v>
          </cell>
          <cell r="Y1011" t="str">
            <v>Comms &amp; Marketing _Marketing &amp; Communications (All)_Professional</v>
          </cell>
          <cell r="Z1011" t="str">
            <v>Professional</v>
          </cell>
          <cell r="AA1011" t="str">
            <v>4C</v>
          </cell>
        </row>
        <row r="1012">
          <cell r="A1012">
            <v>1967</v>
          </cell>
          <cell r="B1012">
            <v>1967</v>
          </cell>
          <cell r="C1012" t="str">
            <v>A</v>
          </cell>
          <cell r="D1012" t="str">
            <v>Eyad Alazab</v>
          </cell>
          <cell r="E1012" t="str">
            <v>اياد احمد العزب</v>
          </cell>
          <cell r="F1012">
            <v>45796</v>
          </cell>
          <cell r="G1012" t="str">
            <v>50002785</v>
          </cell>
          <cell r="H1012" t="str">
            <v>Category Analyst Unit Head</v>
          </cell>
          <cell r="I1012" t="str">
            <v>رئيس وحدة فئة المشتريات</v>
          </cell>
          <cell r="J1012" t="str">
            <v>On-Chart</v>
          </cell>
          <cell r="K1012" t="str">
            <v>MSS Direct Hires</v>
          </cell>
          <cell r="L1012" t="str">
            <v>M1</v>
          </cell>
          <cell r="M1012" t="str">
            <v>Department of Culture and Tourism</v>
          </cell>
          <cell r="N1012" t="str">
            <v>Museums Shared Services</v>
          </cell>
          <cell r="O1012" t="str">
            <v>الخدمات المشتركة للمتاحف</v>
          </cell>
          <cell r="P1012" t="str">
            <v>Supply Management - MSS</v>
          </cell>
          <cell r="Q1012" t="str">
            <v>إدارة الإمداد - الخدمات المشتركة للمتاحف</v>
          </cell>
          <cell r="R1012" t="str">
            <v>Business Partner Section</v>
          </cell>
          <cell r="S1012" t="str">
            <v>قسم شركاء أعمال المشتريات</v>
          </cell>
          <cell r="T1012" t="str">
            <v>Category Analyst Unit</v>
          </cell>
          <cell r="U1012" t="str">
            <v>وحدة فئة المشتريات</v>
          </cell>
          <cell r="V1012" t="str">
            <v>Abu Dhabi</v>
          </cell>
          <cell r="W1012" t="str">
            <v/>
          </cell>
          <cell r="X1012" t="str">
            <v>4514160</v>
          </cell>
          <cell r="Y1012" t="str">
            <v>Senior Specialization Procurement</v>
          </cell>
          <cell r="Z1012" t="str">
            <v>Unit Head</v>
          </cell>
          <cell r="AA1012" t="str">
            <v>3C</v>
          </cell>
        </row>
        <row r="1013">
          <cell r="A1013">
            <v>1970</v>
          </cell>
          <cell r="B1013">
            <v>1970</v>
          </cell>
          <cell r="C1013" t="str">
            <v>A</v>
          </cell>
          <cell r="D1013" t="str">
            <v>Reshma Hussain</v>
          </cell>
          <cell r="E1013" t="str">
            <v>ريشما  حميد</v>
          </cell>
          <cell r="F1013">
            <v>45789</v>
          </cell>
          <cell r="G1013" t="str">
            <v>50002753</v>
          </cell>
          <cell r="H1013" t="str">
            <v>Business Applications Unit Head</v>
          </cell>
          <cell r="I1013" t="str">
            <v>رئيس وحدة التطبيقات المؤسسية</v>
          </cell>
          <cell r="J1013" t="str">
            <v>On-Chart</v>
          </cell>
          <cell r="K1013" t="str">
            <v>MSS Direct Hires</v>
          </cell>
          <cell r="L1013" t="str">
            <v>M1</v>
          </cell>
          <cell r="M1013" t="str">
            <v>Department of Culture and Tourism</v>
          </cell>
          <cell r="N1013" t="str">
            <v>Museums Shared Services</v>
          </cell>
          <cell r="O1013" t="str">
            <v>الخدمات المشتركة للمتاحف</v>
          </cell>
          <cell r="P1013" t="str">
            <v>Technology - MSS</v>
          </cell>
          <cell r="Q1013" t="str">
            <v>إدارة التكنولوجيا - الخدمات المشتركة للمتاحف</v>
          </cell>
          <cell r="R1013" t="str">
            <v>Technical Operations Section</v>
          </cell>
          <cell r="S1013" t="str">
            <v>قسم العمليات التقنية</v>
          </cell>
          <cell r="T1013" t="str">
            <v>Business Applications Unit</v>
          </cell>
          <cell r="U1013" t="str">
            <v>وحدة التطبيقات المؤسسية</v>
          </cell>
          <cell r="V1013" t="str">
            <v>Abu Dhabi</v>
          </cell>
          <cell r="W1013" t="str">
            <v/>
          </cell>
          <cell r="X1013" t="str">
            <v>4514180</v>
          </cell>
          <cell r="Y1013" t="str">
            <v>Middle Management IT &amp; Digital Services</v>
          </cell>
          <cell r="Z1013" t="str">
            <v>Unit Head</v>
          </cell>
          <cell r="AA1013" t="str">
            <v>3C</v>
          </cell>
        </row>
        <row r="1014">
          <cell r="A1014">
            <v>1971</v>
          </cell>
          <cell r="B1014">
            <v>1971</v>
          </cell>
          <cell r="C1014" t="str">
            <v>A</v>
          </cell>
          <cell r="D1014" t="str">
            <v>Khadija Jasim Lari</v>
          </cell>
          <cell r="E1014" t="str">
            <v>خديجه جاسم لاري</v>
          </cell>
          <cell r="F1014">
            <v>45789</v>
          </cell>
          <cell r="G1014" t="str">
            <v>50003322</v>
          </cell>
          <cell r="H1014" t="str">
            <v>Conservation Scientist</v>
          </cell>
          <cell r="I1014" t="str">
            <v>عالم حفظ آثار</v>
          </cell>
          <cell r="J1014" t="str">
            <v>On-Chart</v>
          </cell>
          <cell r="K1014" t="str">
            <v>MSS Direct Hires</v>
          </cell>
          <cell r="L1014" t="str">
            <v>M1</v>
          </cell>
          <cell r="M1014" t="str">
            <v>Louvre Abu Dhabi</v>
          </cell>
          <cell r="N1014" t="str">
            <v>Louvre Abu Dhabi</v>
          </cell>
          <cell r="O1014" t="str">
            <v>متحف اللوفر أبوظبي</v>
          </cell>
          <cell r="P1014" t="str">
            <v>Scientific, Curatorial &amp; Collection Management</v>
          </cell>
          <cell r="Q1014" t="str">
            <v>إدارة المقتنيات العلمية والتنظيمية</v>
          </cell>
          <cell r="R1014" t="str">
            <v>Research &amp; Documentation</v>
          </cell>
          <cell r="S1014" t="str">
            <v/>
          </cell>
          <cell r="T1014" t="str">
            <v/>
          </cell>
          <cell r="U1014" t="str">
            <v/>
          </cell>
          <cell r="V1014" t="str">
            <v>Abu Dhabi</v>
          </cell>
          <cell r="W1014" t="str">
            <v/>
          </cell>
          <cell r="X1014" t="str">
            <v>4510122</v>
          </cell>
          <cell r="Y1014" t="str">
            <v>Content &amp; Care_Collections  Conservation (All) _Senior Professional</v>
          </cell>
          <cell r="Z1014" t="str">
            <v>Senior Professional</v>
          </cell>
          <cell r="AA1014" t="str">
            <v>3C</v>
          </cell>
        </row>
        <row r="1015">
          <cell r="A1015">
            <v>1972</v>
          </cell>
          <cell r="B1015">
            <v>1972</v>
          </cell>
          <cell r="C1015" t="str">
            <v>A</v>
          </cell>
          <cell r="D1015" t="str">
            <v>Maryam Ibraheem Al Zaabi</v>
          </cell>
          <cell r="E1015" t="str">
            <v>مريم  الزعابي</v>
          </cell>
          <cell r="F1015">
            <v>45804</v>
          </cell>
          <cell r="G1015" t="str">
            <v>50003885</v>
          </cell>
          <cell r="H1015" t="str">
            <v>Public Engagement Officer</v>
          </cell>
          <cell r="I1015" t="str">
            <v>مسؤول برامج المشاركة المجتمعية</v>
          </cell>
          <cell r="J1015" t="str">
            <v>On-Chart</v>
          </cell>
          <cell r="K1015" t="str">
            <v>MSS Direct Hires</v>
          </cell>
          <cell r="L1015" t="str">
            <v>M1</v>
          </cell>
          <cell r="M1015" t="str">
            <v>Department of Culture and Tourism</v>
          </cell>
          <cell r="N1015" t="str">
            <v>Culture</v>
          </cell>
          <cell r="O1015" t="str">
            <v>الثقافة</v>
          </cell>
          <cell r="P1015" t="str">
            <v>Guggenheim Abu Dhabi Museum</v>
          </cell>
          <cell r="Q1015" t="str">
            <v>متحف جوجينهايم أبوظبي</v>
          </cell>
          <cell r="R1015" t="str">
            <v>Guggenheim Abu Dhabi</v>
          </cell>
          <cell r="S1015" t="str">
            <v>جوجينهايم أبوظبي</v>
          </cell>
          <cell r="T1015" t="str">
            <v/>
          </cell>
          <cell r="U1015" t="str">
            <v/>
          </cell>
          <cell r="V1015" t="str">
            <v>Abu Dhabi</v>
          </cell>
          <cell r="W1015" t="str">
            <v/>
          </cell>
          <cell r="X1015" t="str">
            <v>4510410</v>
          </cell>
          <cell r="Y1015" t="str">
            <v/>
          </cell>
          <cell r="Z1015" t="str">
            <v>Professional</v>
          </cell>
          <cell r="AA1015" t="str">
            <v>4C</v>
          </cell>
        </row>
        <row r="1016">
          <cell r="A1016">
            <v>1973</v>
          </cell>
          <cell r="B1016">
            <v>1973</v>
          </cell>
          <cell r="C1016" t="str">
            <v>A</v>
          </cell>
          <cell r="D1016" t="str">
            <v>Alyazia Mohammed Alqubaisi</v>
          </cell>
          <cell r="E1016" t="str">
            <v>اليازية محمد القبيسي</v>
          </cell>
          <cell r="F1016">
            <v>45818</v>
          </cell>
          <cell r="G1016" t="str">
            <v>50003607</v>
          </cell>
          <cell r="H1016" t="str">
            <v>Senior Graphic Designer</v>
          </cell>
          <cell r="I1016" t="str">
            <v>مصمم جرافيك اول</v>
          </cell>
          <cell r="J1016" t="str">
            <v>On-Chart</v>
          </cell>
          <cell r="K1016" t="str">
            <v>MSS Direct Hires</v>
          </cell>
          <cell r="L1016" t="str">
            <v>M1</v>
          </cell>
          <cell r="M1016" t="str">
            <v>Department of Culture and Tourism</v>
          </cell>
          <cell r="N1016" t="str">
            <v>Culture</v>
          </cell>
          <cell r="O1016" t="str">
            <v>الثقافة</v>
          </cell>
          <cell r="P1016" t="str">
            <v>Natural History Museum Abu Dhabi</v>
          </cell>
          <cell r="Q1016" t="str">
            <v>متحف التاريخ الطبيعي - أبوظبي</v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>Abu Dhabi</v>
          </cell>
          <cell r="W1016" t="str">
            <v/>
          </cell>
          <cell r="X1016" t="str">
            <v>4510310</v>
          </cell>
          <cell r="Y1016" t="str">
            <v>Design_Graphic Designer _Senior Professional</v>
          </cell>
          <cell r="Z1016" t="str">
            <v>Professional</v>
          </cell>
          <cell r="AA1016" t="str">
            <v>3C</v>
          </cell>
        </row>
        <row r="1017">
          <cell r="A1017">
            <v>1974</v>
          </cell>
          <cell r="B1017">
            <v>1974</v>
          </cell>
          <cell r="C1017" t="str">
            <v>A</v>
          </cell>
          <cell r="D1017" t="str">
            <v>Shariq Mustaquim</v>
          </cell>
          <cell r="E1017" t="str">
            <v>شارق  مستقيم</v>
          </cell>
          <cell r="F1017">
            <v>45838</v>
          </cell>
          <cell r="G1017" t="str">
            <v>50002765</v>
          </cell>
          <cell r="H1017" t="str">
            <v>Technology Infrastructure Senior Specialist</v>
          </cell>
          <cell r="I1017" t="str">
            <v>أخصائي أول البنية التحتية للتكنولوجيا</v>
          </cell>
          <cell r="J1017" t="str">
            <v>On-Chart</v>
          </cell>
          <cell r="K1017" t="str">
            <v>MSS Direct Hires</v>
          </cell>
          <cell r="L1017" t="str">
            <v>M1</v>
          </cell>
          <cell r="M1017" t="str">
            <v>Department of Culture and Tourism</v>
          </cell>
          <cell r="N1017" t="str">
            <v>Museums Shared Services</v>
          </cell>
          <cell r="O1017" t="str">
            <v>الخدمات المشتركة للمتاحف</v>
          </cell>
          <cell r="P1017" t="str">
            <v>Technology - MSS</v>
          </cell>
          <cell r="Q1017" t="str">
            <v>إدارة التكنولوجيا - الخدمات المشتركة للمتاحف</v>
          </cell>
          <cell r="R1017" t="str">
            <v>Technical Operations Section</v>
          </cell>
          <cell r="S1017" t="str">
            <v>قسم العمليات التقنية</v>
          </cell>
          <cell r="T1017" t="str">
            <v>Technology Infrastructure Unit</v>
          </cell>
          <cell r="U1017" t="str">
            <v>وحدة البنية التحتية</v>
          </cell>
          <cell r="V1017" t="str">
            <v>Abu Dhabi</v>
          </cell>
          <cell r="W1017" t="str">
            <v/>
          </cell>
          <cell r="X1017" t="str">
            <v>4514180</v>
          </cell>
          <cell r="Y1017" t="str">
            <v>Senior Specialization IT &amp; Digital Services</v>
          </cell>
          <cell r="Z1017" t="str">
            <v>Senior Professional</v>
          </cell>
          <cell r="AA1017" t="str">
            <v>3C</v>
          </cell>
        </row>
        <row r="1018">
          <cell r="A1018">
            <v>1975</v>
          </cell>
          <cell r="B1018">
            <v>1975</v>
          </cell>
          <cell r="C1018" t="str">
            <v>A</v>
          </cell>
          <cell r="D1018" t="str">
            <v>Arnold Suyot</v>
          </cell>
          <cell r="E1018" t="str">
            <v>ارنولد  سيوت</v>
          </cell>
          <cell r="F1018">
            <v>45831</v>
          </cell>
          <cell r="G1018" t="str">
            <v>50003883</v>
          </cell>
          <cell r="H1018" t="str">
            <v>Project Senior Specialist</v>
          </cell>
          <cell r="I1018" t="str">
            <v>أخصائي أول ادارة المشروع</v>
          </cell>
          <cell r="J1018" t="str">
            <v>On-Chart</v>
          </cell>
          <cell r="K1018" t="str">
            <v>MSS Direct Hires</v>
          </cell>
          <cell r="L1018" t="str">
            <v>M1</v>
          </cell>
          <cell r="M1018" t="str">
            <v>Department of Culture and Tourism</v>
          </cell>
          <cell r="N1018" t="str">
            <v>Culture</v>
          </cell>
          <cell r="O1018" t="str">
            <v>الثقافة</v>
          </cell>
          <cell r="P1018" t="str">
            <v>Guggenheim Abu Dhabi Museum</v>
          </cell>
          <cell r="Q1018" t="str">
            <v>متحف جوجينهايم أبوظبي</v>
          </cell>
          <cell r="R1018" t="str">
            <v>Guggenheim Abu Dhabi</v>
          </cell>
          <cell r="S1018" t="str">
            <v>جوجينهايم أبوظبي</v>
          </cell>
          <cell r="T1018" t="str">
            <v/>
          </cell>
          <cell r="U1018" t="str">
            <v/>
          </cell>
          <cell r="V1018" t="str">
            <v>Abu Dhabi</v>
          </cell>
          <cell r="W1018" t="str">
            <v/>
          </cell>
          <cell r="X1018" t="str">
            <v>4510410</v>
          </cell>
          <cell r="Y1018" t="str">
            <v>Compliance,Governance&amp;Protocol_Policy (Culture/Tourism _Senior Professional</v>
          </cell>
          <cell r="Z1018" t="str">
            <v>Senior Professional</v>
          </cell>
          <cell r="AA1018" t="str">
            <v>3C</v>
          </cell>
        </row>
        <row r="1019">
          <cell r="A1019">
            <v>1976</v>
          </cell>
          <cell r="B1019">
            <v>1976</v>
          </cell>
          <cell r="C1019" t="str">
            <v>A</v>
          </cell>
          <cell r="D1019" t="str">
            <v>Abdulla Abdulaziz aljaberi</v>
          </cell>
          <cell r="E1019" t="str">
            <v>عبدالله عبدالعزيز الجابري</v>
          </cell>
          <cell r="F1019">
            <v>45838</v>
          </cell>
          <cell r="G1019" t="str">
            <v>50003418</v>
          </cell>
          <cell r="H1019" t="str">
            <v>Audience Engagement Specialist</v>
          </cell>
          <cell r="I1019" t="str">
            <v>أخصائي إشراك الجمهور</v>
          </cell>
          <cell r="J1019" t="str">
            <v>On-Chart</v>
          </cell>
          <cell r="K1019" t="str">
            <v>MSS Direct Hires</v>
          </cell>
          <cell r="L1019" t="str">
            <v>M1</v>
          </cell>
          <cell r="M1019" t="str">
            <v>Department of Culture and Tourism</v>
          </cell>
          <cell r="N1019" t="str">
            <v>Zayed National Museum</v>
          </cell>
          <cell r="O1019" t="str">
            <v>متحف زايد الوطني</v>
          </cell>
          <cell r="P1019" t="str">
            <v>Learning &amp; Public Engagement</v>
          </cell>
          <cell r="Q1019" t="str">
            <v>التعليم والمشاركة المجتمعية</v>
          </cell>
          <cell r="R1019" t="str">
            <v>Learning &amp; Audience Engagement</v>
          </cell>
          <cell r="S1019" t="str">
            <v>التعليم وإشراك الجمهور</v>
          </cell>
          <cell r="T1019" t="str">
            <v/>
          </cell>
          <cell r="U1019" t="str">
            <v/>
          </cell>
          <cell r="V1019" t="str">
            <v>Abu Dhabi</v>
          </cell>
          <cell r="W1019" t="str">
            <v/>
          </cell>
          <cell r="X1019" t="str">
            <v>4510182</v>
          </cell>
          <cell r="Y1019" t="str">
            <v/>
          </cell>
          <cell r="Z1019" t="str">
            <v>Senior Professional</v>
          </cell>
          <cell r="AA1019" t="str">
            <v>4A</v>
          </cell>
        </row>
        <row r="1020">
          <cell r="A1020">
            <v>1978</v>
          </cell>
          <cell r="B1020">
            <v>1978</v>
          </cell>
          <cell r="C1020" t="str">
            <v>A</v>
          </cell>
          <cell r="D1020" t="str">
            <v>Adrian Aochuan</v>
          </cell>
          <cell r="E1020" t="str">
            <v>ادريان  اوتشوان لو</v>
          </cell>
          <cell r="F1020">
            <v>45845</v>
          </cell>
          <cell r="G1020" t="str">
            <v>50003877</v>
          </cell>
          <cell r="H1020" t="str">
            <v>Art Installation Senior Specialist</v>
          </cell>
          <cell r="I1020" t="str">
            <v>أخصائي أول تركيب الاعمال الفنية</v>
          </cell>
          <cell r="J1020" t="str">
            <v>On-Chart</v>
          </cell>
          <cell r="K1020" t="str">
            <v>MSS Direct Hires</v>
          </cell>
          <cell r="L1020" t="str">
            <v>M1</v>
          </cell>
          <cell r="M1020" t="str">
            <v>Department of Culture and Tourism</v>
          </cell>
          <cell r="N1020" t="str">
            <v>Culture</v>
          </cell>
          <cell r="O1020" t="str">
            <v>الثقافة</v>
          </cell>
          <cell r="P1020" t="str">
            <v>Guggenheim Abu Dhabi Museum</v>
          </cell>
          <cell r="Q1020" t="str">
            <v>متحف جوجينهايم أبوظبي</v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>Abu Dhabi</v>
          </cell>
          <cell r="W1020" t="str">
            <v/>
          </cell>
          <cell r="X1020" t="str">
            <v>4510410</v>
          </cell>
          <cell r="Y1020" t="str">
            <v/>
          </cell>
          <cell r="Z1020" t="str">
            <v>Senior Professional</v>
          </cell>
          <cell r="AA1020" t="str">
            <v>3C</v>
          </cell>
        </row>
        <row r="1021">
          <cell r="A1021">
            <v>1980</v>
          </cell>
          <cell r="B1021">
            <v>1980</v>
          </cell>
          <cell r="C1021" t="str">
            <v>A</v>
          </cell>
          <cell r="D1021" t="str">
            <v xml:space="preserve"> Hamdan  Mohamed  Alhosani</v>
          </cell>
          <cell r="E1021" t="str">
            <v xml:space="preserve">حمدان  محمد  الحوسني  </v>
          </cell>
          <cell r="F1021">
            <v>45649</v>
          </cell>
          <cell r="G1021" t="str">
            <v>50003258</v>
          </cell>
          <cell r="H1021" t="str">
            <v>Business Partnership Senior Specialist</v>
          </cell>
          <cell r="I1021" t="str">
            <v>أخصائي أول شراكات الأعمال</v>
          </cell>
          <cell r="J1021" t="str">
            <v>On-Chart</v>
          </cell>
          <cell r="K1021" t="str">
            <v>DCT Payroll</v>
          </cell>
          <cell r="L1021" t="str">
            <v>A1</v>
          </cell>
          <cell r="M1021" t="str">
            <v>Department of Culture and Tourism</v>
          </cell>
          <cell r="N1021" t="str">
            <v>Support Services</v>
          </cell>
          <cell r="O1021" t="str">
            <v>الخدمات المساندة</v>
          </cell>
          <cell r="P1021" t="str">
            <v>Technology</v>
          </cell>
          <cell r="Q1021" t="str">
            <v>التكنولوجيا</v>
          </cell>
          <cell r="R1021" t="str">
            <v>Business Partnership</v>
          </cell>
          <cell r="S1021" t="str">
            <v>شراكات الأعمال</v>
          </cell>
          <cell r="T1021" t="str">
            <v>Business Partnership</v>
          </cell>
          <cell r="U1021" t="str">
            <v>شراكات الأعمال</v>
          </cell>
          <cell r="V1021" t="str">
            <v>Abu Dhabi</v>
          </cell>
          <cell r="W1021" t="str">
            <v/>
          </cell>
          <cell r="X1021" t="str">
            <v>4510250</v>
          </cell>
          <cell r="Y1021" t="str">
            <v>Information Technology_Software Program Management _Senior Professional</v>
          </cell>
          <cell r="Z1021" t="str">
            <v>Senior Professional</v>
          </cell>
          <cell r="AA1021" t="str">
            <v>3C</v>
          </cell>
        </row>
        <row r="1022">
          <cell r="A1022">
            <v>1981</v>
          </cell>
          <cell r="B1022">
            <v>1981</v>
          </cell>
          <cell r="C1022" t="str">
            <v>A</v>
          </cell>
          <cell r="D1022" t="str">
            <v>Sanaa Ali Amro</v>
          </cell>
          <cell r="E1022" t="str">
            <v>صنعاء علي عمرو</v>
          </cell>
          <cell r="F1022">
            <v>45656</v>
          </cell>
          <cell r="G1022" t="str">
            <v>50003080</v>
          </cell>
          <cell r="H1022" t="str">
            <v>Programming &amp; Community Engagement Unit Head</v>
          </cell>
          <cell r="I1022" t="str">
            <v>رئيس وحدة البرامج والمشاركة المجتمعية</v>
          </cell>
          <cell r="J1022" t="str">
            <v>On-Chart</v>
          </cell>
          <cell r="K1022" t="str">
            <v>DCT Payroll</v>
          </cell>
          <cell r="L1022" t="str">
            <v>A1</v>
          </cell>
          <cell r="M1022" t="str">
            <v>Department of Culture and Tourism</v>
          </cell>
          <cell r="N1022" t="str">
            <v>Culture</v>
          </cell>
          <cell r="O1022" t="str">
            <v>الثقافة</v>
          </cell>
          <cell r="P1022" t="str">
            <v>Culture Sites Management</v>
          </cell>
          <cell r="Q1022" t="str">
            <v>إدارة المواقع الثقافية</v>
          </cell>
          <cell r="R1022" t="str">
            <v>House of Artisans</v>
          </cell>
          <cell r="S1022" t="str">
            <v>بيت الحرفيين</v>
          </cell>
          <cell r="T1022" t="str">
            <v>Programming &amp; Community Engagement</v>
          </cell>
          <cell r="U1022" t="str">
            <v>البرامج والمشاركة المجتمعية</v>
          </cell>
          <cell r="V1022" t="str">
            <v>Abu Dhabi</v>
          </cell>
          <cell r="W1022" t="str">
            <v/>
          </cell>
          <cell r="X1022" t="str">
            <v>4511250</v>
          </cell>
          <cell r="Y1022" t="str">
            <v>Compliance,Governance&amp;Protocol_Policy  (Culture &amp; Tourism)_Unit Head</v>
          </cell>
          <cell r="Z1022" t="str">
            <v>Unit Head</v>
          </cell>
          <cell r="AA1022" t="str">
            <v>3C</v>
          </cell>
        </row>
        <row r="1023">
          <cell r="A1023">
            <v>1982</v>
          </cell>
          <cell r="B1023">
            <v>1982</v>
          </cell>
          <cell r="C1023" t="str">
            <v>A</v>
          </cell>
          <cell r="D1023" t="str">
            <v>Abdulrahman Abdulla Alblooshi</v>
          </cell>
          <cell r="E1023" t="str">
            <v>عبدالرحمن عبدالله البلوشي</v>
          </cell>
          <cell r="F1023">
            <v>45652</v>
          </cell>
          <cell r="G1023" t="str">
            <v>50000737</v>
          </cell>
          <cell r="H1023" t="str">
            <v>Senior Security Specialist</v>
          </cell>
          <cell r="I1023" t="str">
            <v>أخصائي أول، الأمن</v>
          </cell>
          <cell r="J1023" t="str">
            <v>On-Chart</v>
          </cell>
          <cell r="K1023" t="str">
            <v>MSS Direct Hires</v>
          </cell>
          <cell r="L1023" t="str">
            <v>M1</v>
          </cell>
          <cell r="M1023" t="str">
            <v>Department of Culture and Tourism</v>
          </cell>
          <cell r="N1023" t="str">
            <v>Zayed National Museum</v>
          </cell>
          <cell r="O1023" t="str">
            <v>متحف زايد الوطني</v>
          </cell>
          <cell r="P1023" t="str">
            <v>Operations</v>
          </cell>
          <cell r="Q1023" t="str">
            <v>العمليات</v>
          </cell>
          <cell r="R1023" t="str">
            <v>Safety &amp; Security</v>
          </cell>
          <cell r="S1023" t="str">
            <v>السلامة والأمن</v>
          </cell>
          <cell r="T1023" t="str">
            <v>Security</v>
          </cell>
          <cell r="U1023" t="str">
            <v>الأمن</v>
          </cell>
          <cell r="V1023" t="str">
            <v>Abu Dhabi</v>
          </cell>
          <cell r="W1023" t="str">
            <v/>
          </cell>
          <cell r="X1023" t="str">
            <v>4510184</v>
          </cell>
          <cell r="Y1023" t="str">
            <v>Technical Safety &amp; Security_Environmental Healthy &amp; Safety _Senior Professional</v>
          </cell>
          <cell r="Z1023" t="str">
            <v>Senior Professional</v>
          </cell>
          <cell r="AA1023" t="str">
            <v>3C</v>
          </cell>
        </row>
        <row r="1024">
          <cell r="A1024">
            <v>1984</v>
          </cell>
          <cell r="B1024">
            <v>1984</v>
          </cell>
          <cell r="C1024" t="str">
            <v>A</v>
          </cell>
          <cell r="D1024" t="str">
            <v>Ahmed Abdulrazzaq Alateibi</v>
          </cell>
          <cell r="E1024" t="str">
            <v>احمد عبدالرزاق العتيبي</v>
          </cell>
          <cell r="F1024">
            <v>45670</v>
          </cell>
          <cell r="G1024" t="str">
            <v>50003211</v>
          </cell>
          <cell r="H1024" t="str">
            <v>Inspector</v>
          </cell>
          <cell r="I1024" t="str">
            <v>مفتش</v>
          </cell>
          <cell r="J1024" t="str">
            <v>On-Chart</v>
          </cell>
          <cell r="K1024" t="str">
            <v>DCT Payroll</v>
          </cell>
          <cell r="L1024" t="str">
            <v>A1</v>
          </cell>
          <cell r="M1024" t="str">
            <v>Department of Culture and Tourism</v>
          </cell>
          <cell r="N1024" t="str">
            <v>Tourism</v>
          </cell>
          <cell r="O1024" t="str">
            <v>السياحة</v>
          </cell>
          <cell r="P1024" t="str">
            <v>Licensing &amp; Regulatory Compliance</v>
          </cell>
          <cell r="Q1024" t="str">
            <v>الرقابة والترخيص</v>
          </cell>
          <cell r="R1024" t="str">
            <v>Abu Dhabi Inspection</v>
          </cell>
          <cell r="S1024" t="str">
            <v>التفتيش</v>
          </cell>
          <cell r="T1024" t="str">
            <v>Abu Dhabi Inspection (Night Events)</v>
          </cell>
          <cell r="U1024" t="str">
            <v>( التفتيش لأبوظبي (الفعاليات الليلية</v>
          </cell>
          <cell r="V1024" t="str">
            <v>Abu Dhabi</v>
          </cell>
          <cell r="W1024" t="str">
            <v/>
          </cell>
          <cell r="X1024" t="str">
            <v>4510170</v>
          </cell>
          <cell r="Y1024" t="str">
            <v>Specialization Governance &amp; Compliance</v>
          </cell>
          <cell r="Z1024" t="str">
            <v>Professional</v>
          </cell>
          <cell r="AA1024" t="str">
            <v>4C</v>
          </cell>
        </row>
        <row r="1025">
          <cell r="A1025">
            <v>1985</v>
          </cell>
          <cell r="B1025">
            <v>1985</v>
          </cell>
          <cell r="C1025" t="str">
            <v>A</v>
          </cell>
          <cell r="D1025" t="str">
            <v>Eman Jamal Almarri</v>
          </cell>
          <cell r="E1025" t="str">
            <v>إيمان جمال المري</v>
          </cell>
          <cell r="F1025">
            <v>45671</v>
          </cell>
          <cell r="G1025" t="str">
            <v>50003236</v>
          </cell>
          <cell r="H1025" t="str">
            <v>Regional Outreach &amp; Partnerships Officer</v>
          </cell>
          <cell r="I1025" t="str">
            <v>ضابط التوعية الإقليمية والشراكات</v>
          </cell>
          <cell r="J1025" t="str">
            <v>On-Chart</v>
          </cell>
          <cell r="K1025" t="str">
            <v>ALC Direct Hires</v>
          </cell>
          <cell r="L1025" t="str">
            <v>AL1</v>
          </cell>
          <cell r="M1025" t="str">
            <v>Abu Dhabi Arabic Language Centre</v>
          </cell>
          <cell r="N1025" t="str">
            <v>Abu Dhabi Arabic Language Centre</v>
          </cell>
          <cell r="O1025" t="str">
            <v>مركز أبوظبي للغة العربية</v>
          </cell>
          <cell r="P1025" t="str">
            <v>Literature Awards</v>
          </cell>
          <cell r="Q1025" t="str">
            <v>الجوائز الأدبية</v>
          </cell>
          <cell r="R1025" t="str">
            <v>Outreach &amp; Partnerships</v>
          </cell>
          <cell r="S1025" t="str">
            <v>التوعية والشراكات</v>
          </cell>
          <cell r="T1025" t="str">
            <v/>
          </cell>
          <cell r="U1025" t="str">
            <v/>
          </cell>
          <cell r="V1025" t="str">
            <v>Abu Dhabi</v>
          </cell>
          <cell r="W1025" t="str">
            <v/>
          </cell>
          <cell r="X1025" t="str">
            <v>4519201</v>
          </cell>
          <cell r="Y1025" t="str">
            <v>Specialization Festivals &amp; Events</v>
          </cell>
          <cell r="Z1025" t="str">
            <v>Professional</v>
          </cell>
          <cell r="AA1025" t="str">
            <v>4C</v>
          </cell>
        </row>
        <row r="1026">
          <cell r="A1026">
            <v>1986</v>
          </cell>
          <cell r="B1026">
            <v>1986</v>
          </cell>
          <cell r="C1026" t="str">
            <v>A</v>
          </cell>
          <cell r="D1026" t="str">
            <v>Sara Khalid Alazeezi</v>
          </cell>
          <cell r="E1026" t="str">
            <v>ساره خالد العزيزي</v>
          </cell>
          <cell r="F1026">
            <v>45670</v>
          </cell>
          <cell r="G1026" t="str">
            <v>50003377</v>
          </cell>
          <cell r="H1026" t="str">
            <v>Operations Officer</v>
          </cell>
          <cell r="I1026" t="str">
            <v>ضابط العمليات</v>
          </cell>
          <cell r="J1026" t="str">
            <v>On-Chart</v>
          </cell>
          <cell r="K1026" t="str">
            <v>DCT Payroll</v>
          </cell>
          <cell r="L1026" t="str">
            <v>A1</v>
          </cell>
          <cell r="M1026" t="str">
            <v>Department of Culture and Tourism</v>
          </cell>
          <cell r="N1026" t="str">
            <v>Culture</v>
          </cell>
          <cell r="O1026" t="str">
            <v>الثقافة</v>
          </cell>
          <cell r="P1026" t="str">
            <v>Culture Sites Management</v>
          </cell>
          <cell r="Q1026" t="str">
            <v>إدارة المواقع الثقافية</v>
          </cell>
          <cell r="R1026" t="str">
            <v>Al Ain Operations</v>
          </cell>
          <cell r="S1026" t="str">
            <v>العمليات - العين</v>
          </cell>
          <cell r="T1026" t="str">
            <v>Operations</v>
          </cell>
          <cell r="U1026" t="str">
            <v>العمليات</v>
          </cell>
          <cell r="V1026" t="str">
            <v>Abu Dhabi</v>
          </cell>
          <cell r="W1026" t="str">
            <v/>
          </cell>
          <cell r="X1026" t="str">
            <v>4511250</v>
          </cell>
          <cell r="Y1026" t="str">
            <v>Specialization Operations</v>
          </cell>
          <cell r="Z1026" t="str">
            <v>Professional</v>
          </cell>
          <cell r="AA1026" t="str">
            <v>4C</v>
          </cell>
        </row>
        <row r="1027">
          <cell r="A1027">
            <v>1987</v>
          </cell>
          <cell r="B1027">
            <v>1987</v>
          </cell>
          <cell r="C1027" t="str">
            <v>A</v>
          </cell>
          <cell r="D1027" t="str">
            <v>Lattifa Nasser Alnuaimi</v>
          </cell>
          <cell r="E1027" t="str">
            <v>لطيفه ناصر النعيمي</v>
          </cell>
          <cell r="F1027">
            <v>45670</v>
          </cell>
          <cell r="G1027" t="str">
            <v>50000874</v>
          </cell>
          <cell r="H1027" t="str">
            <v>GIS Specialist</v>
          </cell>
          <cell r="I1027" t="str">
            <v>أخصائي نظم المعلومات الجغرافية</v>
          </cell>
          <cell r="J1027" t="str">
            <v>On-Chart</v>
          </cell>
          <cell r="K1027" t="str">
            <v>DCT Payroll</v>
          </cell>
          <cell r="L1027" t="str">
            <v>A1</v>
          </cell>
          <cell r="M1027" t="str">
            <v>Department of Culture and Tourism</v>
          </cell>
          <cell r="N1027" t="str">
            <v>Culture</v>
          </cell>
          <cell r="O1027" t="str">
            <v>الثقافة</v>
          </cell>
          <cell r="P1027" t="str">
            <v>Historic Environment</v>
          </cell>
          <cell r="Q1027" t="str">
            <v>البيئة التاريخية</v>
          </cell>
          <cell r="R1027" t="str">
            <v>World Heritage Sites Management</v>
          </cell>
          <cell r="S1027" t="str">
            <v>إدارة مواقع التراث العالمي</v>
          </cell>
          <cell r="T1027" t="str">
            <v>World Heritage Monitoring</v>
          </cell>
          <cell r="U1027" t="str">
            <v>مراقبة مواقع التراث العالمي</v>
          </cell>
          <cell r="V1027" t="str">
            <v>Al Ain</v>
          </cell>
          <cell r="W1027" t="str">
            <v/>
          </cell>
          <cell r="X1027" t="str">
            <v>4511300</v>
          </cell>
          <cell r="Y1027" t="str">
            <v>Specialization Content &amp; Care</v>
          </cell>
          <cell r="Z1027" t="str">
            <v>Professional</v>
          </cell>
          <cell r="AA1027" t="str">
            <v>4C</v>
          </cell>
        </row>
        <row r="1028">
          <cell r="A1028">
            <v>1988</v>
          </cell>
          <cell r="B1028">
            <v>1988</v>
          </cell>
          <cell r="C1028" t="str">
            <v>A</v>
          </cell>
          <cell r="D1028" t="str">
            <v>Eissa Khalifa Alfalasi</v>
          </cell>
          <cell r="E1028" t="str">
            <v>عيسى خليفه الفلاسي</v>
          </cell>
          <cell r="F1028">
            <v>45670</v>
          </cell>
          <cell r="G1028" t="str">
            <v>10007093</v>
          </cell>
          <cell r="H1028" t="str">
            <v>Auditor</v>
          </cell>
          <cell r="I1028" t="str">
            <v>مدقق</v>
          </cell>
          <cell r="J1028" t="str">
            <v>On-Chart</v>
          </cell>
          <cell r="K1028" t="str">
            <v>DCT Payroll</v>
          </cell>
          <cell r="L1028" t="str">
            <v>A1</v>
          </cell>
          <cell r="M1028" t="str">
            <v>Department of Culture and Tourism</v>
          </cell>
          <cell r="N1028" t="str">
            <v>Tourism</v>
          </cell>
          <cell r="O1028" t="str">
            <v>السياحة</v>
          </cell>
          <cell r="P1028" t="str">
            <v>Licensing &amp; Regulatory Compliance</v>
          </cell>
          <cell r="Q1028" t="str">
            <v>الرقابة والترخيص</v>
          </cell>
          <cell r="R1028" t="str">
            <v>Revenue Assurance</v>
          </cell>
          <cell r="S1028" t="str">
            <v>تدقيق العائدات</v>
          </cell>
          <cell r="T1028" t="str">
            <v>Revenue Assurance (Hotels &amp; Cultural Establishments)</v>
          </cell>
          <cell r="U1028" t="str">
            <v>( وحدة  تدقيق العائدات (الفنادق والمؤسسات الثقافية</v>
          </cell>
          <cell r="V1028" t="str">
            <v>Abu Dhabi</v>
          </cell>
          <cell r="W1028" t="str">
            <v/>
          </cell>
          <cell r="X1028" t="str">
            <v>4510170</v>
          </cell>
          <cell r="Y1028" t="str">
            <v>Specialization Governance &amp; Compliance</v>
          </cell>
          <cell r="Z1028" t="str">
            <v>Professional</v>
          </cell>
          <cell r="AA1028" t="str">
            <v>4C</v>
          </cell>
        </row>
        <row r="1029">
          <cell r="A1029">
            <v>1990</v>
          </cell>
          <cell r="B1029">
            <v>1990</v>
          </cell>
          <cell r="C1029" t="str">
            <v>A</v>
          </cell>
          <cell r="D1029" t="str">
            <v>Amna Matar Alneyadi</v>
          </cell>
          <cell r="E1029" t="str">
            <v>امنه مطر النيادي</v>
          </cell>
          <cell r="F1029">
            <v>45684</v>
          </cell>
          <cell r="G1029" t="str">
            <v>50003378</v>
          </cell>
          <cell r="H1029" t="str">
            <v>References &amp; Library Education Specialist</v>
          </cell>
          <cell r="I1029" t="str">
            <v>أخصائي المراجع والتعليم</v>
          </cell>
          <cell r="J1029" t="str">
            <v>On-Chart</v>
          </cell>
          <cell r="K1029" t="str">
            <v>DCT Payroll</v>
          </cell>
          <cell r="L1029" t="str">
            <v>A1</v>
          </cell>
          <cell r="M1029" t="str">
            <v>Department of Culture and Tourism</v>
          </cell>
          <cell r="N1029" t="str">
            <v>Culture</v>
          </cell>
          <cell r="O1029" t="str">
            <v>الثقافة</v>
          </cell>
          <cell r="P1029" t="str">
            <v>Library Management</v>
          </cell>
          <cell r="Q1029" t="str">
            <v>إدارة المكتبات</v>
          </cell>
          <cell r="R1029" t="str">
            <v>Zayed Central Library - Al Ain</v>
          </cell>
          <cell r="S1029" t="str">
            <v>مكتبة زايد المركزية - العين</v>
          </cell>
          <cell r="T1029" t="str">
            <v>Reference &amp; Library Education</v>
          </cell>
          <cell r="U1029" t="str">
            <v>المراجع والتعليم</v>
          </cell>
          <cell r="V1029" t="str">
            <v>Abu Dhabi</v>
          </cell>
          <cell r="W1029" t="str">
            <v/>
          </cell>
          <cell r="X1029" t="str">
            <v>4516100</v>
          </cell>
          <cell r="Y1029" t="str">
            <v>Specialization Visitor Services &amp; Protocol</v>
          </cell>
          <cell r="Z1029" t="str">
            <v>Professional</v>
          </cell>
          <cell r="AA1029" t="str">
            <v>4C</v>
          </cell>
        </row>
        <row r="1030">
          <cell r="A1030">
            <v>1991</v>
          </cell>
          <cell r="B1030">
            <v>1991</v>
          </cell>
          <cell r="C1030" t="str">
            <v>A</v>
          </cell>
          <cell r="D1030" t="str">
            <v>Shamma Saeed Alaryani</v>
          </cell>
          <cell r="E1030" t="str">
            <v>شما سعيد العرياني</v>
          </cell>
          <cell r="F1030">
            <v>45677</v>
          </cell>
          <cell r="G1030" t="str">
            <v>50003354</v>
          </cell>
          <cell r="H1030" t="str">
            <v>Operations Officer</v>
          </cell>
          <cell r="I1030" t="str">
            <v>ضابط العمليات</v>
          </cell>
          <cell r="J1030" t="str">
            <v>On-Chart</v>
          </cell>
          <cell r="K1030" t="str">
            <v>DCT Payroll</v>
          </cell>
          <cell r="L1030" t="str">
            <v>A1</v>
          </cell>
          <cell r="M1030" t="str">
            <v>Department of Culture and Tourism</v>
          </cell>
          <cell r="N1030" t="str">
            <v>Culture</v>
          </cell>
          <cell r="O1030" t="str">
            <v>الثقافة</v>
          </cell>
          <cell r="P1030" t="str">
            <v>Culture Sites Management</v>
          </cell>
          <cell r="Q1030" t="str">
            <v>إدارة المواقع الثقافية</v>
          </cell>
          <cell r="R1030" t="str">
            <v>Al Ain Operations</v>
          </cell>
          <cell r="S1030" t="str">
            <v>العمليات - العين</v>
          </cell>
          <cell r="T1030" t="str">
            <v>Operations</v>
          </cell>
          <cell r="U1030" t="str">
            <v>العمليات</v>
          </cell>
          <cell r="V1030" t="str">
            <v>Abu Dhabi</v>
          </cell>
          <cell r="W1030" t="str">
            <v/>
          </cell>
          <cell r="X1030" t="str">
            <v>4511250</v>
          </cell>
          <cell r="Y1030" t="str">
            <v>Specialization Operations</v>
          </cell>
          <cell r="Z1030" t="str">
            <v>Professional</v>
          </cell>
          <cell r="AA1030" t="str">
            <v>4C</v>
          </cell>
        </row>
        <row r="1031">
          <cell r="A1031">
            <v>1992</v>
          </cell>
          <cell r="B1031">
            <v>1992</v>
          </cell>
          <cell r="C1031" t="str">
            <v>A</v>
          </cell>
          <cell r="D1031" t="str">
            <v>Amna Ali Alzaabi</v>
          </cell>
          <cell r="E1031" t="str">
            <v>امنه علي الزعابي</v>
          </cell>
          <cell r="F1031">
            <v>45691</v>
          </cell>
          <cell r="G1031" t="str">
            <v>50001412</v>
          </cell>
          <cell r="H1031" t="str">
            <v>Business Partnership Specialist</v>
          </cell>
          <cell r="I1031" t="str">
            <v>أخصائي شراكات الأعمال</v>
          </cell>
          <cell r="J1031" t="str">
            <v>On-Chart</v>
          </cell>
          <cell r="K1031" t="str">
            <v>DCT Payroll</v>
          </cell>
          <cell r="L1031" t="str">
            <v>A1</v>
          </cell>
          <cell r="M1031" t="str">
            <v>Department of Culture and Tourism</v>
          </cell>
          <cell r="N1031" t="str">
            <v>Support Services</v>
          </cell>
          <cell r="O1031" t="str">
            <v>الخدمات المساندة</v>
          </cell>
          <cell r="P1031" t="str">
            <v>Technology</v>
          </cell>
          <cell r="Q1031" t="str">
            <v>التكنولوجيا</v>
          </cell>
          <cell r="R1031" t="str">
            <v>Business Partnership</v>
          </cell>
          <cell r="S1031" t="str">
            <v>شراكات الأعمال</v>
          </cell>
          <cell r="T1031" t="str">
            <v>Business Partnership</v>
          </cell>
          <cell r="U1031" t="str">
            <v>شراكات الأعمال</v>
          </cell>
          <cell r="V1031" t="str">
            <v>Abu Dhabi</v>
          </cell>
          <cell r="W1031" t="str">
            <v/>
          </cell>
          <cell r="X1031" t="str">
            <v>4510250</v>
          </cell>
          <cell r="Y1031" t="str">
            <v>Specialization IT &amp; Digital Services</v>
          </cell>
          <cell r="Z1031" t="str">
            <v>Professional</v>
          </cell>
          <cell r="AA1031" t="str">
            <v>4C</v>
          </cell>
        </row>
        <row r="1032">
          <cell r="A1032">
            <v>1993</v>
          </cell>
          <cell r="B1032">
            <v>1993</v>
          </cell>
          <cell r="C1032" t="str">
            <v>A</v>
          </cell>
          <cell r="D1032" t="str">
            <v>Ahmed Saif Almansoori</v>
          </cell>
          <cell r="E1032" t="str">
            <v>أحمد سيف المنصوري</v>
          </cell>
          <cell r="F1032">
            <v>45691</v>
          </cell>
          <cell r="G1032" t="str">
            <v>10009556</v>
          </cell>
          <cell r="H1032" t="str">
            <v>Compliance &amp; Quality Monitoring Executive</v>
          </cell>
          <cell r="I1032" t="str">
            <v>تنفيذي الامتثال ومراقبة الجودة</v>
          </cell>
          <cell r="J1032" t="str">
            <v>On-Chart</v>
          </cell>
          <cell r="K1032" t="str">
            <v>DCT Payroll</v>
          </cell>
          <cell r="L1032" t="str">
            <v>A1</v>
          </cell>
          <cell r="M1032" t="str">
            <v>Department of Culture and Tourism</v>
          </cell>
          <cell r="N1032" t="str">
            <v>Tourism</v>
          </cell>
          <cell r="O1032" t="str">
            <v>السياحة</v>
          </cell>
          <cell r="P1032" t="str">
            <v>Licensing &amp; Regulatory Compliance</v>
          </cell>
          <cell r="Q1032" t="str">
            <v>الرقابة والترخيص</v>
          </cell>
          <cell r="R1032" t="str">
            <v>Compliance &amp; Quality Monitoring</v>
          </cell>
          <cell r="S1032" t="str">
            <v>الامتثال ومراقبة الجودة</v>
          </cell>
          <cell r="T1032" t="str">
            <v/>
          </cell>
          <cell r="U1032" t="str">
            <v/>
          </cell>
          <cell r="V1032" t="str">
            <v>Abu Dhabi</v>
          </cell>
          <cell r="W1032" t="str">
            <v/>
          </cell>
          <cell r="X1032" t="str">
            <v>4510170</v>
          </cell>
          <cell r="Y1032" t="str">
            <v>Specialization Governance &amp; Compliance</v>
          </cell>
          <cell r="Z1032" t="str">
            <v>Professional</v>
          </cell>
          <cell r="AA1032" t="str">
            <v>4C</v>
          </cell>
        </row>
        <row r="1033">
          <cell r="A1033">
            <v>1994</v>
          </cell>
          <cell r="B1033">
            <v>1994</v>
          </cell>
          <cell r="C1033" t="str">
            <v>A</v>
          </cell>
          <cell r="D1033" t="str">
            <v>Merfat Kamel Zain</v>
          </cell>
          <cell r="E1033" t="str">
            <v>ميرفت كامل زين</v>
          </cell>
          <cell r="F1033">
            <v>45689</v>
          </cell>
          <cell r="G1033" t="str">
            <v>50003526</v>
          </cell>
          <cell r="H1033" t="str">
            <v>Administrative Assistant</v>
          </cell>
          <cell r="I1033" t="str">
            <v>مساعد إداري</v>
          </cell>
          <cell r="J1033" t="str">
            <v>On-Chart</v>
          </cell>
          <cell r="K1033" t="str">
            <v>DCT Payroll</v>
          </cell>
          <cell r="L1033" t="str">
            <v>A1</v>
          </cell>
          <cell r="M1033" t="str">
            <v>Department of Culture and Tourism</v>
          </cell>
          <cell r="N1033" t="str">
            <v>Culture</v>
          </cell>
          <cell r="O1033" t="str">
            <v>الثقافة</v>
          </cell>
          <cell r="P1033" t="str">
            <v>Culture Sites Management</v>
          </cell>
          <cell r="Q1033" t="str">
            <v>إدارة المواقع الثقافية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>Abu Dhabi</v>
          </cell>
          <cell r="W1033" t="str">
            <v/>
          </cell>
          <cell r="X1033" t="str">
            <v>4511250</v>
          </cell>
          <cell r="Y1033" t="str">
            <v>Content &amp; Care_Historic Environment Worker_Assistant &amp; Technical Staff</v>
          </cell>
          <cell r="Z1033" t="str">
            <v>Professional Assistant</v>
          </cell>
          <cell r="AA1033" t="str">
            <v>6A</v>
          </cell>
        </row>
        <row r="1034">
          <cell r="A1034">
            <v>1995</v>
          </cell>
          <cell r="B1034">
            <v>1995</v>
          </cell>
          <cell r="C1034" t="str">
            <v>A</v>
          </cell>
          <cell r="D1034" t="str">
            <v>Fakhar Khalifa Alahmed</v>
          </cell>
          <cell r="E1034" t="str">
            <v>فاخره خليفه الاحمد</v>
          </cell>
          <cell r="F1034">
            <v>45689</v>
          </cell>
          <cell r="G1034" t="str">
            <v>50003530</v>
          </cell>
          <cell r="H1034" t="str">
            <v>Public Relations Officer Assistant</v>
          </cell>
          <cell r="I1034" t="str">
            <v>أخصائي علاقات عامة</v>
          </cell>
          <cell r="J1034" t="str">
            <v>On-Chart</v>
          </cell>
          <cell r="K1034" t="str">
            <v>DCT Payroll</v>
          </cell>
          <cell r="L1034" t="str">
            <v>A1</v>
          </cell>
          <cell r="M1034" t="str">
            <v>Department of Culture and Tourism</v>
          </cell>
          <cell r="N1034" t="str">
            <v>Culture</v>
          </cell>
          <cell r="O1034" t="str">
            <v>الثقافة</v>
          </cell>
          <cell r="P1034" t="str">
            <v>Culture Sites Management</v>
          </cell>
          <cell r="Q1034" t="str">
            <v>إدارة المواقع الثقافية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>Abu Dhabi</v>
          </cell>
          <cell r="W1034" t="str">
            <v/>
          </cell>
          <cell r="X1034" t="str">
            <v>4511250</v>
          </cell>
          <cell r="Y1034" t="str">
            <v>Compliance,Governance&amp;Protocol_Policy (Culture/Tourism _Senior Professional</v>
          </cell>
          <cell r="Z1034" t="str">
            <v>Professional</v>
          </cell>
          <cell r="AA1034" t="str">
            <v>4C</v>
          </cell>
        </row>
        <row r="1035">
          <cell r="A1035">
            <v>1996</v>
          </cell>
          <cell r="B1035">
            <v>1996</v>
          </cell>
          <cell r="C1035" t="str">
            <v>A</v>
          </cell>
          <cell r="D1035" t="str">
            <v>Mohammed Aiman Hamed</v>
          </cell>
          <cell r="E1035" t="str">
            <v>محمد ايمن حامد</v>
          </cell>
          <cell r="F1035">
            <v>45698</v>
          </cell>
          <cell r="G1035" t="str">
            <v>50001437</v>
          </cell>
          <cell r="H1035" t="str">
            <v>Abu Dhabi Corporate Environment Health &amp; Safety Executive</v>
          </cell>
          <cell r="I1035" t="str">
            <v>تنفيذي البيئة والصحة والسلامة للدائرة لأبوظبي</v>
          </cell>
          <cell r="J1035" t="str">
            <v>On-Chart</v>
          </cell>
          <cell r="K1035" t="str">
            <v>DCT Payroll</v>
          </cell>
          <cell r="L1035" t="str">
            <v>A1</v>
          </cell>
          <cell r="M1035" t="str">
            <v>Department of Culture and Tourism</v>
          </cell>
          <cell r="N1035" t="str">
            <v>Tourism</v>
          </cell>
          <cell r="O1035" t="str">
            <v>السياحة</v>
          </cell>
          <cell r="P1035" t="str">
            <v>Licensing &amp; Regulatory Compliance</v>
          </cell>
          <cell r="Q1035" t="str">
            <v>الرقابة والترخيص</v>
          </cell>
          <cell r="R1035" t="str">
            <v>Environment, Health &amp; Safety</v>
          </cell>
          <cell r="S1035" t="str">
            <v>البيئة والصحة والسلامة</v>
          </cell>
          <cell r="T1035" t="str">
            <v>Corporate Environment, Health &amp; Safety</v>
          </cell>
          <cell r="U1035" t="str">
            <v>البيئة والصحة والسلامة للدائرة</v>
          </cell>
          <cell r="V1035" t="str">
            <v>Abu Dhabi</v>
          </cell>
          <cell r="W1035" t="str">
            <v/>
          </cell>
          <cell r="X1035" t="str">
            <v>4510170</v>
          </cell>
          <cell r="Y1035" t="str">
            <v>Specialization Governance &amp; Compliance</v>
          </cell>
          <cell r="Z1035" t="str">
            <v>Professional</v>
          </cell>
          <cell r="AA1035" t="str">
            <v>4A</v>
          </cell>
        </row>
        <row r="1036">
          <cell r="A1036">
            <v>1997</v>
          </cell>
          <cell r="B1036">
            <v>1997</v>
          </cell>
          <cell r="C1036" t="str">
            <v>A</v>
          </cell>
          <cell r="D1036" t="str">
            <v>Ayesha Mohamed Alnuaimi</v>
          </cell>
          <cell r="E1036" t="str">
            <v>عائشة محمد النعيمي</v>
          </cell>
          <cell r="F1036">
            <v>45689</v>
          </cell>
          <cell r="G1036" t="str">
            <v>50003528</v>
          </cell>
          <cell r="H1036" t="str">
            <v>Handicraft Technician</v>
          </cell>
          <cell r="I1036" t="str">
            <v>فني صناعات يدوية</v>
          </cell>
          <cell r="J1036" t="str">
            <v>On-Chart</v>
          </cell>
          <cell r="K1036" t="str">
            <v>DCT Payroll</v>
          </cell>
          <cell r="L1036" t="str">
            <v>A1</v>
          </cell>
          <cell r="M1036" t="str">
            <v>Department of Culture and Tourism</v>
          </cell>
          <cell r="N1036" t="str">
            <v>Culture</v>
          </cell>
          <cell r="O1036" t="str">
            <v>الثقافة</v>
          </cell>
          <cell r="P1036" t="str">
            <v>Culture Sites Management</v>
          </cell>
          <cell r="Q1036" t="str">
            <v>إدارة المواقع الثقافية</v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>Abu Dhabi</v>
          </cell>
          <cell r="W1036" t="str">
            <v/>
          </cell>
          <cell r="X1036" t="str">
            <v>4511250</v>
          </cell>
          <cell r="Y1036" t="str">
            <v/>
          </cell>
          <cell r="Z1036" t="str">
            <v>Professional</v>
          </cell>
          <cell r="AA1036" t="str">
            <v>6A</v>
          </cell>
        </row>
        <row r="1037">
          <cell r="A1037">
            <v>1998</v>
          </cell>
          <cell r="B1037">
            <v>1998</v>
          </cell>
          <cell r="C1037" t="str">
            <v>A</v>
          </cell>
          <cell r="D1037" t="str">
            <v>Bakheeta Hamad Almarri</v>
          </cell>
          <cell r="E1037" t="str">
            <v>بخيته حمد المنصوري</v>
          </cell>
          <cell r="F1037">
            <v>45689</v>
          </cell>
          <cell r="G1037" t="str">
            <v>50003524</v>
          </cell>
          <cell r="H1037" t="str">
            <v>Handicraft Technician</v>
          </cell>
          <cell r="I1037" t="str">
            <v>فني صناعات يدوية</v>
          </cell>
          <cell r="J1037" t="str">
            <v>On-Chart</v>
          </cell>
          <cell r="K1037" t="str">
            <v>DCT Payroll</v>
          </cell>
          <cell r="L1037" t="str">
            <v>A1</v>
          </cell>
          <cell r="M1037" t="str">
            <v>Department of Culture and Tourism</v>
          </cell>
          <cell r="N1037" t="str">
            <v>Culture</v>
          </cell>
          <cell r="O1037" t="str">
            <v>الثقافة</v>
          </cell>
          <cell r="P1037" t="str">
            <v>Culture Sites Management</v>
          </cell>
          <cell r="Q1037" t="str">
            <v>إدارة المواقع الثقافية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>Abu Dhabi</v>
          </cell>
          <cell r="W1037" t="str">
            <v/>
          </cell>
          <cell r="X1037" t="str">
            <v>4511250</v>
          </cell>
          <cell r="Y1037" t="str">
            <v/>
          </cell>
          <cell r="Z1037" t="str">
            <v>Professional</v>
          </cell>
          <cell r="AA1037" t="str">
            <v>6A</v>
          </cell>
        </row>
        <row r="1038">
          <cell r="A1038">
            <v>1999</v>
          </cell>
          <cell r="B1038">
            <v>1999</v>
          </cell>
          <cell r="C1038" t="str">
            <v>A</v>
          </cell>
          <cell r="D1038" t="str">
            <v>Sultan Khalifa Almansoori</v>
          </cell>
          <cell r="E1038" t="str">
            <v>سلطان خليفه المنصوري</v>
          </cell>
          <cell r="F1038">
            <v>45700</v>
          </cell>
          <cell r="G1038" t="str">
            <v>10011694</v>
          </cell>
          <cell r="H1038" t="str">
            <v>Inspector</v>
          </cell>
          <cell r="I1038" t="str">
            <v>مفتش</v>
          </cell>
          <cell r="J1038" t="str">
            <v>On-Chart</v>
          </cell>
          <cell r="K1038" t="str">
            <v>DCT Payroll</v>
          </cell>
          <cell r="L1038" t="str">
            <v>A1</v>
          </cell>
          <cell r="M1038" t="str">
            <v>Department of Culture and Tourism</v>
          </cell>
          <cell r="N1038" t="str">
            <v>Tourism</v>
          </cell>
          <cell r="O1038" t="str">
            <v>السياحة</v>
          </cell>
          <cell r="P1038" t="str">
            <v>Licensing &amp; Regulatory Compliance</v>
          </cell>
          <cell r="Q1038" t="str">
            <v>الرقابة والترخيص</v>
          </cell>
          <cell r="R1038" t="str">
            <v>Abu Dhabi Inspection</v>
          </cell>
          <cell r="S1038" t="str">
            <v>التفتيش</v>
          </cell>
          <cell r="T1038" t="str">
            <v>Abu Dhabi Inspection (Night Events)</v>
          </cell>
          <cell r="U1038" t="str">
            <v>( التفتيش لأبوظبي (الفعاليات الليلية</v>
          </cell>
          <cell r="V1038" t="str">
            <v>Abu Dhabi</v>
          </cell>
          <cell r="W1038" t="str">
            <v/>
          </cell>
          <cell r="X1038" t="str">
            <v>4510170</v>
          </cell>
          <cell r="Y1038" t="str">
            <v>Specialization Governance &amp; Compliance</v>
          </cell>
          <cell r="Z1038" t="str">
            <v>Professional</v>
          </cell>
          <cell r="AA1038" t="str">
            <v>4B</v>
          </cell>
        </row>
        <row r="1039">
          <cell r="A1039">
            <v>2000</v>
          </cell>
          <cell r="B1039">
            <v>2000</v>
          </cell>
          <cell r="C1039" t="str">
            <v>A</v>
          </cell>
          <cell r="D1039" t="str">
            <v>Mansoor Khaled Alhabtari</v>
          </cell>
          <cell r="E1039" t="str">
            <v>منصور خالد الحبتري</v>
          </cell>
          <cell r="F1039">
            <v>45712</v>
          </cell>
          <cell r="G1039" t="str">
            <v>50003373</v>
          </cell>
          <cell r="H1039" t="str">
            <v>HR Projects &amp; Transformation Analyst</v>
          </cell>
          <cell r="I1039" t="str">
            <v>محلل التحول ومشاريع الموارد البشرية</v>
          </cell>
          <cell r="J1039" t="str">
            <v>On-Chart</v>
          </cell>
          <cell r="K1039" t="str">
            <v>DCT Payroll</v>
          </cell>
          <cell r="L1039" t="str">
            <v>A1</v>
          </cell>
          <cell r="M1039" t="str">
            <v>Department of Culture and Tourism</v>
          </cell>
          <cell r="N1039" t="str">
            <v>Support Services</v>
          </cell>
          <cell r="O1039" t="str">
            <v>الخدمات المساندة</v>
          </cell>
          <cell r="P1039" t="str">
            <v>Office of the Support Services Executive Director</v>
          </cell>
          <cell r="Q1039" t="str">
            <v>مكتب المدير التنفيذي لقطاع الخدمات المساندة</v>
          </cell>
          <cell r="R1039" t="str">
            <v>Support Services Transformation</v>
          </cell>
          <cell r="S1039" t="str">
            <v>تحول الخدمات المساندة</v>
          </cell>
          <cell r="T1039" t="str">
            <v/>
          </cell>
          <cell r="U1039" t="str">
            <v/>
          </cell>
          <cell r="V1039" t="str">
            <v>Abu Dhabi</v>
          </cell>
          <cell r="W1039" t="str">
            <v/>
          </cell>
          <cell r="X1039" t="str">
            <v>4510201</v>
          </cell>
          <cell r="Y1039" t="str">
            <v>Senior Specialization Project Management</v>
          </cell>
          <cell r="Z1039" t="str">
            <v>Professional</v>
          </cell>
          <cell r="AA1039" t="str">
            <v>4A</v>
          </cell>
        </row>
        <row r="1040">
          <cell r="A1040">
            <v>2001</v>
          </cell>
          <cell r="B1040">
            <v>2001</v>
          </cell>
          <cell r="C1040" t="str">
            <v>A</v>
          </cell>
          <cell r="D1040" t="str">
            <v>Shamma Salem AlDhaheri</v>
          </cell>
          <cell r="E1040" t="str">
            <v>شما سلطان الظاهري</v>
          </cell>
          <cell r="F1040">
            <v>45712</v>
          </cell>
          <cell r="G1040" t="str">
            <v>50004302</v>
          </cell>
          <cell r="H1040" t="str">
            <v>Influencers Management Officer</v>
          </cell>
          <cell r="I1040" t="str">
            <v>ضابط إدارة المؤثرين</v>
          </cell>
          <cell r="J1040" t="str">
            <v>On-Chart</v>
          </cell>
          <cell r="K1040" t="str">
            <v>DCT Payroll</v>
          </cell>
          <cell r="L1040" t="str">
            <v>A1</v>
          </cell>
          <cell r="M1040" t="str">
            <v>Department of Culture and Tourism</v>
          </cell>
          <cell r="N1040" t="str">
            <v>Strategic Marketing &amp; Communication</v>
          </cell>
          <cell r="O1040" t="str">
            <v>التسويق والاتصال الاستراتيجي</v>
          </cell>
          <cell r="P1040" t="str">
            <v>Planning, Strategy &amp; Operations</v>
          </cell>
          <cell r="Q1040" t="str">
            <v>التخطيط والاستراتيجية والعمليات</v>
          </cell>
          <cell r="R1040" t="str">
            <v>Media &amp; Partnerships</v>
          </cell>
          <cell r="S1040" t="str">
            <v>الإعلام والشراكات</v>
          </cell>
          <cell r="T1040" t="str">
            <v/>
          </cell>
          <cell r="U1040" t="str">
            <v/>
          </cell>
          <cell r="V1040" t="str">
            <v>Abu Dhabi</v>
          </cell>
          <cell r="W1040" t="str">
            <v/>
          </cell>
          <cell r="X1040" t="str">
            <v>4513130</v>
          </cell>
          <cell r="Y1040" t="str">
            <v/>
          </cell>
          <cell r="Z1040" t="str">
            <v>Professional</v>
          </cell>
          <cell r="AA1040" t="str">
            <v>4C</v>
          </cell>
        </row>
        <row r="1041">
          <cell r="A1041">
            <v>2002</v>
          </cell>
          <cell r="B1041">
            <v>2002</v>
          </cell>
          <cell r="C1041" t="str">
            <v>A</v>
          </cell>
          <cell r="D1041" t="str">
            <v>Klaithem Ghanem Alghfeli</v>
          </cell>
          <cell r="E1041" t="str">
            <v>كليثم غانم الغفلي</v>
          </cell>
          <cell r="F1041">
            <v>45719</v>
          </cell>
          <cell r="G1041" t="str">
            <v>50002407</v>
          </cell>
          <cell r="H1041" t="str">
            <v>Auditor</v>
          </cell>
          <cell r="I1041" t="str">
            <v>مدقق</v>
          </cell>
          <cell r="J1041" t="str">
            <v>On-Chart</v>
          </cell>
          <cell r="K1041" t="str">
            <v>DCT Payroll</v>
          </cell>
          <cell r="L1041" t="str">
            <v>A1</v>
          </cell>
          <cell r="M1041" t="str">
            <v>Department of Culture and Tourism</v>
          </cell>
          <cell r="N1041" t="str">
            <v>Tourism</v>
          </cell>
          <cell r="O1041" t="str">
            <v>السياحة</v>
          </cell>
          <cell r="P1041" t="str">
            <v>Licensing &amp; Regulatory Compliance</v>
          </cell>
          <cell r="Q1041" t="str">
            <v>الرقابة والترخيص</v>
          </cell>
          <cell r="R1041" t="str">
            <v>Revenue Assurance</v>
          </cell>
          <cell r="S1041" t="str">
            <v>تدقيق العائدات</v>
          </cell>
          <cell r="T1041" t="str">
            <v>Revenue Assurance  (Special Retails &amp; Events)</v>
          </cell>
          <cell r="U1041" t="str">
            <v>(وحدة  تدقيق العائدات (الأسواق والمتاجر الخاصة والفعاليات</v>
          </cell>
          <cell r="V1041" t="str">
            <v>Abu Dhabi</v>
          </cell>
          <cell r="W1041" t="str">
            <v/>
          </cell>
          <cell r="X1041" t="str">
            <v>4510170</v>
          </cell>
          <cell r="Y1041" t="str">
            <v>Specialization Governance &amp; Compliance</v>
          </cell>
          <cell r="Z1041" t="str">
            <v>Professional</v>
          </cell>
          <cell r="AA1041" t="str">
            <v>4C</v>
          </cell>
        </row>
        <row r="1042">
          <cell r="A1042">
            <v>2003</v>
          </cell>
          <cell r="B1042">
            <v>2003</v>
          </cell>
          <cell r="C1042" t="str">
            <v>A</v>
          </cell>
          <cell r="D1042" t="str">
            <v>Mohammed Khaled Alshimmari</v>
          </cell>
          <cell r="E1042" t="str">
            <v>محمد خالد الشمري</v>
          </cell>
          <cell r="F1042">
            <v>45719</v>
          </cell>
          <cell r="G1042" t="str">
            <v>50002971</v>
          </cell>
          <cell r="H1042" t="str">
            <v>Meps Officer</v>
          </cell>
          <cell r="I1042" t="str">
            <v>ضابط نظام سجل قاعدة البيانات للبيئة التاريخية</v>
          </cell>
          <cell r="J1042" t="str">
            <v>On-Chart</v>
          </cell>
          <cell r="K1042" t="str">
            <v>DCT Payroll</v>
          </cell>
          <cell r="L1042" t="str">
            <v>A1</v>
          </cell>
          <cell r="M1042" t="str">
            <v>Department of Culture and Tourism</v>
          </cell>
          <cell r="N1042" t="str">
            <v>Culture</v>
          </cell>
          <cell r="O1042" t="str">
            <v>الثقافة</v>
          </cell>
          <cell r="P1042" t="str">
            <v>Historic Environment</v>
          </cell>
          <cell r="Q1042" t="str">
            <v>البيئة التاريخية</v>
          </cell>
          <cell r="R1042" t="str">
            <v>Development Control &amp; Documentation</v>
          </cell>
          <cell r="S1042" t="str">
            <v>التوثيق ورقابة التطوير</v>
          </cell>
          <cell r="T1042" t="str">
            <v>Development Control (Al Dhafra &amp; Abu Dhabi)</v>
          </cell>
          <cell r="U1042" t="str">
            <v>رقابة التطوير (الظفرة وأبوظبي)</v>
          </cell>
          <cell r="V1042" t="str">
            <v>Al Ain</v>
          </cell>
          <cell r="W1042" t="str">
            <v/>
          </cell>
          <cell r="X1042" t="str">
            <v>4511300</v>
          </cell>
          <cell r="Y1042" t="str">
            <v>Specialization Content &amp; Care</v>
          </cell>
          <cell r="Z1042" t="str">
            <v>Professional</v>
          </cell>
          <cell r="AA1042" t="str">
            <v>4C</v>
          </cell>
        </row>
        <row r="1043">
          <cell r="A1043">
            <v>2004</v>
          </cell>
          <cell r="B1043">
            <v>2004</v>
          </cell>
          <cell r="C1043" t="str">
            <v>A</v>
          </cell>
          <cell r="D1043" t="str">
            <v>Mansoor Ahmed Alkhazraji</v>
          </cell>
          <cell r="E1043" t="str">
            <v>منصور أحمد الخزرجي</v>
          </cell>
          <cell r="F1043">
            <v>45796</v>
          </cell>
          <cell r="G1043" t="str">
            <v>50001991</v>
          </cell>
          <cell r="H1043" t="str">
            <v>Senior Acquisitions Specialist</v>
          </cell>
          <cell r="I1043" t="str">
            <v>أخصائي مقتنيات أول</v>
          </cell>
          <cell r="J1043" t="str">
            <v>On-Chart</v>
          </cell>
          <cell r="K1043" t="str">
            <v>MSS Direct Hires</v>
          </cell>
          <cell r="L1043" t="str">
            <v>M1</v>
          </cell>
          <cell r="M1043" t="str">
            <v>Louvre Abu Dhabi</v>
          </cell>
          <cell r="N1043" t="str">
            <v>Louvre Abu Dhabi</v>
          </cell>
          <cell r="O1043" t="str">
            <v>متحف اللوفر أبوظبي</v>
          </cell>
          <cell r="P1043" t="str">
            <v>Scientific, Curatorial &amp; Collection Management</v>
          </cell>
          <cell r="Q1043" t="str">
            <v>إدارة المقتنيات العلمية والتنظيمية</v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>Abu Dhabi</v>
          </cell>
          <cell r="W1043" t="str">
            <v/>
          </cell>
          <cell r="X1043" t="str">
            <v>4510122</v>
          </cell>
          <cell r="Y1043" t="str">
            <v>Senior Specialization Content &amp; Care</v>
          </cell>
          <cell r="Z1043" t="str">
            <v>Senior Professional</v>
          </cell>
          <cell r="AA1043" t="str">
            <v>3C</v>
          </cell>
        </row>
        <row r="1044">
          <cell r="A1044">
            <v>2005</v>
          </cell>
          <cell r="B1044">
            <v>2005</v>
          </cell>
          <cell r="C1044" t="str">
            <v>A</v>
          </cell>
          <cell r="D1044" t="str">
            <v>Mouza Rashid Alsuwaidi</v>
          </cell>
          <cell r="E1044" t="str">
            <v>موزه راشد السويدي</v>
          </cell>
          <cell r="F1044">
            <v>45915</v>
          </cell>
          <cell r="G1044" t="str">
            <v>10006090</v>
          </cell>
          <cell r="H1044" t="str">
            <v>Assistant Curator</v>
          </cell>
          <cell r="I1044" t="str">
            <v>مساعد أمين متحف</v>
          </cell>
          <cell r="J1044" t="str">
            <v>On-Chart</v>
          </cell>
          <cell r="K1044" t="str">
            <v>MSS Direct Hires</v>
          </cell>
          <cell r="L1044" t="str">
            <v>M1</v>
          </cell>
          <cell r="M1044" t="str">
            <v>Department of Culture and Tourism</v>
          </cell>
          <cell r="N1044" t="str">
            <v>Culture</v>
          </cell>
          <cell r="O1044" t="str">
            <v>الثقافة</v>
          </cell>
          <cell r="P1044" t="str">
            <v>Guggenheim Abu Dhabi Museum</v>
          </cell>
          <cell r="Q1044" t="str">
            <v>متحف جوجينهايم أبوظبي</v>
          </cell>
          <cell r="R1044" t="str">
            <v>Guggenheim Abu Dhabi</v>
          </cell>
          <cell r="S1044" t="str">
            <v>جوجينهايم أبوظبي</v>
          </cell>
          <cell r="T1044" t="str">
            <v/>
          </cell>
          <cell r="U1044" t="str">
            <v/>
          </cell>
          <cell r="V1044" t="str">
            <v>Abu Dhabi</v>
          </cell>
          <cell r="W1044" t="str">
            <v/>
          </cell>
          <cell r="X1044" t="str">
            <v>4510410</v>
          </cell>
          <cell r="Y1044" t="str">
            <v>Specialization Content &amp; Care</v>
          </cell>
          <cell r="Z1044" t="str">
            <v>Professional</v>
          </cell>
          <cell r="AA1044" t="str">
            <v>4C</v>
          </cell>
        </row>
        <row r="1045">
          <cell r="A1045">
            <v>2006</v>
          </cell>
          <cell r="B1045">
            <v>2006</v>
          </cell>
          <cell r="C1045" t="str">
            <v>A</v>
          </cell>
          <cell r="D1045" t="str">
            <v>Faisal Abdulaziz Bani Malek</v>
          </cell>
          <cell r="E1045" t="str">
            <v>فيصل عبدالعزيز بنى مالك</v>
          </cell>
          <cell r="F1045">
            <v>45847</v>
          </cell>
          <cell r="G1045" t="str">
            <v>50002621</v>
          </cell>
          <cell r="H1045" t="str">
            <v>General Services Section Head</v>
          </cell>
          <cell r="I1045" t="str">
            <v>رئيس قسم الخدمات العامة</v>
          </cell>
          <cell r="J1045" t="str">
            <v>On-Chart</v>
          </cell>
          <cell r="K1045" t="str">
            <v>MSS Direct Hires</v>
          </cell>
          <cell r="L1045" t="str">
            <v>M1</v>
          </cell>
          <cell r="M1045" t="str">
            <v>Department of Culture and Tourism</v>
          </cell>
          <cell r="N1045" t="str">
            <v>Museums Shared Services</v>
          </cell>
          <cell r="O1045" t="str">
            <v>الخدمات المشتركة للمتاحف</v>
          </cell>
          <cell r="P1045" t="str">
            <v>People and Performance - MSS</v>
          </cell>
          <cell r="Q1045" t="str">
            <v>إدارة الكوادر البشرية والأداء - الخدمات المشتركة للمتاحف</v>
          </cell>
          <cell r="R1045" t="str">
            <v>General Services Section - MSS</v>
          </cell>
          <cell r="S1045" t="str">
            <v>قسم الخدمات العامة</v>
          </cell>
          <cell r="T1045" t="str">
            <v/>
          </cell>
          <cell r="U1045" t="str">
            <v/>
          </cell>
          <cell r="V1045" t="str">
            <v>Abu Dhabi</v>
          </cell>
          <cell r="W1045" t="str">
            <v/>
          </cell>
          <cell r="X1045" t="str">
            <v>4514140</v>
          </cell>
          <cell r="Y1045" t="str">
            <v>People &amp; Performance _Rewards Policy &amp; Recognition _Section Head</v>
          </cell>
          <cell r="Z1045" t="str">
            <v>Section Manager</v>
          </cell>
          <cell r="AA1045" t="str">
            <v>2A</v>
          </cell>
        </row>
        <row r="1046">
          <cell r="A1046">
            <v>2007</v>
          </cell>
          <cell r="B1046">
            <v>2007</v>
          </cell>
          <cell r="C1046" t="str">
            <v>A</v>
          </cell>
          <cell r="D1046" t="str">
            <v>Mohammed AbdulHakim Bin Abri</v>
          </cell>
          <cell r="E1046" t="str">
            <v>محمد عبدالحكيم بن عبري</v>
          </cell>
          <cell r="F1046">
            <v>45849</v>
          </cell>
          <cell r="G1046" t="str">
            <v>50001979</v>
          </cell>
          <cell r="H1046" t="str">
            <v>Visitor Services Unit Head</v>
          </cell>
          <cell r="I1046" t="str">
            <v>رئيس وحدة خدمات الزوار</v>
          </cell>
          <cell r="J1046" t="str">
            <v>On-Chart</v>
          </cell>
          <cell r="K1046" t="str">
            <v>MSS Direct Hires</v>
          </cell>
          <cell r="L1046" t="str">
            <v>M1</v>
          </cell>
          <cell r="M1046" t="str">
            <v>Department of Culture and Tourism</v>
          </cell>
          <cell r="N1046" t="str">
            <v>Zayed National Museum</v>
          </cell>
          <cell r="O1046" t="str">
            <v>متحف زايد الوطني</v>
          </cell>
          <cell r="P1046" t="str">
            <v>Marketing &amp; Communication</v>
          </cell>
          <cell r="Q1046" t="str">
            <v>التسويق والاتصال</v>
          </cell>
          <cell r="R1046" t="str">
            <v>Visitor Services</v>
          </cell>
          <cell r="S1046" t="str">
            <v>خدمات الزوّار</v>
          </cell>
          <cell r="T1046" t="str">
            <v/>
          </cell>
          <cell r="U1046" t="str">
            <v/>
          </cell>
          <cell r="V1046" t="str">
            <v>Abu Dhabi</v>
          </cell>
          <cell r="W1046" t="str">
            <v/>
          </cell>
          <cell r="X1046" t="str">
            <v>4510185</v>
          </cell>
          <cell r="Y1046" t="str">
            <v>Comms &amp; Marketing _Communications (All Areas)_Unit Head</v>
          </cell>
          <cell r="Z1046" t="str">
            <v>Unit Head</v>
          </cell>
          <cell r="AA1046" t="str">
            <v>3A</v>
          </cell>
        </row>
        <row r="1047">
          <cell r="A1047">
            <v>2008</v>
          </cell>
          <cell r="B1047">
            <v>2008</v>
          </cell>
          <cell r="C1047" t="str">
            <v>A</v>
          </cell>
          <cell r="D1047" t="str">
            <v>Azza Saeed Alzaabi</v>
          </cell>
          <cell r="E1047" t="str">
            <v>عزه سعيد الزعابي</v>
          </cell>
          <cell r="F1047">
            <v>45873</v>
          </cell>
          <cell r="G1047" t="str">
            <v>50002763</v>
          </cell>
          <cell r="H1047" t="str">
            <v>Supply Management Operations  Section Head</v>
          </cell>
          <cell r="I1047" t="str">
            <v>رئيس قسم عمليات إدارة الإمداد</v>
          </cell>
          <cell r="J1047" t="str">
            <v>On-Chart</v>
          </cell>
          <cell r="K1047" t="str">
            <v>MSS Direct Hires</v>
          </cell>
          <cell r="L1047" t="str">
            <v>M1</v>
          </cell>
          <cell r="M1047" t="str">
            <v>Department of Culture and Tourism</v>
          </cell>
          <cell r="N1047" t="str">
            <v>Museums Shared Services</v>
          </cell>
          <cell r="O1047" t="str">
            <v>الخدمات المشتركة للمتاحف</v>
          </cell>
          <cell r="P1047" t="str">
            <v>Supply Management - MSS</v>
          </cell>
          <cell r="Q1047" t="str">
            <v>إدارة الإمداد - الخدمات المشتركة للمتاحف</v>
          </cell>
          <cell r="R1047" t="str">
            <v>Supply Management Operations Section</v>
          </cell>
          <cell r="S1047" t="str">
            <v>قسم عمليات إدارة الإمداد</v>
          </cell>
          <cell r="T1047" t="str">
            <v/>
          </cell>
          <cell r="U1047" t="str">
            <v/>
          </cell>
          <cell r="V1047" t="str">
            <v>Abu Dhabi</v>
          </cell>
          <cell r="W1047" t="str">
            <v/>
          </cell>
          <cell r="X1047" t="str">
            <v>4514160</v>
          </cell>
          <cell r="Y1047" t="str">
            <v>Middle Management Procurement</v>
          </cell>
          <cell r="Z1047" t="str">
            <v>Section Manager</v>
          </cell>
          <cell r="AA1047" t="str">
            <v>2C</v>
          </cell>
        </row>
        <row r="1048">
          <cell r="A1048">
            <v>2009</v>
          </cell>
          <cell r="B1048">
            <v>2009</v>
          </cell>
          <cell r="C1048" t="str">
            <v>A</v>
          </cell>
          <cell r="D1048" t="str">
            <v>Afra Abdulla Alsuwaidi</v>
          </cell>
          <cell r="E1048" t="str">
            <v>عفراء عبدالله السويدي</v>
          </cell>
          <cell r="F1048">
            <v>45901</v>
          </cell>
          <cell r="G1048" t="str">
            <v>50002623</v>
          </cell>
          <cell r="H1048" t="str">
            <v>Employee Relations Unit Head</v>
          </cell>
          <cell r="I1048" t="str">
            <v>رئيس وحدة شؤون الموظفين</v>
          </cell>
          <cell r="J1048" t="str">
            <v>On-Chart</v>
          </cell>
          <cell r="K1048" t="str">
            <v>MSS Direct Hires</v>
          </cell>
          <cell r="L1048" t="str">
            <v>M1</v>
          </cell>
          <cell r="M1048" t="str">
            <v>Department of Culture and Tourism</v>
          </cell>
          <cell r="N1048" t="str">
            <v>Museums Shared Services</v>
          </cell>
          <cell r="O1048" t="str">
            <v>الخدمات المشتركة للمتاحف</v>
          </cell>
          <cell r="P1048" t="str">
            <v>People and Performance - MSS</v>
          </cell>
          <cell r="Q1048" t="str">
            <v>إدارة الكوادر البشرية والأداء - الخدمات المشتركة للمتاحف</v>
          </cell>
          <cell r="R1048" t="str">
            <v>P&amp;P Operations Section - MSS</v>
          </cell>
          <cell r="S1048" t="str">
            <v>قسم عمليات إدارة الكوادر البشرية والأداء</v>
          </cell>
          <cell r="T1048" t="str">
            <v>Employee Relations Unit - MSS</v>
          </cell>
          <cell r="U1048" t="str">
            <v>وحدة شؤون الموظفين</v>
          </cell>
          <cell r="V1048" t="str">
            <v>Abu Dhabi</v>
          </cell>
          <cell r="W1048" t="str">
            <v/>
          </cell>
          <cell r="X1048" t="str">
            <v>4514140</v>
          </cell>
          <cell r="Y1048" t="str">
            <v>People &amp; Performance _Employee Relations _Unit Head</v>
          </cell>
          <cell r="Z1048" t="str">
            <v>Unit Head</v>
          </cell>
          <cell r="AA1048" t="str">
            <v>3C</v>
          </cell>
        </row>
        <row r="1049">
          <cell r="A1049">
            <v>2010</v>
          </cell>
          <cell r="B1049">
            <v>2010</v>
          </cell>
          <cell r="C1049" t="str">
            <v>A</v>
          </cell>
          <cell r="D1049" t="str">
            <v>Nahed Muthanna Ahmed</v>
          </cell>
          <cell r="E1049" t="str">
            <v>ناهد مثنى أحمد</v>
          </cell>
          <cell r="F1049">
            <v>45908</v>
          </cell>
          <cell r="G1049" t="str">
            <v>50003036</v>
          </cell>
          <cell r="H1049" t="str">
            <v>Education &amp; Outreach Lead</v>
          </cell>
          <cell r="I1049" t="str">
            <v>تنفيذي رئيسي التعليم و التوعية</v>
          </cell>
          <cell r="J1049" t="str">
            <v>On-Chart</v>
          </cell>
          <cell r="K1049" t="str">
            <v>MSS Direct Hires</v>
          </cell>
          <cell r="L1049" t="str">
            <v>M1</v>
          </cell>
          <cell r="M1049" t="str">
            <v>Department of Culture and Tourism</v>
          </cell>
          <cell r="N1049" t="str">
            <v>Abrahamic Family House Center</v>
          </cell>
          <cell r="O1049" t="str">
            <v>مركز بيت العائلة الإبراهيمية</v>
          </cell>
          <cell r="P1049" t="str">
            <v>Education &amp; Dialogue</v>
          </cell>
          <cell r="Q1049" t="str">
            <v>التعليم والحوار</v>
          </cell>
          <cell r="R1049" t="str">
            <v>Education &amp; Outreach</v>
          </cell>
          <cell r="S1049" t="str">
            <v>التعليم والتوعية</v>
          </cell>
          <cell r="T1049" t="str">
            <v/>
          </cell>
          <cell r="U1049" t="str">
            <v/>
          </cell>
          <cell r="V1049" t="str">
            <v>Abu Dhabi</v>
          </cell>
          <cell r="W1049" t="str">
            <v/>
          </cell>
          <cell r="X1049" t="str">
            <v>4514121</v>
          </cell>
          <cell r="Y1049" t="str">
            <v>Senior Specialization Operations</v>
          </cell>
          <cell r="Z1049" t="str">
            <v>Unit Head</v>
          </cell>
          <cell r="AA1049" t="str">
            <v>3C</v>
          </cell>
        </row>
        <row r="1050">
          <cell r="A1050">
            <v>2012</v>
          </cell>
          <cell r="B1050">
            <v>2012</v>
          </cell>
          <cell r="C1050" t="str">
            <v>A</v>
          </cell>
          <cell r="D1050" t="str">
            <v>Ayesha Abbas Alali</v>
          </cell>
          <cell r="E1050" t="str">
            <v>عايشة عباس العلي</v>
          </cell>
          <cell r="F1050">
            <v>45901</v>
          </cell>
          <cell r="G1050" t="str">
            <v>50002567</v>
          </cell>
          <cell r="H1050" t="str">
            <v>Senior Accountant</v>
          </cell>
          <cell r="I1050" t="str">
            <v>محاسب أول</v>
          </cell>
          <cell r="J1050" t="str">
            <v>On-Chart</v>
          </cell>
          <cell r="K1050" t="str">
            <v>MSS Direct Hires</v>
          </cell>
          <cell r="L1050" t="str">
            <v>M1</v>
          </cell>
          <cell r="M1050" t="str">
            <v>Department of Culture and Tourism</v>
          </cell>
          <cell r="N1050" t="str">
            <v>Museums Shared Services</v>
          </cell>
          <cell r="O1050" t="str">
            <v>الخدمات المشتركة للمتاحف</v>
          </cell>
          <cell r="P1050" t="str">
            <v>Finance - MSS</v>
          </cell>
          <cell r="Q1050" t="str">
            <v>الإدارة المالية - الخدمات المشتركة للمتاحف</v>
          </cell>
          <cell r="R1050" t="str">
            <v>Finance Operation Section - MSS</v>
          </cell>
          <cell r="S1050" t="str">
            <v>قسم العمليات المالية</v>
          </cell>
          <cell r="T1050" t="str">
            <v>General Ledger Unit - MSS</v>
          </cell>
          <cell r="U1050" t="str">
            <v>وحدة سجل الحسابات العامة</v>
          </cell>
          <cell r="V1050" t="str">
            <v>Abu Dhabi</v>
          </cell>
          <cell r="W1050" t="str">
            <v/>
          </cell>
          <cell r="X1050" t="str">
            <v>4514120</v>
          </cell>
          <cell r="Y1050" t="str">
            <v>Specialization Finance</v>
          </cell>
          <cell r="Z1050" t="str">
            <v>Professional</v>
          </cell>
          <cell r="AA1050" t="str">
            <v>3C</v>
          </cell>
        </row>
        <row r="1051">
          <cell r="A1051">
            <v>2013</v>
          </cell>
          <cell r="B1051">
            <v>2013</v>
          </cell>
          <cell r="C1051" t="str">
            <v>A</v>
          </cell>
          <cell r="D1051" t="str">
            <v>Ahlam Rashed Albusaeedi</v>
          </cell>
          <cell r="E1051" t="str">
            <v>أحلام راشد البوسعيدي</v>
          </cell>
          <cell r="F1051">
            <v>45922</v>
          </cell>
          <cell r="G1051" t="str">
            <v>50002801</v>
          </cell>
          <cell r="H1051" t="str">
            <v>Technology Business Partner</v>
          </cell>
          <cell r="I1051" t="str">
            <v>شريك أعمال التكنولوجيا</v>
          </cell>
          <cell r="J1051" t="str">
            <v>On-Chart</v>
          </cell>
          <cell r="K1051" t="str">
            <v>MSS Direct Hires</v>
          </cell>
          <cell r="L1051" t="str">
            <v>M1</v>
          </cell>
          <cell r="M1051" t="str">
            <v>Department of Culture and Tourism</v>
          </cell>
          <cell r="N1051" t="str">
            <v>Museums Shared Services</v>
          </cell>
          <cell r="O1051" t="str">
            <v>الخدمات المشتركة للمتاحف</v>
          </cell>
          <cell r="P1051" t="str">
            <v>Technology - MSS</v>
          </cell>
          <cell r="Q1051" t="str">
            <v>إدارة التكنولوجيا - الخدمات المشتركة للمتاحف</v>
          </cell>
          <cell r="R1051" t="str">
            <v>Project Management and Business Partnership Section</v>
          </cell>
          <cell r="S1051" t="str">
            <v>قسم إدارة المشاريع وشراكات الأعمال</v>
          </cell>
          <cell r="T1051" t="str">
            <v>Technology Business Partner Unit</v>
          </cell>
          <cell r="U1051" t="str">
            <v>وحدة شركاء أعمال التكنولوجيا</v>
          </cell>
          <cell r="V1051" t="str">
            <v>Abu Dhabi</v>
          </cell>
          <cell r="W1051" t="str">
            <v/>
          </cell>
          <cell r="X1051" t="str">
            <v>4514180</v>
          </cell>
          <cell r="Y1051" t="str">
            <v>Specialization IT &amp; Digital Services</v>
          </cell>
          <cell r="Z1051" t="str">
            <v>Professional</v>
          </cell>
          <cell r="AA1051" t="str">
            <v>3B</v>
          </cell>
        </row>
        <row r="1052">
          <cell r="A1052">
            <v>2014</v>
          </cell>
          <cell r="B1052">
            <v>2014</v>
          </cell>
          <cell r="C1052" t="str">
            <v>A</v>
          </cell>
          <cell r="D1052" t="str">
            <v>Talal Al Najjar</v>
          </cell>
          <cell r="E1052" t="str">
            <v>طلال  النجار</v>
          </cell>
          <cell r="F1052">
            <v>45887</v>
          </cell>
          <cell r="G1052" t="str">
            <v>50003889</v>
          </cell>
          <cell r="H1052" t="str">
            <v>Public Programming Officer</v>
          </cell>
          <cell r="I1052" t="str">
            <v>مسؤول البرامج العامة</v>
          </cell>
          <cell r="J1052" t="str">
            <v>On-Chart</v>
          </cell>
          <cell r="K1052" t="str">
            <v>MSS Direct Hires</v>
          </cell>
          <cell r="L1052" t="str">
            <v>M1</v>
          </cell>
          <cell r="M1052" t="str">
            <v>Department of Culture and Tourism</v>
          </cell>
          <cell r="N1052" t="str">
            <v>Culture</v>
          </cell>
          <cell r="O1052" t="str">
            <v>الثقافة</v>
          </cell>
          <cell r="P1052" t="str">
            <v>Guggenheim Abu Dhabi Museum</v>
          </cell>
          <cell r="Q1052" t="str">
            <v>متحف جوجينهايم أبوظبي</v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>Abu Dhabi</v>
          </cell>
          <cell r="W1052" t="str">
            <v/>
          </cell>
          <cell r="X1052" t="str">
            <v>4510410</v>
          </cell>
          <cell r="Y1052" t="str">
            <v/>
          </cell>
          <cell r="Z1052" t="str">
            <v>Professional</v>
          </cell>
          <cell r="AA1052" t="str">
            <v>4C</v>
          </cell>
        </row>
        <row r="1053">
          <cell r="A1053">
            <v>2016</v>
          </cell>
          <cell r="B1053">
            <v>2016</v>
          </cell>
          <cell r="C1053" t="str">
            <v>A</v>
          </cell>
          <cell r="D1053" t="str">
            <v>Mahra Ozair Almheiri</v>
          </cell>
          <cell r="E1053" t="str">
            <v>مهره عزير المهيري</v>
          </cell>
          <cell r="F1053">
            <v>45908</v>
          </cell>
          <cell r="G1053" t="str">
            <v>50003717</v>
          </cell>
          <cell r="H1053" t="str">
            <v>Stakeholder Management Officer</v>
          </cell>
          <cell r="I1053" t="str">
            <v>ضابط إدارة الأطراف المعنية</v>
          </cell>
          <cell r="J1053" t="str">
            <v>Off-Chart</v>
          </cell>
          <cell r="K1053" t="str">
            <v>MSS Direct Hires</v>
          </cell>
          <cell r="L1053" t="str">
            <v>M1</v>
          </cell>
          <cell r="M1053" t="str">
            <v>Louvre Abu Dhabi</v>
          </cell>
          <cell r="N1053" t="str">
            <v>Louvre Abu Dhabi</v>
          </cell>
          <cell r="O1053" t="str">
            <v>متحف اللوفر أبوظبي</v>
          </cell>
          <cell r="P1053" t="str">
            <v>External Affairs, Outreach and Cultural Engagement</v>
          </cell>
          <cell r="Q1053" t="str">
            <v>إدارة الشؤون الخارجية والتواصل، المشاركة الثقافية</v>
          </cell>
          <cell r="R1053" t="str">
            <v>International &amp; Institutional Affairs</v>
          </cell>
          <cell r="S1053" t="str">
            <v/>
          </cell>
          <cell r="T1053" t="str">
            <v/>
          </cell>
          <cell r="U1053" t="str">
            <v/>
          </cell>
          <cell r="V1053" t="str">
            <v>Abu Dhabi</v>
          </cell>
          <cell r="W1053" t="str">
            <v/>
          </cell>
          <cell r="X1053" t="str">
            <v>4510121</v>
          </cell>
          <cell r="Y1053" t="str">
            <v/>
          </cell>
          <cell r="Z1053" t="str">
            <v>Professional</v>
          </cell>
          <cell r="AA1053" t="str">
            <v>4C</v>
          </cell>
        </row>
        <row r="1054">
          <cell r="A1054">
            <v>2100</v>
          </cell>
          <cell r="B1054">
            <v>2100</v>
          </cell>
          <cell r="C1054" t="str">
            <v>A</v>
          </cell>
          <cell r="D1054" t="str">
            <v>Jawaher Belal Alhosani</v>
          </cell>
          <cell r="E1054" t="str">
            <v>جواهر بلال الحوسني</v>
          </cell>
          <cell r="F1054">
            <v>45726</v>
          </cell>
          <cell r="G1054" t="str">
            <v>10011410</v>
          </cell>
          <cell r="H1054" t="str">
            <v>Senior Designer</v>
          </cell>
          <cell r="I1054" t="str">
            <v>مصمم أول</v>
          </cell>
          <cell r="J1054" t="str">
            <v>On-Chart</v>
          </cell>
          <cell r="K1054" t="str">
            <v>DCT Payroll</v>
          </cell>
          <cell r="L1054" t="str">
            <v>A1</v>
          </cell>
          <cell r="M1054" t="str">
            <v>Department of Culture and Tourism</v>
          </cell>
          <cell r="N1054" t="str">
            <v>Executive Affairs</v>
          </cell>
          <cell r="O1054" t="str">
            <v>مكتب رئيس الدائرة</v>
          </cell>
          <cell r="P1054" t="str">
            <v>Executive Affairs</v>
          </cell>
          <cell r="Q1054" t="str">
            <v>الشؤون التنفيذية</v>
          </cell>
          <cell r="R1054" t="str">
            <v>Leadership Submissions Section</v>
          </cell>
          <cell r="S1054" t="str">
            <v/>
          </cell>
          <cell r="T1054" t="str">
            <v/>
          </cell>
          <cell r="U1054" t="str">
            <v/>
          </cell>
          <cell r="V1054" t="str">
            <v>Abu Dhabi</v>
          </cell>
          <cell r="W1054" t="str">
            <v/>
          </cell>
          <cell r="X1054" t="str">
            <v>4510011</v>
          </cell>
          <cell r="Y1054" t="str">
            <v>Senior Specialization Visitor Services &amp; Protocol</v>
          </cell>
          <cell r="Z1054" t="str">
            <v>Senior Professional</v>
          </cell>
          <cell r="AA1054" t="str">
            <v>3C</v>
          </cell>
        </row>
        <row r="1055">
          <cell r="A1055">
            <v>2101</v>
          </cell>
          <cell r="B1055">
            <v>2101</v>
          </cell>
          <cell r="C1055" t="str">
            <v>A</v>
          </cell>
          <cell r="D1055" t="str">
            <v>Abdulla Aqeel Alwahedi</v>
          </cell>
          <cell r="E1055" t="str">
            <v>عبدالله عقيل الواحدي</v>
          </cell>
          <cell r="F1055">
            <v>45762</v>
          </cell>
          <cell r="G1055" t="str">
            <v>50002857</v>
          </cell>
          <cell r="H1055" t="str">
            <v>Correspondence and Admin Affairs Unit Head</v>
          </cell>
          <cell r="I1055" t="str">
            <v>رئيس وحدة المراسلات والشؤون الإدارية</v>
          </cell>
          <cell r="J1055" t="str">
            <v>On-Chart</v>
          </cell>
          <cell r="K1055" t="str">
            <v>DCT Payroll</v>
          </cell>
          <cell r="L1055" t="str">
            <v>A1</v>
          </cell>
          <cell r="M1055" t="str">
            <v>Department of Culture and Tourism</v>
          </cell>
          <cell r="N1055" t="str">
            <v>Executive Affairs</v>
          </cell>
          <cell r="O1055" t="str">
            <v>مكتب رئيس الدائرة</v>
          </cell>
          <cell r="P1055" t="str">
            <v>Executive Affairs</v>
          </cell>
          <cell r="Q1055" t="str">
            <v>الشؤون التنفيذية</v>
          </cell>
          <cell r="R1055" t="str">
            <v>Executive Operations</v>
          </cell>
          <cell r="S1055" t="str">
            <v>العمليات التنفيذية</v>
          </cell>
          <cell r="T1055" t="str">
            <v>Correspondence and Admin Affairs</v>
          </cell>
          <cell r="U1055" t="str">
            <v>المراسلات و الشؤون الإدارية</v>
          </cell>
          <cell r="V1055" t="str">
            <v>Abu Dhabi</v>
          </cell>
          <cell r="W1055" t="str">
            <v/>
          </cell>
          <cell r="X1055" t="str">
            <v>4510011</v>
          </cell>
          <cell r="Y1055" t="str">
            <v>Senior Specialization General &amp; Administration</v>
          </cell>
          <cell r="Z1055" t="str">
            <v>Unit Head</v>
          </cell>
          <cell r="AA1055" t="str">
            <v>3C</v>
          </cell>
        </row>
        <row r="1056">
          <cell r="A1056">
            <v>2102</v>
          </cell>
          <cell r="B1056">
            <v>2102</v>
          </cell>
          <cell r="C1056" t="str">
            <v>A</v>
          </cell>
          <cell r="D1056" t="str">
            <v>Mohamed Awadh Almenhali</v>
          </cell>
          <cell r="E1056" t="str">
            <v>محمد عوض المنهالي</v>
          </cell>
          <cell r="F1056">
            <v>45754</v>
          </cell>
          <cell r="G1056" t="str">
            <v>50003334</v>
          </cell>
          <cell r="H1056" t="str">
            <v>Finance Reporting Specialist</v>
          </cell>
          <cell r="I1056" t="str">
            <v>أخصائي التقارير المالية</v>
          </cell>
          <cell r="J1056" t="str">
            <v>On-Chart</v>
          </cell>
          <cell r="K1056" t="str">
            <v>DCT Payroll</v>
          </cell>
          <cell r="L1056" t="str">
            <v>A1</v>
          </cell>
          <cell r="M1056" t="str">
            <v>Department of Culture and Tourism</v>
          </cell>
          <cell r="N1056" t="str">
            <v>Support Services</v>
          </cell>
          <cell r="O1056" t="str">
            <v>الخدمات المساندة</v>
          </cell>
          <cell r="P1056" t="str">
            <v>Finance</v>
          </cell>
          <cell r="Q1056" t="str">
            <v>إدارة المالية</v>
          </cell>
          <cell r="R1056" t="str">
            <v>Finance Planning &amp; Reporting</v>
          </cell>
          <cell r="S1056" t="str">
            <v>التخطيط والتقرير المالي</v>
          </cell>
          <cell r="T1056" t="str">
            <v>Finance Reporting</v>
          </cell>
          <cell r="U1056" t="str">
            <v>التقارير المالية</v>
          </cell>
          <cell r="V1056" t="str">
            <v>Abu Dhabi</v>
          </cell>
          <cell r="W1056" t="str">
            <v/>
          </cell>
          <cell r="X1056" t="str">
            <v>4510210</v>
          </cell>
          <cell r="Y1056" t="str">
            <v>Specialization Finance</v>
          </cell>
          <cell r="Z1056" t="str">
            <v>Professional</v>
          </cell>
          <cell r="AA1056" t="str">
            <v>4C</v>
          </cell>
        </row>
        <row r="1057">
          <cell r="A1057">
            <v>2105</v>
          </cell>
          <cell r="B1057">
            <v>2105</v>
          </cell>
          <cell r="C1057" t="str">
            <v>A</v>
          </cell>
          <cell r="D1057" t="str">
            <v>Noura Khalifa Alshamsi</v>
          </cell>
          <cell r="E1057" t="str">
            <v>نورة خليفه الشامسي</v>
          </cell>
          <cell r="F1057">
            <v>45754</v>
          </cell>
          <cell r="G1057" t="str">
            <v>50003379</v>
          </cell>
          <cell r="H1057" t="str">
            <v>Publishing Copyrights &amp; Agreements Officer</v>
          </cell>
          <cell r="I1057" t="str">
            <v>ضابط الاتفاقيات وحقوق النشر</v>
          </cell>
          <cell r="J1057" t="str">
            <v>On-Chart</v>
          </cell>
          <cell r="K1057" t="str">
            <v>ALC Direct Hires</v>
          </cell>
          <cell r="L1057" t="str">
            <v>AL1</v>
          </cell>
          <cell r="M1057" t="str">
            <v>Abu Dhabi Arabic Language Centre</v>
          </cell>
          <cell r="N1057" t="str">
            <v>Abu Dhabi Arabic Language Centre</v>
          </cell>
          <cell r="O1057" t="str">
            <v>مركز أبوظبي للغة العربية</v>
          </cell>
          <cell r="P1057" t="str">
            <v>Creative Content</v>
          </cell>
          <cell r="Q1057" t="str">
            <v>المحتوى الإبداعي</v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>Abu Dhabi</v>
          </cell>
          <cell r="W1057" t="str">
            <v/>
          </cell>
          <cell r="X1057" t="str">
            <v>4519199</v>
          </cell>
          <cell r="Y1057" t="str">
            <v>Specialization General &amp; Administration</v>
          </cell>
          <cell r="Z1057" t="str">
            <v>Professional</v>
          </cell>
          <cell r="AA1057" t="str">
            <v>4C</v>
          </cell>
        </row>
        <row r="1058">
          <cell r="A1058">
            <v>2106</v>
          </cell>
          <cell r="B1058">
            <v>2106</v>
          </cell>
          <cell r="C1058" t="str">
            <v>A</v>
          </cell>
          <cell r="D1058" t="str">
            <v>Awf Abdulrahman Alsamrai</v>
          </cell>
          <cell r="E1058" t="str">
            <v>عوف عبدالرحمن السامرائي</v>
          </cell>
          <cell r="F1058">
            <v>45764</v>
          </cell>
          <cell r="G1058" t="str">
            <v>50002860</v>
          </cell>
          <cell r="H1058" t="str">
            <v>Project Manager</v>
          </cell>
          <cell r="I1058" t="str">
            <v>مدير مشروع</v>
          </cell>
          <cell r="J1058" t="str">
            <v>On-Chart</v>
          </cell>
          <cell r="K1058" t="str">
            <v>DCT Payroll</v>
          </cell>
          <cell r="L1058" t="str">
            <v>A1</v>
          </cell>
          <cell r="M1058" t="str">
            <v>Department of Culture and Tourism</v>
          </cell>
          <cell r="N1058" t="str">
            <v>Executive Affairs</v>
          </cell>
          <cell r="O1058" t="str">
            <v>مكتب رئيس الدائرة</v>
          </cell>
          <cell r="P1058" t="str">
            <v>Executive Affairs</v>
          </cell>
          <cell r="Q1058" t="str">
            <v>الشؤون التنفيذية</v>
          </cell>
          <cell r="R1058" t="str">
            <v>Leadership Submissions Section</v>
          </cell>
          <cell r="S1058" t="str">
            <v/>
          </cell>
          <cell r="T1058" t="str">
            <v/>
          </cell>
          <cell r="U1058" t="str">
            <v/>
          </cell>
          <cell r="V1058" t="str">
            <v>Abu Dhabi</v>
          </cell>
          <cell r="W1058" t="str">
            <v/>
          </cell>
          <cell r="X1058" t="str">
            <v>4510011</v>
          </cell>
          <cell r="Y1058" t="str">
            <v>Senior Specialization Project Management</v>
          </cell>
          <cell r="Z1058" t="str">
            <v>Unit Head</v>
          </cell>
          <cell r="AA1058" t="str">
            <v>3C</v>
          </cell>
        </row>
        <row r="1059">
          <cell r="A1059">
            <v>2107</v>
          </cell>
          <cell r="B1059">
            <v>2107</v>
          </cell>
          <cell r="C1059" t="str">
            <v>A</v>
          </cell>
          <cell r="D1059" t="str">
            <v>Nouf Abdulaziz Almessabi</v>
          </cell>
          <cell r="E1059" t="str">
            <v>نوف عبدالعزيز المصعبي</v>
          </cell>
          <cell r="F1059">
            <v>45768</v>
          </cell>
          <cell r="G1059" t="str">
            <v>50003493</v>
          </cell>
          <cell r="H1059" t="str">
            <v>Vendor Onboarding Specialist</v>
          </cell>
          <cell r="I1059" t="str">
            <v>أخصائي تسجيل الموردين</v>
          </cell>
          <cell r="J1059" t="str">
            <v>Temporary</v>
          </cell>
          <cell r="K1059" t="str">
            <v>DCT Payroll</v>
          </cell>
          <cell r="L1059" t="str">
            <v>A1</v>
          </cell>
          <cell r="M1059" t="str">
            <v>Department of Culture and Tourism</v>
          </cell>
          <cell r="N1059" t="str">
            <v>Support Services</v>
          </cell>
          <cell r="O1059" t="str">
            <v>الخدمات المساندة</v>
          </cell>
          <cell r="P1059" t="str">
            <v>Supply Management</v>
          </cell>
          <cell r="Q1059" t="str">
            <v>إدارة الإمداد</v>
          </cell>
          <cell r="R1059" t="str">
            <v>Contracts, System &amp; Reporting</v>
          </cell>
          <cell r="S1059" t="str">
            <v>العقود والأنظمة والتقارير</v>
          </cell>
          <cell r="T1059" t="str">
            <v>Supplier Performance</v>
          </cell>
          <cell r="U1059" t="str">
            <v>أداء الموردين</v>
          </cell>
          <cell r="V1059" t="str">
            <v>Abu Dhabi</v>
          </cell>
          <cell r="W1059" t="str">
            <v/>
          </cell>
          <cell r="X1059" t="str">
            <v>4510240</v>
          </cell>
          <cell r="Y1059" t="str">
            <v>Specialization Procurement</v>
          </cell>
          <cell r="Z1059" t="str">
            <v>Professional</v>
          </cell>
          <cell r="AA1059" t="str">
            <v>4C</v>
          </cell>
        </row>
        <row r="1060">
          <cell r="A1060">
            <v>2110</v>
          </cell>
          <cell r="B1060">
            <v>2110</v>
          </cell>
          <cell r="C1060" t="str">
            <v>A</v>
          </cell>
          <cell r="D1060" t="str">
            <v>Maitha Saeed Alqemzi</v>
          </cell>
          <cell r="E1060" t="str">
            <v>ميثاء سعيد القمزي</v>
          </cell>
          <cell r="F1060">
            <v>45789</v>
          </cell>
          <cell r="G1060" t="str">
            <v>50000961</v>
          </cell>
          <cell r="H1060" t="str">
            <v>International Outreach &amp; Partnerships Specialist</v>
          </cell>
          <cell r="I1060" t="str">
            <v>أخصائي التوعية الدولية والشراكات</v>
          </cell>
          <cell r="J1060" t="str">
            <v>On-Chart</v>
          </cell>
          <cell r="K1060" t="str">
            <v>ALC Direct Hires</v>
          </cell>
          <cell r="L1060" t="str">
            <v>AL1</v>
          </cell>
          <cell r="M1060" t="str">
            <v>Abu Dhabi Arabic Language Centre</v>
          </cell>
          <cell r="N1060" t="str">
            <v>Abu Dhabi Arabic Language Centre</v>
          </cell>
          <cell r="O1060" t="str">
            <v>مركز أبوظبي للغة العربية</v>
          </cell>
          <cell r="P1060" t="str">
            <v>Literature Awards</v>
          </cell>
          <cell r="Q1060" t="str">
            <v>الجوائز الأدبية</v>
          </cell>
          <cell r="R1060" t="str">
            <v>Outreach &amp; Partnerships</v>
          </cell>
          <cell r="S1060" t="str">
            <v>التوعية والشراكات</v>
          </cell>
          <cell r="T1060" t="str">
            <v/>
          </cell>
          <cell r="U1060" t="str">
            <v/>
          </cell>
          <cell r="V1060" t="str">
            <v>Abu Dhabi</v>
          </cell>
          <cell r="W1060" t="str">
            <v/>
          </cell>
          <cell r="X1060" t="str">
            <v>4519201</v>
          </cell>
          <cell r="Y1060" t="str">
            <v>Senior Specialization Festivals &amp; Events</v>
          </cell>
          <cell r="Z1060" t="str">
            <v>Senior Professional</v>
          </cell>
          <cell r="AA1060" t="str">
            <v>3C</v>
          </cell>
        </row>
        <row r="1061">
          <cell r="A1061">
            <v>2111</v>
          </cell>
          <cell r="B1061">
            <v>2111</v>
          </cell>
          <cell r="C1061" t="str">
            <v>A</v>
          </cell>
          <cell r="D1061" t="str">
            <v>Abdulla Ahmed Alzaabi</v>
          </cell>
          <cell r="E1061" t="str">
            <v>عبدالله احمد الزعابي</v>
          </cell>
          <cell r="F1061">
            <v>45805</v>
          </cell>
          <cell r="G1061" t="str">
            <v>50002873</v>
          </cell>
          <cell r="H1061" t="str">
            <v>Crisis Management and Business Continuity Unit Head</v>
          </cell>
          <cell r="I1061" t="str">
            <v>رئيس وحدة إدارة الأزمات واستمرارية الأعمال</v>
          </cell>
          <cell r="J1061" t="str">
            <v>On-Chart</v>
          </cell>
          <cell r="K1061" t="str">
            <v>DCT Payroll</v>
          </cell>
          <cell r="L1061" t="str">
            <v>A1</v>
          </cell>
          <cell r="M1061" t="str">
            <v>Department of Culture and Tourism</v>
          </cell>
          <cell r="N1061" t="str">
            <v>Strategic Affairs</v>
          </cell>
          <cell r="O1061" t="str">
            <v>الشؤون الاستراتيجية</v>
          </cell>
          <cell r="P1061" t="str">
            <v>Business Excellence &amp; Continuity</v>
          </cell>
          <cell r="Q1061" t="str">
            <v>التميز المؤسسي واستمرارية الأعمال</v>
          </cell>
          <cell r="R1061" t="str">
            <v>Enterprise Risk Management &amp; Business Continuity</v>
          </cell>
          <cell r="S1061" t="str">
            <v>إدارة المخاطر واستمرارية الأعمال</v>
          </cell>
          <cell r="T1061" t="str">
            <v>Crisis Management and Business Continuity</v>
          </cell>
          <cell r="U1061" t="str">
            <v>إدارة الأزمات واستمرارية الأعمال</v>
          </cell>
          <cell r="V1061" t="str">
            <v>Abu Dhabi</v>
          </cell>
          <cell r="W1061" t="str">
            <v/>
          </cell>
          <cell r="X1061" t="str">
            <v>4512300</v>
          </cell>
          <cell r="Y1061" t="str">
            <v>Compliance,Governance&amp;Protocol_Risk &amp; Business Continuity_Unit Head</v>
          </cell>
          <cell r="Z1061" t="str">
            <v>Unit Head</v>
          </cell>
          <cell r="AA1061" t="str">
            <v>3C</v>
          </cell>
        </row>
        <row r="1062">
          <cell r="A1062">
            <v>2112</v>
          </cell>
          <cell r="B1062">
            <v>2112</v>
          </cell>
          <cell r="C1062" t="str">
            <v>A</v>
          </cell>
          <cell r="D1062" t="str">
            <v>Shaikha Hamad Alshamsi</v>
          </cell>
          <cell r="E1062" t="str">
            <v>شيخة حمد الشامسي</v>
          </cell>
          <cell r="F1062">
            <v>45782</v>
          </cell>
          <cell r="G1062" t="str">
            <v>50002220</v>
          </cell>
          <cell r="H1062" t="str">
            <v>Visitor Experience Specialist</v>
          </cell>
          <cell r="I1062" t="str">
            <v>أخصائي تجربة الزوار</v>
          </cell>
          <cell r="J1062" t="str">
            <v>On-Chart</v>
          </cell>
          <cell r="K1062" t="str">
            <v>DCT Payroll</v>
          </cell>
          <cell r="L1062" t="str">
            <v>A1</v>
          </cell>
          <cell r="M1062" t="str">
            <v>Department of Culture and Tourism</v>
          </cell>
          <cell r="N1062" t="str">
            <v>Culture</v>
          </cell>
          <cell r="O1062" t="str">
            <v>الثقافة</v>
          </cell>
          <cell r="P1062" t="str">
            <v>Culture Sites Management</v>
          </cell>
          <cell r="Q1062" t="str">
            <v>إدارة المواقع الثقافية</v>
          </cell>
          <cell r="R1062" t="str">
            <v>Al Ain Community Centers</v>
          </cell>
          <cell r="S1062" t="str">
            <v>مراكز العين المجتمعية</v>
          </cell>
          <cell r="T1062" t="str">
            <v>Al Qattara Arts Centre</v>
          </cell>
          <cell r="U1062" t="str">
            <v>مركز القطارة للفنون</v>
          </cell>
          <cell r="V1062" t="str">
            <v>Al Ain</v>
          </cell>
          <cell r="W1062" t="str">
            <v/>
          </cell>
          <cell r="X1062" t="str">
            <v>4511250</v>
          </cell>
          <cell r="Y1062" t="str">
            <v>Specialization Visitor Services &amp; Protocol</v>
          </cell>
          <cell r="Z1062" t="str">
            <v>Professional</v>
          </cell>
          <cell r="AA1062" t="str">
            <v>4C</v>
          </cell>
        </row>
        <row r="1063">
          <cell r="A1063">
            <v>2113</v>
          </cell>
          <cell r="B1063">
            <v>2113</v>
          </cell>
          <cell r="C1063" t="str">
            <v>A</v>
          </cell>
          <cell r="D1063" t="str">
            <v>Ahmed Jumma Alqubaisi</v>
          </cell>
          <cell r="E1063" t="str">
            <v>أحمد جمعه القبيسي</v>
          </cell>
          <cell r="F1063">
            <v>45810</v>
          </cell>
          <cell r="G1063" t="str">
            <v>50000826</v>
          </cell>
          <cell r="H1063" t="str">
            <v>ICH Interpretation &amp; Public Engagement Section Head</v>
          </cell>
          <cell r="I1063" t="str">
            <v>رئيس قسم تطوير محتوى التراث الثقافي المعنوي والمشاركة المجتمعية</v>
          </cell>
          <cell r="J1063" t="str">
            <v>On-Chart</v>
          </cell>
          <cell r="K1063" t="str">
            <v>DCT Payroll</v>
          </cell>
          <cell r="L1063" t="str">
            <v>A1</v>
          </cell>
          <cell r="M1063" t="str">
            <v>Department of Culture and Tourism</v>
          </cell>
          <cell r="N1063" t="str">
            <v>Culture</v>
          </cell>
          <cell r="O1063" t="str">
            <v>الثقافة</v>
          </cell>
          <cell r="P1063" t="str">
            <v>Intangible Cultural Heritage</v>
          </cell>
          <cell r="Q1063" t="str">
            <v>التراث الثقافي المعنوي</v>
          </cell>
          <cell r="R1063" t="str">
            <v>ICH Interpretation &amp; Public Engagement</v>
          </cell>
          <cell r="S1063" t="str">
            <v>تطوير محتوى التراث الثقافي المعنوي والمشاركة المجتمعية</v>
          </cell>
          <cell r="T1063" t="str">
            <v/>
          </cell>
          <cell r="U1063" t="str">
            <v/>
          </cell>
          <cell r="V1063" t="str">
            <v>Abu Dhabi</v>
          </cell>
          <cell r="W1063" t="str">
            <v/>
          </cell>
          <cell r="X1063" t="str">
            <v>4511600</v>
          </cell>
          <cell r="Y1063" t="str">
            <v>Middle Management Interpretation &amp; Engagement</v>
          </cell>
          <cell r="Z1063" t="str">
            <v>Section Manager</v>
          </cell>
          <cell r="AA1063" t="str">
            <v>2C</v>
          </cell>
        </row>
        <row r="1064">
          <cell r="A1064">
            <v>2114</v>
          </cell>
          <cell r="B1064">
            <v>2114</v>
          </cell>
          <cell r="C1064" t="str">
            <v>A</v>
          </cell>
          <cell r="D1064" t="str">
            <v>Moza Jassem Ahmad</v>
          </cell>
          <cell r="E1064" t="str">
            <v>موزة جاسم أحمد</v>
          </cell>
          <cell r="F1064">
            <v>45810</v>
          </cell>
          <cell r="G1064" t="str">
            <v>50000979</v>
          </cell>
          <cell r="H1064" t="str">
            <v>Lead Editor</v>
          </cell>
          <cell r="I1064" t="str">
            <v>محرر رئيسي</v>
          </cell>
          <cell r="J1064" t="str">
            <v>On-Chart</v>
          </cell>
          <cell r="K1064" t="str">
            <v>ALC Direct Hires</v>
          </cell>
          <cell r="L1064" t="str">
            <v>AL1</v>
          </cell>
          <cell r="M1064" t="str">
            <v>Abu Dhabi Arabic Language Centre</v>
          </cell>
          <cell r="N1064" t="str">
            <v>Abu Dhabi Arabic Language Centre</v>
          </cell>
          <cell r="O1064" t="str">
            <v>مركز أبوظبي للغة العربية</v>
          </cell>
          <cell r="P1064" t="str">
            <v>Creative Content</v>
          </cell>
          <cell r="Q1064" t="str">
            <v>المحتوى الإبداعي</v>
          </cell>
          <cell r="R1064" t="str">
            <v>Translation Programmes</v>
          </cell>
          <cell r="S1064" t="str">
            <v>برامج الترجمة</v>
          </cell>
          <cell r="T1064" t="str">
            <v/>
          </cell>
          <cell r="U1064" t="str">
            <v/>
          </cell>
          <cell r="V1064" t="str">
            <v>Abu Dhabi</v>
          </cell>
          <cell r="W1064" t="str">
            <v/>
          </cell>
          <cell r="X1064" t="str">
            <v>4519199</v>
          </cell>
          <cell r="Y1064" t="str">
            <v>Senior Specialization Content &amp; Care</v>
          </cell>
          <cell r="Z1064" t="str">
            <v>Unit Head</v>
          </cell>
          <cell r="AA1064" t="str">
            <v>3C</v>
          </cell>
        </row>
        <row r="1065">
          <cell r="A1065">
            <v>2115</v>
          </cell>
          <cell r="B1065">
            <v>2115</v>
          </cell>
          <cell r="C1065" t="str">
            <v>A</v>
          </cell>
          <cell r="D1065" t="str">
            <v>Al Reem Hamdan Albloushi</v>
          </cell>
          <cell r="E1065" t="str">
            <v>الريم حمدان البلوشي</v>
          </cell>
          <cell r="F1065">
            <v>45818</v>
          </cell>
          <cell r="G1065" t="str">
            <v>50002682</v>
          </cell>
          <cell r="H1065" t="str">
            <v>Culture Marketing Officer</v>
          </cell>
          <cell r="I1065" t="str">
            <v>ضابط التسويق الثقافي</v>
          </cell>
          <cell r="J1065" t="str">
            <v>On-Chart</v>
          </cell>
          <cell r="K1065" t="str">
            <v>DCT Payroll</v>
          </cell>
          <cell r="L1065" t="str">
            <v>A1</v>
          </cell>
          <cell r="M1065" t="str">
            <v>Department of Culture and Tourism</v>
          </cell>
          <cell r="N1065" t="str">
            <v>Strategic Marketing &amp; Communication</v>
          </cell>
          <cell r="O1065" t="str">
            <v>التسويق والاتصال الاستراتيجي</v>
          </cell>
          <cell r="P1065" t="str">
            <v>Sector Marketing</v>
          </cell>
          <cell r="Q1065" t="str">
            <v>التسويق الخاص بالقطاعات</v>
          </cell>
          <cell r="R1065" t="str">
            <v>Culture Marketing</v>
          </cell>
          <cell r="S1065" t="str">
            <v>التسويق الثقافي</v>
          </cell>
          <cell r="T1065" t="str">
            <v>Culture Marketing</v>
          </cell>
          <cell r="U1065" t="str">
            <v>التسويق الثقافي</v>
          </cell>
          <cell r="V1065" t="str">
            <v>Abu Dhabi</v>
          </cell>
          <cell r="W1065" t="str">
            <v/>
          </cell>
          <cell r="X1065" t="str">
            <v>4513140</v>
          </cell>
          <cell r="Y1065" t="str">
            <v>Specialization Marketing &amp; Communications</v>
          </cell>
          <cell r="Z1065" t="str">
            <v>Professional</v>
          </cell>
          <cell r="AA1065" t="str">
            <v>4C</v>
          </cell>
        </row>
        <row r="1066">
          <cell r="A1066">
            <v>2116</v>
          </cell>
          <cell r="B1066">
            <v>2116</v>
          </cell>
          <cell r="C1066" t="str">
            <v>A</v>
          </cell>
          <cell r="D1066" t="str">
            <v>Amani Mohamed Alfzari</v>
          </cell>
          <cell r="E1066" t="str">
            <v>أماني محمد الفزاري</v>
          </cell>
          <cell r="F1066">
            <v>45817</v>
          </cell>
          <cell r="G1066" t="str">
            <v>47700508</v>
          </cell>
          <cell r="H1066" t="str">
            <v>Programme Management Officer</v>
          </cell>
          <cell r="I1066" t="str">
            <v>ضابط إدارة البرامج</v>
          </cell>
          <cell r="J1066" t="str">
            <v>On-Chart</v>
          </cell>
          <cell r="K1066" t="str">
            <v>ALC Direct Hires</v>
          </cell>
          <cell r="L1066" t="str">
            <v>AL1</v>
          </cell>
          <cell r="M1066" t="str">
            <v>Abu Dhabi Arabic Language Centre</v>
          </cell>
          <cell r="N1066" t="str">
            <v>Abu Dhabi Arabic Language Centre</v>
          </cell>
          <cell r="O1066" t="str">
            <v>مركز أبوظبي للغة العربية</v>
          </cell>
          <cell r="P1066" t="str">
            <v>Book Fairs &amp; Events</v>
          </cell>
          <cell r="Q1066" t="str">
            <v>الفعاليات ومعارض الكتب</v>
          </cell>
          <cell r="R1066" t="str">
            <v>Programmes</v>
          </cell>
          <cell r="S1066" t="str">
            <v>الفعاليات ومعارض الكتاب</v>
          </cell>
          <cell r="T1066" t="str">
            <v/>
          </cell>
          <cell r="U1066" t="str">
            <v/>
          </cell>
          <cell r="V1066" t="str">
            <v>Abu Dhabi</v>
          </cell>
          <cell r="W1066" t="str">
            <v/>
          </cell>
          <cell r="X1066" t="str">
            <v>4519200</v>
          </cell>
          <cell r="Y1066" t="str">
            <v>Senior Specialization Festivals &amp; Events</v>
          </cell>
          <cell r="Z1066" t="str">
            <v>Senior Professional</v>
          </cell>
          <cell r="AA1066" t="str">
            <v>4C</v>
          </cell>
        </row>
        <row r="1067">
          <cell r="A1067">
            <v>2117</v>
          </cell>
          <cell r="B1067">
            <v>2117</v>
          </cell>
          <cell r="C1067" t="str">
            <v>A</v>
          </cell>
          <cell r="D1067" t="str">
            <v>Mohamed Ali Almadfai</v>
          </cell>
          <cell r="E1067" t="str">
            <v>محمد على المدفعي</v>
          </cell>
          <cell r="F1067">
            <v>45839</v>
          </cell>
          <cell r="G1067" t="str">
            <v>50003675</v>
          </cell>
          <cell r="H1067" t="str">
            <v>Bait Al Gahwa Section Head</v>
          </cell>
          <cell r="I1067" t="str">
            <v>رئيس قسم بيت القهوة</v>
          </cell>
          <cell r="J1067" t="str">
            <v>On-Chart</v>
          </cell>
          <cell r="K1067" t="str">
            <v>DCT Payroll</v>
          </cell>
          <cell r="L1067" t="str">
            <v>A1</v>
          </cell>
          <cell r="M1067" t="str">
            <v>Department of Culture and Tourism</v>
          </cell>
          <cell r="N1067" t="str">
            <v>Culture</v>
          </cell>
          <cell r="O1067" t="str">
            <v>الثقافة</v>
          </cell>
          <cell r="P1067" t="str">
            <v>Culture Festivals &amp; Platforms</v>
          </cell>
          <cell r="Q1067" t="str">
            <v>المهرجانات والمنصات الثقافية</v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>Abu Dhabi</v>
          </cell>
          <cell r="W1067" t="str">
            <v/>
          </cell>
          <cell r="X1067" t="str">
            <v>4511750</v>
          </cell>
          <cell r="Y1067" t="str">
            <v/>
          </cell>
          <cell r="Z1067" t="str">
            <v>Section Manager</v>
          </cell>
          <cell r="AA1067" t="str">
            <v>2C</v>
          </cell>
        </row>
        <row r="1068">
          <cell r="A1068">
            <v>2118</v>
          </cell>
          <cell r="B1068">
            <v>2118</v>
          </cell>
          <cell r="C1068" t="str">
            <v>A</v>
          </cell>
          <cell r="D1068" t="str">
            <v>Saleha Saeed AlDerei</v>
          </cell>
          <cell r="E1068" t="str">
            <v>صالحة سعيد الدرعي</v>
          </cell>
          <cell r="F1068">
            <v>45839</v>
          </cell>
          <cell r="G1068" t="str">
            <v>50003728</v>
          </cell>
          <cell r="H1068" t="str">
            <v>Operations Officer- Graduate Trainee</v>
          </cell>
          <cell r="I1068" t="str">
            <v>ضابط العمليات- خريج متدرب</v>
          </cell>
          <cell r="J1068" t="str">
            <v>On-Chart</v>
          </cell>
          <cell r="K1068" t="str">
            <v>DCT Payroll</v>
          </cell>
          <cell r="L1068" t="str">
            <v>A1</v>
          </cell>
          <cell r="M1068" t="str">
            <v>Department of Culture and Tourism</v>
          </cell>
          <cell r="N1068" t="str">
            <v>Culture</v>
          </cell>
          <cell r="O1068" t="str">
            <v>الثقافة</v>
          </cell>
          <cell r="P1068" t="str">
            <v>Culture Sites Management</v>
          </cell>
          <cell r="Q1068" t="str">
            <v>إدارة المواقع الثقافية</v>
          </cell>
          <cell r="R1068" t="str">
            <v>Al Ain Operations</v>
          </cell>
          <cell r="S1068" t="str">
            <v>العمليات - العين</v>
          </cell>
          <cell r="T1068" t="str">
            <v/>
          </cell>
          <cell r="U1068" t="str">
            <v/>
          </cell>
          <cell r="V1068" t="str">
            <v>Abu Dhabi</v>
          </cell>
          <cell r="W1068" t="str">
            <v/>
          </cell>
          <cell r="X1068" t="str">
            <v>4511250</v>
          </cell>
          <cell r="Y1068" t="str">
            <v>Specialization Operations</v>
          </cell>
          <cell r="Z1068" t="str">
            <v>Professional</v>
          </cell>
          <cell r="AA1068" t="str">
            <v>4C</v>
          </cell>
        </row>
        <row r="1069">
          <cell r="A1069">
            <v>2120</v>
          </cell>
          <cell r="B1069">
            <v>2120</v>
          </cell>
          <cell r="C1069" t="str">
            <v>A</v>
          </cell>
          <cell r="D1069" t="str">
            <v>Fahad Mohamed Alshaibani</v>
          </cell>
          <cell r="E1069" t="str">
            <v>فهد محمد الشيباني</v>
          </cell>
          <cell r="F1069">
            <v>45845</v>
          </cell>
          <cell r="G1069" t="str">
            <v>50003542</v>
          </cell>
          <cell r="H1069" t="str">
            <v>BI Business Partner</v>
          </cell>
          <cell r="I1069" t="str">
            <v>شريك أعمال ذكاء الأعمال</v>
          </cell>
          <cell r="J1069" t="str">
            <v>On-Chart</v>
          </cell>
          <cell r="K1069" t="str">
            <v>DCT Payroll</v>
          </cell>
          <cell r="L1069" t="str">
            <v>A1</v>
          </cell>
          <cell r="M1069" t="str">
            <v>Department of Culture and Tourism</v>
          </cell>
          <cell r="N1069" t="str">
            <v>Strategic Affairs</v>
          </cell>
          <cell r="O1069" t="str">
            <v>الشؤون الاستراتيجية</v>
          </cell>
          <cell r="P1069" t="str">
            <v>Data &amp; AI Department</v>
          </cell>
          <cell r="Q1069" t="str">
            <v>إدارة البيانات والذكاء الاصطناعي</v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>Abu Dhabi</v>
          </cell>
          <cell r="W1069" t="str">
            <v/>
          </cell>
          <cell r="X1069" t="str">
            <v>4512200</v>
          </cell>
          <cell r="Y1069" t="str">
            <v/>
          </cell>
          <cell r="Z1069" t="str">
            <v>Senior Professional</v>
          </cell>
          <cell r="AA1069" t="str">
            <v>3A</v>
          </cell>
        </row>
        <row r="1070">
          <cell r="A1070">
            <v>2121</v>
          </cell>
          <cell r="B1070">
            <v>2121</v>
          </cell>
          <cell r="C1070" t="str">
            <v>A</v>
          </cell>
          <cell r="D1070" t="str">
            <v>Yasir Ibrahim Albadi</v>
          </cell>
          <cell r="E1070" t="str">
            <v>ياسر ابراهيم البادي</v>
          </cell>
          <cell r="F1070">
            <v>45859</v>
          </cell>
          <cell r="G1070" t="str">
            <v>10008777</v>
          </cell>
          <cell r="H1070" t="str">
            <v>Operations Officer</v>
          </cell>
          <cell r="I1070" t="str">
            <v>ضابط العمليات</v>
          </cell>
          <cell r="J1070" t="str">
            <v>On-Chart</v>
          </cell>
          <cell r="K1070" t="str">
            <v>DCT Payroll</v>
          </cell>
          <cell r="L1070" t="str">
            <v>A1</v>
          </cell>
          <cell r="M1070" t="str">
            <v>Department of Culture and Tourism</v>
          </cell>
          <cell r="N1070" t="str">
            <v>Culture</v>
          </cell>
          <cell r="O1070" t="str">
            <v>الثقافة</v>
          </cell>
          <cell r="P1070" t="str">
            <v>Culture Sites Management</v>
          </cell>
          <cell r="Q1070" t="str">
            <v>إدارة المواقع الثقافية</v>
          </cell>
          <cell r="R1070" t="str">
            <v>Al Ain Operations</v>
          </cell>
          <cell r="S1070" t="str">
            <v>العمليات - العين</v>
          </cell>
          <cell r="T1070" t="str">
            <v>Operations</v>
          </cell>
          <cell r="U1070" t="str">
            <v>العمليات</v>
          </cell>
          <cell r="V1070" t="str">
            <v>Abu Dhabi</v>
          </cell>
          <cell r="W1070" t="str">
            <v/>
          </cell>
          <cell r="X1070" t="str">
            <v>4511250</v>
          </cell>
          <cell r="Y1070" t="str">
            <v>Specialization Operations</v>
          </cell>
          <cell r="Z1070" t="str">
            <v>Professional</v>
          </cell>
          <cell r="AA1070" t="str">
            <v>4A</v>
          </cell>
        </row>
        <row r="1071">
          <cell r="A1071">
            <v>2122</v>
          </cell>
          <cell r="B1071">
            <v>2122</v>
          </cell>
          <cell r="C1071" t="str">
            <v>A</v>
          </cell>
          <cell r="D1071" t="str">
            <v>Arwa Saeed Alsaeedi</v>
          </cell>
          <cell r="E1071" t="str">
            <v>اروى سعيد السعيدي</v>
          </cell>
          <cell r="F1071">
            <v>45866</v>
          </cell>
          <cell r="G1071" t="str">
            <v>50003260</v>
          </cell>
          <cell r="H1071" t="str">
            <v>Project Finance Senior Specialist</v>
          </cell>
          <cell r="I1071" t="str">
            <v>أخصائي أول المشاريع المالية​</v>
          </cell>
          <cell r="J1071" t="str">
            <v>On-Chart</v>
          </cell>
          <cell r="K1071" t="str">
            <v>DCT Payroll</v>
          </cell>
          <cell r="L1071" t="str">
            <v>A1</v>
          </cell>
          <cell r="M1071" t="str">
            <v>Department of Culture and Tourism</v>
          </cell>
          <cell r="N1071" t="str">
            <v>Support Services</v>
          </cell>
          <cell r="O1071" t="str">
            <v>الخدمات المساندة</v>
          </cell>
          <cell r="P1071" t="str">
            <v>Finance</v>
          </cell>
          <cell r="Q1071" t="str">
            <v>إدارة المالية</v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>Abu Dhabi</v>
          </cell>
          <cell r="W1071" t="str">
            <v/>
          </cell>
          <cell r="X1071" t="str">
            <v>4510210</v>
          </cell>
          <cell r="Y1071" t="str">
            <v/>
          </cell>
          <cell r="Z1071" t="str">
            <v>Senior Professional</v>
          </cell>
          <cell r="AA1071" t="str">
            <v>3C</v>
          </cell>
        </row>
        <row r="1072">
          <cell r="A1072">
            <v>2123</v>
          </cell>
          <cell r="B1072">
            <v>2123</v>
          </cell>
          <cell r="C1072" t="str">
            <v>A</v>
          </cell>
          <cell r="D1072" t="str">
            <v>Bashair Saeed Alblooshi</v>
          </cell>
          <cell r="E1072" t="str">
            <v>بشائر سعيد البلوشي</v>
          </cell>
          <cell r="F1072">
            <v>45849</v>
          </cell>
          <cell r="G1072" t="str">
            <v>50003682</v>
          </cell>
          <cell r="H1072" t="str">
            <v>Productions &amp; Operations Specialist</v>
          </cell>
          <cell r="I1072" t="str">
            <v>أخصائي الإنتاج والعمليات</v>
          </cell>
          <cell r="J1072" t="str">
            <v>On-Chart</v>
          </cell>
          <cell r="K1072" t="str">
            <v>DCT Payroll</v>
          </cell>
          <cell r="L1072" t="str">
            <v>A1</v>
          </cell>
          <cell r="M1072" t="str">
            <v>Department of Culture and Tourism</v>
          </cell>
          <cell r="N1072" t="str">
            <v>Culture</v>
          </cell>
          <cell r="O1072" t="str">
            <v>الثقافة</v>
          </cell>
          <cell r="P1072" t="str">
            <v>Culture Festivals &amp; Platforms</v>
          </cell>
          <cell r="Q1072" t="str">
            <v>المهرجانات والمنصات الثقافية</v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>Abu Dhabi</v>
          </cell>
          <cell r="W1072" t="str">
            <v/>
          </cell>
          <cell r="X1072" t="str">
            <v>4511750</v>
          </cell>
          <cell r="Y1072" t="str">
            <v/>
          </cell>
          <cell r="Z1072" t="str">
            <v>Professional</v>
          </cell>
          <cell r="AA1072" t="str">
            <v>4C</v>
          </cell>
        </row>
        <row r="1073">
          <cell r="A1073">
            <v>2124</v>
          </cell>
          <cell r="B1073">
            <v>2124</v>
          </cell>
          <cell r="C1073" t="str">
            <v>A</v>
          </cell>
          <cell r="D1073" t="str">
            <v>Salama Khalifa ALNahyan</v>
          </cell>
          <cell r="E1073" t="str">
            <v>سلامه خليفه أل نهيان</v>
          </cell>
          <cell r="F1073">
            <v>45855</v>
          </cell>
          <cell r="G1073" t="str">
            <v>10010578</v>
          </cell>
          <cell r="H1073" t="str">
            <v>International Artists Specialist</v>
          </cell>
          <cell r="I1073" t="str">
            <v>اخصائي الفنانين العالميين</v>
          </cell>
          <cell r="J1073" t="str">
            <v>On-Chart</v>
          </cell>
          <cell r="K1073" t="str">
            <v>DCT Payroll</v>
          </cell>
          <cell r="L1073" t="str">
            <v>A1</v>
          </cell>
          <cell r="M1073" t="str">
            <v>Department of Culture and Tourism</v>
          </cell>
          <cell r="N1073" t="str">
            <v>Tourism</v>
          </cell>
          <cell r="O1073" t="str">
            <v>السياحة</v>
          </cell>
          <cell r="P1073" t="str">
            <v>Abu Dhabi Events Bureau</v>
          </cell>
          <cell r="Q1073" t="str">
            <v>مكتب أبوظبي للفعاليات</v>
          </cell>
          <cell r="R1073" t="str">
            <v>Live Entertainment and Festivals</v>
          </cell>
          <cell r="S1073" t="str">
            <v>العروض الترفيهية والمهرجانات</v>
          </cell>
          <cell r="T1073" t="str">
            <v>International Artists</v>
          </cell>
          <cell r="U1073" t="str">
            <v>الفنانين العالميين</v>
          </cell>
          <cell r="V1073" t="str">
            <v>Abu Dhabi</v>
          </cell>
          <cell r="W1073" t="str">
            <v/>
          </cell>
          <cell r="X1073" t="str">
            <v>4515500</v>
          </cell>
          <cell r="Y1073" t="str">
            <v>Senior Specialization Festivals &amp; Events</v>
          </cell>
          <cell r="Z1073" t="str">
            <v>Professional</v>
          </cell>
          <cell r="AA1073" t="str">
            <v>4C</v>
          </cell>
        </row>
        <row r="1074">
          <cell r="A1074">
            <v>2125</v>
          </cell>
          <cell r="B1074">
            <v>2125</v>
          </cell>
          <cell r="C1074" t="str">
            <v>A</v>
          </cell>
          <cell r="D1074" t="str">
            <v>Suhail Tareq Albadi</v>
          </cell>
          <cell r="E1074" t="str">
            <v>سهيل طارق البادي</v>
          </cell>
          <cell r="F1074">
            <v>45860</v>
          </cell>
          <cell r="G1074" t="str">
            <v>10005976</v>
          </cell>
          <cell r="H1074" t="str">
            <v>Assistant Inspector</v>
          </cell>
          <cell r="I1074" t="str">
            <v>مفتش مساعد</v>
          </cell>
          <cell r="J1074" t="str">
            <v>On-Chart</v>
          </cell>
          <cell r="K1074" t="str">
            <v>DCT Payroll</v>
          </cell>
          <cell r="L1074" t="str">
            <v>A1</v>
          </cell>
          <cell r="M1074" t="str">
            <v>Department of Culture and Tourism</v>
          </cell>
          <cell r="N1074" t="str">
            <v>Tourism</v>
          </cell>
          <cell r="O1074" t="str">
            <v>السياحة</v>
          </cell>
          <cell r="P1074" t="str">
            <v>Licensing &amp; Regulatory Compliance</v>
          </cell>
          <cell r="Q1074" t="str">
            <v>الرقابة والترخيص</v>
          </cell>
          <cell r="R1074" t="str">
            <v>Abu Dhabi Inspection</v>
          </cell>
          <cell r="S1074" t="str">
            <v>التفتيش</v>
          </cell>
          <cell r="T1074" t="str">
            <v>Abu Dhabi Inspection</v>
          </cell>
          <cell r="U1074" t="str">
            <v>التفتيش لأبوظبي</v>
          </cell>
          <cell r="V1074" t="str">
            <v>Abu Dhabi</v>
          </cell>
          <cell r="W1074" t="str">
            <v/>
          </cell>
          <cell r="X1074" t="str">
            <v>4510170</v>
          </cell>
          <cell r="Y1074" t="str">
            <v>Administration Support Governance &amp; Compliance</v>
          </cell>
          <cell r="Z1074" t="str">
            <v>Professional</v>
          </cell>
          <cell r="AA1074" t="str">
            <v>5C</v>
          </cell>
        </row>
        <row r="1075">
          <cell r="A1075">
            <v>2126</v>
          </cell>
          <cell r="B1075">
            <v>2126</v>
          </cell>
          <cell r="C1075" t="str">
            <v>A</v>
          </cell>
          <cell r="D1075" t="str">
            <v>Maitha Bakhit Aldhaheri</v>
          </cell>
          <cell r="E1075" t="str">
            <v>ميثاء بخيت الظاهري</v>
          </cell>
          <cell r="F1075">
            <v>45866</v>
          </cell>
          <cell r="G1075" t="str">
            <v>50004084</v>
          </cell>
          <cell r="H1075" t="str">
            <v>Associate Curator</v>
          </cell>
          <cell r="I1075" t="str">
            <v>معاون أمين متحف</v>
          </cell>
          <cell r="J1075" t="str">
            <v>On-Chart</v>
          </cell>
          <cell r="K1075" t="str">
            <v>DCT Payroll</v>
          </cell>
          <cell r="L1075" t="str">
            <v>A1</v>
          </cell>
          <cell r="M1075" t="str">
            <v>Department of Culture and Tourism</v>
          </cell>
          <cell r="N1075" t="str">
            <v>Culture</v>
          </cell>
          <cell r="O1075" t="str">
            <v>الثقافة</v>
          </cell>
          <cell r="P1075" t="str">
            <v>Culture Sites Management</v>
          </cell>
          <cell r="Q1075" t="str">
            <v>إدارة المواقع الثقافية</v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>Abu Dhabi</v>
          </cell>
          <cell r="W1075" t="str">
            <v/>
          </cell>
          <cell r="X1075" t="str">
            <v>4511250</v>
          </cell>
          <cell r="Y1075" t="str">
            <v>Admin &amp; Support_ Administration Coordination &amp; Support
(All Areas)_Professional</v>
          </cell>
          <cell r="Z1075" t="str">
            <v>Professional</v>
          </cell>
          <cell r="AA1075" t="str">
            <v>4C</v>
          </cell>
        </row>
        <row r="1076">
          <cell r="A1076">
            <v>2127</v>
          </cell>
          <cell r="B1076">
            <v>2127</v>
          </cell>
          <cell r="C1076" t="str">
            <v>A</v>
          </cell>
          <cell r="D1076" t="str">
            <v>Salama Mohammed Alneyadi</v>
          </cell>
          <cell r="E1076" t="str">
            <v>سلامه محمد النيادي</v>
          </cell>
          <cell r="F1076">
            <v>45866</v>
          </cell>
          <cell r="G1076" t="str">
            <v>50004035</v>
          </cell>
          <cell r="H1076" t="str">
            <v>Education Senior Specialist</v>
          </cell>
          <cell r="I1076" t="str">
            <v>أخصائي أول التعليم</v>
          </cell>
          <cell r="J1076" t="str">
            <v>On-Chart</v>
          </cell>
          <cell r="K1076" t="str">
            <v>DCT Payroll</v>
          </cell>
          <cell r="L1076" t="str">
            <v>A1</v>
          </cell>
          <cell r="M1076" t="str">
            <v>Department of Culture and Tourism</v>
          </cell>
          <cell r="N1076" t="str">
            <v>Culture</v>
          </cell>
          <cell r="O1076" t="str">
            <v>الثقافة</v>
          </cell>
          <cell r="P1076" t="str">
            <v>Culture Sites Management</v>
          </cell>
          <cell r="Q1076" t="str">
            <v>إدارة المواقع الثقافية</v>
          </cell>
          <cell r="R1076" t="str">
            <v>Education and Community Engagement Section</v>
          </cell>
          <cell r="S1076" t="str">
            <v>قسم التعليم والمشاركة المجتمعية</v>
          </cell>
          <cell r="T1076" t="str">
            <v>Education Unit</v>
          </cell>
          <cell r="U1076" t="str">
            <v>رئيس وحدة التعليم</v>
          </cell>
          <cell r="V1076" t="str">
            <v>Abu Dhabi</v>
          </cell>
          <cell r="W1076" t="str">
            <v/>
          </cell>
          <cell r="X1076" t="str">
            <v>4511250</v>
          </cell>
          <cell r="Y1076" t="str">
            <v>Compliance,Governance&amp;Protocol_Policy (Culture/Tourism _Senior Professional</v>
          </cell>
          <cell r="Z1076" t="str">
            <v>Senior Professional</v>
          </cell>
          <cell r="AA1076" t="str">
            <v>3C</v>
          </cell>
        </row>
        <row r="1077">
          <cell r="A1077">
            <v>2128</v>
          </cell>
          <cell r="B1077">
            <v>2128</v>
          </cell>
          <cell r="C1077" t="str">
            <v>A</v>
          </cell>
          <cell r="D1077" t="str">
            <v>Mariam Abdulla Alnuaimi</v>
          </cell>
          <cell r="E1077" t="str">
            <v>مريم عبدالله النعيمي</v>
          </cell>
          <cell r="F1077">
            <v>45866</v>
          </cell>
          <cell r="G1077" t="str">
            <v>50004104</v>
          </cell>
          <cell r="H1077" t="str">
            <v>Visitor Experience  Specialist</v>
          </cell>
          <cell r="I1077" t="str">
            <v/>
          </cell>
          <cell r="J1077" t="str">
            <v>On-Chart</v>
          </cell>
          <cell r="K1077" t="str">
            <v>DCT Payroll</v>
          </cell>
          <cell r="L1077" t="str">
            <v>A1</v>
          </cell>
          <cell r="M1077" t="str">
            <v>Department of Culture and Tourism</v>
          </cell>
          <cell r="N1077" t="str">
            <v>Culture</v>
          </cell>
          <cell r="O1077" t="str">
            <v>الثقافة</v>
          </cell>
          <cell r="P1077" t="str">
            <v>Culture Sites Management</v>
          </cell>
          <cell r="Q1077" t="str">
            <v>إدارة المواقع الثقافية</v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>Abu Dhabi</v>
          </cell>
          <cell r="W1077" t="str">
            <v/>
          </cell>
          <cell r="X1077" t="str">
            <v>4511250</v>
          </cell>
          <cell r="Y1077" t="str">
            <v>Admin &amp; Support_ Administration Coordination &amp; Support
(All Areas)_Professional Assistant</v>
          </cell>
          <cell r="Z1077" t="str">
            <v>Professional Assistant</v>
          </cell>
          <cell r="AA1077" t="str">
            <v>4C</v>
          </cell>
        </row>
        <row r="1078">
          <cell r="A1078">
            <v>2129</v>
          </cell>
          <cell r="B1078">
            <v>2129</v>
          </cell>
          <cell r="C1078" t="str">
            <v>A</v>
          </cell>
          <cell r="D1078" t="str">
            <v>Asma Abdulmunem Alharmi</v>
          </cell>
          <cell r="E1078" t="str">
            <v>اسماء عبدالمنعم الحرمي</v>
          </cell>
          <cell r="F1078">
            <v>45873</v>
          </cell>
          <cell r="G1078" t="str">
            <v>10004747</v>
          </cell>
          <cell r="H1078" t="str">
            <v>Vendor Management Senior Specialist</v>
          </cell>
          <cell r="I1078" t="str">
            <v>أخصائي أول إدارة الموردين</v>
          </cell>
          <cell r="J1078" t="str">
            <v>On-Chart</v>
          </cell>
          <cell r="K1078" t="str">
            <v>DCT Payroll</v>
          </cell>
          <cell r="L1078" t="str">
            <v>A1</v>
          </cell>
          <cell r="M1078" t="str">
            <v>Department of Culture and Tourism</v>
          </cell>
          <cell r="N1078" t="str">
            <v>Support Services</v>
          </cell>
          <cell r="O1078" t="str">
            <v>الخدمات المساندة</v>
          </cell>
          <cell r="P1078" t="str">
            <v>Technology</v>
          </cell>
          <cell r="Q1078" t="str">
            <v>التكنولوجيا</v>
          </cell>
          <cell r="R1078" t="str">
            <v>-</v>
          </cell>
          <cell r="S1078" t="str">
            <v>-</v>
          </cell>
          <cell r="T1078" t="str">
            <v>Vendor Management</v>
          </cell>
          <cell r="U1078" t="str">
            <v>إدارة الموردين</v>
          </cell>
          <cell r="V1078" t="str">
            <v>Abu Dhabi</v>
          </cell>
          <cell r="W1078" t="str">
            <v/>
          </cell>
          <cell r="X1078" t="str">
            <v>4510250</v>
          </cell>
          <cell r="Y1078" t="str">
            <v>Senior Specialization IT &amp; Digital Services</v>
          </cell>
          <cell r="Z1078" t="str">
            <v>Senior Professional</v>
          </cell>
          <cell r="AA1078" t="str">
            <v>3C</v>
          </cell>
        </row>
        <row r="1079">
          <cell r="A1079">
            <v>2131</v>
          </cell>
          <cell r="B1079">
            <v>2131</v>
          </cell>
          <cell r="C1079" t="str">
            <v>A</v>
          </cell>
          <cell r="D1079" t="str">
            <v>Hashem Nasser Alkaabi</v>
          </cell>
          <cell r="E1079" t="str">
            <v>هاشم ناصر الكعبي</v>
          </cell>
          <cell r="F1079">
            <v>45692</v>
          </cell>
          <cell r="G1079" t="str">
            <v>10007329</v>
          </cell>
          <cell r="H1079" t="str">
            <v>Receivables Operations Section Head</v>
          </cell>
          <cell r="I1079" t="str">
            <v>رئيس قسم عمليات الحسابات المستحقة</v>
          </cell>
          <cell r="J1079" t="str">
            <v>On-Chart</v>
          </cell>
          <cell r="K1079" t="str">
            <v>DCT Payroll</v>
          </cell>
          <cell r="L1079" t="str">
            <v>A1</v>
          </cell>
          <cell r="M1079" t="str">
            <v>Department of Culture and Tourism</v>
          </cell>
          <cell r="N1079" t="str">
            <v>Support Services</v>
          </cell>
          <cell r="O1079" t="str">
            <v>الخدمات المساندة</v>
          </cell>
          <cell r="P1079" t="str">
            <v>Finance</v>
          </cell>
          <cell r="Q1079" t="str">
            <v>إدارة المالية</v>
          </cell>
          <cell r="R1079" t="str">
            <v>Receivables Operations</v>
          </cell>
          <cell r="S1079" t="str">
            <v>عمليات الحسابات المستحقة</v>
          </cell>
          <cell r="T1079" t="str">
            <v/>
          </cell>
          <cell r="U1079" t="str">
            <v/>
          </cell>
          <cell r="V1079" t="str">
            <v>Abu Dhabi</v>
          </cell>
          <cell r="W1079" t="str">
            <v/>
          </cell>
          <cell r="X1079" t="str">
            <v>4510210</v>
          </cell>
          <cell r="Y1079" t="str">
            <v>Finance_Accountant_Professional</v>
          </cell>
          <cell r="Z1079" t="str">
            <v>Section Manager</v>
          </cell>
          <cell r="AA1079" t="str">
            <v>2C</v>
          </cell>
        </row>
        <row r="1080">
          <cell r="A1080">
            <v>2132</v>
          </cell>
          <cell r="B1080">
            <v>2132</v>
          </cell>
          <cell r="C1080" t="str">
            <v>A</v>
          </cell>
          <cell r="D1080" t="str">
            <v>Asma Abdulla Alblooshi</v>
          </cell>
          <cell r="E1080" t="str">
            <v>أسماء عبدالله البلوشي</v>
          </cell>
          <cell r="F1080">
            <v>45880</v>
          </cell>
          <cell r="G1080" t="str">
            <v>50000614</v>
          </cell>
          <cell r="H1080" t="str">
            <v>Executive Secretary</v>
          </cell>
          <cell r="I1080" t="str">
            <v>سكرتير تنفيذي</v>
          </cell>
          <cell r="J1080" t="str">
            <v>On-Chart</v>
          </cell>
          <cell r="K1080" t="str">
            <v>ALC Direct Hires</v>
          </cell>
          <cell r="L1080" t="str">
            <v>AL1</v>
          </cell>
          <cell r="M1080" t="str">
            <v>Abu Dhabi Arabic Language Centre</v>
          </cell>
          <cell r="N1080" t="str">
            <v>Abu Dhabi Arabic Language Centre</v>
          </cell>
          <cell r="O1080" t="str">
            <v>مركز أبوظبي للغة العربية</v>
          </cell>
          <cell r="P1080" t="str">
            <v>ALC Chairman’s Office</v>
          </cell>
          <cell r="Q1080" t="str">
            <v>مكتب رئيس مركز أبوظبي للغة العربية</v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>Abu Dhabi</v>
          </cell>
          <cell r="W1080" t="str">
            <v/>
          </cell>
          <cell r="X1080" t="str">
            <v>4510195</v>
          </cell>
          <cell r="Y1080" t="str">
            <v>Interpretation &amp; Engagement_Falconer_Technical Staff</v>
          </cell>
          <cell r="Z1080" t="str">
            <v>Professional</v>
          </cell>
          <cell r="AA1080" t="str">
            <v>4C</v>
          </cell>
        </row>
        <row r="1081">
          <cell r="A1081">
            <v>2134</v>
          </cell>
          <cell r="B1081">
            <v>2134</v>
          </cell>
          <cell r="C1081" t="str">
            <v>A</v>
          </cell>
          <cell r="D1081" t="str">
            <v>Meera Hamad Alneyadi</v>
          </cell>
          <cell r="E1081" t="str">
            <v>ميره حمد النيادي</v>
          </cell>
          <cell r="F1081">
            <v>45894</v>
          </cell>
          <cell r="G1081" t="str">
            <v>50003270</v>
          </cell>
          <cell r="H1081" t="str">
            <v>Procurement Committee Specialist</v>
          </cell>
          <cell r="I1081" t="str">
            <v>أخصائي لجنة المشتريات</v>
          </cell>
          <cell r="J1081" t="str">
            <v>On-Chart</v>
          </cell>
          <cell r="K1081" t="str">
            <v>DCT Payroll</v>
          </cell>
          <cell r="L1081" t="str">
            <v>A1</v>
          </cell>
          <cell r="M1081" t="str">
            <v>Department of Culture and Tourism</v>
          </cell>
          <cell r="N1081" t="str">
            <v>Support Services</v>
          </cell>
          <cell r="O1081" t="str">
            <v>الخدمات المساندة</v>
          </cell>
          <cell r="P1081" t="str">
            <v>Supply Management</v>
          </cell>
          <cell r="Q1081" t="str">
            <v>إدارة الإمداد</v>
          </cell>
          <cell r="R1081" t="str">
            <v>Business Partners</v>
          </cell>
          <cell r="S1081" t="str">
            <v>شركاء أعمال</v>
          </cell>
          <cell r="T1081" t="str">
            <v/>
          </cell>
          <cell r="U1081" t="str">
            <v/>
          </cell>
          <cell r="V1081" t="str">
            <v>Abu Dhabi</v>
          </cell>
          <cell r="W1081" t="str">
            <v/>
          </cell>
          <cell r="X1081" t="str">
            <v>4510240</v>
          </cell>
          <cell r="Y1081" t="str">
            <v/>
          </cell>
          <cell r="Z1081" t="str">
            <v>Professional</v>
          </cell>
          <cell r="AA1081" t="str">
            <v>4C</v>
          </cell>
        </row>
        <row r="1082">
          <cell r="A1082">
            <v>2135</v>
          </cell>
          <cell r="B1082">
            <v>2135</v>
          </cell>
          <cell r="C1082" t="str">
            <v>A</v>
          </cell>
          <cell r="D1082" t="str">
            <v>Muhamed Ali Alblooshi</v>
          </cell>
          <cell r="E1082" t="str">
            <v>محمد على البلوشي</v>
          </cell>
          <cell r="F1082">
            <v>45880</v>
          </cell>
          <cell r="G1082" t="str">
            <v>50002395</v>
          </cell>
          <cell r="H1082" t="str">
            <v>Assistant Inspector</v>
          </cell>
          <cell r="I1082" t="str">
            <v>مفتش مساعد</v>
          </cell>
          <cell r="J1082" t="str">
            <v>On-Chart</v>
          </cell>
          <cell r="K1082" t="str">
            <v>DCT Payroll</v>
          </cell>
          <cell r="L1082" t="str">
            <v>A1</v>
          </cell>
          <cell r="M1082" t="str">
            <v>Department of Culture and Tourism</v>
          </cell>
          <cell r="N1082" t="str">
            <v>Tourism</v>
          </cell>
          <cell r="O1082" t="str">
            <v>السياحة</v>
          </cell>
          <cell r="P1082" t="str">
            <v>Licensing &amp; Regulatory Compliance</v>
          </cell>
          <cell r="Q1082" t="str">
            <v>الرقابة والترخيص</v>
          </cell>
          <cell r="R1082" t="str">
            <v>Abu Dhabi Inspection</v>
          </cell>
          <cell r="S1082" t="str">
            <v>التفتيش</v>
          </cell>
          <cell r="T1082" t="str">
            <v>Abu Dhabi Inspection (Special Permits)</v>
          </cell>
          <cell r="U1082" t="str">
            <v>التفتيش أبوظبي (التصاريح الخاصة)</v>
          </cell>
          <cell r="V1082" t="str">
            <v>Abu Dhabi</v>
          </cell>
          <cell r="W1082" t="str">
            <v/>
          </cell>
          <cell r="X1082" t="str">
            <v>4510170</v>
          </cell>
          <cell r="Y1082" t="str">
            <v>Specialization Governance &amp; Compliance</v>
          </cell>
          <cell r="Z1082" t="str">
            <v>Professional Assistant</v>
          </cell>
          <cell r="AA1082" t="str">
            <v>5C</v>
          </cell>
        </row>
        <row r="1083">
          <cell r="A1083">
            <v>2136</v>
          </cell>
          <cell r="B1083">
            <v>2136</v>
          </cell>
          <cell r="C1083" t="str">
            <v>A</v>
          </cell>
          <cell r="D1083" t="str">
            <v>Omar Abdulaziz Aljaberi</v>
          </cell>
          <cell r="E1083" t="str">
            <v>عمر عبدالعزيز الجابري</v>
          </cell>
          <cell r="F1083">
            <v>45887</v>
          </cell>
          <cell r="G1083" t="str">
            <v>50004182</v>
          </cell>
          <cell r="H1083" t="str">
            <v>Visitor Experience Senior Specialist</v>
          </cell>
          <cell r="I1083" t="str">
            <v>أخصائي أول تجربة الزوار</v>
          </cell>
          <cell r="J1083" t="str">
            <v>On-Chart</v>
          </cell>
          <cell r="K1083" t="str">
            <v>DCT Payroll</v>
          </cell>
          <cell r="L1083" t="str">
            <v>A1</v>
          </cell>
          <cell r="M1083" t="str">
            <v>Department of Culture and Tourism</v>
          </cell>
          <cell r="N1083" t="str">
            <v>Culture</v>
          </cell>
          <cell r="O1083" t="str">
            <v>الثقافة</v>
          </cell>
          <cell r="P1083" t="str">
            <v>Culture Festivals &amp; Platforms</v>
          </cell>
          <cell r="Q1083" t="str">
            <v>المهرجانات والمنصات الثقافية</v>
          </cell>
          <cell r="R1083" t="str">
            <v>Bait Al Gahwa Section</v>
          </cell>
          <cell r="S1083" t="str">
            <v>قسم بيت القهوة</v>
          </cell>
          <cell r="T1083" t="str">
            <v/>
          </cell>
          <cell r="U1083" t="str">
            <v/>
          </cell>
          <cell r="V1083" t="str">
            <v>Abu Dhabi</v>
          </cell>
          <cell r="W1083" t="str">
            <v/>
          </cell>
          <cell r="X1083" t="str">
            <v>4511750</v>
          </cell>
          <cell r="Y1083" t="str">
            <v/>
          </cell>
          <cell r="Z1083" t="str">
            <v>Senior Professional</v>
          </cell>
          <cell r="AA1083" t="str">
            <v>3C</v>
          </cell>
        </row>
        <row r="1084">
          <cell r="A1084">
            <v>2137</v>
          </cell>
          <cell r="B1084">
            <v>2137</v>
          </cell>
          <cell r="C1084" t="str">
            <v>A</v>
          </cell>
          <cell r="D1084" t="str">
            <v>Eisa Khaled Alkaabi</v>
          </cell>
          <cell r="E1084" t="str">
            <v>عيسى خالد الكعبي</v>
          </cell>
          <cell r="F1084">
            <v>45887</v>
          </cell>
          <cell r="G1084" t="str">
            <v>50004039</v>
          </cell>
          <cell r="H1084" t="str">
            <v>FM Engineer</v>
          </cell>
          <cell r="I1084" t="str">
            <v/>
          </cell>
          <cell r="J1084" t="str">
            <v>On-Chart</v>
          </cell>
          <cell r="K1084" t="str">
            <v>DCT Payroll</v>
          </cell>
          <cell r="L1084" t="str">
            <v>A1</v>
          </cell>
          <cell r="M1084" t="str">
            <v>Department of Culture and Tourism</v>
          </cell>
          <cell r="N1084" t="str">
            <v>Culture</v>
          </cell>
          <cell r="O1084" t="str">
            <v>الثقافة</v>
          </cell>
          <cell r="P1084" t="str">
            <v>Culture Sites Management</v>
          </cell>
          <cell r="Q1084" t="str">
            <v>إدارة المواقع الثقافية</v>
          </cell>
          <cell r="R1084" t="str">
            <v>Al Ain Operations</v>
          </cell>
          <cell r="S1084" t="str">
            <v>العمليات - العين</v>
          </cell>
          <cell r="T1084" t="str">
            <v>Al Ain Museum Operations Unit</v>
          </cell>
          <cell r="U1084" t="str">
            <v>وحدة عمليات متحف العين</v>
          </cell>
          <cell r="V1084" t="str">
            <v>Al Ain</v>
          </cell>
          <cell r="W1084" t="str">
            <v/>
          </cell>
          <cell r="X1084" t="str">
            <v>4511250</v>
          </cell>
          <cell r="Y1084" t="str">
            <v>Compliance,Governance&amp;Protocol_Policy (Culture/Tourism _Senior Professional</v>
          </cell>
          <cell r="Z1084" t="str">
            <v>Senior Professional</v>
          </cell>
          <cell r="AA1084" t="str">
            <v>3C</v>
          </cell>
        </row>
        <row r="1085">
          <cell r="A1085">
            <v>2138</v>
          </cell>
          <cell r="B1085">
            <v>2138</v>
          </cell>
          <cell r="C1085" t="str">
            <v>A</v>
          </cell>
          <cell r="D1085" t="str">
            <v>Geraldine Christiane Aubert</v>
          </cell>
          <cell r="E1085" t="str">
            <v>جيرالدين كريستيان  اوبيرت</v>
          </cell>
          <cell r="F1085">
            <v>45887</v>
          </cell>
          <cell r="G1085" t="str">
            <v>50002903</v>
          </cell>
          <cell r="H1085" t="str">
            <v>Art Commissions Unit Head</v>
          </cell>
          <cell r="I1085" t="str">
            <v>رئيس وحدة التكليفات الفنية</v>
          </cell>
          <cell r="J1085" t="str">
            <v>On-Chart</v>
          </cell>
          <cell r="K1085" t="str">
            <v>DCT Payroll</v>
          </cell>
          <cell r="L1085" t="str">
            <v>A1</v>
          </cell>
          <cell r="M1085" t="str">
            <v>Department of Culture and Tourism</v>
          </cell>
          <cell r="N1085" t="str">
            <v>Culture</v>
          </cell>
          <cell r="O1085" t="str">
            <v>الثقافة</v>
          </cell>
          <cell r="P1085" t="str">
            <v>Culture Programming</v>
          </cell>
          <cell r="Q1085" t="str">
            <v>البرامج الثقافية</v>
          </cell>
          <cell r="R1085" t="str">
            <v>Abu Dhabi Public Art</v>
          </cell>
          <cell r="S1085" t="str">
            <v>الفن العام - أبوظبي</v>
          </cell>
          <cell r="T1085" t="str">
            <v>Art Commissions</v>
          </cell>
          <cell r="U1085" t="str">
            <v>التكليفات الفنية</v>
          </cell>
          <cell r="V1085" t="str">
            <v>Abu Dhabi</v>
          </cell>
          <cell r="W1085" t="str">
            <v/>
          </cell>
          <cell r="X1085" t="str">
            <v>4511700</v>
          </cell>
          <cell r="Y1085" t="str">
            <v>Senior Specialization Content &amp; Care</v>
          </cell>
          <cell r="Z1085" t="str">
            <v>Unit Head</v>
          </cell>
          <cell r="AA1085" t="str">
            <v>3C</v>
          </cell>
        </row>
        <row r="1086">
          <cell r="A1086">
            <v>2140</v>
          </cell>
          <cell r="B1086">
            <v>2140</v>
          </cell>
          <cell r="C1086" t="str">
            <v>A</v>
          </cell>
          <cell r="D1086" t="str">
            <v>Mohamed Abdulla Bahermez</v>
          </cell>
          <cell r="E1086" t="str">
            <v>محمد عبدالله باهرمز</v>
          </cell>
          <cell r="F1086">
            <v>45896</v>
          </cell>
          <cell r="G1086" t="str">
            <v>50002079</v>
          </cell>
          <cell r="H1086" t="str">
            <v>Senior Legal Researcher</v>
          </cell>
          <cell r="I1086" t="str">
            <v>باحث قانوني أول</v>
          </cell>
          <cell r="J1086" t="str">
            <v>On-Chart</v>
          </cell>
          <cell r="K1086" t="str">
            <v>DCT Payroll</v>
          </cell>
          <cell r="L1086" t="str">
            <v>A1</v>
          </cell>
          <cell r="M1086" t="str">
            <v>Department of Culture and Tourism</v>
          </cell>
          <cell r="N1086" t="str">
            <v>Legal &amp; Government Affairs</v>
          </cell>
          <cell r="O1086" t="str">
            <v>مكتب وكيل الدائرة</v>
          </cell>
          <cell r="P1086" t="str">
            <v>Legal &amp; Government Affairs</v>
          </cell>
          <cell r="Q1086" t="str">
            <v>الشؤون القانونية والحكومية</v>
          </cell>
          <cell r="R1086" t="str">
            <v>DCT Museums &amp; Affiliates Contracts Advisory</v>
          </cell>
          <cell r="S1086" t="str">
            <v>الاستشارات القانونية لعقود المتاحف والجهات التابعة</v>
          </cell>
          <cell r="T1086" t="str">
            <v/>
          </cell>
          <cell r="U1086" t="str">
            <v/>
          </cell>
          <cell r="V1086" t="str">
            <v>Abu Dhabi</v>
          </cell>
          <cell r="W1086" t="str">
            <v/>
          </cell>
          <cell r="X1086" t="str">
            <v>4510160</v>
          </cell>
          <cell r="Y1086" t="str">
            <v>Senior Specialization Legal</v>
          </cell>
          <cell r="Z1086" t="str">
            <v>Senior Professional</v>
          </cell>
          <cell r="AA1086" t="str">
            <v>3C</v>
          </cell>
        </row>
        <row r="1087">
          <cell r="A1087">
            <v>2141</v>
          </cell>
          <cell r="B1087">
            <v>2141</v>
          </cell>
          <cell r="C1087" t="str">
            <v>A</v>
          </cell>
          <cell r="D1087" t="str">
            <v>Aishah Mohamed Alyammahi</v>
          </cell>
          <cell r="E1087" t="str">
            <v>عائشه محمد اليماحي</v>
          </cell>
          <cell r="F1087">
            <v>45901</v>
          </cell>
          <cell r="G1087" t="str">
            <v>50004028</v>
          </cell>
          <cell r="H1087" t="str">
            <v>Visitor Experience Supervisor</v>
          </cell>
          <cell r="I1087" t="str">
            <v>مشرف تجربة الزوار</v>
          </cell>
          <cell r="J1087" t="str">
            <v>On-Chart</v>
          </cell>
          <cell r="K1087" t="str">
            <v>DCT Payroll</v>
          </cell>
          <cell r="L1087" t="str">
            <v>A1</v>
          </cell>
          <cell r="M1087" t="str">
            <v>Department of Culture and Tourism</v>
          </cell>
          <cell r="N1087" t="str">
            <v>Culture</v>
          </cell>
          <cell r="O1087" t="str">
            <v>الثقافة</v>
          </cell>
          <cell r="P1087" t="str">
            <v>Culture Sites Management</v>
          </cell>
          <cell r="Q1087" t="str">
            <v>إدارة المواقع الثقافية</v>
          </cell>
          <cell r="R1087" t="str">
            <v>-</v>
          </cell>
          <cell r="S1087" t="str">
            <v>-</v>
          </cell>
          <cell r="T1087" t="str">
            <v>Visitor Experience Unit</v>
          </cell>
          <cell r="U1087" t="str">
            <v>وحدة تجربة الزوار</v>
          </cell>
          <cell r="V1087" t="str">
            <v>Abu Dhabi</v>
          </cell>
          <cell r="W1087" t="str">
            <v/>
          </cell>
          <cell r="X1087" t="str">
            <v>4511250</v>
          </cell>
          <cell r="Y1087" t="str">
            <v>Compliance,Governance&amp;Protocol_Policy (Culture/Tourism _Senior Professional</v>
          </cell>
          <cell r="Z1087" t="str">
            <v>Senior Professional</v>
          </cell>
          <cell r="AA1087" t="str">
            <v>3C</v>
          </cell>
        </row>
        <row r="1088">
          <cell r="A1088">
            <v>2142</v>
          </cell>
          <cell r="B1088">
            <v>2142</v>
          </cell>
          <cell r="C1088" t="str">
            <v>A</v>
          </cell>
          <cell r="D1088" t="str">
            <v>Shaikha Abdulla Alazeezi</v>
          </cell>
          <cell r="E1088" t="str">
            <v>شيخه عبدالله العزيزي</v>
          </cell>
          <cell r="F1088">
            <v>45901</v>
          </cell>
          <cell r="G1088" t="str">
            <v>50004085</v>
          </cell>
          <cell r="H1088" t="str">
            <v>Exhibitions Designer</v>
          </cell>
          <cell r="I1088" t="str">
            <v>مصمم المعارض</v>
          </cell>
          <cell r="J1088" t="str">
            <v>On-Chart</v>
          </cell>
          <cell r="K1088" t="str">
            <v>DCT Payroll</v>
          </cell>
          <cell r="L1088" t="str">
            <v>A1</v>
          </cell>
          <cell r="M1088" t="str">
            <v>Department of Culture and Tourism</v>
          </cell>
          <cell r="N1088" t="str">
            <v>Culture</v>
          </cell>
          <cell r="O1088" t="str">
            <v>الثقافة</v>
          </cell>
          <cell r="P1088" t="str">
            <v>Culture Sites Management</v>
          </cell>
          <cell r="Q1088" t="str">
            <v>إدارة المواقع الثقافية</v>
          </cell>
          <cell r="R1088" t="str">
            <v>Exhibitions and Publications Management Section</v>
          </cell>
          <cell r="S1088" t="str">
            <v>قسم إدارة المعارض والمطبوعات</v>
          </cell>
          <cell r="T1088" t="str">
            <v>Exhibitions Planning and Production Unit</v>
          </cell>
          <cell r="U1088" t="str">
            <v>وحدة تخطيط وإنتاج المعارض</v>
          </cell>
          <cell r="V1088" t="str">
            <v>Abu Dhabi</v>
          </cell>
          <cell r="W1088" t="str">
            <v/>
          </cell>
          <cell r="X1088" t="str">
            <v>4511250</v>
          </cell>
          <cell r="Y1088" t="str">
            <v>Admin &amp; Support_ Administration Coordination &amp; Support
(All Areas)_Professional Assistant</v>
          </cell>
          <cell r="Z1088" t="str">
            <v>Professional Assistant</v>
          </cell>
          <cell r="AA1088" t="str">
            <v>4C</v>
          </cell>
        </row>
        <row r="1089">
          <cell r="A1089">
            <v>2143</v>
          </cell>
          <cell r="B1089">
            <v>2143</v>
          </cell>
          <cell r="C1089" t="str">
            <v>A</v>
          </cell>
          <cell r="D1089" t="str">
            <v>Saida Rufat Salmanova</v>
          </cell>
          <cell r="E1089" t="str">
            <v>سعيدة رفعت سالمانوفا</v>
          </cell>
          <cell r="F1089">
            <v>45902</v>
          </cell>
          <cell r="G1089" t="str">
            <v>50002137</v>
          </cell>
          <cell r="H1089" t="str">
            <v>Process Improvement Senior Specialist</v>
          </cell>
          <cell r="I1089" t="str">
            <v>أخصائي أول تحسين الإجراءات</v>
          </cell>
          <cell r="J1089" t="str">
            <v>On-Chart</v>
          </cell>
          <cell r="K1089" t="str">
            <v>DCT Payroll</v>
          </cell>
          <cell r="L1089" t="str">
            <v>A1</v>
          </cell>
          <cell r="M1089" t="str">
            <v>Department of Culture and Tourism</v>
          </cell>
          <cell r="N1089" t="str">
            <v>Strategic Affairs</v>
          </cell>
          <cell r="O1089" t="str">
            <v>الشؤون الاستراتيجية</v>
          </cell>
          <cell r="P1089" t="str">
            <v>Business Excellence &amp; Continuity</v>
          </cell>
          <cell r="Q1089" t="str">
            <v>التميز المؤسسي واستمرارية الأعمال</v>
          </cell>
          <cell r="R1089" t="str">
            <v>Governance</v>
          </cell>
          <cell r="S1089" t="str">
            <v>الحوكمة</v>
          </cell>
          <cell r="T1089" t="str">
            <v>Process Improvement</v>
          </cell>
          <cell r="U1089" t="str">
            <v>تحسين الإجراءات</v>
          </cell>
          <cell r="V1089" t="str">
            <v>Abu Dhabi</v>
          </cell>
          <cell r="W1089" t="str">
            <v/>
          </cell>
          <cell r="X1089" t="str">
            <v>4512300</v>
          </cell>
          <cell r="Y1089" t="str">
            <v>Senior Specialization Strategy &amp; Planning</v>
          </cell>
          <cell r="Z1089" t="str">
            <v>Senior Professional</v>
          </cell>
          <cell r="AA1089" t="str">
            <v>3C</v>
          </cell>
        </row>
        <row r="1090">
          <cell r="A1090">
            <v>2144</v>
          </cell>
          <cell r="B1090">
            <v>2144</v>
          </cell>
          <cell r="C1090" t="str">
            <v>A</v>
          </cell>
          <cell r="D1090" t="str">
            <v>Saif Marhoun Almemari</v>
          </cell>
          <cell r="E1090" t="str">
            <v>سيف مرهون المعمري</v>
          </cell>
          <cell r="F1090">
            <v>45908</v>
          </cell>
          <cell r="G1090" t="str">
            <v>50004180</v>
          </cell>
          <cell r="H1090" t="str">
            <v>Visitor Experience Supervisor</v>
          </cell>
          <cell r="I1090" t="str">
            <v>مشرف تجربة الزوار</v>
          </cell>
          <cell r="J1090" t="str">
            <v>On-Chart</v>
          </cell>
          <cell r="K1090" t="str">
            <v>DCT Payroll</v>
          </cell>
          <cell r="L1090" t="str">
            <v>A1</v>
          </cell>
          <cell r="M1090" t="str">
            <v>Department of Culture and Tourism</v>
          </cell>
          <cell r="N1090" t="str">
            <v>Culture</v>
          </cell>
          <cell r="O1090" t="str">
            <v>الثقافة</v>
          </cell>
          <cell r="P1090" t="str">
            <v>Culture Festivals &amp; Platforms</v>
          </cell>
          <cell r="Q1090" t="str">
            <v>المهرجانات والمنصات الثقافية</v>
          </cell>
          <cell r="R1090" t="str">
            <v>Bait Al Gahwa Section</v>
          </cell>
          <cell r="S1090" t="str">
            <v>قسم بيت القهوة</v>
          </cell>
          <cell r="T1090" t="str">
            <v/>
          </cell>
          <cell r="U1090" t="str">
            <v/>
          </cell>
          <cell r="V1090" t="str">
            <v>Abu Dhabi</v>
          </cell>
          <cell r="W1090" t="str">
            <v/>
          </cell>
          <cell r="X1090" t="str">
            <v>4511750</v>
          </cell>
          <cell r="Y1090" t="str">
            <v/>
          </cell>
          <cell r="Z1090" t="str">
            <v>Senior Professional</v>
          </cell>
          <cell r="AA1090" t="str">
            <v>3C</v>
          </cell>
        </row>
        <row r="1091">
          <cell r="A1091">
            <v>2145</v>
          </cell>
          <cell r="B1091">
            <v>2145</v>
          </cell>
          <cell r="C1091" t="str">
            <v>A</v>
          </cell>
          <cell r="D1091" t="str">
            <v>Amna Saif Alqemzi</v>
          </cell>
          <cell r="E1091" t="str">
            <v>امنه سيف القمزي</v>
          </cell>
          <cell r="F1091">
            <v>45908</v>
          </cell>
          <cell r="G1091" t="str">
            <v>50002849</v>
          </cell>
          <cell r="H1091" t="str">
            <v>Career Development Specialist</v>
          </cell>
          <cell r="I1091" t="str">
            <v>أخصائي التطوير الوظيفي</v>
          </cell>
          <cell r="J1091" t="str">
            <v>On-Chart</v>
          </cell>
          <cell r="K1091" t="str">
            <v>DCT Payroll</v>
          </cell>
          <cell r="L1091" t="str">
            <v>A1</v>
          </cell>
          <cell r="M1091" t="str">
            <v>Department of Culture and Tourism</v>
          </cell>
          <cell r="N1091" t="str">
            <v>Support Services</v>
          </cell>
          <cell r="O1091" t="str">
            <v>الخدمات المساندة</v>
          </cell>
          <cell r="P1091" t="str">
            <v>People &amp; Performance</v>
          </cell>
          <cell r="Q1091" t="str">
            <v>إدارة الكوادر البشرية والأداء</v>
          </cell>
          <cell r="R1091" t="str">
            <v>Talent Development</v>
          </cell>
          <cell r="S1091" t="str">
            <v>تطوير المواهب</v>
          </cell>
          <cell r="T1091" t="str">
            <v>Career Development</v>
          </cell>
          <cell r="U1091" t="str">
            <v>التطوير الوظيفي</v>
          </cell>
          <cell r="V1091" t="str">
            <v>Abu Dhabi</v>
          </cell>
          <cell r="W1091" t="str">
            <v/>
          </cell>
          <cell r="X1091" t="str">
            <v>4510220</v>
          </cell>
          <cell r="Y1091" t="str">
            <v>Specialization HR</v>
          </cell>
          <cell r="Z1091" t="str">
            <v>Professional</v>
          </cell>
          <cell r="AA1091" t="str">
            <v>4C</v>
          </cell>
        </row>
        <row r="1092">
          <cell r="A1092">
            <v>2146</v>
          </cell>
          <cell r="B1092">
            <v>2146</v>
          </cell>
          <cell r="C1092" t="str">
            <v>A</v>
          </cell>
          <cell r="D1092" t="str">
            <v>Hessa Khalifa Almheiri</v>
          </cell>
          <cell r="E1092" t="str">
            <v>حصه خليفه المهيري</v>
          </cell>
          <cell r="F1092">
            <v>45901</v>
          </cell>
          <cell r="G1092" t="str">
            <v>50004262</v>
          </cell>
          <cell r="H1092" t="str">
            <v>Inspector</v>
          </cell>
          <cell r="I1092" t="str">
            <v>مفتش</v>
          </cell>
          <cell r="J1092" t="str">
            <v>On-Chart</v>
          </cell>
          <cell r="K1092" t="str">
            <v>DCT Payroll</v>
          </cell>
          <cell r="L1092" t="str">
            <v>A1</v>
          </cell>
          <cell r="M1092" t="str">
            <v>Department of Culture and Tourism</v>
          </cell>
          <cell r="N1092" t="str">
            <v>Tourism</v>
          </cell>
          <cell r="O1092" t="str">
            <v>السياحة</v>
          </cell>
          <cell r="P1092" t="str">
            <v>Licensing &amp; Regulatory Compliance</v>
          </cell>
          <cell r="Q1092" t="str">
            <v>الرقابة والترخيص</v>
          </cell>
          <cell r="R1092" t="str">
            <v>Al Ain &amp; Al Dhafra Inspection</v>
          </cell>
          <cell r="S1092" t="str">
            <v>التفتيش لمنطقتي العين والظفرة</v>
          </cell>
          <cell r="T1092" t="str">
            <v>Al Ain Inspection</v>
          </cell>
          <cell r="U1092" t="str">
            <v>وحدة تفتيش منطقة العين</v>
          </cell>
          <cell r="V1092" t="str">
            <v>Al Ain</v>
          </cell>
          <cell r="W1092" t="str">
            <v/>
          </cell>
          <cell r="X1092" t="str">
            <v>4510170</v>
          </cell>
          <cell r="Y1092" t="str">
            <v>Compliance,Governance&amp;Protocol_Licensing &amp; Regulatory Compliance- (Follow-up and Reporting) _Professional Assistant</v>
          </cell>
          <cell r="Z1092" t="str">
            <v>Professional</v>
          </cell>
          <cell r="AA1092" t="str">
            <v>4C</v>
          </cell>
        </row>
        <row r="1093">
          <cell r="A1093">
            <v>2147</v>
          </cell>
          <cell r="B1093">
            <v>2147</v>
          </cell>
          <cell r="C1093" t="str">
            <v>A</v>
          </cell>
          <cell r="D1093" t="str">
            <v>Naser Abdulla Almazrouei</v>
          </cell>
          <cell r="E1093" t="str">
            <v>ناصر عبدالله المزروعي</v>
          </cell>
          <cell r="F1093">
            <v>45901</v>
          </cell>
          <cell r="G1093" t="str">
            <v>10007182</v>
          </cell>
          <cell r="H1093" t="str">
            <v>Publishing Distribution Operations Officer</v>
          </cell>
          <cell r="I1093" t="str">
            <v>ضابط عمليات التوزيع - النشر</v>
          </cell>
          <cell r="J1093" t="str">
            <v>On-Chart</v>
          </cell>
          <cell r="K1093" t="str">
            <v>ALC Direct Hires</v>
          </cell>
          <cell r="L1093" t="str">
            <v>AL1</v>
          </cell>
          <cell r="M1093" t="str">
            <v>Abu Dhabi Arabic Language Centre</v>
          </cell>
          <cell r="N1093" t="str">
            <v>Abu Dhabi Arabic Language Centre</v>
          </cell>
          <cell r="O1093" t="str">
            <v>مركز أبوظبي للغة العربية</v>
          </cell>
          <cell r="P1093" t="str">
            <v>Book Fairs &amp; Events</v>
          </cell>
          <cell r="Q1093" t="str">
            <v>الفعاليات ومعارض الكتب</v>
          </cell>
          <cell r="R1093" t="str">
            <v>-</v>
          </cell>
          <cell r="S1093" t="str">
            <v>-</v>
          </cell>
          <cell r="T1093" t="str">
            <v>Publishing Distribution Operations - ALC</v>
          </cell>
          <cell r="U1093" t="str">
            <v>عمليات التوزيع (النشر)</v>
          </cell>
          <cell r="V1093" t="str">
            <v>Abu Dhabi</v>
          </cell>
          <cell r="W1093" t="str">
            <v/>
          </cell>
          <cell r="X1093" t="str">
            <v>4519200</v>
          </cell>
          <cell r="Y1093" t="str">
            <v>Interpretation &amp; Engagement_Arabic Language Examination _Professional</v>
          </cell>
          <cell r="Z1093" t="str">
            <v>Professional</v>
          </cell>
          <cell r="AA1093" t="str">
            <v>4C</v>
          </cell>
        </row>
        <row r="1094">
          <cell r="A1094">
            <v>2148</v>
          </cell>
          <cell r="B1094">
            <v>2148</v>
          </cell>
          <cell r="C1094" t="str">
            <v>A</v>
          </cell>
          <cell r="D1094" t="str">
            <v>Haya Abdulla Almazrouei</v>
          </cell>
          <cell r="E1094" t="str">
            <v>هيا عبدالله المزروعي</v>
          </cell>
          <cell r="F1094">
            <v>45902</v>
          </cell>
          <cell r="G1094" t="str">
            <v>50003839</v>
          </cell>
          <cell r="H1094" t="str">
            <v>Accounts Payables Unit Head</v>
          </cell>
          <cell r="I1094" t="str">
            <v>رئيس وحدة الحسابات الدائنة</v>
          </cell>
          <cell r="J1094" t="str">
            <v>On-Chart</v>
          </cell>
          <cell r="K1094" t="str">
            <v>DCT Payroll</v>
          </cell>
          <cell r="L1094" t="str">
            <v>A1</v>
          </cell>
          <cell r="M1094" t="str">
            <v>Department of Culture and Tourism</v>
          </cell>
          <cell r="N1094" t="str">
            <v>Support Services</v>
          </cell>
          <cell r="O1094" t="str">
            <v>الخدمات المساندة</v>
          </cell>
          <cell r="P1094" t="str">
            <v>Finance</v>
          </cell>
          <cell r="Q1094" t="str">
            <v>إدارة المالية</v>
          </cell>
          <cell r="R1094" t="str">
            <v>Payables Operations</v>
          </cell>
          <cell r="S1094" t="str">
            <v>عمليات الحسابات الدائنة</v>
          </cell>
          <cell r="T1094" t="str">
            <v>Accounts Payables</v>
          </cell>
          <cell r="U1094" t="str">
            <v>حسابات دائنة</v>
          </cell>
          <cell r="V1094" t="str">
            <v>Abu Dhabi</v>
          </cell>
          <cell r="W1094" t="str">
            <v/>
          </cell>
          <cell r="X1094" t="str">
            <v>4510210</v>
          </cell>
          <cell r="Y1094" t="str">
            <v>Senior Specialization Finance</v>
          </cell>
          <cell r="Z1094" t="str">
            <v>Unit Head</v>
          </cell>
          <cell r="AA1094" t="str">
            <v>3B</v>
          </cell>
        </row>
        <row r="1095">
          <cell r="A1095">
            <v>2149</v>
          </cell>
          <cell r="B1095">
            <v>2149</v>
          </cell>
          <cell r="C1095" t="str">
            <v>A</v>
          </cell>
          <cell r="D1095" t="str">
            <v>Hour Hasan Almarzooqi</v>
          </cell>
          <cell r="E1095" t="str">
            <v>حور حسن المرزوقي</v>
          </cell>
          <cell r="F1095">
            <v>45901</v>
          </cell>
          <cell r="G1095" t="str">
            <v>50003976</v>
          </cell>
          <cell r="H1095" t="str">
            <v>Outreach Senior Specialist</v>
          </cell>
          <cell r="I1095" t="str">
            <v>أخصائي أول التوعية الثقافية</v>
          </cell>
          <cell r="J1095" t="str">
            <v>On-Chart</v>
          </cell>
          <cell r="K1095" t="str">
            <v>DCT Payroll</v>
          </cell>
          <cell r="L1095" t="str">
            <v>A1</v>
          </cell>
          <cell r="M1095" t="str">
            <v>Department of Culture and Tourism</v>
          </cell>
          <cell r="N1095" t="str">
            <v>Culture</v>
          </cell>
          <cell r="O1095" t="str">
            <v>الثقافة</v>
          </cell>
          <cell r="P1095" t="str">
            <v>Education &amp; Outreach</v>
          </cell>
          <cell r="Q1095" t="str">
            <v>التعليم والتوعية الثقافية</v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>Al Ain</v>
          </cell>
          <cell r="W1095" t="str">
            <v/>
          </cell>
          <cell r="X1095" t="str">
            <v>4511800</v>
          </cell>
          <cell r="Y1095" t="str">
            <v>Interpretation &amp; Engagement_Outreach &amp; Cultural Engagement _Senior Professional</v>
          </cell>
          <cell r="Z1095" t="str">
            <v>Senior Professional</v>
          </cell>
          <cell r="AA1095" t="str">
            <v>3C</v>
          </cell>
        </row>
        <row r="1096">
          <cell r="A1096">
            <v>2150</v>
          </cell>
          <cell r="B1096">
            <v>2150</v>
          </cell>
          <cell r="C1096" t="str">
            <v>A</v>
          </cell>
          <cell r="D1096" t="str">
            <v>Metha Naser Alsaeedi</v>
          </cell>
          <cell r="E1096" t="str">
            <v>ميثاء ناصر السعدي</v>
          </cell>
          <cell r="F1096">
            <v>45908</v>
          </cell>
          <cell r="G1096" t="str">
            <v>50004052</v>
          </cell>
          <cell r="H1096" t="str">
            <v>Programming Senior Specialist</v>
          </cell>
          <cell r="I1096" t="str">
            <v>أخصائي أول البرامج</v>
          </cell>
          <cell r="J1096" t="str">
            <v>On-Chart</v>
          </cell>
          <cell r="K1096" t="str">
            <v>DCT Payroll</v>
          </cell>
          <cell r="L1096" t="str">
            <v>A1</v>
          </cell>
          <cell r="M1096" t="str">
            <v>Department of Culture and Tourism</v>
          </cell>
          <cell r="N1096" t="str">
            <v>Culture</v>
          </cell>
          <cell r="O1096" t="str">
            <v>الثقافة</v>
          </cell>
          <cell r="P1096" t="str">
            <v>Culture Sites Management</v>
          </cell>
          <cell r="Q1096" t="str">
            <v>إدارة المواقع الثقافية</v>
          </cell>
          <cell r="R1096" t="str">
            <v>Education and Community Engagement Section</v>
          </cell>
          <cell r="S1096" t="str">
            <v>قسم التعليم والمشاركة المجتمعية</v>
          </cell>
          <cell r="T1096" t="str">
            <v>Programming and Community Engagement Unit</v>
          </cell>
          <cell r="U1096" t="str">
            <v>وحدة البرمجة والمشاركة المجتمعية</v>
          </cell>
          <cell r="V1096" t="str">
            <v>Abu Dhabi</v>
          </cell>
          <cell r="W1096" t="str">
            <v/>
          </cell>
          <cell r="X1096" t="str">
            <v>4511250</v>
          </cell>
          <cell r="Y1096" t="str">
            <v>Compliance,Governance&amp;Protocol_Policy (Culture/Tourism _Senior Professional</v>
          </cell>
          <cell r="Z1096" t="str">
            <v>Senior Professional</v>
          </cell>
          <cell r="AA1096" t="str">
            <v>3C</v>
          </cell>
        </row>
        <row r="1097">
          <cell r="A1097">
            <v>2151</v>
          </cell>
          <cell r="B1097">
            <v>2151</v>
          </cell>
          <cell r="C1097" t="str">
            <v>A</v>
          </cell>
          <cell r="D1097" t="str">
            <v>Ali Nuhail Almansoori</v>
          </cell>
          <cell r="E1097" t="str">
            <v>علي نهيل المنصوري</v>
          </cell>
          <cell r="F1097">
            <v>45915</v>
          </cell>
          <cell r="G1097" t="str">
            <v>50002391</v>
          </cell>
          <cell r="H1097" t="str">
            <v>Strategic Workforce &amp; Emiratization Senior Specialist</v>
          </cell>
          <cell r="I1097" t="str">
            <v>أخصائي اول القوى العاملة الاستراتيجية والتوطين</v>
          </cell>
          <cell r="J1097" t="str">
            <v>On-Chart</v>
          </cell>
          <cell r="K1097" t="str">
            <v>DCT Payroll</v>
          </cell>
          <cell r="L1097" t="str">
            <v>A1</v>
          </cell>
          <cell r="M1097" t="str">
            <v>Department of Culture and Tourism</v>
          </cell>
          <cell r="N1097" t="str">
            <v>Tourism</v>
          </cell>
          <cell r="O1097" t="str">
            <v>السياحة</v>
          </cell>
          <cell r="P1097" t="str">
            <v>Emiratization &amp; Capability Development Office</v>
          </cell>
          <cell r="Q1097" t="str">
            <v>مكتب التوطين وتطوير القدرات</v>
          </cell>
          <cell r="R1097" t="str">
            <v>Sector Emiratization &amp; Capability Development Section</v>
          </cell>
          <cell r="S1097" t="str">
            <v/>
          </cell>
          <cell r="T1097" t="str">
            <v>Strategic Workforce &amp; Emiratization</v>
          </cell>
          <cell r="U1097" t="str">
            <v/>
          </cell>
          <cell r="V1097" t="str">
            <v>Abu Dhabi</v>
          </cell>
          <cell r="W1097" t="str">
            <v/>
          </cell>
          <cell r="X1097" t="str">
            <v>4515020</v>
          </cell>
          <cell r="Y1097" t="str">
            <v>Senior Specialization Strategy &amp; Planning</v>
          </cell>
          <cell r="Z1097" t="str">
            <v>Senior Professional</v>
          </cell>
          <cell r="AA1097" t="str">
            <v>3C</v>
          </cell>
        </row>
        <row r="1098">
          <cell r="A1098">
            <v>2152</v>
          </cell>
          <cell r="B1098">
            <v>2152</v>
          </cell>
          <cell r="C1098" t="str">
            <v>A</v>
          </cell>
          <cell r="D1098" t="str">
            <v>Amna Mohamed Alshaali</v>
          </cell>
          <cell r="E1098" t="str">
            <v>امنه محمد الشعالي</v>
          </cell>
          <cell r="F1098">
            <v>45915</v>
          </cell>
          <cell r="G1098" t="str">
            <v>50000795</v>
          </cell>
          <cell r="H1098" t="str">
            <v>Legal Counsel</v>
          </cell>
          <cell r="I1098" t="str">
            <v>مستشار قانوني</v>
          </cell>
          <cell r="J1098" t="str">
            <v>On-Chart</v>
          </cell>
          <cell r="K1098" t="str">
            <v>DCT Payroll</v>
          </cell>
          <cell r="L1098" t="str">
            <v>A1</v>
          </cell>
          <cell r="M1098" t="str">
            <v>Department of Culture and Tourism</v>
          </cell>
          <cell r="N1098" t="str">
            <v>Legal &amp; Government Affairs</v>
          </cell>
          <cell r="O1098" t="str">
            <v>مكتب وكيل الدائرة</v>
          </cell>
          <cell r="P1098" t="str">
            <v>Legal &amp; Government Affairs</v>
          </cell>
          <cell r="Q1098" t="str">
            <v>الشؤون القانونية والحكومية</v>
          </cell>
          <cell r="R1098" t="str">
            <v>DCT Museums &amp; Affiliates Contracts Advisory</v>
          </cell>
          <cell r="S1098" t="str">
            <v>الاستشارات القانونية لعقود المتاحف والجهات التابعة</v>
          </cell>
          <cell r="T1098" t="str">
            <v/>
          </cell>
          <cell r="U1098" t="str">
            <v/>
          </cell>
          <cell r="V1098" t="str">
            <v>Abu Dhabi</v>
          </cell>
          <cell r="W1098" t="str">
            <v/>
          </cell>
          <cell r="X1098" t="str">
            <v>4510160</v>
          </cell>
          <cell r="Y1098" t="str">
            <v>Senior Specialization Legal</v>
          </cell>
          <cell r="Z1098" t="str">
            <v>Unit Head</v>
          </cell>
          <cell r="AA1098" t="str">
            <v>3C</v>
          </cell>
        </row>
        <row r="1099">
          <cell r="A1099">
            <v>2153</v>
          </cell>
          <cell r="B1099">
            <v>2153</v>
          </cell>
          <cell r="C1099" t="str">
            <v>A</v>
          </cell>
          <cell r="D1099" t="str">
            <v>Asma Mohamed Alawadhi</v>
          </cell>
          <cell r="E1099" t="str">
            <v>أسماء محمد العوضي</v>
          </cell>
          <cell r="F1099">
            <v>45922</v>
          </cell>
          <cell r="G1099" t="str">
            <v>50004117</v>
          </cell>
          <cell r="H1099" t="str">
            <v>Strategic Workforce &amp; Emiratization Senior Specialist</v>
          </cell>
          <cell r="I1099" t="str">
            <v>أخصائي أول في القوى العاملة الاستراتيجية والتوطين</v>
          </cell>
          <cell r="J1099" t="str">
            <v>On-Chart</v>
          </cell>
          <cell r="K1099" t="str">
            <v>DCT Payroll</v>
          </cell>
          <cell r="L1099" t="str">
            <v>A1</v>
          </cell>
          <cell r="M1099" t="str">
            <v>Department of Culture and Tourism</v>
          </cell>
          <cell r="N1099" t="str">
            <v>Tourism</v>
          </cell>
          <cell r="O1099" t="str">
            <v>السياحة</v>
          </cell>
          <cell r="P1099" t="str">
            <v>Emiratization &amp; Capability Development Office</v>
          </cell>
          <cell r="Q1099" t="str">
            <v>مكتب التوطين وتطوير القدرات</v>
          </cell>
          <cell r="R1099" t="str">
            <v>Sector Emiratization &amp; Capability Development Section</v>
          </cell>
          <cell r="S1099" t="str">
            <v/>
          </cell>
          <cell r="T1099" t="str">
            <v>Strategic Workforce &amp; Emiratization</v>
          </cell>
          <cell r="U1099" t="str">
            <v/>
          </cell>
          <cell r="V1099" t="str">
            <v>Abu Dhabi</v>
          </cell>
          <cell r="W1099" t="str">
            <v/>
          </cell>
          <cell r="X1099" t="str">
            <v>4515020</v>
          </cell>
          <cell r="Y1099" t="str">
            <v>Senior Specialization Strategy &amp; Planning</v>
          </cell>
          <cell r="Z1099" t="str">
            <v>Senior Professional</v>
          </cell>
          <cell r="AA1099" t="str">
            <v>3C</v>
          </cell>
        </row>
        <row r="1100">
          <cell r="A1100">
            <v>2154</v>
          </cell>
          <cell r="B1100">
            <v>2154</v>
          </cell>
          <cell r="C1100" t="str">
            <v>A</v>
          </cell>
          <cell r="D1100" t="str">
            <v>Mahra Saif Aldarmki</v>
          </cell>
          <cell r="E1100" t="str">
            <v>مهره سيف الدرمكي</v>
          </cell>
          <cell r="F1100">
            <v>45922</v>
          </cell>
          <cell r="G1100" t="str">
            <v>50004106</v>
          </cell>
          <cell r="H1100" t="str">
            <v>Operations Officer</v>
          </cell>
          <cell r="I1100" t="str">
            <v>ضابط العمليات</v>
          </cell>
          <cell r="J1100" t="str">
            <v>On-Chart</v>
          </cell>
          <cell r="K1100" t="str">
            <v>DCT Payroll</v>
          </cell>
          <cell r="L1100" t="str">
            <v>A1</v>
          </cell>
          <cell r="M1100" t="str">
            <v>Department of Culture and Tourism</v>
          </cell>
          <cell r="N1100" t="str">
            <v>Culture</v>
          </cell>
          <cell r="O1100" t="str">
            <v>الثقافة</v>
          </cell>
          <cell r="P1100" t="str">
            <v>Culture Sites Management</v>
          </cell>
          <cell r="Q1100" t="str">
            <v>إدارة المواقع الثقافية</v>
          </cell>
          <cell r="R1100" t="str">
            <v>Al Ain Operations</v>
          </cell>
          <cell r="S1100" t="str">
            <v>العمليات - العين</v>
          </cell>
          <cell r="T1100" t="str">
            <v>Al Ain Museum Operations Unit</v>
          </cell>
          <cell r="U1100" t="str">
            <v>وحدة عمليات متحف العين</v>
          </cell>
          <cell r="V1100" t="str">
            <v>Al Ain</v>
          </cell>
          <cell r="W1100" t="str">
            <v/>
          </cell>
          <cell r="X1100" t="str">
            <v>4511250</v>
          </cell>
          <cell r="Y1100" t="str">
            <v>Admin &amp; Support_ Administration Coordination &amp; Support
(All Areas)_Professional Assistant</v>
          </cell>
          <cell r="Z1100" t="str">
            <v>Professional Assistant</v>
          </cell>
          <cell r="AA1100" t="str">
            <v>4C</v>
          </cell>
        </row>
        <row r="1101">
          <cell r="A1101">
            <v>2155</v>
          </cell>
          <cell r="B1101">
            <v>2155</v>
          </cell>
          <cell r="C1101" t="str">
            <v>A</v>
          </cell>
          <cell r="D1101" t="str">
            <v>Saba Mohamed Alhadhrami</v>
          </cell>
          <cell r="E1101" t="str">
            <v>سبا محمد الحضرمي</v>
          </cell>
          <cell r="F1101">
            <v>45917</v>
          </cell>
          <cell r="G1101" t="str">
            <v>41000396</v>
          </cell>
          <cell r="H1101" t="str">
            <v>Legal Researcher</v>
          </cell>
          <cell r="I1101" t="str">
            <v>باحث قانوني</v>
          </cell>
          <cell r="J1101" t="str">
            <v>On-Chart</v>
          </cell>
          <cell r="K1101" t="str">
            <v>DCT Payroll</v>
          </cell>
          <cell r="L1101" t="str">
            <v>A1</v>
          </cell>
          <cell r="M1101" t="str">
            <v>Department of Culture and Tourism</v>
          </cell>
          <cell r="N1101" t="str">
            <v>Legal &amp; Government Affairs</v>
          </cell>
          <cell r="O1101" t="str">
            <v>مكتب وكيل الدائرة</v>
          </cell>
          <cell r="P1101" t="str">
            <v>Legal &amp; Government Affairs</v>
          </cell>
          <cell r="Q1101" t="str">
            <v>الشؤون القانونية والحكومية</v>
          </cell>
          <cell r="R1101" t="str">
            <v>Legislation, Litigation &amp; Government Affairs</v>
          </cell>
          <cell r="S1101" t="str">
            <v>التشريعات والتقاضي والشؤون الحكومية</v>
          </cell>
          <cell r="T1101" t="str">
            <v/>
          </cell>
          <cell r="U1101" t="str">
            <v/>
          </cell>
          <cell r="V1101" t="str">
            <v>Abu Dhabi</v>
          </cell>
          <cell r="W1101" t="str">
            <v/>
          </cell>
          <cell r="X1101" t="str">
            <v>4510160</v>
          </cell>
          <cell r="Y1101" t="str">
            <v>Specialization Legal</v>
          </cell>
          <cell r="Z1101" t="str">
            <v>Professional</v>
          </cell>
          <cell r="AA1101" t="str">
            <v>4C</v>
          </cell>
        </row>
        <row r="1102">
          <cell r="A1102">
            <v>2156</v>
          </cell>
          <cell r="B1102">
            <v>2156</v>
          </cell>
          <cell r="C1102" t="str">
            <v>A</v>
          </cell>
          <cell r="D1102" t="str">
            <v>Mohammad Ali Alhosani</v>
          </cell>
          <cell r="E1102" t="str">
            <v>محمد علي الحوسني</v>
          </cell>
          <cell r="F1102">
            <v>45922</v>
          </cell>
          <cell r="G1102" t="str">
            <v>47700400</v>
          </cell>
          <cell r="H1102" t="str">
            <v>Leasing &amp; Tenants Management Specialist</v>
          </cell>
          <cell r="I1102" t="str">
            <v>أخصائي إدارة التأجير والمستأجرين</v>
          </cell>
          <cell r="J1102" t="str">
            <v>On-Chart</v>
          </cell>
          <cell r="K1102" t="str">
            <v>DCT Payroll</v>
          </cell>
          <cell r="L1102" t="str">
            <v>A1</v>
          </cell>
          <cell r="M1102" t="str">
            <v>Department of Culture and Tourism</v>
          </cell>
          <cell r="N1102" t="str">
            <v>Culture</v>
          </cell>
          <cell r="O1102" t="str">
            <v>الثقافة</v>
          </cell>
          <cell r="P1102" t="str">
            <v>Culture Sites Management</v>
          </cell>
          <cell r="Q1102" t="str">
            <v>إدارة المواقع الثقافية</v>
          </cell>
          <cell r="R1102" t="str">
            <v>Commercial Development</v>
          </cell>
          <cell r="S1102" t="str">
            <v>التطوير التجاري</v>
          </cell>
          <cell r="T1102" t="str">
            <v>Leasing &amp; Tenants Management</v>
          </cell>
          <cell r="U1102" t="str">
            <v>إدارة التأجير والمستأجرين</v>
          </cell>
          <cell r="V1102" t="str">
            <v>Abu Dhabi</v>
          </cell>
          <cell r="W1102" t="str">
            <v/>
          </cell>
          <cell r="X1102" t="str">
            <v>4511250</v>
          </cell>
          <cell r="Y1102" t="str">
            <v>Specialization Commercial</v>
          </cell>
          <cell r="Z1102" t="str">
            <v>Professional</v>
          </cell>
          <cell r="AA1102" t="str">
            <v>4C</v>
          </cell>
        </row>
        <row r="1103">
          <cell r="A1103">
            <v>2157</v>
          </cell>
          <cell r="B1103">
            <v>2157</v>
          </cell>
          <cell r="C1103" t="str">
            <v>A</v>
          </cell>
          <cell r="D1103" t="str">
            <v>Moza Ghazwan Habra</v>
          </cell>
          <cell r="E1103" t="str">
            <v>موزه غزوان هبره</v>
          </cell>
          <cell r="F1103">
            <v>45917</v>
          </cell>
          <cell r="G1103" t="str">
            <v>10012016</v>
          </cell>
          <cell r="H1103" t="str">
            <v>Editor</v>
          </cell>
          <cell r="I1103" t="str">
            <v>محرر</v>
          </cell>
          <cell r="J1103" t="str">
            <v>On-Chart</v>
          </cell>
          <cell r="K1103" t="str">
            <v>DCT Payroll</v>
          </cell>
          <cell r="L1103" t="str">
            <v>A1</v>
          </cell>
          <cell r="M1103" t="str">
            <v>Department of Culture and Tourism</v>
          </cell>
          <cell r="N1103" t="str">
            <v>Executive Affairs</v>
          </cell>
          <cell r="O1103" t="str">
            <v>مكتب رئيس الدائرة</v>
          </cell>
          <cell r="P1103" t="str">
            <v>Executive Affairs</v>
          </cell>
          <cell r="Q1103" t="str">
            <v>الشؤون التنفيذية</v>
          </cell>
          <cell r="R1103" t="str">
            <v>Leadership Submissions Section</v>
          </cell>
          <cell r="S1103" t="str">
            <v/>
          </cell>
          <cell r="T1103" t="str">
            <v/>
          </cell>
          <cell r="U1103" t="str">
            <v/>
          </cell>
          <cell r="V1103" t="str">
            <v>Abu Dhabi</v>
          </cell>
          <cell r="W1103" t="str">
            <v/>
          </cell>
          <cell r="X1103" t="str">
            <v>4510011</v>
          </cell>
          <cell r="Y1103" t="str">
            <v>Specialization Visitor Services &amp; Protocol</v>
          </cell>
          <cell r="Z1103" t="str">
            <v>Professional Assistant</v>
          </cell>
          <cell r="AA1103" t="str">
            <v>4C</v>
          </cell>
        </row>
        <row r="1104">
          <cell r="A1104">
            <v>2158</v>
          </cell>
          <cell r="B1104">
            <v>2158</v>
          </cell>
          <cell r="C1104" t="str">
            <v>A</v>
          </cell>
          <cell r="D1104" t="str">
            <v>Lais Methkal Al Zghoul</v>
          </cell>
          <cell r="E1104" t="str">
            <v>ليث مثقال الزغول</v>
          </cell>
          <cell r="F1104">
            <v>45929</v>
          </cell>
          <cell r="G1104" t="str">
            <v>50000597</v>
          </cell>
          <cell r="H1104" t="str">
            <v>Crisis Management &amp; Business Continuity Senior Specialist</v>
          </cell>
          <cell r="I1104" t="str">
            <v>أخصائي أول إدارة الأزمات واستمرارية الأعمال</v>
          </cell>
          <cell r="J1104" t="str">
            <v>On-Chart</v>
          </cell>
          <cell r="K1104" t="str">
            <v>DCT Payroll</v>
          </cell>
          <cell r="L1104" t="str">
            <v>A1</v>
          </cell>
          <cell r="M1104" t="str">
            <v>Department of Culture and Tourism</v>
          </cell>
          <cell r="N1104" t="str">
            <v>Strategic Affairs</v>
          </cell>
          <cell r="O1104" t="str">
            <v>الشؤون الاستراتيجية</v>
          </cell>
          <cell r="P1104" t="str">
            <v>Business Excellence &amp; Continuity</v>
          </cell>
          <cell r="Q1104" t="str">
            <v>التميز المؤسسي واستمرارية الأعمال</v>
          </cell>
          <cell r="R1104" t="str">
            <v>Enterprise Risk Management &amp; Business Continuity</v>
          </cell>
          <cell r="S1104" t="str">
            <v>إدارة المخاطر واستمرارية الأعمال</v>
          </cell>
          <cell r="T1104" t="str">
            <v>Crisis Management and Business Continuity</v>
          </cell>
          <cell r="U1104" t="str">
            <v>إدارة الأزمات واستمرارية الأعمال</v>
          </cell>
          <cell r="V1104" t="str">
            <v>Abu Dhabi</v>
          </cell>
          <cell r="W1104" t="str">
            <v/>
          </cell>
          <cell r="X1104" t="str">
            <v>4512300</v>
          </cell>
          <cell r="Y1104" t="str">
            <v>Strategy, Planning, Project Mgt_Business Excellence &amp; Foresight Planning _Senior Professional</v>
          </cell>
          <cell r="Z1104" t="str">
            <v>Senior Professional</v>
          </cell>
          <cell r="AA1104" t="str">
            <v>3C</v>
          </cell>
        </row>
        <row r="1105">
          <cell r="A1105">
            <v>2160</v>
          </cell>
          <cell r="B1105">
            <v>2160</v>
          </cell>
          <cell r="C1105" t="str">
            <v>A</v>
          </cell>
          <cell r="D1105" t="str">
            <v>Amna Hamad Alsuwaidi</v>
          </cell>
          <cell r="E1105" t="str">
            <v>امنه حمد السوييدي</v>
          </cell>
          <cell r="F1105">
            <v>45929</v>
          </cell>
          <cell r="G1105" t="str">
            <v>50003407</v>
          </cell>
          <cell r="H1105" t="str">
            <v>Finance Business Partner</v>
          </cell>
          <cell r="I1105" t="str">
            <v>شريك الأعمال المالية</v>
          </cell>
          <cell r="J1105" t="str">
            <v>On-Chart</v>
          </cell>
          <cell r="K1105" t="str">
            <v>DCT Payroll</v>
          </cell>
          <cell r="L1105" t="str">
            <v>A1</v>
          </cell>
          <cell r="M1105" t="str">
            <v>Department of Culture and Tourism</v>
          </cell>
          <cell r="N1105" t="str">
            <v>Support Services</v>
          </cell>
          <cell r="O1105" t="str">
            <v>الخدمات المساندة</v>
          </cell>
          <cell r="P1105" t="str">
            <v>Finance</v>
          </cell>
          <cell r="Q1105" t="str">
            <v>إدارة المالية</v>
          </cell>
          <cell r="R1105" t="str">
            <v>Finance Business Partners</v>
          </cell>
          <cell r="S1105" t="str">
            <v>شركاء الأعمال المالية</v>
          </cell>
          <cell r="T1105" t="str">
            <v>Finance Business Partners</v>
          </cell>
          <cell r="U1105" t="str">
            <v>شركاء الأعمال المالية</v>
          </cell>
          <cell r="V1105" t="str">
            <v>Abu Dhabi</v>
          </cell>
          <cell r="W1105" t="str">
            <v/>
          </cell>
          <cell r="X1105" t="str">
            <v>4510210</v>
          </cell>
          <cell r="Y1105" t="str">
            <v>Senior Specialization Finance</v>
          </cell>
          <cell r="Z1105" t="str">
            <v>Senior Professional</v>
          </cell>
          <cell r="AA1105" t="str">
            <v>3C</v>
          </cell>
        </row>
        <row r="1106">
          <cell r="A1106">
            <v>7005</v>
          </cell>
          <cell r="B1106">
            <v>7005</v>
          </cell>
          <cell r="C1106" t="str">
            <v>A</v>
          </cell>
          <cell r="D1106" t="str">
            <v>Manuel Rabate</v>
          </cell>
          <cell r="E1106" t="str">
            <v>مانويل  رباط</v>
          </cell>
          <cell r="F1106">
            <v>42675</v>
          </cell>
          <cell r="G1106" t="str">
            <v>10006081</v>
          </cell>
          <cell r="H1106" t="str">
            <v>Louvre Abu Dhabi Director</v>
          </cell>
          <cell r="I1106" t="str">
            <v>مدير  اللوفر أبوظبي</v>
          </cell>
          <cell r="J1106" t="str">
            <v>On-Chart</v>
          </cell>
          <cell r="K1106" t="str">
            <v>MSS Direct Hires</v>
          </cell>
          <cell r="L1106" t="str">
            <v>M1</v>
          </cell>
          <cell r="M1106" t="str">
            <v>Louvre Abu Dhabi</v>
          </cell>
          <cell r="N1106" t="str">
            <v>Louvre Abu Dhabi</v>
          </cell>
          <cell r="O1106" t="str">
            <v>متحف اللوفر أبوظبي</v>
          </cell>
          <cell r="P1106" t="str">
            <v>Museum’s Director Office</v>
          </cell>
          <cell r="Q1106" t="str">
            <v>مكتب مدير المتحف</v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>Abu Dhabi</v>
          </cell>
          <cell r="W1106" t="str">
            <v/>
          </cell>
          <cell r="X1106" t="str">
            <v>4510121</v>
          </cell>
          <cell r="Y1106" t="str">
            <v>Admin &amp; Support_Support Services Department Head (All)_Director</v>
          </cell>
          <cell r="Z1106" t="str">
            <v>Director</v>
          </cell>
          <cell r="AA1106" t="str">
            <v>1A</v>
          </cell>
        </row>
        <row r="1107">
          <cell r="A1107">
            <v>7011</v>
          </cell>
          <cell r="B1107">
            <v>7011</v>
          </cell>
          <cell r="C1107" t="str">
            <v>A</v>
          </cell>
          <cell r="D1107" t="str">
            <v>Mohammed Omar Al Bahri</v>
          </cell>
          <cell r="E1107" t="str">
            <v>محمد عمر البحري</v>
          </cell>
          <cell r="F1107">
            <v>42795</v>
          </cell>
          <cell r="G1107" t="str">
            <v>47700360</v>
          </cell>
          <cell r="H1107" t="str">
            <v>Employee Relations Senior Specialist</v>
          </cell>
          <cell r="I1107" t="str">
            <v>أخصائي أول شؤون الموظفين</v>
          </cell>
          <cell r="J1107" t="str">
            <v>On-Chart</v>
          </cell>
          <cell r="K1107" t="str">
            <v>DCT Payroll</v>
          </cell>
          <cell r="L1107" t="str">
            <v>A1</v>
          </cell>
          <cell r="M1107" t="str">
            <v>Department of Culture and Tourism</v>
          </cell>
          <cell r="N1107" t="str">
            <v>Support Services</v>
          </cell>
          <cell r="O1107" t="str">
            <v>الخدمات المساندة</v>
          </cell>
          <cell r="P1107" t="str">
            <v>People &amp; Performance</v>
          </cell>
          <cell r="Q1107" t="str">
            <v>إدارة الكوادر البشرية والأداء</v>
          </cell>
          <cell r="R1107" t="str">
            <v>Employee Relations</v>
          </cell>
          <cell r="S1107" t="str">
            <v>شؤون الموظفين</v>
          </cell>
          <cell r="T1107" t="str">
            <v>Employee Relations</v>
          </cell>
          <cell r="U1107" t="str">
            <v>شؤون الموظفين</v>
          </cell>
          <cell r="V1107" t="str">
            <v>Abu Dhabi</v>
          </cell>
          <cell r="W1107" t="str">
            <v/>
          </cell>
          <cell r="X1107" t="str">
            <v>4510220</v>
          </cell>
          <cell r="Y1107" t="str">
            <v>People &amp; Performance _Employee Relations_Senior Professional</v>
          </cell>
          <cell r="Z1107" t="str">
            <v>Senior Professional</v>
          </cell>
          <cell r="AA1107" t="str">
            <v>3A</v>
          </cell>
        </row>
        <row r="1108">
          <cell r="A1108">
            <v>7012</v>
          </cell>
          <cell r="B1108">
            <v>7012</v>
          </cell>
          <cell r="C1108" t="str">
            <v>A</v>
          </cell>
          <cell r="D1108" t="str">
            <v>Tariq Issa Soud Bali</v>
          </cell>
          <cell r="E1108" t="str">
            <v>طارق عيسى بالي</v>
          </cell>
          <cell r="F1108">
            <v>42799</v>
          </cell>
          <cell r="G1108" t="str">
            <v>50002586</v>
          </cell>
          <cell r="H1108" t="str">
            <v>Accounts Receivables Unit Head</v>
          </cell>
          <cell r="I1108" t="str">
            <v>رئيس وحدة الحسابات المستحقة</v>
          </cell>
          <cell r="J1108" t="str">
            <v>On-Chart</v>
          </cell>
          <cell r="K1108" t="str">
            <v>MSS Direct Hires</v>
          </cell>
          <cell r="L1108" t="str">
            <v>M1</v>
          </cell>
          <cell r="M1108" t="str">
            <v>Department of Culture and Tourism</v>
          </cell>
          <cell r="N1108" t="str">
            <v>Museums Shared Services</v>
          </cell>
          <cell r="O1108" t="str">
            <v>الخدمات المشتركة للمتاحف</v>
          </cell>
          <cell r="P1108" t="str">
            <v>Finance - MSS</v>
          </cell>
          <cell r="Q1108" t="str">
            <v>الإدارة المالية - الخدمات المشتركة للمتاحف</v>
          </cell>
          <cell r="R1108" t="str">
            <v>Receivables Operations Section - MSS</v>
          </cell>
          <cell r="S1108" t="str">
            <v>قسم عمليات الحسابات المستحقة</v>
          </cell>
          <cell r="T1108" t="str">
            <v>Accounts Receivables Unit - MSS</v>
          </cell>
          <cell r="U1108" t="str">
            <v>وحدة الحسابات المستحقة</v>
          </cell>
          <cell r="V1108" t="str">
            <v>Abu Dhabi</v>
          </cell>
          <cell r="W1108" t="str">
            <v/>
          </cell>
          <cell r="X1108" t="str">
            <v>4514120</v>
          </cell>
          <cell r="Y1108" t="str">
            <v>Finance_Finance Operations _Unit Head</v>
          </cell>
          <cell r="Z1108" t="str">
            <v>Unit Head</v>
          </cell>
          <cell r="AA1108" t="str">
            <v>3A</v>
          </cell>
        </row>
        <row r="1109">
          <cell r="A1109">
            <v>7013</v>
          </cell>
          <cell r="B1109">
            <v>7013</v>
          </cell>
          <cell r="C1109" t="str">
            <v>A</v>
          </cell>
          <cell r="D1109" t="str">
            <v>Mariam Salem Al Shaer</v>
          </cell>
          <cell r="E1109" t="str">
            <v>مريم سالم الشاعر</v>
          </cell>
          <cell r="F1109">
            <v>42849</v>
          </cell>
          <cell r="G1109" t="str">
            <v>50001504</v>
          </cell>
          <cell r="H1109" t="str">
            <v>Learning &amp; Development Senior Specialist</v>
          </cell>
          <cell r="I1109" t="str">
            <v>أخصائي أول التعليم والتطوير</v>
          </cell>
          <cell r="J1109" t="str">
            <v>On-Chart</v>
          </cell>
          <cell r="K1109" t="str">
            <v>DCT Payroll</v>
          </cell>
          <cell r="L1109" t="str">
            <v>A1</v>
          </cell>
          <cell r="M1109" t="str">
            <v>Department of Culture and Tourism</v>
          </cell>
          <cell r="N1109" t="str">
            <v>Support Services</v>
          </cell>
          <cell r="O1109" t="str">
            <v>الخدمات المساندة</v>
          </cell>
          <cell r="P1109" t="str">
            <v>People &amp; Performance</v>
          </cell>
          <cell r="Q1109" t="str">
            <v>إدارة الكوادر البشرية والأداء</v>
          </cell>
          <cell r="R1109" t="str">
            <v>Talent Development</v>
          </cell>
          <cell r="S1109" t="str">
            <v>تطوير المواهب</v>
          </cell>
          <cell r="T1109" t="str">
            <v>Learning &amp; Development</v>
          </cell>
          <cell r="U1109" t="str">
            <v>التعليم والتطوير</v>
          </cell>
          <cell r="V1109" t="str">
            <v>Abu Dhabi</v>
          </cell>
          <cell r="W1109" t="str">
            <v/>
          </cell>
          <cell r="X1109" t="str">
            <v>4510220</v>
          </cell>
          <cell r="Y1109" t="str">
            <v>People &amp; Performance _Learning, Talent &amp; Capability Development _Senior Professional</v>
          </cell>
          <cell r="Z1109" t="str">
            <v>Senior Professional</v>
          </cell>
          <cell r="AA1109" t="str">
            <v>3A</v>
          </cell>
        </row>
        <row r="1110">
          <cell r="A1110">
            <v>7014</v>
          </cell>
          <cell r="B1110">
            <v>7014</v>
          </cell>
          <cell r="C1110" t="str">
            <v>A</v>
          </cell>
          <cell r="D1110" t="str">
            <v>Maitha Salem Al Busaeedi</v>
          </cell>
          <cell r="E1110" t="str">
            <v>ميثه سالم البوسعيدي</v>
          </cell>
          <cell r="F1110">
            <v>42869</v>
          </cell>
          <cell r="G1110" t="str">
            <v>10005037</v>
          </cell>
          <cell r="H1110" t="str">
            <v>Interpretation Unit Head  (Museums &amp; Exhibitions)</v>
          </cell>
          <cell r="I1110" t="str">
            <v>رئيس وحدة الإرشاد الثقافي (المتاحف والمعارض)</v>
          </cell>
          <cell r="J1110" t="str">
            <v>On-Chart</v>
          </cell>
          <cell r="K1110" t="str">
            <v>DCT Payroll</v>
          </cell>
          <cell r="L1110" t="str">
            <v>A1</v>
          </cell>
          <cell r="M1110" t="str">
            <v>Department of Culture and Tourism</v>
          </cell>
          <cell r="N1110" t="str">
            <v>Culture</v>
          </cell>
          <cell r="O1110" t="str">
            <v>الثقافة</v>
          </cell>
          <cell r="P1110" t="str">
            <v>Education &amp; Outreach</v>
          </cell>
          <cell r="Q1110" t="str">
            <v>التعليم والتوعية الثقافية</v>
          </cell>
          <cell r="R1110" t="str">
            <v>Interpretation - Museums &amp; Exhibitions</v>
          </cell>
          <cell r="S1110" t="str">
            <v>الإرشاد الثقافي - المتاحف والمعارض</v>
          </cell>
          <cell r="T1110" t="str">
            <v>Interpretation (Museums &amp; Exhibitions)</v>
          </cell>
          <cell r="U1110" t="str">
            <v>الإرشاد الثقافي (المتاحف والمعارض)</v>
          </cell>
          <cell r="V1110" t="str">
            <v>Abu Dhabi</v>
          </cell>
          <cell r="W1110" t="str">
            <v/>
          </cell>
          <cell r="X1110" t="str">
            <v>4511800</v>
          </cell>
          <cell r="Y1110" t="str">
            <v>Interpretation &amp; Engagement_Outreach &amp; Cultural Engagement _Unit Head</v>
          </cell>
          <cell r="Z1110" t="str">
            <v>Unit Head</v>
          </cell>
          <cell r="AA1110" t="str">
            <v>3A</v>
          </cell>
        </row>
        <row r="1111">
          <cell r="A1111">
            <v>7016</v>
          </cell>
          <cell r="B1111">
            <v>7016</v>
          </cell>
          <cell r="C1111" t="str">
            <v>A</v>
          </cell>
          <cell r="D1111" t="str">
            <v>Hermali Sotomayor</v>
          </cell>
          <cell r="E1111" t="str">
            <v>هيرمالي كابيل سوتومايور</v>
          </cell>
          <cell r="F1111">
            <v>42878</v>
          </cell>
          <cell r="G1111" t="str">
            <v>10006495</v>
          </cell>
          <cell r="H1111" t="str">
            <v>Business Support Analyst</v>
          </cell>
          <cell r="I1111" t="str">
            <v>محلل اعمال الخدمات المساندة</v>
          </cell>
          <cell r="J1111" t="str">
            <v>On-Chart</v>
          </cell>
          <cell r="K1111" t="str">
            <v>MSS Direct Hires</v>
          </cell>
          <cell r="L1111" t="str">
            <v>M1</v>
          </cell>
          <cell r="M1111" t="str">
            <v>Louvre Abu Dhabi</v>
          </cell>
          <cell r="N1111" t="str">
            <v>Louvre Abu Dhabi</v>
          </cell>
          <cell r="O1111" t="str">
            <v>متحف اللوفر أبوظبي</v>
          </cell>
          <cell r="P1111" t="str">
            <v>Development, Marketing &amp; Communications</v>
          </cell>
          <cell r="Q1111" t="str">
            <v>إدارة التطوير،التسويق والاتصال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>Abu Dhabi</v>
          </cell>
          <cell r="W1111" t="str">
            <v/>
          </cell>
          <cell r="X1111" t="str">
            <v>4510124</v>
          </cell>
          <cell r="Y1111" t="str">
            <v>Comms &amp; Marketing _Marketing &amp; Communications (All)_Professional</v>
          </cell>
          <cell r="Z1111" t="str">
            <v>Professional Assistant</v>
          </cell>
          <cell r="AA1111" t="str">
            <v>4B</v>
          </cell>
        </row>
        <row r="1112">
          <cell r="A1112">
            <v>7019</v>
          </cell>
          <cell r="B1112">
            <v>7019</v>
          </cell>
          <cell r="C1112" t="str">
            <v>A</v>
          </cell>
          <cell r="D1112" t="str">
            <v>Jennifer Castro</v>
          </cell>
          <cell r="E1112" t="str">
            <v>جنيفر  كاسترو</v>
          </cell>
          <cell r="F1112">
            <v>42918</v>
          </cell>
          <cell r="G1112" t="str">
            <v>50002816</v>
          </cell>
          <cell r="H1112" t="str">
            <v>Category Analyst</v>
          </cell>
          <cell r="I1112" t="str">
            <v>محلل فئة المشتريات</v>
          </cell>
          <cell r="J1112" t="str">
            <v>On-Chart</v>
          </cell>
          <cell r="K1112" t="str">
            <v>MSS Direct Hires</v>
          </cell>
          <cell r="L1112" t="str">
            <v>M1</v>
          </cell>
          <cell r="M1112" t="str">
            <v>Department of Culture and Tourism</v>
          </cell>
          <cell r="N1112" t="str">
            <v>Museums Shared Services</v>
          </cell>
          <cell r="O1112" t="str">
            <v>الخدمات المشتركة للمتاحف</v>
          </cell>
          <cell r="P1112" t="str">
            <v>Supply Management - MSS</v>
          </cell>
          <cell r="Q1112" t="str">
            <v>إدارة الإمداد - الخدمات المشتركة للمتاحف</v>
          </cell>
          <cell r="R1112" t="str">
            <v>Business Partner Section</v>
          </cell>
          <cell r="S1112" t="str">
            <v>قسم شركاء أعمال المشتريات</v>
          </cell>
          <cell r="T1112" t="str">
            <v>Category Analyst Unit</v>
          </cell>
          <cell r="U1112" t="str">
            <v>وحدة فئة المشتريات</v>
          </cell>
          <cell r="V1112" t="str">
            <v>Abu Dhabi</v>
          </cell>
          <cell r="W1112" t="str">
            <v/>
          </cell>
          <cell r="X1112" t="str">
            <v>4514160</v>
          </cell>
          <cell r="Y1112" t="str">
            <v>Procurement_Procurement General_Professional</v>
          </cell>
          <cell r="Z1112" t="str">
            <v>Professional</v>
          </cell>
          <cell r="AA1112" t="str">
            <v>5A</v>
          </cell>
        </row>
        <row r="1113">
          <cell r="A1113">
            <v>7020</v>
          </cell>
          <cell r="B1113">
            <v>7020</v>
          </cell>
          <cell r="C1113" t="str">
            <v>A</v>
          </cell>
          <cell r="D1113" t="str">
            <v>Fatima Toufiq Karmostaji</v>
          </cell>
          <cell r="E1113" t="str">
            <v>فاطمة توفيق كرمستجي</v>
          </cell>
          <cell r="F1113">
            <v>42918</v>
          </cell>
          <cell r="G1113" t="str">
            <v>50002158</v>
          </cell>
          <cell r="H1113" t="str">
            <v>Regional PR &amp; Marketing Lead</v>
          </cell>
          <cell r="I1113" t="str">
            <v>تنفيذي رئيسي العلاقات العامة والتسويق الإقليمي</v>
          </cell>
          <cell r="J1113" t="str">
            <v>On-Chart</v>
          </cell>
          <cell r="K1113" t="str">
            <v>DCT Payroll</v>
          </cell>
          <cell r="L1113" t="str">
            <v>A1</v>
          </cell>
          <cell r="M1113" t="str">
            <v>Department of Culture and Tourism</v>
          </cell>
          <cell r="N1113" t="str">
            <v>Tourism</v>
          </cell>
          <cell r="O1113" t="str">
            <v>السياحة</v>
          </cell>
          <cell r="P1113" t="str">
            <v>International Operations</v>
          </cell>
          <cell r="Q1113" t="str">
            <v>العمليات الدولية</v>
          </cell>
          <cell r="R1113" t="str">
            <v>Regional PR &amp; Marketing</v>
          </cell>
          <cell r="S1113" t="str">
            <v>العلاقات العامة والتسويق الإقليمي</v>
          </cell>
          <cell r="T1113" t="str">
            <v/>
          </cell>
          <cell r="U1113" t="str">
            <v/>
          </cell>
          <cell r="V1113" t="str">
            <v>Abu Dhabi</v>
          </cell>
          <cell r="W1113" t="str">
            <v/>
          </cell>
          <cell r="X1113" t="str">
            <v>4515100</v>
          </cell>
          <cell r="Y1113" t="str">
            <v>Compliance,Governance&amp;Protocol_Policy  (Culture &amp; Tourism)_Unit Head</v>
          </cell>
          <cell r="Z1113" t="str">
            <v>Unit Head</v>
          </cell>
          <cell r="AA1113" t="str">
            <v>3A</v>
          </cell>
        </row>
        <row r="1114">
          <cell r="A1114">
            <v>7021</v>
          </cell>
          <cell r="B1114">
            <v>7021</v>
          </cell>
          <cell r="C1114" t="str">
            <v>A</v>
          </cell>
          <cell r="D1114" t="str">
            <v>Salem Obaid Al Ghafli</v>
          </cell>
          <cell r="E1114" t="str">
            <v>سالم عبيد الغفلي عبيد الغفلي</v>
          </cell>
          <cell r="F1114">
            <v>42926</v>
          </cell>
          <cell r="G1114" t="str">
            <v>10006649</v>
          </cell>
          <cell r="H1114" t="str">
            <v>Ticketing Unit Head</v>
          </cell>
          <cell r="I1114" t="str">
            <v>رئيس وحدة التذاكر</v>
          </cell>
          <cell r="J1114" t="str">
            <v>On-Chart</v>
          </cell>
          <cell r="K1114" t="str">
            <v>MSS Direct Hires</v>
          </cell>
          <cell r="L1114" t="str">
            <v>M1</v>
          </cell>
          <cell r="M1114" t="str">
            <v>Louvre Abu Dhabi</v>
          </cell>
          <cell r="N1114" t="str">
            <v>Louvre Abu Dhabi</v>
          </cell>
          <cell r="O1114" t="str">
            <v>متحف اللوفر أبوظبي</v>
          </cell>
          <cell r="P1114" t="str">
            <v>Visitor Experience &amp; Sales</v>
          </cell>
          <cell r="Q1114" t="str">
            <v>إدارة تجربة الزوار و المبيعات</v>
          </cell>
          <cell r="R1114" t="str">
            <v>Sales</v>
          </cell>
          <cell r="S1114" t="str">
            <v>المبيعات</v>
          </cell>
          <cell r="T1114" t="str">
            <v>Visitor Services</v>
          </cell>
          <cell r="U1114" t="str">
            <v>خدمات الزوار</v>
          </cell>
          <cell r="V1114" t="str">
            <v>Abu Dhabi</v>
          </cell>
          <cell r="W1114" t="str">
            <v/>
          </cell>
          <cell r="X1114" t="str">
            <v>4510125</v>
          </cell>
          <cell r="Y1114" t="str">
            <v>Design_Visitor Experience Design_Unit Head</v>
          </cell>
          <cell r="Z1114" t="str">
            <v>Unit Head</v>
          </cell>
          <cell r="AA1114" t="str">
            <v>3A</v>
          </cell>
        </row>
        <row r="1115">
          <cell r="A1115">
            <v>7025</v>
          </cell>
          <cell r="B1115">
            <v>7025</v>
          </cell>
          <cell r="C1115" t="str">
            <v>A</v>
          </cell>
          <cell r="D1115" t="str">
            <v>Amna Obaid Al Zaabi</v>
          </cell>
          <cell r="E1115" t="str">
            <v>آمنة عبيد الزعابي</v>
          </cell>
          <cell r="F1115">
            <v>42948</v>
          </cell>
          <cell r="G1115" t="str">
            <v>50001697</v>
          </cell>
          <cell r="H1115" t="str">
            <v>Senior Visitor Operations Officer</v>
          </cell>
          <cell r="I1115" t="str">
            <v>ضابط أول عمليات الزوار</v>
          </cell>
          <cell r="J1115" t="str">
            <v>On-Chart</v>
          </cell>
          <cell r="K1115" t="str">
            <v>MSS Direct Hires</v>
          </cell>
          <cell r="L1115" t="str">
            <v>M1</v>
          </cell>
          <cell r="M1115" t="str">
            <v>Louvre Abu Dhabi</v>
          </cell>
          <cell r="N1115" t="str">
            <v>Louvre Abu Dhabi</v>
          </cell>
          <cell r="O1115" t="str">
            <v>متحف اللوفر أبوظبي</v>
          </cell>
          <cell r="P1115" t="str">
            <v>Visitor Experience &amp; Sales</v>
          </cell>
          <cell r="Q1115" t="str">
            <v>إدارة تجربة الزوار و المبيعات</v>
          </cell>
          <cell r="R1115" t="str">
            <v>Visitor Operations</v>
          </cell>
          <cell r="S1115" t="str">
            <v>عمليات الزوار</v>
          </cell>
          <cell r="T1115" t="str">
            <v>Visitor Operations</v>
          </cell>
          <cell r="U1115" t="str">
            <v>عمليات الزوار</v>
          </cell>
          <cell r="V1115" t="str">
            <v>Abu Dhabi</v>
          </cell>
          <cell r="W1115" t="str">
            <v/>
          </cell>
          <cell r="X1115" t="str">
            <v>4510125</v>
          </cell>
          <cell r="Y1115" t="str">
            <v>Design_Visitor Experience Design_Senior Professional</v>
          </cell>
          <cell r="Z1115" t="str">
            <v>Senior Professional</v>
          </cell>
          <cell r="AA1115" t="str">
            <v>3B</v>
          </cell>
        </row>
        <row r="1116">
          <cell r="A1116">
            <v>7026</v>
          </cell>
          <cell r="B1116">
            <v>7026</v>
          </cell>
          <cell r="C1116" t="str">
            <v>A</v>
          </cell>
          <cell r="D1116" t="str">
            <v>Mouza Mohamed Al Blooshi</v>
          </cell>
          <cell r="E1116" t="str">
            <v>موزة محمد البلوشي</v>
          </cell>
          <cell r="F1116">
            <v>42948</v>
          </cell>
          <cell r="G1116" t="str">
            <v>50000505</v>
          </cell>
          <cell r="H1116" t="str">
            <v>Handicrafts Development &amp; Quality Senior Specialist</v>
          </cell>
          <cell r="I1116" t="str">
            <v>أخصائي أول تطوير وجودة الحرف اليدوية</v>
          </cell>
          <cell r="J1116" t="str">
            <v>On-Chart</v>
          </cell>
          <cell r="K1116" t="str">
            <v>DCT Payroll</v>
          </cell>
          <cell r="L1116" t="str">
            <v>A1</v>
          </cell>
          <cell r="M1116" t="str">
            <v>Department of Culture and Tourism</v>
          </cell>
          <cell r="N1116" t="str">
            <v>Culture</v>
          </cell>
          <cell r="O1116" t="str">
            <v>الثقافة</v>
          </cell>
          <cell r="P1116" t="str">
            <v>Intangible Cultural Heritage</v>
          </cell>
          <cell r="Q1116" t="str">
            <v>التراث الثقافي المعنوي</v>
          </cell>
          <cell r="R1116" t="str">
            <v>Handicrafts Development</v>
          </cell>
          <cell r="S1116" t="str">
            <v>تطوير الحرف اليدوية</v>
          </cell>
          <cell r="T1116" t="str">
            <v>Handicrafts Development &amp; Quality</v>
          </cell>
          <cell r="U1116" t="str">
            <v>تطوير وجودة الحرف اليدوية</v>
          </cell>
          <cell r="V1116" t="str">
            <v>Abu Dhabi</v>
          </cell>
          <cell r="W1116" t="str">
            <v/>
          </cell>
          <cell r="X1116" t="str">
            <v>4511600</v>
          </cell>
          <cell r="Y1116" t="str">
            <v>Content &amp; Care_World Heritage Sites Planning &amp; Monitoring_Senior Professional</v>
          </cell>
          <cell r="Z1116" t="str">
            <v>Senior Professional</v>
          </cell>
          <cell r="AA1116" t="str">
            <v>3B</v>
          </cell>
        </row>
        <row r="1117">
          <cell r="A1117">
            <v>7028</v>
          </cell>
          <cell r="B1117">
            <v>7028</v>
          </cell>
          <cell r="C1117" t="str">
            <v>A</v>
          </cell>
          <cell r="D1117" t="str">
            <v>Munir A.Y. Moh'd</v>
          </cell>
          <cell r="E1117" t="str">
            <v>منير عدنان محمد</v>
          </cell>
          <cell r="F1117">
            <v>42953</v>
          </cell>
          <cell r="G1117" t="str">
            <v>10006711</v>
          </cell>
          <cell r="H1117" t="str">
            <v>Senior Technical Maintenance Officer</v>
          </cell>
          <cell r="I1117" t="str">
            <v>ضابط أول صيانة تقنية</v>
          </cell>
          <cell r="J1117" t="str">
            <v>On-Chart</v>
          </cell>
          <cell r="K1117" t="str">
            <v>MSS Direct Hires</v>
          </cell>
          <cell r="L1117" t="str">
            <v>M1</v>
          </cell>
          <cell r="M1117" t="str">
            <v>Louvre Abu Dhabi</v>
          </cell>
          <cell r="N1117" t="str">
            <v>Louvre Abu Dhabi</v>
          </cell>
          <cell r="O1117" t="str">
            <v>متحف اللوفر أبوظبي</v>
          </cell>
          <cell r="P1117" t="str">
            <v>Technical Operations</v>
          </cell>
          <cell r="Q1117" t="str">
            <v>العمليات الفنية</v>
          </cell>
          <cell r="R1117" t="str">
            <v>Technical Maintenance &amp; Facilities Management</v>
          </cell>
          <cell r="S1117" t="str">
            <v>الصيانة الفنية وإدارة المرافق</v>
          </cell>
          <cell r="T1117" t="str">
            <v/>
          </cell>
          <cell r="U1117" t="str">
            <v/>
          </cell>
          <cell r="V1117" t="str">
            <v>Abu Dhabi</v>
          </cell>
          <cell r="W1117" t="str">
            <v/>
          </cell>
          <cell r="X1117" t="str">
            <v>4510127</v>
          </cell>
          <cell r="Y1117" t="str">
            <v>Information Technology_Technical Engineering _Senior Professional</v>
          </cell>
          <cell r="Z1117" t="str">
            <v>Senior Professional</v>
          </cell>
          <cell r="AA1117" t="str">
            <v>3A</v>
          </cell>
        </row>
        <row r="1118">
          <cell r="A1118">
            <v>7031</v>
          </cell>
          <cell r="B1118">
            <v>7031</v>
          </cell>
          <cell r="C1118" t="str">
            <v>A</v>
          </cell>
          <cell r="D1118" t="str">
            <v>Amna Rashed Al Zaabi</v>
          </cell>
          <cell r="E1118" t="str">
            <v>آمنة راشد الزعابي</v>
          </cell>
          <cell r="F1118">
            <v>42960</v>
          </cell>
          <cell r="G1118" t="str">
            <v>10006730</v>
          </cell>
          <cell r="H1118" t="str">
            <v>Senior Curatorial Assistant</v>
          </cell>
          <cell r="I1118" t="str">
            <v>مساعد أول أمين متحف</v>
          </cell>
          <cell r="J1118" t="str">
            <v>On-Chart</v>
          </cell>
          <cell r="K1118" t="str">
            <v>MSS Direct Hires</v>
          </cell>
          <cell r="L1118" t="str">
            <v>M1</v>
          </cell>
          <cell r="M1118" t="str">
            <v>Louvre Abu Dhabi</v>
          </cell>
          <cell r="N1118" t="str">
            <v>Louvre Abu Dhabi</v>
          </cell>
          <cell r="O1118" t="str">
            <v>متحف اللوفر أبوظبي</v>
          </cell>
          <cell r="P1118" t="str">
            <v>Scientific, Curatorial &amp; Collection Management</v>
          </cell>
          <cell r="Q1118" t="str">
            <v>إدارة المقتنيات العلمية والتنظيمية</v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>Abu Dhabi</v>
          </cell>
          <cell r="W1118" t="str">
            <v/>
          </cell>
          <cell r="X1118" t="str">
            <v>4510122</v>
          </cell>
          <cell r="Y1118" t="str">
            <v>Content &amp; Care_Curatorial  Management_Senior Professional</v>
          </cell>
          <cell r="Z1118" t="str">
            <v>Senior Professional</v>
          </cell>
          <cell r="AA1118" t="str">
            <v>3A</v>
          </cell>
        </row>
        <row r="1119">
          <cell r="A1119">
            <v>7034</v>
          </cell>
          <cell r="B1119">
            <v>7034</v>
          </cell>
          <cell r="C1119" t="str">
            <v>A</v>
          </cell>
          <cell r="D1119" t="str">
            <v>Amna Hassan Alhammadi</v>
          </cell>
          <cell r="E1119" t="str">
            <v>آمنة حسن الحمادي</v>
          </cell>
          <cell r="F1119">
            <v>42983</v>
          </cell>
          <cell r="G1119" t="str">
            <v>50000673</v>
          </cell>
          <cell r="H1119" t="str">
            <v>Learning &amp; Community Engagement Lead</v>
          </cell>
          <cell r="I1119" t="str">
            <v>أخصائي رئيسي التعليم والمشاركة المجتمعية</v>
          </cell>
          <cell r="J1119" t="str">
            <v>On-Chart</v>
          </cell>
          <cell r="K1119" t="str">
            <v>MSS Direct Hires</v>
          </cell>
          <cell r="L1119" t="str">
            <v>M1</v>
          </cell>
          <cell r="M1119" t="str">
            <v>Department of Culture and Tourism</v>
          </cell>
          <cell r="N1119" t="str">
            <v>Zayed National Museum</v>
          </cell>
          <cell r="O1119" t="str">
            <v>متحف زايد الوطني</v>
          </cell>
          <cell r="P1119" t="str">
            <v>Learning &amp; Public Engagement</v>
          </cell>
          <cell r="Q1119" t="str">
            <v>التعليم والمشاركة المجتمعية</v>
          </cell>
          <cell r="R1119" t="str">
            <v>Learning &amp; Audience Engagement</v>
          </cell>
          <cell r="S1119" t="str">
            <v>التعليم وإشراك الجمهور</v>
          </cell>
          <cell r="T1119" t="str">
            <v/>
          </cell>
          <cell r="U1119" t="str">
            <v/>
          </cell>
          <cell r="V1119" t="str">
            <v>Abu Dhabi</v>
          </cell>
          <cell r="W1119" t="str">
            <v/>
          </cell>
          <cell r="X1119" t="str">
            <v>4510182</v>
          </cell>
          <cell r="Y1119" t="str">
            <v>Interpretation &amp; Engagement_Education &amp; Learning Development &amp;   Engagement(All)_Unit Head</v>
          </cell>
          <cell r="Z1119" t="str">
            <v>Unit Head</v>
          </cell>
          <cell r="AA1119" t="str">
            <v>3A</v>
          </cell>
        </row>
        <row r="1120">
          <cell r="A1120">
            <v>7035</v>
          </cell>
          <cell r="B1120">
            <v>7035</v>
          </cell>
          <cell r="C1120" t="str">
            <v>A</v>
          </cell>
          <cell r="D1120" t="str">
            <v>Mohamed Zaggar</v>
          </cell>
          <cell r="E1120" t="str">
            <v>محمد عثمان زقر</v>
          </cell>
          <cell r="F1120">
            <v>42983</v>
          </cell>
          <cell r="G1120" t="str">
            <v>10006804</v>
          </cell>
          <cell r="H1120" t="str">
            <v>Senior Editor</v>
          </cell>
          <cell r="I1120" t="str">
            <v>محرر أول</v>
          </cell>
          <cell r="J1120" t="str">
            <v>On-Chart</v>
          </cell>
          <cell r="K1120" t="str">
            <v>MSS Direct Hires</v>
          </cell>
          <cell r="L1120" t="str">
            <v>M1</v>
          </cell>
          <cell r="M1120" t="str">
            <v>Louvre Abu Dhabi</v>
          </cell>
          <cell r="N1120" t="str">
            <v>Louvre Abu Dhabi</v>
          </cell>
          <cell r="O1120" t="str">
            <v>متحف اللوفر أبوظبي</v>
          </cell>
          <cell r="P1120" t="str">
            <v>External Affairs, Outreach and Cultural Engagement</v>
          </cell>
          <cell r="Q1120" t="str">
            <v>إدارة الشؤون الخارجية والتواصل، المشاركة الثقافية</v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>Abu Dhabi</v>
          </cell>
          <cell r="W1120" t="str">
            <v/>
          </cell>
          <cell r="X1120" t="str">
            <v>4510123</v>
          </cell>
          <cell r="Y1120" t="str">
            <v>Interpretation &amp; Engagement_Outreach &amp; Cultural Engagement _Senior Professional</v>
          </cell>
          <cell r="Z1120" t="str">
            <v>Senior Professional</v>
          </cell>
          <cell r="AA1120" t="str">
            <v>3A</v>
          </cell>
        </row>
        <row r="1121">
          <cell r="A1121">
            <v>7038</v>
          </cell>
          <cell r="B1121">
            <v>7038</v>
          </cell>
          <cell r="C1121" t="str">
            <v>A</v>
          </cell>
          <cell r="D1121" t="str">
            <v>Lamya Rashed Alnuaimi</v>
          </cell>
          <cell r="E1121" t="str">
            <v>لمياء راشد النعيمي</v>
          </cell>
          <cell r="F1121">
            <v>43002</v>
          </cell>
          <cell r="G1121" t="str">
            <v>10006865</v>
          </cell>
          <cell r="H1121" t="str">
            <v>Development, Marketing &amp; Communications Director</v>
          </cell>
          <cell r="I1121" t="str">
            <v>مدير إدارة التطوير،التسويق والاتصال</v>
          </cell>
          <cell r="J1121" t="str">
            <v>On-Chart</v>
          </cell>
          <cell r="K1121" t="str">
            <v>MSS Direct Hires</v>
          </cell>
          <cell r="L1121" t="str">
            <v>M1</v>
          </cell>
          <cell r="M1121" t="str">
            <v>Louvre Abu Dhabi</v>
          </cell>
          <cell r="N1121" t="str">
            <v>Louvre Abu Dhabi</v>
          </cell>
          <cell r="O1121" t="str">
            <v>متحف اللوفر أبوظبي</v>
          </cell>
          <cell r="P1121" t="str">
            <v>Development, Marketing &amp; Communications</v>
          </cell>
          <cell r="Q1121" t="str">
            <v>إدارة التطوير،التسويق والاتصال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>Abu Dhabi</v>
          </cell>
          <cell r="W1121" t="str">
            <v/>
          </cell>
          <cell r="X1121" t="str">
            <v>4510124</v>
          </cell>
          <cell r="Y1121" t="str">
            <v>Comms &amp; Marketing _Marketing &amp; Communications _Director SP</v>
          </cell>
          <cell r="Z1121" t="str">
            <v>Director</v>
          </cell>
          <cell r="AA1121" t="str">
            <v>1B</v>
          </cell>
        </row>
        <row r="1122">
          <cell r="A1122">
            <v>7040</v>
          </cell>
          <cell r="B1122">
            <v>7040</v>
          </cell>
          <cell r="C1122" t="str">
            <v>A</v>
          </cell>
          <cell r="D1122" t="str">
            <v>Maral Bedoyan</v>
          </cell>
          <cell r="E1122" t="str">
            <v>مرال  بيديان</v>
          </cell>
          <cell r="F1122">
            <v>43009</v>
          </cell>
          <cell r="G1122" t="str">
            <v>10006845</v>
          </cell>
          <cell r="H1122" t="str">
            <v>Education &amp; Learning Resources Manager</v>
          </cell>
          <cell r="I1122" t="str">
            <v>مدير التعليم و التفسير</v>
          </cell>
          <cell r="J1122" t="str">
            <v>On-Chart</v>
          </cell>
          <cell r="K1122" t="str">
            <v>MSS Direct Hires</v>
          </cell>
          <cell r="L1122" t="str">
            <v>M1</v>
          </cell>
          <cell r="M1122" t="str">
            <v>Louvre Abu Dhabi</v>
          </cell>
          <cell r="N1122" t="str">
            <v>Louvre Abu Dhabi</v>
          </cell>
          <cell r="O1122" t="str">
            <v>متحف اللوفر أبوظبي</v>
          </cell>
          <cell r="P1122" t="str">
            <v>External Affairs, Outreach and Cultural Engagement</v>
          </cell>
          <cell r="Q1122" t="str">
            <v>إدارة الشؤون الخارجية والتواصل، المشاركة الثقافية</v>
          </cell>
          <cell r="R1122" t="str">
            <v>Education &amp; Learning Resources</v>
          </cell>
          <cell r="S1122" t="str">
            <v>التعليم والترجمة</v>
          </cell>
          <cell r="T1122" t="str">
            <v/>
          </cell>
          <cell r="U1122" t="str">
            <v/>
          </cell>
          <cell r="V1122" t="str">
            <v>Abu Dhabi</v>
          </cell>
          <cell r="W1122" t="str">
            <v/>
          </cell>
          <cell r="X1122" t="str">
            <v>4510123</v>
          </cell>
          <cell r="Y1122" t="str">
            <v>Interpretation &amp; Engagement_Outreach &amp; Cultural Engagement_Section Manager</v>
          </cell>
          <cell r="Z1122" t="str">
            <v>Section Manager</v>
          </cell>
          <cell r="AA1122" t="str">
            <v>2A</v>
          </cell>
        </row>
        <row r="1123">
          <cell r="A1123">
            <v>7044</v>
          </cell>
          <cell r="B1123">
            <v>7044</v>
          </cell>
          <cell r="C1123" t="str">
            <v>A</v>
          </cell>
          <cell r="D1123" t="str">
            <v>Nada Khader Alaydaroos</v>
          </cell>
          <cell r="E1123" t="str">
            <v>ندى خضر العيدروس</v>
          </cell>
          <cell r="F1123">
            <v>43023</v>
          </cell>
          <cell r="G1123" t="str">
            <v>50000698</v>
          </cell>
          <cell r="H1123" t="str">
            <v>Membership And Individual Giving Unit Head</v>
          </cell>
          <cell r="I1123" t="str">
            <v>رئيس وحدة العضوية والتبرّع الفردي</v>
          </cell>
          <cell r="J1123" t="str">
            <v>On-Chart</v>
          </cell>
          <cell r="K1123" t="str">
            <v>MSS Direct Hires</v>
          </cell>
          <cell r="L1123" t="str">
            <v>M1</v>
          </cell>
          <cell r="M1123" t="str">
            <v>Department of Culture and Tourism</v>
          </cell>
          <cell r="N1123" t="str">
            <v>Zayed National Museum</v>
          </cell>
          <cell r="O1123" t="str">
            <v>متحف زايد الوطني</v>
          </cell>
          <cell r="P1123" t="str">
            <v>Development &amp; Commercial Services</v>
          </cell>
          <cell r="Q1123" t="str">
            <v>التطوير والخدمات التجارية</v>
          </cell>
          <cell r="R1123" t="str">
            <v>Partnerships &amp; Development</v>
          </cell>
          <cell r="S1123" t="str">
            <v>التطوير والشراكات</v>
          </cell>
          <cell r="T1123" t="str">
            <v>Membership and Individual Giving</v>
          </cell>
          <cell r="U1123" t="str">
            <v>العضوية والتبرّع الفردي</v>
          </cell>
          <cell r="V1123" t="str">
            <v>Abu Dhabi</v>
          </cell>
          <cell r="W1123" t="str">
            <v/>
          </cell>
          <cell r="X1123" t="str">
            <v>4510183</v>
          </cell>
          <cell r="Y1123" t="str">
            <v>Senior Specialization Commercial</v>
          </cell>
          <cell r="Z1123" t="str">
            <v>Unit Head</v>
          </cell>
          <cell r="AA1123" t="str">
            <v>3B</v>
          </cell>
        </row>
        <row r="1124">
          <cell r="A1124">
            <v>7045</v>
          </cell>
          <cell r="B1124">
            <v>7045</v>
          </cell>
          <cell r="C1124" t="str">
            <v>A</v>
          </cell>
          <cell r="D1124" t="str">
            <v>Declan Garrett</v>
          </cell>
          <cell r="E1124" t="str">
            <v>دكلان  قاريت</v>
          </cell>
          <cell r="F1124">
            <v>43037</v>
          </cell>
          <cell r="G1124" t="str">
            <v>50002648</v>
          </cell>
          <cell r="H1124" t="str">
            <v>Safety &amp; Security Section Head</v>
          </cell>
          <cell r="I1124" t="str">
            <v>رئيس قسم الصحة والسلامة</v>
          </cell>
          <cell r="J1124" t="str">
            <v>On-Chart</v>
          </cell>
          <cell r="K1124" t="str">
            <v>MSS Direct Hires</v>
          </cell>
          <cell r="L1124" t="str">
            <v>M1</v>
          </cell>
          <cell r="M1124" t="str">
            <v>Louvre Abu Dhabi</v>
          </cell>
          <cell r="N1124" t="str">
            <v>Louvre Abu Dhabi</v>
          </cell>
          <cell r="O1124" t="str">
            <v>متحف اللوفر أبوظبي</v>
          </cell>
          <cell r="P1124" t="str">
            <v>Technical Operations</v>
          </cell>
          <cell r="Q1124" t="str">
            <v>العمليات الفنية</v>
          </cell>
          <cell r="R1124" t="str">
            <v>Safety &amp; Security</v>
          </cell>
          <cell r="S1124" t="str">
            <v>السلامة والأمن</v>
          </cell>
          <cell r="T1124" t="str">
            <v/>
          </cell>
          <cell r="U1124" t="str">
            <v/>
          </cell>
          <cell r="V1124" t="str">
            <v>Abu Dhabi</v>
          </cell>
          <cell r="W1124" t="str">
            <v/>
          </cell>
          <cell r="X1124" t="str">
            <v>4510127</v>
          </cell>
          <cell r="Y1124" t="str">
            <v>Information Technology_Information Security Section Head_Section Head</v>
          </cell>
          <cell r="Z1124" t="str">
            <v>Section Manager</v>
          </cell>
          <cell r="AA1124" t="str">
            <v>2C</v>
          </cell>
        </row>
        <row r="1125">
          <cell r="A1125">
            <v>7047</v>
          </cell>
          <cell r="B1125">
            <v>7047</v>
          </cell>
          <cell r="C1125" t="str">
            <v>A</v>
          </cell>
          <cell r="D1125" t="str">
            <v>Mohammad Abdelqader Abudyak</v>
          </cell>
          <cell r="E1125" t="str">
            <v>محمد عبدالقادر ابودياك</v>
          </cell>
          <cell r="F1125">
            <v>43044</v>
          </cell>
          <cell r="G1125" t="str">
            <v>10007145</v>
          </cell>
          <cell r="H1125" t="str">
            <v>Senior Technical Maintenance Officer</v>
          </cell>
          <cell r="I1125" t="str">
            <v>ضابط أول صيانة تقنية</v>
          </cell>
          <cell r="J1125" t="str">
            <v>On-Chart</v>
          </cell>
          <cell r="K1125" t="str">
            <v>MSS Direct Hires</v>
          </cell>
          <cell r="L1125" t="str">
            <v>M1</v>
          </cell>
          <cell r="M1125" t="str">
            <v>Louvre Abu Dhabi</v>
          </cell>
          <cell r="N1125" t="str">
            <v>Louvre Abu Dhabi</v>
          </cell>
          <cell r="O1125" t="str">
            <v>متحف اللوفر أبوظبي</v>
          </cell>
          <cell r="P1125" t="str">
            <v>Technical Operations</v>
          </cell>
          <cell r="Q1125" t="str">
            <v>العمليات الفنية</v>
          </cell>
          <cell r="R1125" t="str">
            <v>Technical Maintenance &amp; Facilities Management</v>
          </cell>
          <cell r="S1125" t="str">
            <v>الصيانة الفنية وإدارة المرافق</v>
          </cell>
          <cell r="T1125" t="str">
            <v/>
          </cell>
          <cell r="U1125" t="str">
            <v/>
          </cell>
          <cell r="V1125" t="str">
            <v>Abu Dhabi</v>
          </cell>
          <cell r="W1125" t="str">
            <v/>
          </cell>
          <cell r="X1125" t="str">
            <v>4510127</v>
          </cell>
          <cell r="Y1125" t="str">
            <v>Information Technology_Technical Engineering _Senior Professional</v>
          </cell>
          <cell r="Z1125" t="str">
            <v>Senior Professional</v>
          </cell>
          <cell r="AA1125" t="str">
            <v>3A</v>
          </cell>
        </row>
        <row r="1126">
          <cell r="A1126">
            <v>7049</v>
          </cell>
          <cell r="B1126">
            <v>7049</v>
          </cell>
          <cell r="C1126" t="str">
            <v>A</v>
          </cell>
          <cell r="D1126" t="str">
            <v>Alia Fareed Jalabi</v>
          </cell>
          <cell r="E1126" t="str">
            <v>علياء فريد جلبي</v>
          </cell>
          <cell r="F1126">
            <v>43044</v>
          </cell>
          <cell r="G1126" t="str">
            <v>47700186</v>
          </cell>
          <cell r="H1126" t="str">
            <v>Al Marsam Al Hor Specialist</v>
          </cell>
          <cell r="I1126" t="str">
            <v>أخصائي المرسم الحر</v>
          </cell>
          <cell r="J1126" t="str">
            <v>On-Chart</v>
          </cell>
          <cell r="K1126" t="str">
            <v>DCT Payroll</v>
          </cell>
          <cell r="L1126" t="str">
            <v>A1</v>
          </cell>
          <cell r="M1126" t="str">
            <v>Department of Culture and Tourism</v>
          </cell>
          <cell r="N1126" t="str">
            <v>Culture</v>
          </cell>
          <cell r="O1126" t="str">
            <v>الثقافة</v>
          </cell>
          <cell r="P1126" t="str">
            <v>Culture Sites Management</v>
          </cell>
          <cell r="Q1126" t="str">
            <v>إدارة المواقع الثقافية</v>
          </cell>
          <cell r="R1126" t="str">
            <v>Cultural Foundation</v>
          </cell>
          <cell r="S1126" t="str">
            <v>المجمع الثقافي</v>
          </cell>
          <cell r="T1126" t="str">
            <v>Al Marsam Al Hor</v>
          </cell>
          <cell r="U1126" t="str">
            <v>المرسم الحر</v>
          </cell>
          <cell r="V1126" t="str">
            <v>Abu Dhabi</v>
          </cell>
          <cell r="W1126" t="str">
            <v/>
          </cell>
          <cell r="X1126" t="str">
            <v>4511250</v>
          </cell>
          <cell r="Y1126" t="str">
            <v>Compliance,Governance&amp;Protocol_Policy (Culture/Tourism _Senior Professional</v>
          </cell>
          <cell r="Z1126" t="str">
            <v>Professional</v>
          </cell>
          <cell r="AA1126" t="str">
            <v>4A</v>
          </cell>
        </row>
        <row r="1127">
          <cell r="A1127">
            <v>7054</v>
          </cell>
          <cell r="B1127">
            <v>7054</v>
          </cell>
          <cell r="C1127" t="str">
            <v>A</v>
          </cell>
          <cell r="D1127" t="str">
            <v>Amjad Ali Pir Muhammad</v>
          </cell>
          <cell r="E1127" t="str">
            <v>امجاد بير محمد علي</v>
          </cell>
          <cell r="F1127">
            <v>43107</v>
          </cell>
          <cell r="G1127" t="str">
            <v>10007446</v>
          </cell>
          <cell r="H1127" t="str">
            <v>Health &amp; Safety Unit Head</v>
          </cell>
          <cell r="I1127" t="str">
            <v>رئيس وحدة الصحة والسلامة</v>
          </cell>
          <cell r="J1127" t="str">
            <v>On-Chart</v>
          </cell>
          <cell r="K1127" t="str">
            <v>MSS Direct Hires</v>
          </cell>
          <cell r="L1127" t="str">
            <v>M1</v>
          </cell>
          <cell r="M1127" t="str">
            <v>Louvre Abu Dhabi</v>
          </cell>
          <cell r="N1127" t="str">
            <v>Louvre Abu Dhabi</v>
          </cell>
          <cell r="O1127" t="str">
            <v>متحف اللوفر أبوظبي</v>
          </cell>
          <cell r="P1127" t="str">
            <v>Technical Operations</v>
          </cell>
          <cell r="Q1127" t="str">
            <v>العمليات الفنية</v>
          </cell>
          <cell r="R1127" t="str">
            <v>Safety &amp; Security</v>
          </cell>
          <cell r="S1127" t="str">
            <v>السلامة والأمن</v>
          </cell>
          <cell r="T1127" t="str">
            <v>Health &amp; Safety</v>
          </cell>
          <cell r="U1127" t="str">
            <v>الصحة والسلامة</v>
          </cell>
          <cell r="V1127" t="str">
            <v>Abu Dhabi</v>
          </cell>
          <cell r="W1127" t="str">
            <v/>
          </cell>
          <cell r="X1127" t="str">
            <v>4510127</v>
          </cell>
          <cell r="Y1127" t="str">
            <v>Information Technology_IT Operations _Unit Head</v>
          </cell>
          <cell r="Z1127" t="str">
            <v>Unit Head</v>
          </cell>
          <cell r="AA1127" t="str">
            <v>3A</v>
          </cell>
        </row>
        <row r="1128">
          <cell r="A1128">
            <v>7055</v>
          </cell>
          <cell r="B1128">
            <v>7055</v>
          </cell>
          <cell r="C1128" t="str">
            <v>A</v>
          </cell>
          <cell r="D1128" t="str">
            <v>Fakhera Ahmed Alkindi</v>
          </cell>
          <cell r="E1128" t="str">
            <v>فاخرة أحمد الكندي</v>
          </cell>
          <cell r="F1128">
            <v>43102</v>
          </cell>
          <cell r="G1128" t="str">
            <v>10007356</v>
          </cell>
          <cell r="H1128" t="str">
            <v>Senior Curatorial Assistant</v>
          </cell>
          <cell r="I1128" t="str">
            <v>مساعد أمين متحف أول</v>
          </cell>
          <cell r="J1128" t="str">
            <v>On-Chart</v>
          </cell>
          <cell r="K1128" t="str">
            <v>MSS Direct Hires</v>
          </cell>
          <cell r="L1128" t="str">
            <v>M1</v>
          </cell>
          <cell r="M1128" t="str">
            <v>Louvre Abu Dhabi</v>
          </cell>
          <cell r="N1128" t="str">
            <v>Louvre Abu Dhabi</v>
          </cell>
          <cell r="O1128" t="str">
            <v>متحف اللوفر أبوظبي</v>
          </cell>
          <cell r="P1128" t="str">
            <v>Scientific, Curatorial &amp; Collection Management</v>
          </cell>
          <cell r="Q1128" t="str">
            <v>إدارة المقتنيات العلمية والتنظيمية</v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>Abu Dhabi</v>
          </cell>
          <cell r="W1128" t="str">
            <v/>
          </cell>
          <cell r="X1128" t="str">
            <v>4510122</v>
          </cell>
          <cell r="Y1128" t="str">
            <v>Content &amp; Care_Curatorial  Management_Senior Professional</v>
          </cell>
          <cell r="Z1128" t="str">
            <v>Senior Professional</v>
          </cell>
          <cell r="AA1128" t="str">
            <v>3B</v>
          </cell>
        </row>
        <row r="1129">
          <cell r="A1129">
            <v>7057</v>
          </cell>
          <cell r="B1129">
            <v>7057</v>
          </cell>
          <cell r="C1129" t="str">
            <v>A</v>
          </cell>
          <cell r="D1129" t="str">
            <v>Sara Osama Almahmoud</v>
          </cell>
          <cell r="E1129" t="str">
            <v>سارة اسامه ال محمود</v>
          </cell>
          <cell r="F1129">
            <v>43107</v>
          </cell>
          <cell r="G1129" t="str">
            <v>50003905</v>
          </cell>
          <cell r="H1129" t="str">
            <v>Programmes Development Unit Head</v>
          </cell>
          <cell r="I1129" t="str">
            <v>رئيس وحدة تطوير البرامج</v>
          </cell>
          <cell r="J1129" t="str">
            <v>On-Chart</v>
          </cell>
          <cell r="K1129" t="str">
            <v>DCT Payroll</v>
          </cell>
          <cell r="L1129" t="str">
            <v>A1</v>
          </cell>
          <cell r="M1129" t="str">
            <v>Department of Culture and Tourism</v>
          </cell>
          <cell r="N1129" t="str">
            <v>Culture</v>
          </cell>
          <cell r="O1129" t="str">
            <v>الثقافة</v>
          </cell>
          <cell r="P1129" t="str">
            <v>Culture Festivals &amp; Platforms</v>
          </cell>
          <cell r="Q1129" t="str">
            <v>المهرجانات والمنصات الثقافية</v>
          </cell>
          <cell r="R1129" t="str">
            <v>Production &amp; Operations Management</v>
          </cell>
          <cell r="S1129" t="str">
            <v>إدارة الإنتاج والعمليات</v>
          </cell>
          <cell r="T1129" t="str">
            <v>Programmes Development</v>
          </cell>
          <cell r="U1129" t="str">
            <v/>
          </cell>
          <cell r="V1129" t="str">
            <v>Abu Dhabi</v>
          </cell>
          <cell r="W1129" t="str">
            <v/>
          </cell>
          <cell r="X1129" t="str">
            <v>4511750</v>
          </cell>
          <cell r="Y1129" t="str">
            <v>Commercial _Conventions, Exhibitions, Events,Festivals Development &amp; Sales  _Unit Head</v>
          </cell>
          <cell r="Z1129" t="str">
            <v>Unit Head</v>
          </cell>
          <cell r="AA1129" t="str">
            <v>3A</v>
          </cell>
        </row>
        <row r="1130">
          <cell r="A1130">
            <v>7060</v>
          </cell>
          <cell r="B1130">
            <v>7060</v>
          </cell>
          <cell r="C1130" t="str">
            <v>A</v>
          </cell>
          <cell r="D1130" t="str">
            <v>John Anthony Hawkins</v>
          </cell>
          <cell r="E1130" t="str">
            <v>جون انطوني هاوكينز</v>
          </cell>
          <cell r="F1130">
            <v>43128</v>
          </cell>
          <cell r="G1130" t="str">
            <v>50002755</v>
          </cell>
          <cell r="H1130" t="str">
            <v>Technology Help Desk Unit Head</v>
          </cell>
          <cell r="I1130" t="str">
            <v>رئيس وحدة الدعم الفني</v>
          </cell>
          <cell r="J1130" t="str">
            <v>On-Chart</v>
          </cell>
          <cell r="K1130" t="str">
            <v>MSS Direct Hires</v>
          </cell>
          <cell r="L1130" t="str">
            <v>M1</v>
          </cell>
          <cell r="M1130" t="str">
            <v>Department of Culture and Tourism</v>
          </cell>
          <cell r="N1130" t="str">
            <v>Museums Shared Services</v>
          </cell>
          <cell r="O1130" t="str">
            <v>الخدمات المشتركة للمتاحف</v>
          </cell>
          <cell r="P1130" t="str">
            <v>Technology - MSS</v>
          </cell>
          <cell r="Q1130" t="str">
            <v>إدارة التكنولوجيا - الخدمات المشتركة للمتاحف</v>
          </cell>
          <cell r="R1130" t="str">
            <v>Technical Operations Section</v>
          </cell>
          <cell r="S1130" t="str">
            <v>قسم العمليات التقنية</v>
          </cell>
          <cell r="T1130" t="str">
            <v>Technology Help Desk Unit</v>
          </cell>
          <cell r="U1130" t="str">
            <v>وحدة الدعم التقني</v>
          </cell>
          <cell r="V1130" t="str">
            <v>Abu Dhabi</v>
          </cell>
          <cell r="W1130" t="str">
            <v/>
          </cell>
          <cell r="X1130" t="str">
            <v>4514180</v>
          </cell>
          <cell r="Y1130" t="str">
            <v>Information Technology_Desktop Concierge _Unit Head</v>
          </cell>
          <cell r="Z1130" t="str">
            <v>Unit Head</v>
          </cell>
          <cell r="AA1130" t="str">
            <v>3A</v>
          </cell>
        </row>
        <row r="1131">
          <cell r="A1131">
            <v>7064</v>
          </cell>
          <cell r="B1131">
            <v>7064</v>
          </cell>
          <cell r="C1131" t="str">
            <v>A</v>
          </cell>
          <cell r="D1131" t="str">
            <v>Mohamed Muhsen Hanash</v>
          </cell>
          <cell r="E1131" t="str">
            <v>محمد محسن حنش</v>
          </cell>
          <cell r="F1131">
            <v>43142</v>
          </cell>
          <cell r="G1131" t="str">
            <v>50001696</v>
          </cell>
          <cell r="H1131" t="str">
            <v>Senior Security Officer</v>
          </cell>
          <cell r="I1131" t="str">
            <v>ضابط أول أمن</v>
          </cell>
          <cell r="J1131" t="str">
            <v>On-Chart</v>
          </cell>
          <cell r="K1131" t="str">
            <v>MSS Direct Hires</v>
          </cell>
          <cell r="L1131" t="str">
            <v>M1</v>
          </cell>
          <cell r="M1131" t="str">
            <v>Louvre Abu Dhabi</v>
          </cell>
          <cell r="N1131" t="str">
            <v>Louvre Abu Dhabi</v>
          </cell>
          <cell r="O1131" t="str">
            <v>متحف اللوفر أبوظبي</v>
          </cell>
          <cell r="P1131" t="str">
            <v>Technical Operations</v>
          </cell>
          <cell r="Q1131" t="str">
            <v>العمليات الفنية</v>
          </cell>
          <cell r="R1131" t="str">
            <v>Safety &amp; Security</v>
          </cell>
          <cell r="S1131" t="str">
            <v>السلامة والأمن</v>
          </cell>
          <cell r="T1131" t="str">
            <v>Security</v>
          </cell>
          <cell r="U1131" t="str">
            <v>الأمن</v>
          </cell>
          <cell r="V1131" t="str">
            <v>Abu Dhabi</v>
          </cell>
          <cell r="W1131" t="str">
            <v/>
          </cell>
          <cell r="X1131" t="str">
            <v>4510127</v>
          </cell>
          <cell r="Y1131" t="str">
            <v>Information Technology_Security Architect_Senior Professional</v>
          </cell>
          <cell r="Z1131" t="str">
            <v>Senior Professional</v>
          </cell>
          <cell r="AA1131" t="str">
            <v>3B</v>
          </cell>
        </row>
        <row r="1132">
          <cell r="A1132">
            <v>7066</v>
          </cell>
          <cell r="B1132">
            <v>7066</v>
          </cell>
          <cell r="C1132" t="str">
            <v>A</v>
          </cell>
          <cell r="D1132" t="str">
            <v>Loic Prat</v>
          </cell>
          <cell r="E1132" t="str">
            <v>لويك  برات</v>
          </cell>
          <cell r="F1132">
            <v>43163</v>
          </cell>
          <cell r="G1132" t="str">
            <v>10008197</v>
          </cell>
          <cell r="H1132" t="str">
            <v>Collection Management Unit Head.</v>
          </cell>
          <cell r="I1132" t="str">
            <v>رئيس وحدة إدارة المقتنيات</v>
          </cell>
          <cell r="J1132" t="str">
            <v>On-Chart</v>
          </cell>
          <cell r="K1132" t="str">
            <v>MSS Direct Hires</v>
          </cell>
          <cell r="L1132" t="str">
            <v>M1</v>
          </cell>
          <cell r="M1132" t="str">
            <v>Louvre Abu Dhabi</v>
          </cell>
          <cell r="N1132" t="str">
            <v>Louvre Abu Dhabi</v>
          </cell>
          <cell r="O1132" t="str">
            <v>متحف اللوفر أبوظبي</v>
          </cell>
          <cell r="P1132" t="str">
            <v>Scientific, Curatorial &amp; Collection Management</v>
          </cell>
          <cell r="Q1132" t="str">
            <v>إدارة المقتنيات العلمية والتنظيمية</v>
          </cell>
          <cell r="R1132" t="str">
            <v>Museography &amp; Collection Management</v>
          </cell>
          <cell r="S1132" t="str">
            <v>إدارة المجموعات</v>
          </cell>
          <cell r="T1132" t="str">
            <v>Registration &amp; Collection Management</v>
          </cell>
          <cell r="U1132" t="str">
            <v/>
          </cell>
          <cell r="V1132" t="str">
            <v>Abu Dhabi</v>
          </cell>
          <cell r="W1132" t="str">
            <v/>
          </cell>
          <cell r="X1132" t="str">
            <v>4510122</v>
          </cell>
          <cell r="Y1132" t="str">
            <v>Content &amp; Care_Collections Conservation Management_Unit Head</v>
          </cell>
          <cell r="Z1132" t="str">
            <v>Unit Head</v>
          </cell>
          <cell r="AA1132" t="str">
            <v>3A</v>
          </cell>
        </row>
        <row r="1133">
          <cell r="A1133">
            <v>7069</v>
          </cell>
          <cell r="B1133">
            <v>7069</v>
          </cell>
          <cell r="C1133" t="str">
            <v>A</v>
          </cell>
          <cell r="D1133" t="str">
            <v>Amine Kharchach</v>
          </cell>
          <cell r="E1133" t="str">
            <v>أمين  خرشاش</v>
          </cell>
          <cell r="F1133">
            <v>43163</v>
          </cell>
          <cell r="G1133" t="str">
            <v>10007562</v>
          </cell>
          <cell r="H1133" t="str">
            <v>Interpretation &amp; Creative Content Section Head</v>
          </cell>
          <cell r="I1133" t="str">
            <v>مدير التفسير و المحتوى الإبداعي</v>
          </cell>
          <cell r="J1133" t="str">
            <v>On-Chart</v>
          </cell>
          <cell r="K1133" t="str">
            <v>MSS Direct Hires</v>
          </cell>
          <cell r="L1133" t="str">
            <v>M1</v>
          </cell>
          <cell r="M1133" t="str">
            <v>Louvre Abu Dhabi</v>
          </cell>
          <cell r="N1133" t="str">
            <v>Louvre Abu Dhabi</v>
          </cell>
          <cell r="O1133" t="str">
            <v>متحف اللوفر أبوظبي</v>
          </cell>
          <cell r="P1133" t="str">
            <v>External Affairs, Outreach and Cultural Engagement</v>
          </cell>
          <cell r="Q1133" t="str">
            <v>إدارة الشؤون الخارجية والتواصل، المشاركة الثقافية</v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>Abu Dhabi</v>
          </cell>
          <cell r="W1133" t="str">
            <v/>
          </cell>
          <cell r="X1133" t="str">
            <v>4510123</v>
          </cell>
          <cell r="Y1133" t="str">
            <v>Interpretation &amp; Engagement_Outreach &amp; Cultural Engagement_Section Manager</v>
          </cell>
          <cell r="Z1133" t="str">
            <v>Section Manager</v>
          </cell>
          <cell r="AA1133" t="str">
            <v>2A</v>
          </cell>
        </row>
        <row r="1134">
          <cell r="A1134">
            <v>7072</v>
          </cell>
          <cell r="B1134">
            <v>7072</v>
          </cell>
          <cell r="C1134" t="str">
            <v>A</v>
          </cell>
          <cell r="D1134" t="str">
            <v>Ugo Bertoni</v>
          </cell>
          <cell r="E1134" t="str">
            <v>اوجو  برتوني</v>
          </cell>
          <cell r="F1134">
            <v>43198</v>
          </cell>
          <cell r="G1134" t="str">
            <v>10008199</v>
          </cell>
          <cell r="H1134" t="str">
            <v>External Affairs, Outreach and Cultural Engagement Director</v>
          </cell>
          <cell r="I1134" t="str">
            <v>مدير إدارة الشؤون الخارجية والتواصل، المشاركة الثقافية</v>
          </cell>
          <cell r="J1134" t="str">
            <v>On-Chart</v>
          </cell>
          <cell r="K1134" t="str">
            <v>MSS Direct Hires</v>
          </cell>
          <cell r="L1134" t="str">
            <v>M1</v>
          </cell>
          <cell r="M1134" t="str">
            <v>Louvre Abu Dhabi</v>
          </cell>
          <cell r="N1134" t="str">
            <v>Louvre Abu Dhabi</v>
          </cell>
          <cell r="O1134" t="str">
            <v>متحف اللوفر أبوظبي</v>
          </cell>
          <cell r="P1134" t="str">
            <v>External Affairs, Outreach and Cultural Engagement</v>
          </cell>
          <cell r="Q1134" t="str">
            <v>إدارة الشؤون الخارجية والتواصل، المشاركة الثقافية</v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>Abu Dhabi</v>
          </cell>
          <cell r="W1134" t="str">
            <v/>
          </cell>
          <cell r="X1134" t="str">
            <v>4510123</v>
          </cell>
          <cell r="Y1134" t="str">
            <v>Stakeholder &amp; Partner Relations_External Affairs, Outreach and Cultural Engagement Director</v>
          </cell>
          <cell r="Z1134" t="str">
            <v>Director</v>
          </cell>
          <cell r="AA1134" t="str">
            <v>1B</v>
          </cell>
        </row>
        <row r="1135">
          <cell r="A1135">
            <v>7075</v>
          </cell>
          <cell r="B1135">
            <v>7075</v>
          </cell>
          <cell r="C1135" t="str">
            <v>A</v>
          </cell>
          <cell r="D1135" t="str">
            <v>Halima Kourrate</v>
          </cell>
          <cell r="E1135" t="str">
            <v>حليمة  كراة</v>
          </cell>
          <cell r="F1135">
            <v>43212</v>
          </cell>
          <cell r="G1135" t="str">
            <v>50003578</v>
          </cell>
          <cell r="H1135" t="str">
            <v>Document Controller</v>
          </cell>
          <cell r="I1135" t="str">
            <v>مراقب وثائق</v>
          </cell>
          <cell r="J1135" t="str">
            <v>On-Chart</v>
          </cell>
          <cell r="K1135" t="str">
            <v>DCT Payroll</v>
          </cell>
          <cell r="L1135" t="str">
            <v>A1</v>
          </cell>
          <cell r="M1135" t="str">
            <v>Department of Culture and Tourism</v>
          </cell>
          <cell r="N1135" t="str">
            <v>Legal &amp; Government Affairs</v>
          </cell>
          <cell r="O1135" t="str">
            <v>مكتب وكيل الدائرة</v>
          </cell>
          <cell r="P1135" t="str">
            <v>Legal &amp; Government Affairs</v>
          </cell>
          <cell r="Q1135" t="str">
            <v>الشؤون القانونية والحكومية</v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>Abu Dhabi</v>
          </cell>
          <cell r="W1135" t="str">
            <v/>
          </cell>
          <cell r="X1135" t="str">
            <v>4510160</v>
          </cell>
          <cell r="Y1135" t="str">
            <v/>
          </cell>
          <cell r="Z1135" t="str">
            <v>Professional</v>
          </cell>
          <cell r="AA1135" t="str">
            <v>4B</v>
          </cell>
        </row>
        <row r="1136">
          <cell r="A1136">
            <v>7078</v>
          </cell>
          <cell r="B1136">
            <v>7078</v>
          </cell>
          <cell r="C1136" t="str">
            <v>A</v>
          </cell>
          <cell r="D1136" t="str">
            <v>Joelle Gerges</v>
          </cell>
          <cell r="E1136" t="str">
            <v>جويل  جرجس</v>
          </cell>
          <cell r="F1136">
            <v>43226</v>
          </cell>
          <cell r="G1136" t="str">
            <v>10008309</v>
          </cell>
          <cell r="H1136" t="str">
            <v>Business Support Analyst</v>
          </cell>
          <cell r="I1136" t="str">
            <v>محلل اعمال الخدمات المساندة</v>
          </cell>
          <cell r="J1136" t="str">
            <v>On-Chart</v>
          </cell>
          <cell r="K1136" t="str">
            <v>MSS Direct Hires</v>
          </cell>
          <cell r="L1136" t="str">
            <v>M1</v>
          </cell>
          <cell r="M1136" t="str">
            <v>Louvre Abu Dhabi</v>
          </cell>
          <cell r="N1136" t="str">
            <v>Louvre Abu Dhabi</v>
          </cell>
          <cell r="O1136" t="str">
            <v>متحف اللوفر أبوظبي</v>
          </cell>
          <cell r="P1136" t="str">
            <v>Scientific, Curatorial &amp; Collection Management</v>
          </cell>
          <cell r="Q1136" t="str">
            <v>إدارة المقتنيات العلمية والتنظيمية</v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>Abu Dhabi</v>
          </cell>
          <cell r="W1136" t="str">
            <v/>
          </cell>
          <cell r="X1136" t="str">
            <v>4510122</v>
          </cell>
          <cell r="Y1136" t="str">
            <v>Content &amp; Care_Researcher (All)_Professional</v>
          </cell>
          <cell r="Z1136" t="str">
            <v>Professional Assistant</v>
          </cell>
          <cell r="AA1136" t="str">
            <v>4B</v>
          </cell>
        </row>
        <row r="1137">
          <cell r="A1137">
            <v>7083</v>
          </cell>
          <cell r="B1137">
            <v>7083</v>
          </cell>
          <cell r="C1137" t="str">
            <v>A</v>
          </cell>
          <cell r="D1137" t="str">
            <v>Olatunji Gbadamosi</v>
          </cell>
          <cell r="E1137" t="str">
            <v>اولاتونجي  جيباداموسى</v>
          </cell>
          <cell r="F1137">
            <v>43263</v>
          </cell>
          <cell r="G1137" t="str">
            <v>10009554</v>
          </cell>
          <cell r="H1137" t="str">
            <v>Projects Unit Head</v>
          </cell>
          <cell r="I1137" t="str">
            <v>رئيس وحدة المشاريع</v>
          </cell>
          <cell r="J1137" t="str">
            <v>On-Chart</v>
          </cell>
          <cell r="K1137" t="str">
            <v>MSS Direct Hires</v>
          </cell>
          <cell r="L1137" t="str">
            <v>M1</v>
          </cell>
          <cell r="M1137" t="str">
            <v>Louvre Abu Dhabi</v>
          </cell>
          <cell r="N1137" t="str">
            <v>Louvre Abu Dhabi</v>
          </cell>
          <cell r="O1137" t="str">
            <v>متحف اللوفر أبوظبي</v>
          </cell>
          <cell r="P1137" t="str">
            <v>Technical Operations</v>
          </cell>
          <cell r="Q1137" t="str">
            <v>العمليات الفنية</v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>Abu Dhabi</v>
          </cell>
          <cell r="W1137" t="str">
            <v/>
          </cell>
          <cell r="X1137" t="str">
            <v>4510127</v>
          </cell>
          <cell r="Y1137" t="str">
            <v>Information Technology_IT Operations _Unit Head</v>
          </cell>
          <cell r="Z1137" t="str">
            <v>Unit Head</v>
          </cell>
          <cell r="AA1137" t="str">
            <v>3A</v>
          </cell>
        </row>
        <row r="1138">
          <cell r="A1138">
            <v>7087</v>
          </cell>
          <cell r="B1138">
            <v>7087</v>
          </cell>
          <cell r="C1138" t="str">
            <v>A</v>
          </cell>
          <cell r="D1138" t="str">
            <v>Guilhem Andre</v>
          </cell>
          <cell r="E1138" t="str">
            <v>جويلهم فردريك اندر</v>
          </cell>
          <cell r="F1138">
            <v>43313</v>
          </cell>
          <cell r="G1138" t="str">
            <v>50002482</v>
          </cell>
          <cell r="H1138" t="str">
            <v>Scientific Curatorial &amp; Collection Management Director</v>
          </cell>
          <cell r="I1138" t="str">
            <v>مدير إدارة المقتنيات الفنية، أمناء المتحف والبحث العلمي</v>
          </cell>
          <cell r="J1138" t="str">
            <v>On-Chart</v>
          </cell>
          <cell r="K1138" t="str">
            <v>MSS Direct Hires</v>
          </cell>
          <cell r="L1138" t="str">
            <v>M1</v>
          </cell>
          <cell r="M1138" t="str">
            <v>Louvre Abu Dhabi</v>
          </cell>
          <cell r="N1138" t="str">
            <v>Louvre Abu Dhabi</v>
          </cell>
          <cell r="O1138" t="str">
            <v>متحف اللوفر أبوظبي</v>
          </cell>
          <cell r="P1138" t="str">
            <v>Scientific, Curatorial &amp; Collection Management</v>
          </cell>
          <cell r="Q1138" t="str">
            <v>إدارة المقتنيات العلمية والتنظيمية</v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>Abu Dhabi</v>
          </cell>
          <cell r="W1138" t="str">
            <v/>
          </cell>
          <cell r="X1138" t="str">
            <v>4510122</v>
          </cell>
          <cell r="Y1138" t="str">
            <v>Content &amp; Care_Curatorial &amp; Collections Management _Director</v>
          </cell>
          <cell r="Z1138" t="str">
            <v>Director</v>
          </cell>
          <cell r="AA1138" t="str">
            <v>1C</v>
          </cell>
        </row>
        <row r="1139">
          <cell r="A1139">
            <v>7094</v>
          </cell>
          <cell r="B1139">
            <v>7094</v>
          </cell>
          <cell r="C1139" t="str">
            <v>A</v>
          </cell>
          <cell r="D1139" t="str">
            <v>Elsa Bourguignon</v>
          </cell>
          <cell r="E1139" t="str">
            <v>إلسا  بورجوينون</v>
          </cell>
          <cell r="F1139">
            <v>43327</v>
          </cell>
          <cell r="G1139" t="str">
            <v>10009721</v>
          </cell>
          <cell r="H1139" t="str">
            <v>Research Lab Unit Head</v>
          </cell>
          <cell r="I1139" t="str">
            <v>رئيس وحدة مختبر البحوث</v>
          </cell>
          <cell r="J1139" t="str">
            <v>On-Chart</v>
          </cell>
          <cell r="K1139" t="str">
            <v>MSS Direct Hires</v>
          </cell>
          <cell r="L1139" t="str">
            <v>M1</v>
          </cell>
          <cell r="M1139" t="str">
            <v>Louvre Abu Dhabi</v>
          </cell>
          <cell r="N1139" t="str">
            <v>Louvre Abu Dhabi</v>
          </cell>
          <cell r="O1139" t="str">
            <v>متحف اللوفر أبوظبي</v>
          </cell>
          <cell r="P1139" t="str">
            <v>Scientific, Curatorial &amp; Collection Management</v>
          </cell>
          <cell r="Q1139" t="str">
            <v>إدارة المقتنيات العلمية والتنظيمية</v>
          </cell>
          <cell r="R1139" t="str">
            <v>Research &amp; Documentation</v>
          </cell>
          <cell r="S1139" t="str">
            <v/>
          </cell>
          <cell r="T1139" t="str">
            <v>Research Lab</v>
          </cell>
          <cell r="U1139" t="str">
            <v/>
          </cell>
          <cell r="V1139" t="str">
            <v>Abu Dhabi</v>
          </cell>
          <cell r="W1139" t="str">
            <v/>
          </cell>
          <cell r="X1139" t="str">
            <v>4510122</v>
          </cell>
          <cell r="Y1139" t="str">
            <v>Content &amp; Care_Research (All)_Unit Head</v>
          </cell>
          <cell r="Z1139" t="str">
            <v>Unit Head</v>
          </cell>
          <cell r="AA1139" t="str">
            <v>3A</v>
          </cell>
        </row>
        <row r="1140">
          <cell r="A1140">
            <v>7097</v>
          </cell>
          <cell r="B1140">
            <v>7097</v>
          </cell>
          <cell r="C1140" t="str">
            <v>A</v>
          </cell>
          <cell r="D1140" t="str">
            <v>Buthayna Abdulkarim Albastaki</v>
          </cell>
          <cell r="E1140" t="str">
            <v>بثينة عبدالكريم البستكي</v>
          </cell>
          <cell r="F1140">
            <v>43345</v>
          </cell>
          <cell r="G1140" t="str">
            <v>10009725</v>
          </cell>
          <cell r="H1140" t="str">
            <v>Senior Museography Project Officer</v>
          </cell>
          <cell r="I1140" t="str">
            <v>ضابط أول مشاريع المعارض والإعارات الفنية</v>
          </cell>
          <cell r="J1140" t="str">
            <v>On-Chart</v>
          </cell>
          <cell r="K1140" t="str">
            <v>MSS Direct Hires</v>
          </cell>
          <cell r="L1140" t="str">
            <v>M1</v>
          </cell>
          <cell r="M1140" t="str">
            <v>Louvre Abu Dhabi</v>
          </cell>
          <cell r="N1140" t="str">
            <v>Louvre Abu Dhabi</v>
          </cell>
          <cell r="O1140" t="str">
            <v>متحف اللوفر أبوظبي</v>
          </cell>
          <cell r="P1140" t="str">
            <v>Scientific, Curatorial &amp; Collection Management</v>
          </cell>
          <cell r="Q1140" t="str">
            <v>إدارة المقتنيات العلمية والتنظيمية</v>
          </cell>
          <cell r="R1140" t="str">
            <v>Museography &amp; Collection Management</v>
          </cell>
          <cell r="S1140" t="str">
            <v>إدارة المجموعات</v>
          </cell>
          <cell r="T1140" t="str">
            <v>Museographic Exhibitions</v>
          </cell>
          <cell r="U1140" t="str">
            <v/>
          </cell>
          <cell r="V1140" t="str">
            <v>Abu Dhabi</v>
          </cell>
          <cell r="W1140" t="str">
            <v/>
          </cell>
          <cell r="X1140" t="str">
            <v>4510122</v>
          </cell>
          <cell r="Y1140" t="str">
            <v>Content &amp; Care_Museography  Management _Senior Professional</v>
          </cell>
          <cell r="Z1140" t="str">
            <v>Senior Professional</v>
          </cell>
          <cell r="AA1140" t="str">
            <v>3B</v>
          </cell>
        </row>
        <row r="1141">
          <cell r="A1141">
            <v>7099</v>
          </cell>
          <cell r="B1141">
            <v>7099</v>
          </cell>
          <cell r="C1141" t="str">
            <v>A</v>
          </cell>
          <cell r="D1141" t="str">
            <v>Nawar Omar Belshalat</v>
          </cell>
          <cell r="E1141" t="str">
            <v>نوار عمر بالشالات</v>
          </cell>
          <cell r="F1141">
            <v>43352</v>
          </cell>
          <cell r="G1141" t="str">
            <v>10009753</v>
          </cell>
          <cell r="H1141" t="str">
            <v>Strategy Manager</v>
          </cell>
          <cell r="I1141" t="str">
            <v>مدير الاستراتيجية</v>
          </cell>
          <cell r="J1141" t="str">
            <v>On-Chart</v>
          </cell>
          <cell r="K1141" t="str">
            <v>MSS Direct Hires</v>
          </cell>
          <cell r="L1141" t="str">
            <v>M1</v>
          </cell>
          <cell r="M1141" t="str">
            <v>Louvre Abu Dhabi</v>
          </cell>
          <cell r="N1141" t="str">
            <v>Louvre Abu Dhabi</v>
          </cell>
          <cell r="O1141" t="str">
            <v>متحف اللوفر أبوظبي</v>
          </cell>
          <cell r="P1141" t="str">
            <v>Museum’s Director Office</v>
          </cell>
          <cell r="Q1141" t="str">
            <v>مكتب مدير المتحف</v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>Abu Dhabi</v>
          </cell>
          <cell r="W1141" t="str">
            <v/>
          </cell>
          <cell r="X1141" t="str">
            <v>4510121</v>
          </cell>
          <cell r="Y1141" t="str">
            <v>Strategy, Planning, Project Mgt_Operational Planning &amp; Project Management _Section Head</v>
          </cell>
          <cell r="Z1141" t="str">
            <v>Section Manager</v>
          </cell>
          <cell r="AA1141" t="str">
            <v>2A</v>
          </cell>
        </row>
        <row r="1142">
          <cell r="A1142">
            <v>7100</v>
          </cell>
          <cell r="B1142">
            <v>7100</v>
          </cell>
          <cell r="C1142" t="str">
            <v>A</v>
          </cell>
          <cell r="D1142" t="str">
            <v>Fatima Hashim Aljaberi</v>
          </cell>
          <cell r="E1142" t="str">
            <v>فاطمة هاشم الجابري</v>
          </cell>
          <cell r="F1142">
            <v>43359</v>
          </cell>
          <cell r="G1142" t="str">
            <v>50002837</v>
          </cell>
          <cell r="H1142" t="str">
            <v>Sourcing Senior Specialist</v>
          </cell>
          <cell r="I1142" t="str">
            <v>أخصائي أول التوريد</v>
          </cell>
          <cell r="J1142" t="str">
            <v>On-Chart</v>
          </cell>
          <cell r="K1142" t="str">
            <v>MSS Direct Hires</v>
          </cell>
          <cell r="L1142" t="str">
            <v>M1</v>
          </cell>
          <cell r="M1142" t="str">
            <v>Department of Culture and Tourism</v>
          </cell>
          <cell r="N1142" t="str">
            <v>Museums Shared Services</v>
          </cell>
          <cell r="O1142" t="str">
            <v>الخدمات المشتركة للمتاحف</v>
          </cell>
          <cell r="P1142" t="str">
            <v>Supply Management - MSS</v>
          </cell>
          <cell r="Q1142" t="str">
            <v>إدارة الإمداد - الخدمات المشتركة للمتاحف</v>
          </cell>
          <cell r="R1142" t="str">
            <v>Supply Management Operations Section</v>
          </cell>
          <cell r="S1142" t="str">
            <v>قسم عمليات إدارة الإمداد</v>
          </cell>
          <cell r="T1142" t="str">
            <v>Sourcing Unit</v>
          </cell>
          <cell r="U1142" t="str">
            <v>وحدة التوريد</v>
          </cell>
          <cell r="V1142" t="str">
            <v>Abu Dhabi</v>
          </cell>
          <cell r="W1142" t="str">
            <v/>
          </cell>
          <cell r="X1142" t="str">
            <v>4514160</v>
          </cell>
          <cell r="Y1142" t="str">
            <v>Procurement_Procurement General_Senior Professional</v>
          </cell>
          <cell r="Z1142" t="str">
            <v>Senior Professional</v>
          </cell>
          <cell r="AA1142" t="str">
            <v>3A</v>
          </cell>
        </row>
        <row r="1143">
          <cell r="A1143">
            <v>7101</v>
          </cell>
          <cell r="B1143">
            <v>7101</v>
          </cell>
          <cell r="C1143" t="str">
            <v>A</v>
          </cell>
          <cell r="D1143" t="str">
            <v>Mohamed Abbas Al  Alawi</v>
          </cell>
          <cell r="E1143" t="str">
            <v>محمد عباس العلوي</v>
          </cell>
          <cell r="F1143">
            <v>43374</v>
          </cell>
          <cell r="G1143" t="str">
            <v>10011496</v>
          </cell>
          <cell r="H1143" t="str">
            <v>Hard FM Unit Head</v>
          </cell>
          <cell r="I1143" t="str">
            <v>رئيس وحدة إدارة المرافق الصلبة</v>
          </cell>
          <cell r="J1143" t="str">
            <v>On-Chart</v>
          </cell>
          <cell r="K1143" t="str">
            <v>MSS Direct Hires</v>
          </cell>
          <cell r="L1143" t="str">
            <v>M1</v>
          </cell>
          <cell r="M1143" t="str">
            <v>Louvre Abu Dhabi</v>
          </cell>
          <cell r="N1143" t="str">
            <v>Louvre Abu Dhabi</v>
          </cell>
          <cell r="O1143" t="str">
            <v>متحف اللوفر أبوظبي</v>
          </cell>
          <cell r="P1143" t="str">
            <v>Technical Operations</v>
          </cell>
          <cell r="Q1143" t="str">
            <v>العمليات الفنية</v>
          </cell>
          <cell r="R1143" t="str">
            <v>Technical Maintenance &amp; Facilities Management</v>
          </cell>
          <cell r="S1143" t="str">
            <v>الصيانة الفنية وإدارة المرافق</v>
          </cell>
          <cell r="T1143" t="str">
            <v/>
          </cell>
          <cell r="U1143" t="str">
            <v/>
          </cell>
          <cell r="V1143" t="str">
            <v>Abu Dhabi</v>
          </cell>
          <cell r="W1143" t="str">
            <v/>
          </cell>
          <cell r="X1143" t="str">
            <v>4510127</v>
          </cell>
          <cell r="Y1143" t="str">
            <v>Information Technology_IT Operations _Unit Head</v>
          </cell>
          <cell r="Z1143" t="str">
            <v>Unit Head</v>
          </cell>
          <cell r="AA1143" t="str">
            <v>3A</v>
          </cell>
        </row>
        <row r="1144">
          <cell r="A1144">
            <v>7102</v>
          </cell>
          <cell r="B1144">
            <v>7102</v>
          </cell>
          <cell r="C1144" t="str">
            <v>A</v>
          </cell>
          <cell r="D1144" t="str">
            <v>Nuha Jamal Al Ashhab</v>
          </cell>
          <cell r="E1144" t="str">
            <v>نهى جمال الأشهب</v>
          </cell>
          <cell r="F1144">
            <v>43376</v>
          </cell>
          <cell r="G1144" t="str">
            <v>10009896</v>
          </cell>
          <cell r="H1144" t="str">
            <v>Development &amp; Partnership Officer</v>
          </cell>
          <cell r="I1144" t="str">
            <v>ضابط التطوير والشراكات</v>
          </cell>
          <cell r="J1144" t="str">
            <v>On-Chart</v>
          </cell>
          <cell r="K1144" t="str">
            <v>MSS Direct Hires</v>
          </cell>
          <cell r="L1144" t="str">
            <v>M1</v>
          </cell>
          <cell r="M1144" t="str">
            <v>Louvre Abu Dhabi</v>
          </cell>
          <cell r="N1144" t="str">
            <v>Louvre Abu Dhabi</v>
          </cell>
          <cell r="O1144" t="str">
            <v>متحف اللوفر أبوظبي</v>
          </cell>
          <cell r="P1144" t="str">
            <v>Development, Marketing &amp; Communications</v>
          </cell>
          <cell r="Q1144" t="str">
            <v>إدارة التطوير،التسويق والاتصال</v>
          </cell>
          <cell r="R1144" t="str">
            <v>Development and Partnerships</v>
          </cell>
          <cell r="S1144" t="str">
            <v>قسم خدمات الزوار وتنمية الجمهور</v>
          </cell>
          <cell r="T1144" t="str">
            <v>Development and Partnerships</v>
          </cell>
          <cell r="U1144" t="str">
            <v/>
          </cell>
          <cell r="V1144" t="str">
            <v>Abu Dhabi</v>
          </cell>
          <cell r="W1144" t="str">
            <v/>
          </cell>
          <cell r="X1144" t="str">
            <v>4510124</v>
          </cell>
          <cell r="Y1144" t="str">
            <v>Comms &amp; Marketing _Marketing &amp; Communications (All)_Professional</v>
          </cell>
          <cell r="Z1144" t="str">
            <v>Professional</v>
          </cell>
          <cell r="AA1144" t="str">
            <v>4A</v>
          </cell>
        </row>
        <row r="1145">
          <cell r="A1145">
            <v>7104</v>
          </cell>
          <cell r="B1145">
            <v>7104</v>
          </cell>
          <cell r="C1145" t="str">
            <v>A</v>
          </cell>
          <cell r="D1145" t="str">
            <v>Noura Ibrahim Alhosani</v>
          </cell>
          <cell r="E1145" t="str">
            <v>نوره إبراهيم الحوسني</v>
          </cell>
          <cell r="F1145">
            <v>43380</v>
          </cell>
          <cell r="G1145" t="str">
            <v>50002597</v>
          </cell>
          <cell r="H1145" t="str">
            <v>Accounts Payables Senior Accountant</v>
          </cell>
          <cell r="I1145" t="str">
            <v>حسابات دائنة محاسب أول</v>
          </cell>
          <cell r="J1145" t="str">
            <v>On-Chart</v>
          </cell>
          <cell r="K1145" t="str">
            <v>MSS Direct Hires</v>
          </cell>
          <cell r="L1145" t="str">
            <v>M1</v>
          </cell>
          <cell r="M1145" t="str">
            <v>Department of Culture and Tourism</v>
          </cell>
          <cell r="N1145" t="str">
            <v>Museums Shared Services</v>
          </cell>
          <cell r="O1145" t="str">
            <v>الخدمات المشتركة للمتاحف</v>
          </cell>
          <cell r="P1145" t="str">
            <v>Finance - MSS</v>
          </cell>
          <cell r="Q1145" t="str">
            <v>الإدارة المالية - الخدمات المشتركة للمتاحف</v>
          </cell>
          <cell r="R1145" t="str">
            <v>Payables Operations Section - MSS</v>
          </cell>
          <cell r="S1145" t="str">
            <v>قسم عمليات الحسابات الدائنة</v>
          </cell>
          <cell r="T1145" t="str">
            <v>Accounts Payables Unit - MSS</v>
          </cell>
          <cell r="U1145" t="str">
            <v>وحدة الحسابات الدائنة</v>
          </cell>
          <cell r="V1145" t="str">
            <v>Abu Dhabi</v>
          </cell>
          <cell r="W1145" t="str">
            <v/>
          </cell>
          <cell r="X1145" t="str">
            <v>4514120</v>
          </cell>
          <cell r="Y1145" t="str">
            <v>Senior Specialization Finance</v>
          </cell>
          <cell r="Z1145" t="str">
            <v>Senior Professional</v>
          </cell>
          <cell r="AA1145" t="str">
            <v>3A</v>
          </cell>
        </row>
        <row r="1146">
          <cell r="A1146">
            <v>7105</v>
          </cell>
          <cell r="B1146">
            <v>7105</v>
          </cell>
          <cell r="C1146" t="str">
            <v>A</v>
          </cell>
          <cell r="D1146" t="str">
            <v>Ahmed Khaled Al Zyoud</v>
          </cell>
          <cell r="E1146" t="str">
            <v>أحمد خالد الزيود</v>
          </cell>
          <cell r="F1146">
            <v>43387</v>
          </cell>
          <cell r="G1146" t="str">
            <v>10009933</v>
          </cell>
          <cell r="H1146" t="str">
            <v>Senior Technical Maintenance Officer</v>
          </cell>
          <cell r="I1146" t="str">
            <v>ضابط أول صيانة تقنية</v>
          </cell>
          <cell r="J1146" t="str">
            <v>On-Chart</v>
          </cell>
          <cell r="K1146" t="str">
            <v>MSS Direct Hires</v>
          </cell>
          <cell r="L1146" t="str">
            <v>M1</v>
          </cell>
          <cell r="M1146" t="str">
            <v>Louvre Abu Dhabi</v>
          </cell>
          <cell r="N1146" t="str">
            <v>Louvre Abu Dhabi</v>
          </cell>
          <cell r="O1146" t="str">
            <v>متحف اللوفر أبوظبي</v>
          </cell>
          <cell r="P1146" t="str">
            <v>Technical Operations</v>
          </cell>
          <cell r="Q1146" t="str">
            <v>العمليات الفنية</v>
          </cell>
          <cell r="R1146" t="str">
            <v>Technical Maintenance &amp; Facilities Management</v>
          </cell>
          <cell r="S1146" t="str">
            <v>الصيانة الفنية وإدارة المرافق</v>
          </cell>
          <cell r="T1146" t="str">
            <v/>
          </cell>
          <cell r="U1146" t="str">
            <v/>
          </cell>
          <cell r="V1146" t="str">
            <v>Abu Dhabi</v>
          </cell>
          <cell r="W1146" t="str">
            <v/>
          </cell>
          <cell r="X1146" t="str">
            <v>4510127</v>
          </cell>
          <cell r="Y1146" t="str">
            <v>Information Technology_Technical Engineering _Senior Professional</v>
          </cell>
          <cell r="Z1146" t="str">
            <v>Senior Professional</v>
          </cell>
          <cell r="AA1146" t="str">
            <v>3A</v>
          </cell>
        </row>
        <row r="1147">
          <cell r="A1147">
            <v>7107</v>
          </cell>
          <cell r="B1147">
            <v>7107</v>
          </cell>
          <cell r="C1147" t="str">
            <v>A</v>
          </cell>
          <cell r="D1147" t="str">
            <v>Ibrahim Mousa Alblooshi</v>
          </cell>
          <cell r="E1147" t="str">
            <v>إبراهيم موسى البلوشي</v>
          </cell>
          <cell r="F1147">
            <v>43395</v>
          </cell>
          <cell r="G1147" t="str">
            <v>50003336</v>
          </cell>
          <cell r="H1147" t="str">
            <v>Soft FM Unit Head</v>
          </cell>
          <cell r="I1147" t="str">
            <v>رئيس وحدة إدارة المرافق</v>
          </cell>
          <cell r="J1147" t="str">
            <v>On-Chart</v>
          </cell>
          <cell r="K1147" t="str">
            <v>MSS Direct Hires</v>
          </cell>
          <cell r="L1147" t="str">
            <v>M1</v>
          </cell>
          <cell r="M1147" t="str">
            <v>Louvre Abu Dhabi</v>
          </cell>
          <cell r="N1147" t="str">
            <v>Louvre Abu Dhabi</v>
          </cell>
          <cell r="O1147" t="str">
            <v>متحف اللوفر أبوظبي</v>
          </cell>
          <cell r="P1147" t="str">
            <v>Technical Operations</v>
          </cell>
          <cell r="Q1147" t="str">
            <v>العمليات الفنية</v>
          </cell>
          <cell r="R1147" t="str">
            <v>Technical Maintenance &amp; Facilities Management</v>
          </cell>
          <cell r="S1147" t="str">
            <v>الصيانة الفنية وإدارة المرافق</v>
          </cell>
          <cell r="T1147" t="str">
            <v/>
          </cell>
          <cell r="U1147" t="str">
            <v/>
          </cell>
          <cell r="V1147" t="str">
            <v>Abu Dhabi</v>
          </cell>
          <cell r="W1147" t="str">
            <v/>
          </cell>
          <cell r="X1147" t="str">
            <v>4510127</v>
          </cell>
          <cell r="Y1147" t="str">
            <v>Information Technology_IT Operations _Unit Head</v>
          </cell>
          <cell r="Z1147" t="str">
            <v>Unit Head</v>
          </cell>
          <cell r="AA1147" t="str">
            <v>3A</v>
          </cell>
        </row>
        <row r="1148">
          <cell r="A1148">
            <v>7111</v>
          </cell>
          <cell r="B1148">
            <v>7111</v>
          </cell>
          <cell r="C1148" t="str">
            <v>A</v>
          </cell>
          <cell r="D1148" t="str">
            <v>Ahmed Al Balooshi</v>
          </cell>
          <cell r="E1148" t="str">
            <v>أحمد حسن البلوشي</v>
          </cell>
          <cell r="F1148">
            <v>43405</v>
          </cell>
          <cell r="G1148" t="str">
            <v>50002370</v>
          </cell>
          <cell r="H1148" t="str">
            <v>Technical Operations Director</v>
          </cell>
          <cell r="I1148" t="str">
            <v>مدير إدارة العمليات التقنية</v>
          </cell>
          <cell r="J1148" t="str">
            <v>On-Chart</v>
          </cell>
          <cell r="K1148" t="str">
            <v>MSS Direct Hires</v>
          </cell>
          <cell r="L1148" t="str">
            <v>M1</v>
          </cell>
          <cell r="M1148" t="str">
            <v>Louvre Abu Dhabi</v>
          </cell>
          <cell r="N1148" t="str">
            <v>Louvre Abu Dhabi</v>
          </cell>
          <cell r="O1148" t="str">
            <v>متحف اللوفر أبوظبي</v>
          </cell>
          <cell r="P1148" t="str">
            <v>Technical Operations</v>
          </cell>
          <cell r="Q1148" t="str">
            <v>العمليات الفنية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>Abu Dhabi</v>
          </cell>
          <cell r="W1148" t="str">
            <v/>
          </cell>
          <cell r="X1148" t="str">
            <v>4510127</v>
          </cell>
          <cell r="Y1148" t="str">
            <v>Information Technology_Technology Department Director</v>
          </cell>
          <cell r="Z1148" t="str">
            <v>Director</v>
          </cell>
          <cell r="AA1148" t="str">
            <v>1B</v>
          </cell>
        </row>
        <row r="1149">
          <cell r="A1149">
            <v>7120</v>
          </cell>
          <cell r="B1149">
            <v>7120</v>
          </cell>
          <cell r="C1149" t="str">
            <v>A</v>
          </cell>
          <cell r="D1149" t="str">
            <v>Sana Ibrahim Al Hammadi</v>
          </cell>
          <cell r="E1149" t="str">
            <v>سناء ابراهيم الحمادي</v>
          </cell>
          <cell r="F1149">
            <v>43485</v>
          </cell>
          <cell r="G1149" t="str">
            <v>10010343</v>
          </cell>
          <cell r="H1149" t="str">
            <v>Digital Marketing Manager</v>
          </cell>
          <cell r="I1149" t="str">
            <v>رئيس  التسويق الرقمي</v>
          </cell>
          <cell r="J1149" t="str">
            <v>On-Chart</v>
          </cell>
          <cell r="K1149" t="str">
            <v>MSS Direct Hires</v>
          </cell>
          <cell r="L1149" t="str">
            <v>M1</v>
          </cell>
          <cell r="M1149" t="str">
            <v>Louvre Abu Dhabi</v>
          </cell>
          <cell r="N1149" t="str">
            <v>Louvre Abu Dhabi</v>
          </cell>
          <cell r="O1149" t="str">
            <v>متحف اللوفر أبوظبي</v>
          </cell>
          <cell r="P1149" t="str">
            <v>Development, Marketing &amp; Communications</v>
          </cell>
          <cell r="Q1149" t="str">
            <v>إدارة التطوير،التسويق والاتصال</v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>Abu Dhabi</v>
          </cell>
          <cell r="W1149" t="str">
            <v/>
          </cell>
          <cell r="X1149" t="str">
            <v>4510124</v>
          </cell>
          <cell r="Y1149" t="str">
            <v>Comms &amp; Marketing _Marketing &amp; Communications (All Areas)_Section Head</v>
          </cell>
          <cell r="Z1149" t="str">
            <v>Section Manager</v>
          </cell>
          <cell r="AA1149" t="str">
            <v>2A</v>
          </cell>
        </row>
        <row r="1150">
          <cell r="A1150">
            <v>7121</v>
          </cell>
          <cell r="B1150">
            <v>7121</v>
          </cell>
          <cell r="C1150" t="str">
            <v>A</v>
          </cell>
          <cell r="D1150" t="str">
            <v>Shamma Amer Almansoori</v>
          </cell>
          <cell r="E1150" t="str">
            <v>شما عامر المنصوري</v>
          </cell>
          <cell r="F1150">
            <v>43506</v>
          </cell>
          <cell r="G1150" t="str">
            <v>50002631</v>
          </cell>
          <cell r="H1150" t="str">
            <v>General Services Senior Officer</v>
          </cell>
          <cell r="I1150" t="str">
            <v>ضابط أول الخدمات العامة</v>
          </cell>
          <cell r="J1150" t="str">
            <v>On-Chart</v>
          </cell>
          <cell r="K1150" t="str">
            <v>MSS Direct Hires</v>
          </cell>
          <cell r="L1150" t="str">
            <v>M1</v>
          </cell>
          <cell r="M1150" t="str">
            <v>Department of Culture and Tourism</v>
          </cell>
          <cell r="N1150" t="str">
            <v>Museums Shared Services</v>
          </cell>
          <cell r="O1150" t="str">
            <v>الخدمات المشتركة للمتاحف</v>
          </cell>
          <cell r="P1150" t="str">
            <v>People and Performance - MSS</v>
          </cell>
          <cell r="Q1150" t="str">
            <v>إدارة الكوادر البشرية والأداء - الخدمات المشتركة للمتاحف</v>
          </cell>
          <cell r="R1150" t="str">
            <v>General Services Section - MSS</v>
          </cell>
          <cell r="S1150" t="str">
            <v>قسم الخدمات العامة</v>
          </cell>
          <cell r="T1150" t="str">
            <v>General Services</v>
          </cell>
          <cell r="U1150" t="str">
            <v>الخدمات العامة</v>
          </cell>
          <cell r="V1150" t="str">
            <v>Abu Dhabi</v>
          </cell>
          <cell r="W1150" t="str">
            <v/>
          </cell>
          <cell r="X1150" t="str">
            <v>4514140</v>
          </cell>
          <cell r="Y1150" t="str">
            <v>Admin &amp; Support_Travel &amp; Hospitality (People &amp; Performance)_Senior Professional</v>
          </cell>
          <cell r="Z1150" t="str">
            <v>Senior Professional</v>
          </cell>
          <cell r="AA1150" t="str">
            <v>3B</v>
          </cell>
        </row>
        <row r="1151">
          <cell r="A1151">
            <v>7123</v>
          </cell>
          <cell r="B1151">
            <v>7123</v>
          </cell>
          <cell r="C1151" t="str">
            <v>A</v>
          </cell>
          <cell r="D1151" t="str">
            <v>Hana Awadh Alaydi</v>
          </cell>
          <cell r="E1151" t="str">
            <v>هناء عوض العايدي</v>
          </cell>
          <cell r="F1151">
            <v>43513</v>
          </cell>
          <cell r="G1151" t="str">
            <v>50002588</v>
          </cell>
          <cell r="H1151" t="str">
            <v>Accounts Receivables Senior Accountant</v>
          </cell>
          <cell r="I1151" t="str">
            <v>محاسب أول الحسابات المستحقة</v>
          </cell>
          <cell r="J1151" t="str">
            <v>On-Chart</v>
          </cell>
          <cell r="K1151" t="str">
            <v>MSS Direct Hires</v>
          </cell>
          <cell r="L1151" t="str">
            <v>M1</v>
          </cell>
          <cell r="M1151" t="str">
            <v>Department of Culture and Tourism</v>
          </cell>
          <cell r="N1151" t="str">
            <v>Museums Shared Services</v>
          </cell>
          <cell r="O1151" t="str">
            <v>الخدمات المشتركة للمتاحف</v>
          </cell>
          <cell r="P1151" t="str">
            <v>Finance - MSS</v>
          </cell>
          <cell r="Q1151" t="str">
            <v>الإدارة المالية - الخدمات المشتركة للمتاحف</v>
          </cell>
          <cell r="R1151" t="str">
            <v>Receivables Operations Section - MSS</v>
          </cell>
          <cell r="S1151" t="str">
            <v>قسم عمليات الحسابات المستحقة</v>
          </cell>
          <cell r="T1151" t="str">
            <v>Accounts Receivables Unit - MSS</v>
          </cell>
          <cell r="U1151" t="str">
            <v>وحدة الحسابات المستحقة</v>
          </cell>
          <cell r="V1151" t="str">
            <v>Abu Dhabi</v>
          </cell>
          <cell r="W1151" t="str">
            <v/>
          </cell>
          <cell r="X1151" t="str">
            <v>4514120</v>
          </cell>
          <cell r="Y1151" t="str">
            <v>Finance_Accountant_Senior Professional</v>
          </cell>
          <cell r="Z1151" t="str">
            <v>Senior Professional</v>
          </cell>
          <cell r="AA1151" t="str">
            <v>3B</v>
          </cell>
        </row>
        <row r="1152">
          <cell r="A1152">
            <v>7125</v>
          </cell>
          <cell r="B1152">
            <v>7125</v>
          </cell>
          <cell r="C1152" t="str">
            <v>A</v>
          </cell>
          <cell r="D1152" t="str">
            <v>Shaikha Hasan Mohamed Alzaabi</v>
          </cell>
          <cell r="E1152" t="str">
            <v>شيخة حسن الزعابي</v>
          </cell>
          <cell r="F1152">
            <v>43520</v>
          </cell>
          <cell r="G1152" t="str">
            <v>50003242</v>
          </cell>
          <cell r="H1152" t="str">
            <v>Cultural Programming Unit Head</v>
          </cell>
          <cell r="I1152" t="str">
            <v>رئيس وحدة البرامج الثقافية</v>
          </cell>
          <cell r="J1152" t="str">
            <v>On-Chart</v>
          </cell>
          <cell r="K1152" t="str">
            <v>MSS Direct Hires</v>
          </cell>
          <cell r="L1152" t="str">
            <v>M1</v>
          </cell>
          <cell r="M1152" t="str">
            <v>Louvre Abu Dhabi</v>
          </cell>
          <cell r="N1152" t="str">
            <v>Louvre Abu Dhabi</v>
          </cell>
          <cell r="O1152" t="str">
            <v>متحف اللوفر أبوظبي</v>
          </cell>
          <cell r="P1152" t="str">
            <v>External Affairs, Outreach and Cultural Engagement</v>
          </cell>
          <cell r="Q1152" t="str">
            <v>إدارة الشؤون الخارجية والتواصل، المشاركة الثقافية</v>
          </cell>
          <cell r="R1152" t="str">
            <v>Cultural Programming</v>
          </cell>
          <cell r="S1152" t="str">
            <v>المسرح</v>
          </cell>
          <cell r="T1152" t="str">
            <v/>
          </cell>
          <cell r="U1152" t="str">
            <v/>
          </cell>
          <cell r="V1152" t="str">
            <v>Abu Dhabi</v>
          </cell>
          <cell r="W1152" t="str">
            <v/>
          </cell>
          <cell r="X1152" t="str">
            <v>4510123</v>
          </cell>
          <cell r="Y1152" t="str">
            <v/>
          </cell>
          <cell r="Z1152" t="str">
            <v>Unit Head</v>
          </cell>
          <cell r="AA1152" t="str">
            <v>3A</v>
          </cell>
        </row>
        <row r="1153">
          <cell r="A1153">
            <v>7130</v>
          </cell>
          <cell r="B1153">
            <v>7130</v>
          </cell>
          <cell r="C1153" t="str">
            <v>A</v>
          </cell>
          <cell r="D1153" t="str">
            <v>Hiba Almidfa</v>
          </cell>
          <cell r="E1153" t="str">
            <v>هبة عبدالعزيز المدفع</v>
          </cell>
          <cell r="F1153">
            <v>43565</v>
          </cell>
          <cell r="G1153" t="str">
            <v>10006802</v>
          </cell>
          <cell r="H1153" t="str">
            <v>Senior Museum Education Officer</v>
          </cell>
          <cell r="I1153" t="str">
            <v>ضابط اول تعليم المتاحف</v>
          </cell>
          <cell r="J1153" t="str">
            <v>On-Chart</v>
          </cell>
          <cell r="K1153" t="str">
            <v>MSS Direct Hires</v>
          </cell>
          <cell r="L1153" t="str">
            <v>M1</v>
          </cell>
          <cell r="M1153" t="str">
            <v>Louvre Abu Dhabi</v>
          </cell>
          <cell r="N1153" t="str">
            <v>Louvre Abu Dhabi</v>
          </cell>
          <cell r="O1153" t="str">
            <v>متحف اللوفر أبوظبي</v>
          </cell>
          <cell r="P1153" t="str">
            <v>External Affairs, Outreach and Cultural Engagement</v>
          </cell>
          <cell r="Q1153" t="str">
            <v>إدارة الشؤون الخارجية والتواصل، المشاركة الثقافية</v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>Abu Dhabi</v>
          </cell>
          <cell r="W1153" t="str">
            <v/>
          </cell>
          <cell r="X1153" t="str">
            <v>4510123</v>
          </cell>
          <cell r="Y1153" t="str">
            <v>Interpretation &amp; Engagement_Outreach &amp; Cultural Engagement _Senior Professional</v>
          </cell>
          <cell r="Z1153" t="str">
            <v>Senior Professional</v>
          </cell>
          <cell r="AA1153" t="str">
            <v>3A</v>
          </cell>
        </row>
        <row r="1154">
          <cell r="A1154">
            <v>7131</v>
          </cell>
          <cell r="B1154">
            <v>7131</v>
          </cell>
          <cell r="C1154" t="str">
            <v>A</v>
          </cell>
          <cell r="D1154" t="str">
            <v>Najwa Ali Alrowahi</v>
          </cell>
          <cell r="E1154" t="str">
            <v>نجوى علي الرواحي</v>
          </cell>
          <cell r="F1154">
            <v>43583</v>
          </cell>
          <cell r="G1154" t="str">
            <v>10007308</v>
          </cell>
          <cell r="H1154" t="str">
            <v>Licensing Services Senior Executive</v>
          </cell>
          <cell r="I1154" t="str">
            <v>تنفيذي أول خدمات الترخيص</v>
          </cell>
          <cell r="J1154" t="str">
            <v>On-Chart</v>
          </cell>
          <cell r="K1154" t="str">
            <v>DCT Payroll</v>
          </cell>
          <cell r="L1154" t="str">
            <v>A1</v>
          </cell>
          <cell r="M1154" t="str">
            <v>Department of Culture and Tourism</v>
          </cell>
          <cell r="N1154" t="str">
            <v>Tourism</v>
          </cell>
          <cell r="O1154" t="str">
            <v>السياحة</v>
          </cell>
          <cell r="P1154" t="str">
            <v>Licensing &amp; Regulatory Compliance</v>
          </cell>
          <cell r="Q1154" t="str">
            <v>الرقابة والترخيص</v>
          </cell>
          <cell r="R1154" t="str">
            <v>Licensing</v>
          </cell>
          <cell r="S1154" t="str">
            <v>الترخيص</v>
          </cell>
          <cell r="T1154" t="str">
            <v>Licensing Services</v>
          </cell>
          <cell r="U1154" t="str">
            <v>خدمات الترخيص</v>
          </cell>
          <cell r="V1154" t="str">
            <v>Abu Dhabi</v>
          </cell>
          <cell r="W1154" t="str">
            <v/>
          </cell>
          <cell r="X1154" t="str">
            <v>4510170</v>
          </cell>
          <cell r="Y1154" t="str">
            <v>Compliance,Governance&amp;Protocol_Licensing &amp; Regulatory Compliance _Senior Professional</v>
          </cell>
          <cell r="Z1154" t="str">
            <v>Senior Professional</v>
          </cell>
          <cell r="AA1154" t="str">
            <v>3A</v>
          </cell>
        </row>
        <row r="1155">
          <cell r="A1155">
            <v>7132</v>
          </cell>
          <cell r="B1155">
            <v>7132</v>
          </cell>
          <cell r="C1155" t="str">
            <v>A</v>
          </cell>
          <cell r="D1155" t="str">
            <v>Kenneth Okai</v>
          </cell>
          <cell r="E1155" t="str">
            <v>كينيث  اوكاي</v>
          </cell>
          <cell r="F1155">
            <v>43597</v>
          </cell>
          <cell r="G1155" t="str">
            <v>10010576</v>
          </cell>
          <cell r="H1155" t="str">
            <v>Building IT Infrastructure Unit Head</v>
          </cell>
          <cell r="I1155" t="str">
            <v>رئيس وحدة البنية التحتية بناء تقنية الم</v>
          </cell>
          <cell r="J1155" t="str">
            <v>On-Chart</v>
          </cell>
          <cell r="K1155" t="str">
            <v>MSS Direct Hires</v>
          </cell>
          <cell r="L1155" t="str">
            <v>M1</v>
          </cell>
          <cell r="M1155" t="str">
            <v>Louvre Abu Dhabi</v>
          </cell>
          <cell r="N1155" t="str">
            <v>Louvre Abu Dhabi</v>
          </cell>
          <cell r="O1155" t="str">
            <v>متحف اللوفر أبوظبي</v>
          </cell>
          <cell r="P1155" t="str">
            <v>Technical Operations</v>
          </cell>
          <cell r="Q1155" t="str">
            <v>العمليات الفنية</v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>Abu Dhabi</v>
          </cell>
          <cell r="W1155" t="str">
            <v/>
          </cell>
          <cell r="X1155" t="str">
            <v>4510127</v>
          </cell>
          <cell r="Y1155" t="str">
            <v>Information Technology_Infrastructure &amp; Operations _Unit Head</v>
          </cell>
          <cell r="Z1155" t="str">
            <v>Unit Head</v>
          </cell>
          <cell r="AA1155" t="str">
            <v>3A</v>
          </cell>
        </row>
        <row r="1156">
          <cell r="A1156">
            <v>7134</v>
          </cell>
          <cell r="B1156">
            <v>7134</v>
          </cell>
          <cell r="C1156" t="str">
            <v>A</v>
          </cell>
          <cell r="D1156" t="str">
            <v>Faten Naeem Rochdy</v>
          </cell>
          <cell r="E1156" t="str">
            <v>فاتن نعيم رشدي</v>
          </cell>
          <cell r="F1156">
            <v>43625</v>
          </cell>
          <cell r="G1156" t="str">
            <v>10010184</v>
          </cell>
          <cell r="H1156" t="str">
            <v>Resource Centre Unit Head</v>
          </cell>
          <cell r="I1156" t="str">
            <v>رئيس وحدة مركز الموارد</v>
          </cell>
          <cell r="J1156" t="str">
            <v>On-Chart</v>
          </cell>
          <cell r="K1156" t="str">
            <v>MSS Direct Hires</v>
          </cell>
          <cell r="L1156" t="str">
            <v>M1</v>
          </cell>
          <cell r="M1156" t="str">
            <v>Louvre Abu Dhabi</v>
          </cell>
          <cell r="N1156" t="str">
            <v>Louvre Abu Dhabi</v>
          </cell>
          <cell r="O1156" t="str">
            <v>متحف اللوفر أبوظبي</v>
          </cell>
          <cell r="P1156" t="str">
            <v>Scientific, Curatorial &amp; Collection Management</v>
          </cell>
          <cell r="Q1156" t="str">
            <v>إدارة المقتنيات العلمية والتنظيمية</v>
          </cell>
          <cell r="R1156" t="str">
            <v>Research &amp; Documentation</v>
          </cell>
          <cell r="S1156" t="str">
            <v/>
          </cell>
          <cell r="T1156" t="str">
            <v/>
          </cell>
          <cell r="U1156" t="str">
            <v/>
          </cell>
          <cell r="V1156" t="str">
            <v>Abu Dhabi</v>
          </cell>
          <cell r="W1156" t="str">
            <v/>
          </cell>
          <cell r="X1156" t="str">
            <v>4510122</v>
          </cell>
          <cell r="Y1156" t="str">
            <v>Content &amp; Care_Resource Centre _Unit Head</v>
          </cell>
          <cell r="Z1156" t="str">
            <v>Unit Head</v>
          </cell>
          <cell r="AA1156" t="str">
            <v>3A</v>
          </cell>
        </row>
        <row r="1157">
          <cell r="A1157">
            <v>7135</v>
          </cell>
          <cell r="B1157">
            <v>7135</v>
          </cell>
          <cell r="C1157" t="str">
            <v>A</v>
          </cell>
          <cell r="D1157" t="str">
            <v>Khalifa Ahmed Almarzooqi</v>
          </cell>
          <cell r="E1157" t="str">
            <v>خليفه احمد المرزوقي</v>
          </cell>
          <cell r="F1157">
            <v>43625</v>
          </cell>
          <cell r="G1157" t="str">
            <v>41000474</v>
          </cell>
          <cell r="H1157" t="str">
            <v>Supply Management Department Director</v>
          </cell>
          <cell r="I1157" t="str">
            <v>مدير إدارة الإمداد</v>
          </cell>
          <cell r="J1157" t="str">
            <v>On-Chart</v>
          </cell>
          <cell r="K1157" t="str">
            <v>DCT Payroll</v>
          </cell>
          <cell r="L1157" t="str">
            <v>A1</v>
          </cell>
          <cell r="M1157" t="str">
            <v>Department of Culture and Tourism</v>
          </cell>
          <cell r="N1157" t="str">
            <v>Support Services</v>
          </cell>
          <cell r="O1157" t="str">
            <v>الخدمات المساندة</v>
          </cell>
          <cell r="P1157" t="str">
            <v>Supply Management</v>
          </cell>
          <cell r="Q1157" t="str">
            <v>إدارة الإمداد</v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>Abu Dhabi</v>
          </cell>
          <cell r="W1157" t="str">
            <v/>
          </cell>
          <cell r="X1157" t="str">
            <v>4510240</v>
          </cell>
          <cell r="Y1157" t="str">
            <v>Procurement_Supply Management Department _Director</v>
          </cell>
          <cell r="Z1157" t="str">
            <v>Director</v>
          </cell>
          <cell r="AA1157" t="str">
            <v>1B</v>
          </cell>
        </row>
        <row r="1158">
          <cell r="A1158">
            <v>7138</v>
          </cell>
          <cell r="B1158">
            <v>7138</v>
          </cell>
          <cell r="C1158" t="str">
            <v>A</v>
          </cell>
          <cell r="D1158" t="str">
            <v>Pablo Londero</v>
          </cell>
          <cell r="E1158" t="str">
            <v>بابلو سيبستيان لونديرو</v>
          </cell>
          <cell r="F1158">
            <v>43661</v>
          </cell>
          <cell r="G1158" t="str">
            <v>10011304</v>
          </cell>
          <cell r="H1158" t="str">
            <v>Senior Conservation Scientist</v>
          </cell>
          <cell r="I1158" t="str">
            <v>اخصائي اول علم الترميم</v>
          </cell>
          <cell r="J1158" t="str">
            <v>On-Chart</v>
          </cell>
          <cell r="K1158" t="str">
            <v>MSS Direct Hires</v>
          </cell>
          <cell r="L1158" t="str">
            <v>M1</v>
          </cell>
          <cell r="M1158" t="str">
            <v>Louvre Abu Dhabi</v>
          </cell>
          <cell r="N1158" t="str">
            <v>Louvre Abu Dhabi</v>
          </cell>
          <cell r="O1158" t="str">
            <v>متحف اللوفر أبوظبي</v>
          </cell>
          <cell r="P1158" t="str">
            <v>Scientific, Curatorial &amp; Collection Management</v>
          </cell>
          <cell r="Q1158" t="str">
            <v>إدارة المقتنيات العلمية والتنظيمية</v>
          </cell>
          <cell r="R1158" t="str">
            <v>Research &amp; Documentation</v>
          </cell>
          <cell r="S1158" t="str">
            <v/>
          </cell>
          <cell r="T1158" t="str">
            <v>Research Lab</v>
          </cell>
          <cell r="U1158" t="str">
            <v/>
          </cell>
          <cell r="V1158" t="str">
            <v>Abu Dhabi</v>
          </cell>
          <cell r="W1158" t="str">
            <v/>
          </cell>
          <cell r="X1158" t="str">
            <v>4510122</v>
          </cell>
          <cell r="Y1158" t="str">
            <v>Content &amp; Care_Collections  Conservation (All) _Senior Professional</v>
          </cell>
          <cell r="Z1158" t="str">
            <v>Senior Professional</v>
          </cell>
          <cell r="AA1158" t="str">
            <v>3A</v>
          </cell>
        </row>
        <row r="1159">
          <cell r="A1159">
            <v>7142</v>
          </cell>
          <cell r="B1159">
            <v>7142</v>
          </cell>
          <cell r="C1159" t="str">
            <v>A</v>
          </cell>
          <cell r="D1159" t="str">
            <v>Eiman Abdulrahman Alhammadi</v>
          </cell>
          <cell r="E1159" t="str">
            <v>ايمان عبدالرحمن الحمادي</v>
          </cell>
          <cell r="F1159">
            <v>43710</v>
          </cell>
          <cell r="G1159" t="str">
            <v>10011207</v>
          </cell>
          <cell r="H1159" t="str">
            <v>Senior Interpretation &amp; Creative Content Officer</v>
          </cell>
          <cell r="I1159" t="str">
            <v>ضابط أول التفسير و المحتوى الإبداعي</v>
          </cell>
          <cell r="J1159" t="str">
            <v>On-Chart</v>
          </cell>
          <cell r="K1159" t="str">
            <v>MSS Direct Hires</v>
          </cell>
          <cell r="L1159" t="str">
            <v>M1</v>
          </cell>
          <cell r="M1159" t="str">
            <v>Louvre Abu Dhabi</v>
          </cell>
          <cell r="N1159" t="str">
            <v>Louvre Abu Dhabi</v>
          </cell>
          <cell r="O1159" t="str">
            <v>متحف اللوفر أبوظبي</v>
          </cell>
          <cell r="P1159" t="str">
            <v>External Affairs, Outreach and Cultural Engagement</v>
          </cell>
          <cell r="Q1159" t="str">
            <v>إدارة الشؤون الخارجية والتواصل، المشاركة الثقافية</v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>Abu Dhabi</v>
          </cell>
          <cell r="W1159" t="str">
            <v/>
          </cell>
          <cell r="X1159" t="str">
            <v>4510123</v>
          </cell>
          <cell r="Y1159" t="str">
            <v>Interpretation &amp; Engagement_Outreach &amp; Cultural Engagement _Senior Professional</v>
          </cell>
          <cell r="Z1159" t="str">
            <v>Senior Professional</v>
          </cell>
          <cell r="AA1159" t="str">
            <v>3B</v>
          </cell>
        </row>
        <row r="1160">
          <cell r="A1160">
            <v>7148</v>
          </cell>
          <cell r="B1160">
            <v>7148</v>
          </cell>
          <cell r="C1160" t="str">
            <v>A</v>
          </cell>
          <cell r="D1160" t="str">
            <v>Aysha Suhail Aldhaheri</v>
          </cell>
          <cell r="E1160" t="str">
            <v>عائشة سهيل الظاهري</v>
          </cell>
          <cell r="F1160">
            <v>43772</v>
          </cell>
          <cell r="G1160" t="str">
            <v>10011444</v>
          </cell>
          <cell r="H1160" t="str">
            <v>Museum Education Officer</v>
          </cell>
          <cell r="I1160" t="str">
            <v>ضابط تعليم المتحف</v>
          </cell>
          <cell r="J1160" t="str">
            <v>On-Chart</v>
          </cell>
          <cell r="K1160" t="str">
            <v>MSS Direct Hires</v>
          </cell>
          <cell r="L1160" t="str">
            <v>M1</v>
          </cell>
          <cell r="M1160" t="str">
            <v>Louvre Abu Dhabi</v>
          </cell>
          <cell r="N1160" t="str">
            <v>Louvre Abu Dhabi</v>
          </cell>
          <cell r="O1160" t="str">
            <v>متحف اللوفر أبوظبي</v>
          </cell>
          <cell r="P1160" t="str">
            <v>External Affairs, Outreach and Cultural Engagement</v>
          </cell>
          <cell r="Q1160" t="str">
            <v>إدارة الشؤون الخارجية والتواصل، المشاركة الثقافية</v>
          </cell>
          <cell r="R1160" t="str">
            <v>Education &amp; Learning Resources</v>
          </cell>
          <cell r="S1160" t="str">
            <v>التعليم والترجمة</v>
          </cell>
          <cell r="T1160" t="str">
            <v/>
          </cell>
          <cell r="U1160" t="str">
            <v/>
          </cell>
          <cell r="V1160" t="str">
            <v>Abu Dhabi</v>
          </cell>
          <cell r="W1160" t="str">
            <v/>
          </cell>
          <cell r="X1160" t="str">
            <v>4510123</v>
          </cell>
          <cell r="Y1160" t="str">
            <v>Interpretation &amp; Engagement_Outreach &amp; Cultural Engagement _Professional</v>
          </cell>
          <cell r="Z1160" t="str">
            <v>Professional</v>
          </cell>
          <cell r="AA1160" t="str">
            <v>3B</v>
          </cell>
        </row>
        <row r="1161">
          <cell r="A1161">
            <v>7154</v>
          </cell>
          <cell r="B1161">
            <v>7154</v>
          </cell>
          <cell r="C1161" t="str">
            <v>A</v>
          </cell>
          <cell r="D1161" t="str">
            <v>Salama Ishaq Karem Al Blooshi</v>
          </cell>
          <cell r="E1161" t="str">
            <v>سلامة اسحاق كريم البلوشي</v>
          </cell>
          <cell r="F1161">
            <v>43891</v>
          </cell>
          <cell r="G1161" t="str">
            <v>50000312</v>
          </cell>
          <cell r="H1161" t="str">
            <v>Scientific Affairs Coordinator</v>
          </cell>
          <cell r="I1161" t="str">
            <v>منسق الشؤون العلمية</v>
          </cell>
          <cell r="J1161" t="str">
            <v>On-Chart</v>
          </cell>
          <cell r="K1161" t="str">
            <v>MSS Direct Hires</v>
          </cell>
          <cell r="L1161" t="str">
            <v>M1</v>
          </cell>
          <cell r="M1161" t="str">
            <v>Louvre Abu Dhabi</v>
          </cell>
          <cell r="N1161" t="str">
            <v>Louvre Abu Dhabi</v>
          </cell>
          <cell r="O1161" t="str">
            <v>متحف اللوفر أبوظبي</v>
          </cell>
          <cell r="P1161" t="str">
            <v>Scientific, Curatorial &amp; Collection Management</v>
          </cell>
          <cell r="Q1161" t="str">
            <v>إدارة المقتنيات العلمية والتنظيمية</v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>Abu Dhabi</v>
          </cell>
          <cell r="W1161" t="str">
            <v/>
          </cell>
          <cell r="X1161" t="str">
            <v>4510122</v>
          </cell>
          <cell r="Y1161" t="str">
            <v>Content &amp; Care_Artisan _Assistant &amp; Technical Staff</v>
          </cell>
          <cell r="Z1161" t="str">
            <v>Professional</v>
          </cell>
          <cell r="AA1161" t="str">
            <v>4B</v>
          </cell>
        </row>
        <row r="1162">
          <cell r="A1162">
            <v>7156</v>
          </cell>
          <cell r="B1162">
            <v>7156</v>
          </cell>
          <cell r="C1162" t="str">
            <v>A</v>
          </cell>
          <cell r="D1162" t="str">
            <v>Youssef El Khoury</v>
          </cell>
          <cell r="E1162" t="str">
            <v>يوسف  الخوري</v>
          </cell>
          <cell r="F1162">
            <v>43905</v>
          </cell>
          <cell r="G1162" t="str">
            <v>50000349</v>
          </cell>
          <cell r="H1162" t="str">
            <v>Permanent Galleries and External Artwork Unit Head</v>
          </cell>
          <cell r="I1162" t="str">
            <v>المعارض الدائمة و رئيس وحدة الأعمال الفنية الخارجية</v>
          </cell>
          <cell r="J1162" t="str">
            <v>On-Chart</v>
          </cell>
          <cell r="K1162" t="str">
            <v>MSS Direct Hires</v>
          </cell>
          <cell r="L1162" t="str">
            <v>M1</v>
          </cell>
          <cell r="M1162" t="str">
            <v>Louvre Abu Dhabi</v>
          </cell>
          <cell r="N1162" t="str">
            <v>Louvre Abu Dhabi</v>
          </cell>
          <cell r="O1162" t="str">
            <v>متحف اللوفر أبوظبي</v>
          </cell>
          <cell r="P1162" t="str">
            <v>Scientific, Curatorial &amp; Collection Management</v>
          </cell>
          <cell r="Q1162" t="str">
            <v>إدارة المقتنيات العلمية والتنظيمية</v>
          </cell>
          <cell r="R1162" t="str">
            <v>Museography &amp; Collection Management</v>
          </cell>
          <cell r="S1162" t="str">
            <v>إدارة المجموعات</v>
          </cell>
          <cell r="T1162" t="str">
            <v/>
          </cell>
          <cell r="U1162" t="str">
            <v/>
          </cell>
          <cell r="V1162" t="str">
            <v>Abu Dhabi</v>
          </cell>
          <cell r="W1162" t="str">
            <v/>
          </cell>
          <cell r="X1162" t="str">
            <v>4510122</v>
          </cell>
          <cell r="Y1162" t="str">
            <v>Content &amp; Care_Research (All)_Unit Head</v>
          </cell>
          <cell r="Z1162" t="str">
            <v>Unit Head</v>
          </cell>
          <cell r="AA1162" t="str">
            <v>3A</v>
          </cell>
        </row>
        <row r="1163">
          <cell r="A1163">
            <v>7158</v>
          </cell>
          <cell r="B1163">
            <v>7158</v>
          </cell>
          <cell r="C1163" t="str">
            <v>A</v>
          </cell>
          <cell r="D1163" t="str">
            <v>Abdulla Salem Alyahyaee</v>
          </cell>
          <cell r="E1163" t="str">
            <v>عبد الله سالم  سعيد اليحيائي</v>
          </cell>
          <cell r="F1163">
            <v>43920</v>
          </cell>
          <cell r="G1163" t="str">
            <v>10010910</v>
          </cell>
          <cell r="H1163" t="str">
            <v>Museography Project Engineer</v>
          </cell>
          <cell r="I1163" t="str">
            <v>مهندس مشروع المعارض الفنية</v>
          </cell>
          <cell r="J1163" t="str">
            <v>On-Chart</v>
          </cell>
          <cell r="K1163" t="str">
            <v>MSS Direct Hires</v>
          </cell>
          <cell r="L1163" t="str">
            <v>M1</v>
          </cell>
          <cell r="M1163" t="str">
            <v>Louvre Abu Dhabi</v>
          </cell>
          <cell r="N1163" t="str">
            <v>Louvre Abu Dhabi</v>
          </cell>
          <cell r="O1163" t="str">
            <v>متحف اللوفر أبوظبي</v>
          </cell>
          <cell r="P1163" t="str">
            <v>Scientific, Curatorial &amp; Collection Management</v>
          </cell>
          <cell r="Q1163" t="str">
            <v>إدارة المقتنيات العلمية والتنظيمية</v>
          </cell>
          <cell r="R1163" t="str">
            <v>Museography &amp; Collection Management</v>
          </cell>
          <cell r="S1163" t="str">
            <v>إدارة المجموعات</v>
          </cell>
          <cell r="T1163" t="str">
            <v>Museographic Exhibitions</v>
          </cell>
          <cell r="U1163" t="str">
            <v/>
          </cell>
          <cell r="V1163" t="str">
            <v>Abu Dhabi</v>
          </cell>
          <cell r="W1163" t="str">
            <v/>
          </cell>
          <cell r="X1163" t="str">
            <v>4510122</v>
          </cell>
          <cell r="Y1163" t="str">
            <v>Content &amp; Care_Museography  Management _Senior Professional</v>
          </cell>
          <cell r="Z1163" t="str">
            <v>Senior Professional</v>
          </cell>
          <cell r="AA1163" t="str">
            <v>3A</v>
          </cell>
        </row>
        <row r="1164">
          <cell r="A1164">
            <v>7159</v>
          </cell>
          <cell r="B1164">
            <v>7159</v>
          </cell>
          <cell r="C1164" t="str">
            <v>A</v>
          </cell>
          <cell r="D1164" t="str">
            <v>Hessa AlKhyeli</v>
          </cell>
          <cell r="E1164" t="str">
            <v>حصه  الخييلي</v>
          </cell>
          <cell r="F1164">
            <v>44458</v>
          </cell>
          <cell r="G1164" t="str">
            <v>50001277</v>
          </cell>
          <cell r="H1164" t="str">
            <v>Senior Production Officer</v>
          </cell>
          <cell r="I1164" t="str">
            <v>ضابط انتاج اول</v>
          </cell>
          <cell r="J1164" t="str">
            <v>On-Chart</v>
          </cell>
          <cell r="K1164" t="str">
            <v>MSS Direct Hires</v>
          </cell>
          <cell r="L1164" t="str">
            <v>M1</v>
          </cell>
          <cell r="M1164" t="str">
            <v>Louvre Abu Dhabi</v>
          </cell>
          <cell r="N1164" t="str">
            <v>Louvre Abu Dhabi</v>
          </cell>
          <cell r="O1164" t="str">
            <v>متحف اللوفر أبوظبي</v>
          </cell>
          <cell r="P1164" t="str">
            <v>External Affairs, Outreach and Cultural Engagement</v>
          </cell>
          <cell r="Q1164" t="str">
            <v>إدارة الشؤون الخارجية والتواصل، المشاركة الثقافية</v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>Abu Dhabi</v>
          </cell>
          <cell r="W1164" t="str">
            <v/>
          </cell>
          <cell r="X1164" t="str">
            <v>4510123</v>
          </cell>
          <cell r="Y1164" t="str">
            <v>Interpretation &amp; Engagement_Outreach &amp; Cultural Engagement _Senior Professional</v>
          </cell>
          <cell r="Z1164" t="str">
            <v>Senior Professional</v>
          </cell>
          <cell r="AA1164" t="str">
            <v>3A</v>
          </cell>
        </row>
        <row r="1165">
          <cell r="A1165">
            <v>7162</v>
          </cell>
          <cell r="B1165">
            <v>7162</v>
          </cell>
          <cell r="C1165" t="str">
            <v>A</v>
          </cell>
          <cell r="D1165" t="str">
            <v>Ayesha Saeed Almazrouei</v>
          </cell>
          <cell r="E1165" t="str">
            <v>عائشه سعيد المزروعي</v>
          </cell>
          <cell r="F1165">
            <v>44521</v>
          </cell>
          <cell r="G1165" t="str">
            <v>50001352</v>
          </cell>
          <cell r="H1165" t="str">
            <v>Learning Resources Officer</v>
          </cell>
          <cell r="I1165" t="str">
            <v>ضابط موارد تعليميه</v>
          </cell>
          <cell r="J1165" t="str">
            <v>On-Chart</v>
          </cell>
          <cell r="K1165" t="str">
            <v>MSS Direct Hires</v>
          </cell>
          <cell r="L1165" t="str">
            <v>M1</v>
          </cell>
          <cell r="M1165" t="str">
            <v>Louvre Abu Dhabi</v>
          </cell>
          <cell r="N1165" t="str">
            <v>Louvre Abu Dhabi</v>
          </cell>
          <cell r="O1165" t="str">
            <v>متحف اللوفر أبوظبي</v>
          </cell>
          <cell r="P1165" t="str">
            <v>External Affairs, Outreach and Cultural Engagement</v>
          </cell>
          <cell r="Q1165" t="str">
            <v>إدارة الشؤون الخارجية والتواصل، المشاركة الثقافية</v>
          </cell>
          <cell r="R1165" t="str">
            <v>Education &amp; Learning Resources</v>
          </cell>
          <cell r="S1165" t="str">
            <v>التعليم والترجمة</v>
          </cell>
          <cell r="T1165" t="str">
            <v>Academic and Community Engagement</v>
          </cell>
          <cell r="U1165" t="str">
            <v>التواصل المجتمعي والأكاديمي</v>
          </cell>
          <cell r="V1165" t="str">
            <v>Abu Dhabi</v>
          </cell>
          <cell r="W1165" t="str">
            <v/>
          </cell>
          <cell r="X1165" t="str">
            <v>4510123</v>
          </cell>
          <cell r="Y1165" t="str">
            <v>Interpretation &amp; Engagement_Outreach &amp; Cultural Engagement _Professional</v>
          </cell>
          <cell r="Z1165" t="str">
            <v>Professional</v>
          </cell>
          <cell r="AA1165" t="str">
            <v>4A</v>
          </cell>
        </row>
        <row r="1166">
          <cell r="A1166">
            <v>7163</v>
          </cell>
          <cell r="B1166">
            <v>7163</v>
          </cell>
          <cell r="C1166" t="str">
            <v>A</v>
          </cell>
          <cell r="D1166" t="str">
            <v>Anargyros Psakis</v>
          </cell>
          <cell r="E1166" t="str">
            <v>انارجيروس  بساكيس</v>
          </cell>
          <cell r="F1166">
            <v>44549</v>
          </cell>
          <cell r="G1166" t="str">
            <v>50001390</v>
          </cell>
          <cell r="H1166" t="str">
            <v>F&amp;B Unit Head</v>
          </cell>
          <cell r="I1166" t="str">
            <v>رئيس وحدة الأغذية</v>
          </cell>
          <cell r="J1166" t="str">
            <v>On-Chart</v>
          </cell>
          <cell r="K1166" t="str">
            <v>MSS Direct Hires</v>
          </cell>
          <cell r="L1166" t="str">
            <v>M1</v>
          </cell>
          <cell r="M1166" t="str">
            <v>Louvre Abu Dhabi</v>
          </cell>
          <cell r="N1166" t="str">
            <v>Louvre Abu Dhabi</v>
          </cell>
          <cell r="O1166" t="str">
            <v>متحف اللوفر أبوظبي</v>
          </cell>
          <cell r="P1166" t="str">
            <v>Visitor Experience &amp; Sales</v>
          </cell>
          <cell r="Q1166" t="str">
            <v>إدارة تجربة الزوار و المبيعات</v>
          </cell>
          <cell r="R1166" t="str">
            <v>Visitor Operations</v>
          </cell>
          <cell r="S1166" t="str">
            <v>عمليات الزوار</v>
          </cell>
          <cell r="T1166" t="str">
            <v>F&amp;B and Retail</v>
          </cell>
          <cell r="U1166" t="str">
            <v>الأغذية و التجزئة</v>
          </cell>
          <cell r="V1166" t="str">
            <v>Abu Dhabi</v>
          </cell>
          <cell r="W1166" t="str">
            <v/>
          </cell>
          <cell r="X1166" t="str">
            <v>4510125</v>
          </cell>
          <cell r="Y1166" t="str">
            <v>Design_Visitor Experience Design_Unit Head</v>
          </cell>
          <cell r="Z1166" t="str">
            <v>Unit Head</v>
          </cell>
          <cell r="AA1166" t="str">
            <v>3B</v>
          </cell>
        </row>
        <row r="1167">
          <cell r="A1167">
            <v>7165</v>
          </cell>
          <cell r="B1167">
            <v>7165</v>
          </cell>
          <cell r="C1167" t="str">
            <v>A</v>
          </cell>
          <cell r="D1167" t="str">
            <v>Hajer Mohamed Alhosani</v>
          </cell>
          <cell r="E1167" t="str">
            <v>هاجر محمد الحوسني</v>
          </cell>
          <cell r="F1167">
            <v>44559</v>
          </cell>
          <cell r="G1167" t="str">
            <v>50002722</v>
          </cell>
          <cell r="H1167" t="str">
            <v>IT Governance Unit Head</v>
          </cell>
          <cell r="I1167" t="str">
            <v>رئيس وحدة حوكمة تكنولوجيا المعلومات</v>
          </cell>
          <cell r="J1167" t="str">
            <v>On-Chart</v>
          </cell>
          <cell r="K1167" t="str">
            <v>MSS Direct Hires</v>
          </cell>
          <cell r="L1167" t="str">
            <v>M1</v>
          </cell>
          <cell r="M1167" t="str">
            <v>Department of Culture and Tourism</v>
          </cell>
          <cell r="N1167" t="str">
            <v>Museums Shared Services</v>
          </cell>
          <cell r="O1167" t="str">
            <v>الخدمات المشتركة للمتاحف</v>
          </cell>
          <cell r="P1167" t="str">
            <v>Technology - MSS</v>
          </cell>
          <cell r="Q1167" t="str">
            <v>إدارة التكنولوجيا - الخدمات المشتركة للمتاحف</v>
          </cell>
          <cell r="R1167" t="str">
            <v>IT Governance</v>
          </cell>
          <cell r="S1167" t="str">
            <v/>
          </cell>
          <cell r="T1167" t="str">
            <v>IT Governance Unit</v>
          </cell>
          <cell r="U1167" t="str">
            <v>وحدة حوكمة تكنولوجيا المعلومات</v>
          </cell>
          <cell r="V1167" t="str">
            <v>Abu Dhabi</v>
          </cell>
          <cell r="W1167" t="str">
            <v/>
          </cell>
          <cell r="X1167" t="str">
            <v>4514180</v>
          </cell>
          <cell r="Y1167" t="str">
            <v>Information Technology_IT Security Governance &amp; Risk _Unit Head</v>
          </cell>
          <cell r="Z1167" t="str">
            <v>Unit Head</v>
          </cell>
          <cell r="AA1167" t="str">
            <v>3A</v>
          </cell>
        </row>
        <row r="1168">
          <cell r="A1168">
            <v>7169</v>
          </cell>
          <cell r="B1168">
            <v>7169</v>
          </cell>
          <cell r="C1168" t="str">
            <v>A</v>
          </cell>
          <cell r="D1168" t="str">
            <v>Amira Alawadhi</v>
          </cell>
          <cell r="E1168" t="str">
            <v>اميره  العوضي</v>
          </cell>
          <cell r="F1168">
            <v>44662</v>
          </cell>
          <cell r="G1168" t="str">
            <v>50001559</v>
          </cell>
          <cell r="H1168" t="str">
            <v>Assistant Registrar</v>
          </cell>
          <cell r="I1168" t="str">
            <v>مساعد مسؤول تسجيل</v>
          </cell>
          <cell r="J1168" t="str">
            <v>On-Chart</v>
          </cell>
          <cell r="K1168" t="str">
            <v>MSS Direct Hires</v>
          </cell>
          <cell r="L1168" t="str">
            <v>M1</v>
          </cell>
          <cell r="M1168" t="str">
            <v>Louvre Abu Dhabi</v>
          </cell>
          <cell r="N1168" t="str">
            <v>Louvre Abu Dhabi</v>
          </cell>
          <cell r="O1168" t="str">
            <v>متحف اللوفر أبوظبي</v>
          </cell>
          <cell r="P1168" t="str">
            <v>Scientific, Curatorial &amp; Collection Management</v>
          </cell>
          <cell r="Q1168" t="str">
            <v>إدارة المقتنيات العلمية والتنظيمية</v>
          </cell>
          <cell r="R1168" t="str">
            <v>Museography &amp; Collection Management</v>
          </cell>
          <cell r="S1168" t="str">
            <v>إدارة المجموعات</v>
          </cell>
          <cell r="T1168" t="str">
            <v>Registration &amp; Collection Management</v>
          </cell>
          <cell r="U1168" t="str">
            <v/>
          </cell>
          <cell r="V1168" t="str">
            <v>Abu Dhabi</v>
          </cell>
          <cell r="W1168" t="str">
            <v/>
          </cell>
          <cell r="X1168" t="str">
            <v>4510122</v>
          </cell>
          <cell r="Y1168" t="str">
            <v>Content &amp; Care_Registrar  (All)_Professional</v>
          </cell>
          <cell r="Z1168" t="str">
            <v>Professional</v>
          </cell>
          <cell r="AA1168" t="str">
            <v>4A</v>
          </cell>
        </row>
        <row r="1169">
          <cell r="A1169">
            <v>7170</v>
          </cell>
          <cell r="B1169">
            <v>7170</v>
          </cell>
          <cell r="C1169" t="str">
            <v>A</v>
          </cell>
          <cell r="D1169" t="str">
            <v>Noora Mohamed Alzaabi</v>
          </cell>
          <cell r="E1169" t="str">
            <v>نوره محمد الزعابي</v>
          </cell>
          <cell r="F1169">
            <v>44662</v>
          </cell>
          <cell r="G1169" t="str">
            <v>50001557</v>
          </cell>
          <cell r="H1169" t="str">
            <v>Documentation Photographer</v>
          </cell>
          <cell r="I1169" t="str">
            <v>مصور توثيق</v>
          </cell>
          <cell r="J1169" t="str">
            <v>On-Chart</v>
          </cell>
          <cell r="K1169" t="str">
            <v>MSS Direct Hires</v>
          </cell>
          <cell r="L1169" t="str">
            <v>M1</v>
          </cell>
          <cell r="M1169" t="str">
            <v>Louvre Abu Dhabi</v>
          </cell>
          <cell r="N1169" t="str">
            <v>Louvre Abu Dhabi</v>
          </cell>
          <cell r="O1169" t="str">
            <v>متحف اللوفر أبوظبي</v>
          </cell>
          <cell r="P1169" t="str">
            <v>Scientific, Curatorial &amp; Collection Management</v>
          </cell>
          <cell r="Q1169" t="str">
            <v>إدارة المقتنيات العلمية والتنظيمية</v>
          </cell>
          <cell r="R1169" t="str">
            <v>Research &amp; Documentation</v>
          </cell>
          <cell r="S1169" t="str">
            <v/>
          </cell>
          <cell r="T1169" t="str">
            <v>Research Lab</v>
          </cell>
          <cell r="U1169" t="str">
            <v/>
          </cell>
          <cell r="V1169" t="str">
            <v>Abu Dhabi</v>
          </cell>
          <cell r="W1169" t="str">
            <v/>
          </cell>
          <cell r="X1169" t="str">
            <v>4510122</v>
          </cell>
          <cell r="Y1169" t="str">
            <v>Content &amp; Care_Cataloging Records &amp; Documentation  _Professional</v>
          </cell>
          <cell r="Z1169" t="str">
            <v>Professional</v>
          </cell>
          <cell r="AA1169" t="str">
            <v>4B</v>
          </cell>
        </row>
        <row r="1170">
          <cell r="A1170">
            <v>7171</v>
          </cell>
          <cell r="B1170">
            <v>7171</v>
          </cell>
          <cell r="C1170" t="str">
            <v>A</v>
          </cell>
          <cell r="D1170" t="str">
            <v>Mohamed Hassan Almadhaani</v>
          </cell>
          <cell r="E1170" t="str">
            <v>محمد حسن المدحاني</v>
          </cell>
          <cell r="F1170">
            <v>44663</v>
          </cell>
          <cell r="G1170" t="str">
            <v>50001564</v>
          </cell>
          <cell r="H1170" t="str">
            <v>Senior Museum Educator</v>
          </cell>
          <cell r="I1170" t="str">
            <v>موظف أول تعليم متحفي</v>
          </cell>
          <cell r="J1170" t="str">
            <v>On-Chart</v>
          </cell>
          <cell r="K1170" t="str">
            <v>MSS Direct Hires</v>
          </cell>
          <cell r="L1170" t="str">
            <v>M1</v>
          </cell>
          <cell r="M1170" t="str">
            <v>Louvre Abu Dhabi</v>
          </cell>
          <cell r="N1170" t="str">
            <v>Louvre Abu Dhabi</v>
          </cell>
          <cell r="O1170" t="str">
            <v>متحف اللوفر أبوظبي</v>
          </cell>
          <cell r="P1170" t="str">
            <v>External Affairs, Outreach and Cultural Engagement</v>
          </cell>
          <cell r="Q1170" t="str">
            <v>إدارة الشؤون الخارجية والتواصل، المشاركة الثقافية</v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>Abu Dhabi</v>
          </cell>
          <cell r="W1170" t="str">
            <v/>
          </cell>
          <cell r="X1170" t="str">
            <v>4510123</v>
          </cell>
          <cell r="Y1170" t="str">
            <v>Interpretation &amp; Engagement_Outreach &amp; Cultural Engagement _Senior Professional</v>
          </cell>
          <cell r="Z1170" t="str">
            <v>Senior Professional</v>
          </cell>
          <cell r="AA1170" t="str">
            <v>3A</v>
          </cell>
        </row>
        <row r="1171">
          <cell r="A1171">
            <v>7172</v>
          </cell>
          <cell r="B1171">
            <v>7172</v>
          </cell>
          <cell r="C1171" t="str">
            <v>A</v>
          </cell>
          <cell r="D1171" t="str">
            <v>Mariam Ali Alshehhi</v>
          </cell>
          <cell r="E1171" t="str">
            <v>مريم علي الشحي</v>
          </cell>
          <cell r="F1171">
            <v>44708</v>
          </cell>
          <cell r="G1171" t="str">
            <v>50002949</v>
          </cell>
          <cell r="H1171" t="str">
            <v>Assistant Curator</v>
          </cell>
          <cell r="I1171" t="str">
            <v>مساعد امين متحف</v>
          </cell>
          <cell r="J1171" t="str">
            <v>On-Chart</v>
          </cell>
          <cell r="K1171" t="str">
            <v>DCT Payroll</v>
          </cell>
          <cell r="L1171" t="str">
            <v>A1</v>
          </cell>
          <cell r="M1171" t="str">
            <v>Department of Culture and Tourism</v>
          </cell>
          <cell r="N1171" t="str">
            <v>Culture</v>
          </cell>
          <cell r="O1171" t="str">
            <v>الثقافة</v>
          </cell>
          <cell r="P1171" t="str">
            <v>Culture Programming</v>
          </cell>
          <cell r="Q1171" t="str">
            <v>البرامج الثقافية</v>
          </cell>
          <cell r="R1171" t="str">
            <v>Abu Dhabi Public Art</v>
          </cell>
          <cell r="S1171" t="str">
            <v>الفن العام - أبوظبي</v>
          </cell>
          <cell r="T1171" t="str">
            <v/>
          </cell>
          <cell r="U1171" t="str">
            <v/>
          </cell>
          <cell r="V1171" t="str">
            <v>Abu Dhabi</v>
          </cell>
          <cell r="W1171" t="str">
            <v/>
          </cell>
          <cell r="X1171" t="str">
            <v>4511700</v>
          </cell>
          <cell r="Y1171" t="str">
            <v>Specialization Content &amp; Care</v>
          </cell>
          <cell r="Z1171" t="str">
            <v>Professional</v>
          </cell>
          <cell r="AA1171" t="str">
            <v>4B</v>
          </cell>
        </row>
        <row r="1172">
          <cell r="A1172">
            <v>7174</v>
          </cell>
          <cell r="B1172">
            <v>7174</v>
          </cell>
          <cell r="C1172" t="str">
            <v>A</v>
          </cell>
          <cell r="D1172" t="str">
            <v>Rawdha Ahmed Alabdouli</v>
          </cell>
          <cell r="E1172" t="str">
            <v>روضه احمد العبدولي</v>
          </cell>
          <cell r="F1172">
            <v>44680</v>
          </cell>
          <cell r="G1172" t="str">
            <v>10010052</v>
          </cell>
          <cell r="H1172" t="str">
            <v>Curitorial Assistant</v>
          </cell>
          <cell r="I1172" t="str">
            <v>مساعد أمين متحف</v>
          </cell>
          <cell r="J1172" t="str">
            <v>On-Chart</v>
          </cell>
          <cell r="K1172" t="str">
            <v>MSS Direct Hires</v>
          </cell>
          <cell r="L1172" t="str">
            <v>M1</v>
          </cell>
          <cell r="M1172" t="str">
            <v>Louvre Abu Dhabi</v>
          </cell>
          <cell r="N1172" t="str">
            <v>Louvre Abu Dhabi</v>
          </cell>
          <cell r="O1172" t="str">
            <v>متحف اللوفر أبوظبي</v>
          </cell>
          <cell r="P1172" t="str">
            <v>Scientific, Curatorial &amp; Collection Management</v>
          </cell>
          <cell r="Q1172" t="str">
            <v>إدارة المقتنيات العلمية والتنظيمية</v>
          </cell>
          <cell r="R1172" t="str">
            <v>Research &amp; Documentation</v>
          </cell>
          <cell r="S1172" t="str">
            <v/>
          </cell>
          <cell r="T1172" t="str">
            <v/>
          </cell>
          <cell r="U1172" t="str">
            <v/>
          </cell>
          <cell r="V1172" t="str">
            <v>Abu Dhabi</v>
          </cell>
          <cell r="W1172" t="str">
            <v/>
          </cell>
          <cell r="X1172" t="str">
            <v>4510122</v>
          </cell>
          <cell r="Y1172" t="str">
            <v>Content &amp; Care_Curatorial  Management  _Professional</v>
          </cell>
          <cell r="Z1172" t="str">
            <v>Professional</v>
          </cell>
          <cell r="AA1172" t="str">
            <v>4B</v>
          </cell>
        </row>
        <row r="1173">
          <cell r="A1173">
            <v>7176</v>
          </cell>
          <cell r="B1173">
            <v>7176</v>
          </cell>
          <cell r="C1173" t="str">
            <v>A</v>
          </cell>
          <cell r="D1173" t="str">
            <v>Moza Tarek Shahin</v>
          </cell>
          <cell r="E1173" t="str">
            <v>موزه طارق شاهين</v>
          </cell>
          <cell r="F1173">
            <v>44680</v>
          </cell>
          <cell r="G1173" t="str">
            <v>10008993</v>
          </cell>
          <cell r="H1173" t="str">
            <v>Interpretation Specialist</v>
          </cell>
          <cell r="I1173" t="str">
            <v>أخصائي الإرشاد الثقافي</v>
          </cell>
          <cell r="J1173" t="str">
            <v>On-Chart</v>
          </cell>
          <cell r="K1173" t="str">
            <v>DCT Payroll</v>
          </cell>
          <cell r="L1173" t="str">
            <v>A1</v>
          </cell>
          <cell r="M1173" t="str">
            <v>Department of Culture and Tourism</v>
          </cell>
          <cell r="N1173" t="str">
            <v>Culture</v>
          </cell>
          <cell r="O1173" t="str">
            <v>الثقافة</v>
          </cell>
          <cell r="P1173" t="str">
            <v>Education &amp; Outreach</v>
          </cell>
          <cell r="Q1173" t="str">
            <v>التعليم والتوعية الثقافية</v>
          </cell>
          <cell r="R1173" t="str">
            <v>Interpretation - Museums &amp; Exhibitions</v>
          </cell>
          <cell r="S1173" t="str">
            <v>الإرشاد الثقافي - المتاحف والمعارض</v>
          </cell>
          <cell r="T1173" t="str">
            <v>Interpretation (Museums &amp; Exhibitions)</v>
          </cell>
          <cell r="U1173" t="str">
            <v>الإرشاد الثقافي (المتاحف والمعارض)</v>
          </cell>
          <cell r="V1173" t="str">
            <v>Abu Dhabi</v>
          </cell>
          <cell r="W1173" t="str">
            <v/>
          </cell>
          <cell r="X1173" t="str">
            <v>4511800</v>
          </cell>
          <cell r="Y1173" t="str">
            <v>Specialization Interpretation &amp; Engagement</v>
          </cell>
          <cell r="Z1173" t="str">
            <v>Professional</v>
          </cell>
          <cell r="AA1173" t="str">
            <v>4B</v>
          </cell>
        </row>
        <row r="1174">
          <cell r="A1174">
            <v>7177</v>
          </cell>
          <cell r="B1174">
            <v>7177</v>
          </cell>
          <cell r="C1174" t="str">
            <v>A</v>
          </cell>
          <cell r="D1174" t="str">
            <v>Hamad Ibrahim Buhumaid</v>
          </cell>
          <cell r="E1174" t="str">
            <v>حمد ابراهيم بوحميد</v>
          </cell>
          <cell r="F1174">
            <v>44704</v>
          </cell>
          <cell r="G1174" t="str">
            <v>50001593</v>
          </cell>
          <cell r="H1174" t="str">
            <v>Senior Security Officer</v>
          </cell>
          <cell r="I1174" t="str">
            <v>ضابط أمن أول</v>
          </cell>
          <cell r="J1174" t="str">
            <v>On-Chart</v>
          </cell>
          <cell r="K1174" t="str">
            <v>MSS Direct Hires</v>
          </cell>
          <cell r="L1174" t="str">
            <v>M1</v>
          </cell>
          <cell r="M1174" t="str">
            <v>Louvre Abu Dhabi</v>
          </cell>
          <cell r="N1174" t="str">
            <v>Louvre Abu Dhabi</v>
          </cell>
          <cell r="O1174" t="str">
            <v>متحف اللوفر أبوظبي</v>
          </cell>
          <cell r="P1174" t="str">
            <v>Technical Operations</v>
          </cell>
          <cell r="Q1174" t="str">
            <v>العمليات الفنية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>Abu Dhabi</v>
          </cell>
          <cell r="W1174" t="str">
            <v/>
          </cell>
          <cell r="X1174" t="str">
            <v>4510127</v>
          </cell>
          <cell r="Y1174" t="str">
            <v>Information Technology_Security Architect_Senior Professional</v>
          </cell>
          <cell r="Z1174" t="str">
            <v>Senior Professional</v>
          </cell>
          <cell r="AA1174" t="str">
            <v>3B</v>
          </cell>
        </row>
        <row r="1175">
          <cell r="A1175">
            <v>7178</v>
          </cell>
          <cell r="B1175">
            <v>7178</v>
          </cell>
          <cell r="C1175" t="str">
            <v>A</v>
          </cell>
          <cell r="D1175" t="str">
            <v>Maryam Ahmad Alremeithi</v>
          </cell>
          <cell r="E1175" t="str">
            <v>مريم احمد الرميثي</v>
          </cell>
          <cell r="F1175">
            <v>44739</v>
          </cell>
          <cell r="G1175" t="str">
            <v>50003500</v>
          </cell>
          <cell r="H1175" t="str">
            <v>Events Unit Head</v>
          </cell>
          <cell r="I1175" t="str">
            <v>رئيس وحدة الفعاليات</v>
          </cell>
          <cell r="J1175" t="str">
            <v>On-Chart</v>
          </cell>
          <cell r="K1175" t="str">
            <v>MSS Direct Hires</v>
          </cell>
          <cell r="L1175" t="str">
            <v>M1</v>
          </cell>
          <cell r="M1175" t="str">
            <v>Department of Culture and Tourism</v>
          </cell>
          <cell r="N1175" t="str">
            <v>Louvre Abu Dhabi</v>
          </cell>
          <cell r="O1175" t="str">
            <v>متحف اللوفر أبوظبي</v>
          </cell>
          <cell r="P1175" t="str">
            <v>Visitor Experience &amp; Sales</v>
          </cell>
          <cell r="Q1175" t="str">
            <v>إدارة تجربة الزوار و المبيعات</v>
          </cell>
          <cell r="R1175" t="str">
            <v>Event Operations</v>
          </cell>
          <cell r="S1175" t="str">
            <v/>
          </cell>
          <cell r="T1175" t="str">
            <v>Event</v>
          </cell>
          <cell r="U1175" t="str">
            <v/>
          </cell>
          <cell r="V1175" t="str">
            <v>Abu Dhabi</v>
          </cell>
          <cell r="W1175" t="str">
            <v/>
          </cell>
          <cell r="X1175" t="str">
            <v>4510125</v>
          </cell>
          <cell r="Y1175" t="str">
            <v/>
          </cell>
          <cell r="Z1175" t="str">
            <v>Unit Head</v>
          </cell>
          <cell r="AA1175" t="str">
            <v>3A</v>
          </cell>
        </row>
        <row r="1176">
          <cell r="A1176">
            <v>7180</v>
          </cell>
          <cell r="B1176">
            <v>7180</v>
          </cell>
          <cell r="C1176" t="str">
            <v>A</v>
          </cell>
          <cell r="D1176" t="str">
            <v>Safiya Ahmed Alfahim</v>
          </cell>
          <cell r="E1176" t="str">
            <v>صفيه احمد الفهيم</v>
          </cell>
          <cell r="F1176">
            <v>44781</v>
          </cell>
          <cell r="G1176" t="str">
            <v>50002581</v>
          </cell>
          <cell r="H1176" t="str">
            <v>Finance Planning and Reporting Unit Head</v>
          </cell>
          <cell r="I1176" t="str">
            <v>رئيس وحدة التخطيط والتقارير المالية</v>
          </cell>
          <cell r="J1176" t="str">
            <v>On-Chart</v>
          </cell>
          <cell r="K1176" t="str">
            <v>MSS Direct Hires</v>
          </cell>
          <cell r="L1176" t="str">
            <v>M1</v>
          </cell>
          <cell r="M1176" t="str">
            <v>Department of Culture and Tourism</v>
          </cell>
          <cell r="N1176" t="str">
            <v>Museums Shared Services</v>
          </cell>
          <cell r="O1176" t="str">
            <v>الخدمات المشتركة للمتاحف</v>
          </cell>
          <cell r="P1176" t="str">
            <v>Finance - MSS</v>
          </cell>
          <cell r="Q1176" t="str">
            <v>الإدارة المالية - الخدمات المشتركة للمتاحف</v>
          </cell>
          <cell r="R1176" t="str">
            <v>Finance Planning and Business Partnership Section - MSS</v>
          </cell>
          <cell r="S1176" t="str">
            <v>قسم التخطيط المالي وشراكات الأعمال</v>
          </cell>
          <cell r="T1176" t="str">
            <v>Finance Planning and Reporting Unit - MSS</v>
          </cell>
          <cell r="U1176" t="str">
            <v>وحدة التخطيط والتقارير المالية</v>
          </cell>
          <cell r="V1176" t="str">
            <v>Abu Dhabi</v>
          </cell>
          <cell r="W1176" t="str">
            <v/>
          </cell>
          <cell r="X1176" t="str">
            <v>4514120</v>
          </cell>
          <cell r="Y1176" t="str">
            <v>Finance_Finance Planning   Forecasting &amp; Reporting _Unit Head</v>
          </cell>
          <cell r="Z1176" t="str">
            <v>Unit Head</v>
          </cell>
          <cell r="AA1176" t="str">
            <v>3C</v>
          </cell>
        </row>
        <row r="1177">
          <cell r="A1177">
            <v>7181</v>
          </cell>
          <cell r="B1177">
            <v>7181</v>
          </cell>
          <cell r="C1177" t="str">
            <v>A</v>
          </cell>
          <cell r="D1177" t="str">
            <v>Ammar Saeed Alhantoobi</v>
          </cell>
          <cell r="E1177" t="str">
            <v>عمار سعيد الحنطوبي</v>
          </cell>
          <cell r="F1177">
            <v>44802</v>
          </cell>
          <cell r="G1177" t="str">
            <v>50002787</v>
          </cell>
          <cell r="H1177" t="str">
            <v>Sourcing Unit Head</v>
          </cell>
          <cell r="I1177" t="str">
            <v>رئيس وحدة توريد المشتريات</v>
          </cell>
          <cell r="J1177" t="str">
            <v>On-Chart</v>
          </cell>
          <cell r="K1177" t="str">
            <v>MSS Direct Hires</v>
          </cell>
          <cell r="L1177" t="str">
            <v>M1</v>
          </cell>
          <cell r="M1177" t="str">
            <v>Department of Culture and Tourism</v>
          </cell>
          <cell r="N1177" t="str">
            <v>Museums Shared Services</v>
          </cell>
          <cell r="O1177" t="str">
            <v>الخدمات المشتركة للمتاحف</v>
          </cell>
          <cell r="P1177" t="str">
            <v>Supply Management - MSS</v>
          </cell>
          <cell r="Q1177" t="str">
            <v>إدارة الإمداد - الخدمات المشتركة للمتاحف</v>
          </cell>
          <cell r="R1177" t="str">
            <v>Supply Management Operations Section</v>
          </cell>
          <cell r="S1177" t="str">
            <v>قسم عمليات إدارة الإمداد</v>
          </cell>
          <cell r="T1177" t="str">
            <v>Sourcing Unit</v>
          </cell>
          <cell r="U1177" t="str">
            <v>وحدة التوريد</v>
          </cell>
          <cell r="V1177" t="str">
            <v>Abu Dhabi</v>
          </cell>
          <cell r="W1177" t="str">
            <v/>
          </cell>
          <cell r="X1177" t="str">
            <v>4514160</v>
          </cell>
          <cell r="Y1177" t="str">
            <v>Procurement_Procurement General _Unit Head</v>
          </cell>
          <cell r="Z1177" t="str">
            <v>Unit Head</v>
          </cell>
          <cell r="AA1177" t="str">
            <v>3B</v>
          </cell>
        </row>
        <row r="1178">
          <cell r="A1178">
            <v>7183</v>
          </cell>
          <cell r="B1178">
            <v>7183</v>
          </cell>
          <cell r="C1178" t="str">
            <v>A</v>
          </cell>
          <cell r="D1178" t="str">
            <v>Fatema Easa AlBlooshi</v>
          </cell>
          <cell r="E1178" t="str">
            <v>فاطمه عيسى البلوشي</v>
          </cell>
          <cell r="F1178">
            <v>44844</v>
          </cell>
          <cell r="G1178" t="str">
            <v>50002769</v>
          </cell>
          <cell r="H1178" t="str">
            <v>Business Applications Senior Specialist</v>
          </cell>
          <cell r="I1178" t="str">
            <v>أخصائي أول التطبيقات المؤسسية</v>
          </cell>
          <cell r="J1178" t="str">
            <v>On-Chart</v>
          </cell>
          <cell r="K1178" t="str">
            <v>MSS Direct Hires</v>
          </cell>
          <cell r="L1178" t="str">
            <v>M1</v>
          </cell>
          <cell r="M1178" t="str">
            <v>Department of Culture and Tourism</v>
          </cell>
          <cell r="N1178" t="str">
            <v>Museums Shared Services</v>
          </cell>
          <cell r="O1178" t="str">
            <v>الخدمات المشتركة للمتاحف</v>
          </cell>
          <cell r="P1178" t="str">
            <v>Technology - MSS</v>
          </cell>
          <cell r="Q1178" t="str">
            <v>إدارة التكنولوجيا - الخدمات المشتركة للمتاحف</v>
          </cell>
          <cell r="R1178" t="str">
            <v>Technical Operations Section</v>
          </cell>
          <cell r="S1178" t="str">
            <v>قسم العمليات التقنية</v>
          </cell>
          <cell r="T1178" t="str">
            <v>Business Applications Unit</v>
          </cell>
          <cell r="U1178" t="str">
            <v>وحدة التطبيقات المؤسسية</v>
          </cell>
          <cell r="V1178" t="str">
            <v>Abu Dhabi</v>
          </cell>
          <cell r="W1178" t="str">
            <v/>
          </cell>
          <cell r="X1178" t="str">
            <v>4514180</v>
          </cell>
          <cell r="Y1178" t="str">
            <v>Information Technology_IT Business Application _Senior Professional</v>
          </cell>
          <cell r="Z1178" t="str">
            <v>Senior Professional</v>
          </cell>
          <cell r="AA1178" t="str">
            <v>3B</v>
          </cell>
        </row>
        <row r="1179">
          <cell r="A1179">
            <v>7185</v>
          </cell>
          <cell r="B1179">
            <v>7185</v>
          </cell>
          <cell r="C1179" t="str">
            <v>A</v>
          </cell>
          <cell r="D1179" t="str">
            <v>Alia Abdulla AlShamsi</v>
          </cell>
          <cell r="E1179" t="str">
            <v>علياء عبدﷲ الشامسي</v>
          </cell>
          <cell r="F1179">
            <v>44865</v>
          </cell>
          <cell r="G1179" t="str">
            <v>50002065</v>
          </cell>
          <cell r="H1179" t="str">
            <v>Technical Maintenance Officer</v>
          </cell>
          <cell r="I1179" t="str">
            <v>ضابط صيانة تقنية</v>
          </cell>
          <cell r="J1179" t="str">
            <v>On-Chart</v>
          </cell>
          <cell r="K1179" t="str">
            <v>MSS Direct Hires</v>
          </cell>
          <cell r="L1179" t="str">
            <v>M1</v>
          </cell>
          <cell r="M1179" t="str">
            <v>Louvre Abu Dhabi</v>
          </cell>
          <cell r="N1179" t="str">
            <v>Louvre Abu Dhabi</v>
          </cell>
          <cell r="O1179" t="str">
            <v>متحف اللوفر أبوظبي</v>
          </cell>
          <cell r="P1179" t="str">
            <v>Technical Operations</v>
          </cell>
          <cell r="Q1179" t="str">
            <v>العمليات الفنية</v>
          </cell>
          <cell r="R1179" t="str">
            <v>Technical Maintenance &amp; Facilities Management</v>
          </cell>
          <cell r="S1179" t="str">
            <v>الصيانة الفنية وإدارة المرافق</v>
          </cell>
          <cell r="T1179" t="str">
            <v>Hard FM Management</v>
          </cell>
          <cell r="U1179" t="str">
            <v>إدارة المرافق الصلبة</v>
          </cell>
          <cell r="V1179" t="str">
            <v>Abu Dhabi</v>
          </cell>
          <cell r="W1179" t="str">
            <v/>
          </cell>
          <cell r="X1179" t="str">
            <v>4510127</v>
          </cell>
          <cell r="Y1179" t="str">
            <v>Information Technology_Technical Support Engineer_Professional</v>
          </cell>
          <cell r="Z1179" t="str">
            <v>Professional</v>
          </cell>
          <cell r="AA1179" t="str">
            <v>4B</v>
          </cell>
        </row>
        <row r="1180">
          <cell r="A1180">
            <v>7186</v>
          </cell>
          <cell r="B1180">
            <v>7186</v>
          </cell>
          <cell r="C1180" t="str">
            <v>A</v>
          </cell>
          <cell r="D1180" t="str">
            <v>Sarah Ghanem Alnuaimi</v>
          </cell>
          <cell r="E1180" t="str">
            <v>ساره غانم النعيمي</v>
          </cell>
          <cell r="F1180">
            <v>44858</v>
          </cell>
          <cell r="G1180" t="str">
            <v>50002066</v>
          </cell>
          <cell r="H1180" t="str">
            <v>Designer</v>
          </cell>
          <cell r="I1180" t="str">
            <v>خريج متدرب - مساعد مصمم</v>
          </cell>
          <cell r="J1180" t="str">
            <v>On-Chart</v>
          </cell>
          <cell r="K1180" t="str">
            <v>MSS Direct Hires</v>
          </cell>
          <cell r="L1180" t="str">
            <v>M1</v>
          </cell>
          <cell r="M1180" t="str">
            <v>Louvre Abu Dhabi</v>
          </cell>
          <cell r="N1180" t="str">
            <v>Louvre Abu Dhabi</v>
          </cell>
          <cell r="O1180" t="str">
            <v>متحف اللوفر أبوظبي</v>
          </cell>
          <cell r="P1180" t="str">
            <v>Development, Marketing &amp; Communications</v>
          </cell>
          <cell r="Q1180" t="str">
            <v>إدارة التطوير،التسويق والاتصال</v>
          </cell>
          <cell r="R1180" t="str">
            <v>Marketing  LAD</v>
          </cell>
          <cell r="S1180" t="str">
            <v/>
          </cell>
          <cell r="T1180" t="str">
            <v/>
          </cell>
          <cell r="U1180" t="str">
            <v/>
          </cell>
          <cell r="V1180" t="str">
            <v>Abu Dhabi</v>
          </cell>
          <cell r="W1180" t="str">
            <v/>
          </cell>
          <cell r="X1180" t="str">
            <v>4510124</v>
          </cell>
          <cell r="Y1180" t="str">
            <v>Comms &amp; Marketing _Marketing &amp; Communications (All)_Professional</v>
          </cell>
          <cell r="Z1180" t="str">
            <v>Professional</v>
          </cell>
          <cell r="AA1180" t="str">
            <v>4B</v>
          </cell>
        </row>
        <row r="1181">
          <cell r="A1181">
            <v>7187</v>
          </cell>
          <cell r="B1181">
            <v>7187</v>
          </cell>
          <cell r="C1181" t="str">
            <v>A</v>
          </cell>
          <cell r="D1181" t="str">
            <v>Sara Obaid Alremeithi</v>
          </cell>
          <cell r="E1181" t="str">
            <v>ساره عبيد الرميثي</v>
          </cell>
          <cell r="F1181">
            <v>44888</v>
          </cell>
          <cell r="G1181" t="str">
            <v>50002081</v>
          </cell>
          <cell r="H1181" t="str">
            <v>Institutional Affairs Officer</v>
          </cell>
          <cell r="I1181" t="str">
            <v>ضابط الشؤون المؤسسية</v>
          </cell>
          <cell r="J1181" t="str">
            <v>On-Chart</v>
          </cell>
          <cell r="K1181" t="str">
            <v>MSS Direct Hires</v>
          </cell>
          <cell r="L1181" t="str">
            <v>M1</v>
          </cell>
          <cell r="M1181" t="str">
            <v>Louvre Abu Dhabi</v>
          </cell>
          <cell r="N1181" t="str">
            <v>Louvre Abu Dhabi</v>
          </cell>
          <cell r="O1181" t="str">
            <v>متحف اللوفر أبوظبي</v>
          </cell>
          <cell r="P1181" t="str">
            <v>External Affairs, Outreach and Cultural Engagement</v>
          </cell>
          <cell r="Q1181" t="str">
            <v>إدارة الشؤون الخارجية والتواصل، المشاركة الثقافية</v>
          </cell>
          <cell r="R1181" t="str">
            <v>International &amp; Institutional Affairs</v>
          </cell>
          <cell r="S1181" t="str">
            <v/>
          </cell>
          <cell r="T1181" t="str">
            <v/>
          </cell>
          <cell r="U1181" t="str">
            <v/>
          </cell>
          <cell r="V1181" t="str">
            <v>Abu Dhabi</v>
          </cell>
          <cell r="W1181" t="str">
            <v/>
          </cell>
          <cell r="X1181" t="str">
            <v>4510123</v>
          </cell>
          <cell r="Y1181" t="str">
            <v>Interpretation &amp; Engagement_Outreach &amp; Cultural Engagement _Professional</v>
          </cell>
          <cell r="Z1181" t="str">
            <v>Professional</v>
          </cell>
          <cell r="AA1181" t="str">
            <v>4B</v>
          </cell>
        </row>
        <row r="1182">
          <cell r="A1182">
            <v>7191</v>
          </cell>
          <cell r="B1182">
            <v>7191</v>
          </cell>
          <cell r="C1182" t="str">
            <v>A</v>
          </cell>
          <cell r="D1182" t="str">
            <v>Amena Abdulrahman AlAli</v>
          </cell>
          <cell r="E1182" t="str">
            <v>امينه عبدالرحمن العلي</v>
          </cell>
          <cell r="F1182">
            <v>44910</v>
          </cell>
          <cell r="G1182" t="str">
            <v>50001401</v>
          </cell>
          <cell r="H1182" t="str">
            <v>Community Engagement Specialist</v>
          </cell>
          <cell r="I1182" t="str">
            <v>أخصائي المشاركة المجتمعية</v>
          </cell>
          <cell r="J1182" t="str">
            <v>On-Chart</v>
          </cell>
          <cell r="K1182" t="str">
            <v>DCT Payroll</v>
          </cell>
          <cell r="L1182" t="str">
            <v>A1</v>
          </cell>
          <cell r="M1182" t="str">
            <v>Department of Culture and Tourism</v>
          </cell>
          <cell r="N1182" t="str">
            <v>Culture</v>
          </cell>
          <cell r="O1182" t="str">
            <v>الثقافة</v>
          </cell>
          <cell r="P1182" t="str">
            <v>Culture Festivals &amp; Platforms</v>
          </cell>
          <cell r="Q1182" t="str">
            <v>المهرجانات والمنصات الثقافية</v>
          </cell>
          <cell r="R1182" t="str">
            <v>Programmes Development</v>
          </cell>
          <cell r="S1182" t="str">
            <v>تطوير البرامج</v>
          </cell>
          <cell r="T1182" t="str">
            <v/>
          </cell>
          <cell r="U1182" t="str">
            <v/>
          </cell>
          <cell r="V1182" t="str">
            <v>Abu Dhabi</v>
          </cell>
          <cell r="W1182" t="str">
            <v/>
          </cell>
          <cell r="X1182" t="str">
            <v>4511750</v>
          </cell>
          <cell r="Y1182" t="str">
            <v>Commercial _Conventions, Exhibitions, Events &amp; Festivals Development &amp; Sales  _Professional</v>
          </cell>
          <cell r="Z1182" t="str">
            <v>Professional</v>
          </cell>
          <cell r="AA1182" t="str">
            <v>4B</v>
          </cell>
        </row>
        <row r="1183">
          <cell r="A1183">
            <v>7192</v>
          </cell>
          <cell r="B1183">
            <v>7192</v>
          </cell>
          <cell r="C1183" t="str">
            <v>A</v>
          </cell>
          <cell r="D1183" t="str">
            <v>Noora Suhail Alameri</v>
          </cell>
          <cell r="E1183" t="str">
            <v>نوره سهيل العامري</v>
          </cell>
          <cell r="F1183">
            <v>44950</v>
          </cell>
          <cell r="G1183" t="str">
            <v>50002222</v>
          </cell>
          <cell r="H1183" t="str">
            <v>Images Database Officer</v>
          </cell>
          <cell r="I1183" t="str">
            <v>ضابط قاعدة بيانات الصور الرقمية</v>
          </cell>
          <cell r="J1183" t="str">
            <v>On-Chart</v>
          </cell>
          <cell r="K1183" t="str">
            <v>MSS Direct Hires</v>
          </cell>
          <cell r="L1183" t="str">
            <v>M1</v>
          </cell>
          <cell r="M1183" t="str">
            <v>Louvre Abu Dhabi</v>
          </cell>
          <cell r="N1183" t="str">
            <v>Louvre Abu Dhabi</v>
          </cell>
          <cell r="O1183" t="str">
            <v>متحف اللوفر أبوظبي</v>
          </cell>
          <cell r="P1183" t="str">
            <v>External Affairs, Outreach and Cultural Engagement</v>
          </cell>
          <cell r="Q1183" t="str">
            <v>إدارة الشؤون الخارجية والتواصل، المشاركة الثقافية</v>
          </cell>
          <cell r="R1183" t="str">
            <v>International &amp; Institutional Affairs</v>
          </cell>
          <cell r="S1183" t="str">
            <v/>
          </cell>
          <cell r="T1183" t="str">
            <v/>
          </cell>
          <cell r="U1183" t="str">
            <v/>
          </cell>
          <cell r="V1183" t="str">
            <v>Abu Dhabi</v>
          </cell>
          <cell r="W1183" t="str">
            <v/>
          </cell>
          <cell r="X1183" t="str">
            <v>4510123</v>
          </cell>
          <cell r="Y1183" t="str">
            <v>Interpretation &amp; Engagement_Outreach &amp; Cultural Engagement _Professional</v>
          </cell>
          <cell r="Z1183" t="str">
            <v>Professional</v>
          </cell>
          <cell r="AA1183" t="str">
            <v>4B</v>
          </cell>
        </row>
        <row r="1184">
          <cell r="A1184">
            <v>7193</v>
          </cell>
          <cell r="B1184">
            <v>7193</v>
          </cell>
          <cell r="C1184" t="str">
            <v>A</v>
          </cell>
          <cell r="D1184" t="str">
            <v>Afnan Alhosani</v>
          </cell>
          <cell r="E1184" t="str">
            <v>افنان  الحوسني</v>
          </cell>
          <cell r="F1184">
            <v>44910</v>
          </cell>
          <cell r="G1184" t="str">
            <v>50002126</v>
          </cell>
          <cell r="H1184" t="str">
            <v>Marketing Officer</v>
          </cell>
          <cell r="I1184" t="str">
            <v>ضابط تسويق</v>
          </cell>
          <cell r="J1184" t="str">
            <v>On-Chart</v>
          </cell>
          <cell r="K1184" t="str">
            <v>MSS Direct Hires</v>
          </cell>
          <cell r="L1184" t="str">
            <v>M1</v>
          </cell>
          <cell r="M1184" t="str">
            <v>Louvre Abu Dhabi</v>
          </cell>
          <cell r="N1184" t="str">
            <v>Louvre Abu Dhabi</v>
          </cell>
          <cell r="O1184" t="str">
            <v>متحف اللوفر أبوظبي</v>
          </cell>
          <cell r="P1184" t="str">
            <v>Development, Marketing &amp; Communications</v>
          </cell>
          <cell r="Q1184" t="str">
            <v>إدارة التطوير،التسويق والاتصال</v>
          </cell>
          <cell r="R1184" t="str">
            <v>Marketing  LAD</v>
          </cell>
          <cell r="S1184" t="str">
            <v/>
          </cell>
          <cell r="T1184" t="str">
            <v>Marketing  LAD</v>
          </cell>
          <cell r="U1184" t="str">
            <v/>
          </cell>
          <cell r="V1184" t="str">
            <v>Abu Dhabi</v>
          </cell>
          <cell r="W1184" t="str">
            <v/>
          </cell>
          <cell r="X1184" t="str">
            <v>4510124</v>
          </cell>
          <cell r="Y1184" t="str">
            <v>Comms &amp; Marketing _Marketing &amp; Communications (All)_Professional</v>
          </cell>
          <cell r="Z1184" t="str">
            <v>Professional</v>
          </cell>
          <cell r="AA1184" t="str">
            <v>4B</v>
          </cell>
        </row>
        <row r="1185">
          <cell r="A1185">
            <v>7194</v>
          </cell>
          <cell r="B1185">
            <v>7194</v>
          </cell>
          <cell r="C1185" t="str">
            <v>A</v>
          </cell>
          <cell r="D1185" t="str">
            <v>Bashayer Mohamed Alkhoori</v>
          </cell>
          <cell r="E1185" t="str">
            <v>بشاير محمد الخوري</v>
          </cell>
          <cell r="F1185">
            <v>44888</v>
          </cell>
          <cell r="G1185" t="str">
            <v>50002080</v>
          </cell>
          <cell r="H1185" t="str">
            <v>Museum Education Officer</v>
          </cell>
          <cell r="I1185" t="str">
            <v>ضابط تعليم متحف</v>
          </cell>
          <cell r="J1185" t="str">
            <v>On-Chart</v>
          </cell>
          <cell r="K1185" t="str">
            <v>MSS Direct Hires</v>
          </cell>
          <cell r="L1185" t="str">
            <v>M1</v>
          </cell>
          <cell r="M1185" t="str">
            <v>Louvre Abu Dhabi</v>
          </cell>
          <cell r="N1185" t="str">
            <v>Louvre Abu Dhabi</v>
          </cell>
          <cell r="O1185" t="str">
            <v>متحف اللوفر أبوظبي</v>
          </cell>
          <cell r="P1185" t="str">
            <v>External Affairs, Outreach and Cultural Engagement</v>
          </cell>
          <cell r="Q1185" t="str">
            <v>إدارة الشؤون الخارجية والتواصل، المشاركة الثقافية</v>
          </cell>
          <cell r="R1185" t="str">
            <v>Education &amp; Learning Resources</v>
          </cell>
          <cell r="S1185" t="str">
            <v>التعليم والترجمة</v>
          </cell>
          <cell r="T1185" t="str">
            <v>Education</v>
          </cell>
          <cell r="U1185" t="str">
            <v/>
          </cell>
          <cell r="V1185" t="str">
            <v>Abu Dhabi</v>
          </cell>
          <cell r="W1185" t="str">
            <v/>
          </cell>
          <cell r="X1185" t="str">
            <v>4510123</v>
          </cell>
          <cell r="Y1185" t="str">
            <v>Interpretation &amp; Engagement_Outreach &amp; Cultural Engagement _Professional</v>
          </cell>
          <cell r="Z1185" t="str">
            <v>Professional</v>
          </cell>
          <cell r="AA1185" t="str">
            <v>4B</v>
          </cell>
        </row>
        <row r="1186">
          <cell r="A1186">
            <v>7195</v>
          </cell>
          <cell r="B1186">
            <v>7195</v>
          </cell>
          <cell r="C1186" t="str">
            <v>A</v>
          </cell>
          <cell r="D1186" t="str">
            <v>Samar Salem Alwahedi</v>
          </cell>
          <cell r="E1186" t="str">
            <v>سمر سالم الواحدي</v>
          </cell>
          <cell r="F1186">
            <v>44910</v>
          </cell>
          <cell r="G1186" t="str">
            <v>50002127</v>
          </cell>
          <cell r="H1186" t="str">
            <v>Assistant Registrar</v>
          </cell>
          <cell r="I1186" t="str">
            <v>مساعد مسؤول تسجيل</v>
          </cell>
          <cell r="J1186" t="str">
            <v>On-Chart</v>
          </cell>
          <cell r="K1186" t="str">
            <v>MSS Direct Hires</v>
          </cell>
          <cell r="L1186" t="str">
            <v>M1</v>
          </cell>
          <cell r="M1186" t="str">
            <v>Louvre Abu Dhabi</v>
          </cell>
          <cell r="N1186" t="str">
            <v>Louvre Abu Dhabi</v>
          </cell>
          <cell r="O1186" t="str">
            <v>متحف اللوفر أبوظبي</v>
          </cell>
          <cell r="P1186" t="str">
            <v>Scientific, Curatorial &amp; Collection Management</v>
          </cell>
          <cell r="Q1186" t="str">
            <v>إدارة المقتنيات العلمية والتنظيمية</v>
          </cell>
          <cell r="R1186" t="str">
            <v>Museography &amp; Collection Management</v>
          </cell>
          <cell r="S1186" t="str">
            <v>إدارة المجموعات</v>
          </cell>
          <cell r="T1186" t="str">
            <v/>
          </cell>
          <cell r="U1186" t="str">
            <v/>
          </cell>
          <cell r="V1186" t="str">
            <v>Abu Dhabi</v>
          </cell>
          <cell r="W1186" t="str">
            <v/>
          </cell>
          <cell r="X1186" t="str">
            <v>4510122</v>
          </cell>
          <cell r="Y1186" t="str">
            <v>Content &amp; Care_Registrar  (All)_Professional</v>
          </cell>
          <cell r="Z1186" t="str">
            <v>Professional</v>
          </cell>
          <cell r="AA1186" t="str">
            <v>4B</v>
          </cell>
        </row>
        <row r="1187">
          <cell r="A1187">
            <v>7197</v>
          </cell>
          <cell r="B1187">
            <v>7197</v>
          </cell>
          <cell r="C1187" t="str">
            <v>A</v>
          </cell>
          <cell r="D1187" t="str">
            <v>Atul Raina</v>
          </cell>
          <cell r="E1187" t="str">
            <v>اتول  راينا</v>
          </cell>
          <cell r="F1187">
            <v>44916</v>
          </cell>
          <cell r="G1187" t="str">
            <v>50002111</v>
          </cell>
          <cell r="H1187" t="str">
            <v>Senior Technical Officer</v>
          </cell>
          <cell r="I1187" t="str">
            <v>ضابط تقني أول</v>
          </cell>
          <cell r="J1187" t="str">
            <v>On-Chart</v>
          </cell>
          <cell r="K1187" t="str">
            <v>MSS Direct Hires</v>
          </cell>
          <cell r="L1187" t="str">
            <v>M1</v>
          </cell>
          <cell r="M1187" t="str">
            <v>Louvre Abu Dhabi</v>
          </cell>
          <cell r="N1187" t="str">
            <v>Louvre Abu Dhabi</v>
          </cell>
          <cell r="O1187" t="str">
            <v>متحف اللوفر أبوظبي</v>
          </cell>
          <cell r="P1187" t="str">
            <v>Visitor Experience &amp; Sales</v>
          </cell>
          <cell r="Q1187" t="str">
            <v>إدارة تجربة الزوار و المبيعات</v>
          </cell>
          <cell r="R1187" t="str">
            <v>Event Operations</v>
          </cell>
          <cell r="S1187" t="str">
            <v/>
          </cell>
          <cell r="T1187" t="str">
            <v/>
          </cell>
          <cell r="U1187" t="str">
            <v/>
          </cell>
          <cell r="V1187" t="str">
            <v>Abu Dhabi</v>
          </cell>
          <cell r="W1187" t="str">
            <v/>
          </cell>
          <cell r="X1187" t="str">
            <v>4510125</v>
          </cell>
          <cell r="Y1187" t="str">
            <v>Design_Visitor Experience Design_Senior Professional</v>
          </cell>
          <cell r="Z1187" t="str">
            <v>Senior Professional</v>
          </cell>
          <cell r="AA1187" t="str">
            <v>3B</v>
          </cell>
        </row>
        <row r="1188">
          <cell r="A1188">
            <v>7198</v>
          </cell>
          <cell r="B1188">
            <v>7198</v>
          </cell>
          <cell r="C1188" t="str">
            <v>A</v>
          </cell>
          <cell r="D1188" t="str">
            <v>Fatema Moosa Alblooshi</v>
          </cell>
          <cell r="E1188" t="str">
            <v>فاطمه موسى البلوشي</v>
          </cell>
          <cell r="F1188">
            <v>44894</v>
          </cell>
          <cell r="G1188" t="str">
            <v>50002480</v>
          </cell>
          <cell r="H1188" t="str">
            <v>Visitor Operations Section Head</v>
          </cell>
          <cell r="I1188" t="str">
            <v>رئيس قسم عمليات الزوار</v>
          </cell>
          <cell r="J1188" t="str">
            <v>On-Chart</v>
          </cell>
          <cell r="K1188" t="str">
            <v>MSS Direct Hires</v>
          </cell>
          <cell r="L1188" t="str">
            <v>M1</v>
          </cell>
          <cell r="M1188" t="str">
            <v>Louvre Abu Dhabi</v>
          </cell>
          <cell r="N1188" t="str">
            <v>Louvre Abu Dhabi</v>
          </cell>
          <cell r="O1188" t="str">
            <v>متحف اللوفر أبوظبي</v>
          </cell>
          <cell r="P1188" t="str">
            <v>Visitor Experience &amp; Sales</v>
          </cell>
          <cell r="Q1188" t="str">
            <v>إدارة تجربة الزوار و المبيعات</v>
          </cell>
          <cell r="R1188" t="str">
            <v>Visitor Operations</v>
          </cell>
          <cell r="S1188" t="str">
            <v>عمليات الزوار</v>
          </cell>
          <cell r="T1188" t="str">
            <v/>
          </cell>
          <cell r="U1188" t="str">
            <v/>
          </cell>
          <cell r="V1188" t="str">
            <v>Abu Dhabi</v>
          </cell>
          <cell r="W1188" t="str">
            <v/>
          </cell>
          <cell r="X1188" t="str">
            <v>4510125</v>
          </cell>
          <cell r="Y1188" t="str">
            <v>Design_Visitor Experience Design_Section Head</v>
          </cell>
          <cell r="Z1188" t="str">
            <v>Section Manager</v>
          </cell>
          <cell r="AA1188" t="str">
            <v>2C</v>
          </cell>
        </row>
        <row r="1189">
          <cell r="A1189">
            <v>7199</v>
          </cell>
          <cell r="B1189">
            <v>7199</v>
          </cell>
          <cell r="C1189" t="str">
            <v>A</v>
          </cell>
          <cell r="D1189" t="str">
            <v>Abdulla Ahmed Alblooshi</v>
          </cell>
          <cell r="E1189" t="str">
            <v>عبدالله احمد البلوشي</v>
          </cell>
          <cell r="F1189">
            <v>44893</v>
          </cell>
          <cell r="G1189" t="str">
            <v>50002084</v>
          </cell>
          <cell r="H1189" t="str">
            <v>Protocol Officer</v>
          </cell>
          <cell r="I1189" t="str">
            <v>ضابط بروتوكول</v>
          </cell>
          <cell r="J1189" t="str">
            <v>On-Chart</v>
          </cell>
          <cell r="K1189" t="str">
            <v>MSS Direct Hires</v>
          </cell>
          <cell r="L1189" t="str">
            <v>M1</v>
          </cell>
          <cell r="M1189" t="str">
            <v>Louvre Abu Dhabi</v>
          </cell>
          <cell r="N1189" t="str">
            <v>Louvre Abu Dhabi</v>
          </cell>
          <cell r="O1189" t="str">
            <v>متحف اللوفر أبوظبي</v>
          </cell>
          <cell r="P1189" t="str">
            <v>External Affairs, Outreach and Cultural Engagement</v>
          </cell>
          <cell r="Q1189" t="str">
            <v>إدارة الشؤون الخارجية والتواصل، المشاركة الثقافية</v>
          </cell>
          <cell r="R1189" t="str">
            <v>International &amp; Institutional Affairs</v>
          </cell>
          <cell r="S1189" t="str">
            <v/>
          </cell>
          <cell r="T1189" t="str">
            <v/>
          </cell>
          <cell r="U1189" t="str">
            <v/>
          </cell>
          <cell r="V1189" t="str">
            <v>Abu Dhabi</v>
          </cell>
          <cell r="W1189" t="str">
            <v/>
          </cell>
          <cell r="X1189" t="str">
            <v>4510123</v>
          </cell>
          <cell r="Y1189" t="str">
            <v>Interpretation &amp; Engagement_Outreach &amp; Cultural Engagement _Professional</v>
          </cell>
          <cell r="Z1189" t="str">
            <v>Professional</v>
          </cell>
          <cell r="AA1189" t="str">
            <v>4A</v>
          </cell>
        </row>
        <row r="1190">
          <cell r="A1190">
            <v>7200</v>
          </cell>
          <cell r="B1190">
            <v>7200</v>
          </cell>
          <cell r="C1190" t="str">
            <v>A</v>
          </cell>
          <cell r="D1190" t="str">
            <v>Rajeev Gopinadh</v>
          </cell>
          <cell r="E1190" t="str">
            <v>راجيف  جوبيناده</v>
          </cell>
          <cell r="F1190">
            <v>44956</v>
          </cell>
          <cell r="G1190" t="str">
            <v>50002221</v>
          </cell>
          <cell r="H1190" t="str">
            <v>Temporary Exhibitions and Special Projects Manager</v>
          </cell>
          <cell r="I1190" t="str">
            <v>مدير المعارض و المشاريع الخاصة</v>
          </cell>
          <cell r="J1190" t="str">
            <v>On-Chart</v>
          </cell>
          <cell r="K1190" t="str">
            <v>MSS Direct Hires</v>
          </cell>
          <cell r="L1190" t="str">
            <v>M1</v>
          </cell>
          <cell r="M1190" t="str">
            <v>Louvre Abu Dhabi</v>
          </cell>
          <cell r="N1190" t="str">
            <v>Louvre Abu Dhabi</v>
          </cell>
          <cell r="O1190" t="str">
            <v>متحف اللوفر أبوظبي</v>
          </cell>
          <cell r="P1190" t="str">
            <v>Scientific, Curatorial &amp; Collection Management</v>
          </cell>
          <cell r="Q1190" t="str">
            <v>إدارة المقتنيات العلمية والتنظيمية</v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>Abu Dhabi</v>
          </cell>
          <cell r="W1190" t="str">
            <v/>
          </cell>
          <cell r="X1190" t="str">
            <v>4510122</v>
          </cell>
          <cell r="Y1190" t="str">
            <v>Content &amp; Care_Curatorial   Management (All areas)_Section Head</v>
          </cell>
          <cell r="Z1190" t="str">
            <v>Section Manager</v>
          </cell>
          <cell r="AA1190" t="str">
            <v>2B</v>
          </cell>
        </row>
        <row r="1191">
          <cell r="A1191">
            <v>7201</v>
          </cell>
          <cell r="B1191">
            <v>7201</v>
          </cell>
          <cell r="C1191" t="str">
            <v>A</v>
          </cell>
          <cell r="D1191" t="str">
            <v>Afraa Abdulla Alteneiji</v>
          </cell>
          <cell r="E1191" t="str">
            <v>عفراء عبدلله الطنيجي</v>
          </cell>
          <cell r="F1191">
            <v>45043</v>
          </cell>
          <cell r="G1191" t="str">
            <v>50002414</v>
          </cell>
          <cell r="H1191" t="str">
            <v>Senior Communications Specialist</v>
          </cell>
          <cell r="I1191" t="str">
            <v>أخصائي إتصال أول</v>
          </cell>
          <cell r="J1191" t="str">
            <v>On-Chart</v>
          </cell>
          <cell r="K1191" t="str">
            <v>MSS Direct Hires</v>
          </cell>
          <cell r="L1191" t="str">
            <v>M1</v>
          </cell>
          <cell r="M1191" t="str">
            <v>Louvre Abu Dhabi</v>
          </cell>
          <cell r="N1191" t="str">
            <v>Louvre Abu Dhabi</v>
          </cell>
          <cell r="O1191" t="str">
            <v>متحف اللوفر أبوظبي</v>
          </cell>
          <cell r="P1191" t="str">
            <v>Development, Marketing &amp; Communications</v>
          </cell>
          <cell r="Q1191" t="str">
            <v>إدارة التطوير،التسويق والاتصال</v>
          </cell>
          <cell r="R1191" t="str">
            <v>Communications</v>
          </cell>
          <cell r="S1191" t="str">
            <v>الاتصال</v>
          </cell>
          <cell r="T1191" t="str">
            <v>Communications</v>
          </cell>
          <cell r="U1191" t="str">
            <v>الاتصال</v>
          </cell>
          <cell r="V1191" t="str">
            <v>Abu Dhabi</v>
          </cell>
          <cell r="W1191" t="str">
            <v/>
          </cell>
          <cell r="X1191" t="str">
            <v>4510124</v>
          </cell>
          <cell r="Y1191" t="str">
            <v>Comms &amp; Marketing _Marketing &amp; Communications (All areas)_Senior Professional</v>
          </cell>
          <cell r="Z1191" t="str">
            <v>Senior Professional</v>
          </cell>
          <cell r="AA1191" t="str">
            <v>3B</v>
          </cell>
        </row>
        <row r="1192">
          <cell r="A1192">
            <v>7202</v>
          </cell>
          <cell r="B1192">
            <v>7202</v>
          </cell>
          <cell r="C1192" t="str">
            <v>A</v>
          </cell>
          <cell r="D1192" t="str">
            <v>Fatema Mohamed Almarzooqi</v>
          </cell>
          <cell r="E1192" t="str">
            <v>فاطمه محمد المرزوقي</v>
          </cell>
          <cell r="F1192">
            <v>45054</v>
          </cell>
          <cell r="G1192" t="str">
            <v>50002445</v>
          </cell>
          <cell r="H1192" t="str">
            <v>Assistant Conservator</v>
          </cell>
          <cell r="I1192" t="str">
            <v>مساعد حفظ الآثار</v>
          </cell>
          <cell r="J1192" t="str">
            <v>On-Chart</v>
          </cell>
          <cell r="K1192" t="str">
            <v>MSS Direct Hires</v>
          </cell>
          <cell r="L1192" t="str">
            <v>M1</v>
          </cell>
          <cell r="M1192" t="str">
            <v>Louvre Abu Dhabi</v>
          </cell>
          <cell r="N1192" t="str">
            <v>Louvre Abu Dhabi</v>
          </cell>
          <cell r="O1192" t="str">
            <v>متحف اللوفر أبوظبي</v>
          </cell>
          <cell r="P1192" t="str">
            <v>Scientific, Curatorial &amp; Collection Management</v>
          </cell>
          <cell r="Q1192" t="str">
            <v>إدارة المقتنيات العلمية والتنظيمية</v>
          </cell>
          <cell r="R1192" t="str">
            <v>Museography &amp; Collection Management</v>
          </cell>
          <cell r="S1192" t="str">
            <v>إدارة المجموعات</v>
          </cell>
          <cell r="T1192" t="str">
            <v/>
          </cell>
          <cell r="U1192" t="str">
            <v/>
          </cell>
          <cell r="V1192" t="str">
            <v>Abu Dhabi</v>
          </cell>
          <cell r="W1192" t="str">
            <v/>
          </cell>
          <cell r="X1192" t="str">
            <v>4510122</v>
          </cell>
          <cell r="Y1192" t="str">
            <v>Content &amp; Care_Collections  Conservation  Management_Professional Assistant</v>
          </cell>
          <cell r="Z1192" t="str">
            <v>Professional</v>
          </cell>
          <cell r="AA1192" t="str">
            <v>4B</v>
          </cell>
        </row>
        <row r="1193">
          <cell r="A1193">
            <v>7203</v>
          </cell>
          <cell r="B1193">
            <v>7203</v>
          </cell>
          <cell r="C1193" t="str">
            <v>A</v>
          </cell>
          <cell r="D1193" t="str">
            <v>Noura Mohamed Almansoori</v>
          </cell>
          <cell r="E1193" t="str">
            <v>نوره محمد المنصوري</v>
          </cell>
          <cell r="F1193">
            <v>45063</v>
          </cell>
          <cell r="G1193" t="str">
            <v>50002448</v>
          </cell>
          <cell r="H1193" t="str">
            <v>Museum Educator</v>
          </cell>
          <cell r="I1193" t="str">
            <v>موظف تعليم متحفي</v>
          </cell>
          <cell r="J1193" t="str">
            <v>On-Chart</v>
          </cell>
          <cell r="K1193" t="str">
            <v>MSS Direct Hires</v>
          </cell>
          <cell r="L1193" t="str">
            <v>M1</v>
          </cell>
          <cell r="M1193" t="str">
            <v>Louvre Abu Dhabi</v>
          </cell>
          <cell r="N1193" t="str">
            <v>Louvre Abu Dhabi</v>
          </cell>
          <cell r="O1193" t="str">
            <v>متحف اللوفر أبوظبي</v>
          </cell>
          <cell r="P1193" t="str">
            <v>External Affairs, Outreach and Cultural Engagement</v>
          </cell>
          <cell r="Q1193" t="str">
            <v>إدارة الشؤون الخارجية والتواصل، المشاركة الثقافية</v>
          </cell>
          <cell r="R1193" t="str">
            <v>Education &amp; Learning Resources</v>
          </cell>
          <cell r="S1193" t="str">
            <v>التعليم والترجمة</v>
          </cell>
          <cell r="T1193" t="str">
            <v>Education</v>
          </cell>
          <cell r="U1193" t="str">
            <v/>
          </cell>
          <cell r="V1193" t="str">
            <v>Abu Dhabi</v>
          </cell>
          <cell r="W1193" t="str">
            <v/>
          </cell>
          <cell r="X1193" t="str">
            <v>4510123</v>
          </cell>
          <cell r="Y1193" t="str">
            <v>Interpretation &amp; Engagement_Outreach &amp; Cultural Engagement _Professional</v>
          </cell>
          <cell r="Z1193" t="str">
            <v>Professional</v>
          </cell>
          <cell r="AA1193" t="str">
            <v>4B</v>
          </cell>
        </row>
        <row r="1194">
          <cell r="A1194">
            <v>7204</v>
          </cell>
          <cell r="B1194">
            <v>7204</v>
          </cell>
          <cell r="C1194" t="str">
            <v>A</v>
          </cell>
          <cell r="D1194" t="str">
            <v>Hessa Esmaeel Alhammadi</v>
          </cell>
          <cell r="E1194" t="str">
            <v>حصه اسماعيل الحمادي</v>
          </cell>
          <cell r="F1194">
            <v>45159</v>
          </cell>
          <cell r="G1194" t="str">
            <v>50002716</v>
          </cell>
          <cell r="H1194" t="str">
            <v>Digital Marketing Officer</v>
          </cell>
          <cell r="I1194" t="str">
            <v>ضابط التسويق الرقمي</v>
          </cell>
          <cell r="J1194" t="str">
            <v>On-Chart</v>
          </cell>
          <cell r="K1194" t="str">
            <v>MSS Direct Hires</v>
          </cell>
          <cell r="L1194" t="str">
            <v>M1</v>
          </cell>
          <cell r="M1194" t="str">
            <v>Louvre Abu Dhabi</v>
          </cell>
          <cell r="N1194" t="str">
            <v>Louvre Abu Dhabi</v>
          </cell>
          <cell r="O1194" t="str">
            <v>متحف اللوفر أبوظبي</v>
          </cell>
          <cell r="P1194" t="str">
            <v>Development, Marketing &amp; Communications</v>
          </cell>
          <cell r="Q1194" t="str">
            <v>إدارة التطوير،التسويق والاتصال</v>
          </cell>
          <cell r="R1194" t="str">
            <v>Communications</v>
          </cell>
          <cell r="S1194" t="str">
            <v>الاتصال</v>
          </cell>
          <cell r="T1194" t="str">
            <v>Communications</v>
          </cell>
          <cell r="U1194" t="str">
            <v>الاتصال</v>
          </cell>
          <cell r="V1194" t="str">
            <v>Abu Dhabi</v>
          </cell>
          <cell r="W1194" t="str">
            <v/>
          </cell>
          <cell r="X1194" t="str">
            <v>4510124</v>
          </cell>
          <cell r="Y1194" t="str">
            <v>Comms &amp; Marketing _Marketing &amp; Communications (All)_Professional</v>
          </cell>
          <cell r="Z1194" t="str">
            <v>Professional</v>
          </cell>
          <cell r="AA1194" t="str">
            <v>4B</v>
          </cell>
        </row>
        <row r="1195">
          <cell r="A1195">
            <v>7205</v>
          </cell>
          <cell r="B1195">
            <v>7205</v>
          </cell>
          <cell r="C1195" t="str">
            <v>A</v>
          </cell>
          <cell r="D1195" t="str">
            <v>Wafa Abdulla Albesher</v>
          </cell>
          <cell r="E1195" t="str">
            <v>وفاء عبد الله البشر</v>
          </cell>
          <cell r="F1195">
            <v>45187</v>
          </cell>
          <cell r="G1195" t="str">
            <v>50002914</v>
          </cell>
          <cell r="H1195" t="str">
            <v>Digital Marketing Unit Head</v>
          </cell>
          <cell r="I1195" t="str">
            <v>رئيس وحدة التسويق الرقمي</v>
          </cell>
          <cell r="J1195" t="str">
            <v>On-Chart</v>
          </cell>
          <cell r="K1195" t="str">
            <v>MSS Direct Hires</v>
          </cell>
          <cell r="L1195" t="str">
            <v>M1</v>
          </cell>
          <cell r="M1195" t="str">
            <v>Louvre Abu Dhabi</v>
          </cell>
          <cell r="N1195" t="str">
            <v>Louvre Abu Dhabi</v>
          </cell>
          <cell r="O1195" t="str">
            <v>متحف اللوفر أبوظبي</v>
          </cell>
          <cell r="P1195" t="str">
            <v>Development, Marketing &amp; Communications</v>
          </cell>
          <cell r="Q1195" t="str">
            <v>إدارة التطوير،التسويق والاتصال</v>
          </cell>
          <cell r="R1195" t="str">
            <v>Digital Marketing</v>
          </cell>
          <cell r="S1195" t="str">
            <v/>
          </cell>
          <cell r="T1195" t="str">
            <v>Digital Marketing</v>
          </cell>
          <cell r="U1195" t="str">
            <v/>
          </cell>
          <cell r="V1195" t="str">
            <v>Abu Dhabi</v>
          </cell>
          <cell r="W1195" t="str">
            <v/>
          </cell>
          <cell r="X1195" t="str">
            <v>4510124</v>
          </cell>
          <cell r="Y1195" t="str">
            <v>Comms &amp; Marketing _Marketing &amp; Communications _Unit Head</v>
          </cell>
          <cell r="Z1195" t="str">
            <v>Unit Head</v>
          </cell>
          <cell r="AA1195" t="str">
            <v>3B</v>
          </cell>
        </row>
        <row r="1196">
          <cell r="A1196">
            <v>7206</v>
          </cell>
          <cell r="B1196">
            <v>7206</v>
          </cell>
          <cell r="C1196" t="str">
            <v>A</v>
          </cell>
          <cell r="D1196" t="str">
            <v>Saleha Hasan Albreiki</v>
          </cell>
          <cell r="E1196" t="str">
            <v>صالحه حسن البريكي</v>
          </cell>
          <cell r="F1196">
            <v>45210</v>
          </cell>
          <cell r="G1196" t="str">
            <v>50002919</v>
          </cell>
          <cell r="H1196" t="str">
            <v>Senior Quality Officer</v>
          </cell>
          <cell r="I1196" t="str">
            <v>مسؤول جودة اول</v>
          </cell>
          <cell r="J1196" t="str">
            <v>On-Chart</v>
          </cell>
          <cell r="K1196" t="str">
            <v>MSS Direct Hires</v>
          </cell>
          <cell r="L1196" t="str">
            <v>M1</v>
          </cell>
          <cell r="M1196" t="str">
            <v>Louvre Abu Dhabi</v>
          </cell>
          <cell r="N1196" t="str">
            <v>Louvre Abu Dhabi</v>
          </cell>
          <cell r="O1196" t="str">
            <v>متحف اللوفر أبوظبي</v>
          </cell>
          <cell r="P1196" t="str">
            <v>Museum’s Director Office</v>
          </cell>
          <cell r="Q1196" t="str">
            <v>مكتب مدير المتحف</v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>Abu Dhabi</v>
          </cell>
          <cell r="W1196" t="str">
            <v/>
          </cell>
          <cell r="X1196" t="str">
            <v>4510121</v>
          </cell>
          <cell r="Y1196" t="str">
            <v>Strategy, Planning, Project Mgt_Operational Planning &amp; Project Management _Senior Professional</v>
          </cell>
          <cell r="Z1196" t="str">
            <v>Senior Professional</v>
          </cell>
          <cell r="AA1196" t="str">
            <v>3B</v>
          </cell>
        </row>
        <row r="1197">
          <cell r="A1197">
            <v>7207</v>
          </cell>
          <cell r="B1197">
            <v>7207</v>
          </cell>
          <cell r="C1197" t="str">
            <v>A</v>
          </cell>
          <cell r="D1197" t="str">
            <v>Salma Fouad Fadhel</v>
          </cell>
          <cell r="E1197" t="str">
            <v>سلمى فؤاد فاضل</v>
          </cell>
          <cell r="F1197">
            <v>45265</v>
          </cell>
          <cell r="G1197" t="str">
            <v>50003718</v>
          </cell>
          <cell r="H1197" t="str">
            <v>Organization Strategy &amp; Transformation Department Director</v>
          </cell>
          <cell r="I1197" t="str">
            <v>مدير إدارة الاستراتيجية المؤسسية والتحول</v>
          </cell>
          <cell r="J1197" t="str">
            <v>On-Chart</v>
          </cell>
          <cell r="K1197" t="str">
            <v>DCT Payroll</v>
          </cell>
          <cell r="L1197" t="str">
            <v>A1</v>
          </cell>
          <cell r="M1197" t="str">
            <v>Department of Culture and Tourism</v>
          </cell>
          <cell r="N1197" t="str">
            <v>Strategic Affairs</v>
          </cell>
          <cell r="O1197" t="str">
            <v>الشؤون الاستراتيجية</v>
          </cell>
          <cell r="P1197" t="str">
            <v>Organization Strategy &amp; Transformation Department</v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>Abu Dhabi</v>
          </cell>
          <cell r="W1197" t="str">
            <v/>
          </cell>
          <cell r="X1197" t="str">
            <v>4512300</v>
          </cell>
          <cell r="Y1197" t="str">
            <v>People &amp; Performance _Planning &amp; Organisation Development _Section Head</v>
          </cell>
          <cell r="Z1197" t="str">
            <v>Director</v>
          </cell>
          <cell r="AA1197" t="str">
            <v>1A</v>
          </cell>
        </row>
        <row r="1198">
          <cell r="A1198">
            <v>7208</v>
          </cell>
          <cell r="B1198">
            <v>7208</v>
          </cell>
          <cell r="C1198" t="str">
            <v>A</v>
          </cell>
          <cell r="D1198" t="str">
            <v>Sabrina Moura De Araujo</v>
          </cell>
          <cell r="E1198" t="str">
            <v>صابرينا مورادي اراودو</v>
          </cell>
          <cell r="F1198">
            <v>45397</v>
          </cell>
          <cell r="G1198" t="str">
            <v>50003007</v>
          </cell>
          <cell r="H1198" t="str">
            <v>Research &amp; Development Manager</v>
          </cell>
          <cell r="I1198" t="str">
            <v>مدير قسم البحث والتطوير</v>
          </cell>
          <cell r="J1198" t="str">
            <v>On-Chart</v>
          </cell>
          <cell r="K1198" t="str">
            <v>MSS Direct Hires</v>
          </cell>
          <cell r="L1198" t="str">
            <v>M1</v>
          </cell>
          <cell r="M1198" t="str">
            <v>Louvre Abu Dhabi</v>
          </cell>
          <cell r="N1198" t="str">
            <v>Louvre Abu Dhabi</v>
          </cell>
          <cell r="O1198" t="str">
            <v>متحف اللوفر أبوظبي</v>
          </cell>
          <cell r="P1198" t="str">
            <v>Scientific, Curatorial &amp; Collection Management</v>
          </cell>
          <cell r="Q1198" t="str">
            <v>إدارة المقتنيات العلمية والتنظيمية</v>
          </cell>
          <cell r="R1198" t="str">
            <v>Research &amp; Documentation</v>
          </cell>
          <cell r="S1198" t="str">
            <v/>
          </cell>
          <cell r="T1198" t="str">
            <v/>
          </cell>
          <cell r="U1198" t="str">
            <v/>
          </cell>
          <cell r="V1198" t="str">
            <v>Abu Dhabi</v>
          </cell>
          <cell r="W1198" t="str">
            <v/>
          </cell>
          <cell r="X1198" t="str">
            <v>4510122</v>
          </cell>
          <cell r="Y1198" t="str">
            <v>Content &amp; Care_Curatorial   Management (All areas)_Section Head</v>
          </cell>
          <cell r="Z1198" t="str">
            <v>Section Manager</v>
          </cell>
          <cell r="AA1198" t="str">
            <v>2A</v>
          </cell>
        </row>
        <row r="1199">
          <cell r="A1199">
            <v>7209</v>
          </cell>
          <cell r="B1199">
            <v>7209</v>
          </cell>
          <cell r="C1199" t="str">
            <v>A</v>
          </cell>
          <cell r="D1199" t="str">
            <v>Mahra  Hasan  Alshamsi</v>
          </cell>
          <cell r="E1199" t="str">
            <v>مهره  حسن  الشامسي</v>
          </cell>
          <cell r="F1199">
            <v>45294</v>
          </cell>
          <cell r="G1199" t="str">
            <v>50001558</v>
          </cell>
          <cell r="H1199" t="str">
            <v>Assistant Registrar</v>
          </cell>
          <cell r="I1199" t="str">
            <v>مساعد مسؤول تسجيل</v>
          </cell>
          <cell r="J1199" t="str">
            <v>On-Chart</v>
          </cell>
          <cell r="K1199" t="str">
            <v>MSS Direct Hires</v>
          </cell>
          <cell r="L1199" t="str">
            <v>M1</v>
          </cell>
          <cell r="M1199" t="str">
            <v>Louvre Abu Dhabi</v>
          </cell>
          <cell r="N1199" t="str">
            <v>Louvre Abu Dhabi</v>
          </cell>
          <cell r="O1199" t="str">
            <v>متحف اللوفر أبوظبي</v>
          </cell>
          <cell r="P1199" t="str">
            <v>Scientific, Curatorial &amp; Collection Management</v>
          </cell>
          <cell r="Q1199" t="str">
            <v>إدارة المقتنيات العلمية والتنظيمية</v>
          </cell>
          <cell r="R1199" t="str">
            <v>Museography &amp; Collection Management</v>
          </cell>
          <cell r="S1199" t="str">
            <v>إدارة المجموعات</v>
          </cell>
          <cell r="T1199" t="str">
            <v>Registration &amp; Collection Management</v>
          </cell>
          <cell r="U1199" t="str">
            <v/>
          </cell>
          <cell r="V1199" t="str">
            <v>Abu Dhabi</v>
          </cell>
          <cell r="W1199" t="str">
            <v/>
          </cell>
          <cell r="X1199" t="str">
            <v>4510122</v>
          </cell>
          <cell r="Y1199" t="str">
            <v>Content &amp; Care_Registrar  (All)_Professional</v>
          </cell>
          <cell r="Z1199" t="str">
            <v>Professional</v>
          </cell>
          <cell r="AA1199" t="str">
            <v>4C</v>
          </cell>
        </row>
        <row r="1200">
          <cell r="A1200">
            <v>7210</v>
          </cell>
          <cell r="B1200">
            <v>7210</v>
          </cell>
          <cell r="C1200" t="str">
            <v>A</v>
          </cell>
          <cell r="D1200" t="str">
            <v>Iman  Elnour</v>
          </cell>
          <cell r="E1200" t="str">
            <v>ايمان   النور</v>
          </cell>
          <cell r="F1200">
            <v>45302</v>
          </cell>
          <cell r="G1200" t="str">
            <v>10008311</v>
          </cell>
          <cell r="H1200" t="str">
            <v>Business Support Analyst</v>
          </cell>
          <cell r="I1200" t="str">
            <v>محلل اعمال الخدمات المساندة</v>
          </cell>
          <cell r="J1200" t="str">
            <v>On-Chart</v>
          </cell>
          <cell r="K1200" t="str">
            <v>MSS Direct Hires</v>
          </cell>
          <cell r="L1200" t="str">
            <v>M1</v>
          </cell>
          <cell r="M1200" t="str">
            <v>Louvre Abu Dhabi</v>
          </cell>
          <cell r="N1200" t="str">
            <v>Louvre Abu Dhabi</v>
          </cell>
          <cell r="O1200" t="str">
            <v>متحف اللوفر أبوظبي</v>
          </cell>
          <cell r="P1200" t="str">
            <v>Visitor Experience &amp; Sales</v>
          </cell>
          <cell r="Q1200" t="str">
            <v>إدارة تجربة الزوار و المبيعات</v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>Abu Dhabi</v>
          </cell>
          <cell r="W1200" t="str">
            <v/>
          </cell>
          <cell r="X1200" t="str">
            <v>4510125</v>
          </cell>
          <cell r="Y1200" t="str">
            <v>Design_Visitor Experience Design_Professional Assistant</v>
          </cell>
          <cell r="Z1200" t="str">
            <v>Professional Assistant</v>
          </cell>
          <cell r="AA1200" t="str">
            <v>4B</v>
          </cell>
        </row>
        <row r="1201">
          <cell r="A1201">
            <v>7213</v>
          </cell>
          <cell r="B1201">
            <v>7213</v>
          </cell>
          <cell r="C1201" t="str">
            <v>A</v>
          </cell>
          <cell r="D1201" t="str">
            <v>Sherina  Matar  Almheiri</v>
          </cell>
          <cell r="E1201" t="str">
            <v>شرينة  مطر  المهيري</v>
          </cell>
          <cell r="F1201">
            <v>45364</v>
          </cell>
          <cell r="G1201" t="str">
            <v>50003025</v>
          </cell>
          <cell r="H1201" t="str">
            <v>Senior System Maintenance officer</v>
          </cell>
          <cell r="I1201" t="str">
            <v>ضابط أول صيانة الأنظمة</v>
          </cell>
          <cell r="J1201" t="str">
            <v>On-Chart</v>
          </cell>
          <cell r="K1201" t="str">
            <v>MSS Direct Hires</v>
          </cell>
          <cell r="L1201" t="str">
            <v>M1</v>
          </cell>
          <cell r="M1201" t="str">
            <v>Louvre Abu Dhabi</v>
          </cell>
          <cell r="N1201" t="str">
            <v>Louvre Abu Dhabi</v>
          </cell>
          <cell r="O1201" t="str">
            <v>متحف اللوفر أبوظبي</v>
          </cell>
          <cell r="P1201" t="str">
            <v>Technical Operations</v>
          </cell>
          <cell r="Q1201" t="str">
            <v>العمليات الفنية</v>
          </cell>
          <cell r="R1201" t="str">
            <v>Technical Maintenance &amp; Facilities Management</v>
          </cell>
          <cell r="S1201" t="str">
            <v>الصيانة الفنية وإدارة المرافق</v>
          </cell>
          <cell r="T1201" t="str">
            <v/>
          </cell>
          <cell r="U1201" t="str">
            <v/>
          </cell>
          <cell r="V1201" t="str">
            <v>Abu Dhabi</v>
          </cell>
          <cell r="W1201" t="str">
            <v/>
          </cell>
          <cell r="X1201" t="str">
            <v>4510127</v>
          </cell>
          <cell r="Y1201" t="str">
            <v>Information Technology_Technical Engineering _Senior Professional</v>
          </cell>
          <cell r="Z1201" t="str">
            <v>Senior Professional</v>
          </cell>
          <cell r="AA1201" t="str">
            <v>3A</v>
          </cell>
        </row>
        <row r="1202">
          <cell r="A1202">
            <v>2000077</v>
          </cell>
          <cell r="B1202">
            <v>2000077</v>
          </cell>
          <cell r="C1202" t="str">
            <v>A</v>
          </cell>
          <cell r="D1202" t="str">
            <v>Emad Haj Abdul Fattah</v>
          </cell>
          <cell r="E1202" t="str">
            <v>عماد حاج عبدالفتاح</v>
          </cell>
          <cell r="F1202">
            <v>41030</v>
          </cell>
          <cell r="G1202" t="str">
            <v>10004916</v>
          </cell>
          <cell r="H1202" t="str">
            <v>Operations Control Lead</v>
          </cell>
          <cell r="I1202" t="str">
            <v>أخصائي رئيسي مراقبة العمليات</v>
          </cell>
          <cell r="J1202" t="str">
            <v>On-Chart</v>
          </cell>
          <cell r="K1202" t="str">
            <v>Dayton</v>
          </cell>
          <cell r="L1202" t="str">
            <v>D1</v>
          </cell>
          <cell r="M1202" t="str">
            <v>Department of Culture and Tourism</v>
          </cell>
          <cell r="N1202" t="str">
            <v>Strategic Marketing &amp; Communication</v>
          </cell>
          <cell r="O1202" t="str">
            <v>التسويق والاتصال الاستراتيجي</v>
          </cell>
          <cell r="P1202" t="str">
            <v>Planning, Strategy &amp; Operations</v>
          </cell>
          <cell r="Q1202" t="str">
            <v>التخطيط والاستراتيجية والعمليات</v>
          </cell>
          <cell r="R1202" t="str">
            <v>Media &amp; Partnerships</v>
          </cell>
          <cell r="S1202" t="str">
            <v>الإعلام والشراكات</v>
          </cell>
          <cell r="T1202" t="str">
            <v/>
          </cell>
          <cell r="U1202" t="str">
            <v/>
          </cell>
          <cell r="V1202" t="str">
            <v>Abu Dhabi</v>
          </cell>
          <cell r="W1202" t="str">
            <v/>
          </cell>
          <cell r="X1202" t="str">
            <v>4513130</v>
          </cell>
          <cell r="Y1202" t="str">
            <v>Strategy, Planning, Project Mgt_ Strategy Planning Delivery &amp; Reporting_Senior Professional</v>
          </cell>
          <cell r="Z1202" t="str">
            <v>Professional</v>
          </cell>
          <cell r="AA1202" t="str">
            <v>3C</v>
          </cell>
        </row>
        <row r="1203">
          <cell r="A1203">
            <v>2000078</v>
          </cell>
          <cell r="B1203">
            <v>2000078</v>
          </cell>
          <cell r="C1203" t="str">
            <v>A</v>
          </cell>
          <cell r="D1203" t="str">
            <v>Ziad Al Nabilsy</v>
          </cell>
          <cell r="E1203" t="str">
            <v>زياد  النابلسي</v>
          </cell>
          <cell r="F1203">
            <v>41408</v>
          </cell>
          <cell r="G1203" t="str">
            <v>10004917</v>
          </cell>
          <cell r="H1203" t="str">
            <v>Accounts Receivables Senior Accountant (Commercial)</v>
          </cell>
          <cell r="I1203" t="str">
            <v>محاسب أول الحسابات المستحقة ( تجاري)</v>
          </cell>
          <cell r="J1203" t="str">
            <v>On-Chart</v>
          </cell>
          <cell r="K1203" t="str">
            <v>Dayton</v>
          </cell>
          <cell r="L1203" t="str">
            <v>D1</v>
          </cell>
          <cell r="M1203" t="str">
            <v>Department of Culture and Tourism</v>
          </cell>
          <cell r="N1203" t="str">
            <v>Support Services</v>
          </cell>
          <cell r="O1203" t="str">
            <v>الخدمات المساندة</v>
          </cell>
          <cell r="P1203" t="str">
            <v>Finance</v>
          </cell>
          <cell r="Q1203" t="str">
            <v>إدارة المالية</v>
          </cell>
          <cell r="R1203" t="str">
            <v>Receivables Operations</v>
          </cell>
          <cell r="S1203" t="str">
            <v>عمليات الحسابات المستحقة</v>
          </cell>
          <cell r="T1203" t="str">
            <v>Accounts Receivables</v>
          </cell>
          <cell r="U1203" t="str">
            <v>حسابات مستحقة</v>
          </cell>
          <cell r="V1203" t="str">
            <v>Abu Dhabi</v>
          </cell>
          <cell r="W1203" t="str">
            <v/>
          </cell>
          <cell r="X1203" t="str">
            <v>4510210</v>
          </cell>
          <cell r="Y1203" t="str">
            <v>Finance_Accountant_Senior Professional</v>
          </cell>
          <cell r="Z1203" t="str">
            <v>Senior Professional</v>
          </cell>
          <cell r="AA1203" t="str">
            <v>3B</v>
          </cell>
        </row>
        <row r="1204">
          <cell r="A1204">
            <v>2000081</v>
          </cell>
          <cell r="B1204">
            <v>2000081</v>
          </cell>
          <cell r="C1204" t="str">
            <v>A</v>
          </cell>
          <cell r="D1204" t="str">
            <v>Anan Khammash</v>
          </cell>
          <cell r="E1204" t="str">
            <v>عنان  خماش</v>
          </cell>
          <cell r="F1204">
            <v>41913</v>
          </cell>
          <cell r="G1204" t="str">
            <v>10009546</v>
          </cell>
          <cell r="H1204" t="str">
            <v>Strategic Planning Senior Specialist (Activation &amp; Product Development)</v>
          </cell>
          <cell r="I1204" t="str">
            <v>أخصائي أول التخطيط الاستراتيجي (إدارة الأنشطة وتطوير المنتجات السياحية)</v>
          </cell>
          <cell r="J1204" t="str">
            <v>On-Chart</v>
          </cell>
          <cell r="K1204" t="str">
            <v>Dayton</v>
          </cell>
          <cell r="L1204" t="str">
            <v>D1</v>
          </cell>
          <cell r="M1204" t="str">
            <v>Department of Culture and Tourism</v>
          </cell>
          <cell r="N1204" t="str">
            <v>Strategic Affairs</v>
          </cell>
          <cell r="O1204" t="str">
            <v>الشؤون الاستراتيجية</v>
          </cell>
          <cell r="P1204" t="str">
            <v>Strategic Planning</v>
          </cell>
          <cell r="Q1204" t="str">
            <v>التخطيط الاستراتيجي</v>
          </cell>
          <cell r="R1204" t="str">
            <v>Tourism &amp; Marketing Strategic Planning</v>
          </cell>
          <cell r="S1204" t="str">
            <v>التخطيط الاستراتيجي لقطاعي السياحة والتسويق</v>
          </cell>
          <cell r="T1204" t="str">
            <v>Strategic Planning (Activation &amp; Product Development)</v>
          </cell>
          <cell r="U1204" t="str">
            <v>التخطيط الاستراتيجي (إدارة الأنشطة وتطوير المنتجات السياحية)</v>
          </cell>
          <cell r="V1204" t="str">
            <v>Abu Dhabi</v>
          </cell>
          <cell r="W1204" t="str">
            <v/>
          </cell>
          <cell r="X1204" t="str">
            <v>4512100</v>
          </cell>
          <cell r="Y1204" t="str">
            <v>Strategy, Planning, Project Mgt_Operational Planning &amp; Project Management _Senior Professional</v>
          </cell>
          <cell r="Z1204" t="str">
            <v>Senior Professional</v>
          </cell>
          <cell r="AA1204" t="str">
            <v>3B</v>
          </cell>
        </row>
        <row r="1205">
          <cell r="A1205">
            <v>2000084</v>
          </cell>
          <cell r="B1205">
            <v>2000084</v>
          </cell>
          <cell r="C1205" t="str">
            <v>A</v>
          </cell>
          <cell r="D1205" t="str">
            <v>Hebah Salim</v>
          </cell>
          <cell r="E1205" t="str">
            <v>هبه عمر سليم</v>
          </cell>
          <cell r="F1205">
            <v>41889</v>
          </cell>
          <cell r="G1205" t="str">
            <v>10004923</v>
          </cell>
          <cell r="H1205" t="str">
            <v>Treasury Senior Accountant</v>
          </cell>
          <cell r="I1205" t="str">
            <v>محاسب أول الخزانة</v>
          </cell>
          <cell r="J1205" t="str">
            <v>On-Chart</v>
          </cell>
          <cell r="K1205" t="str">
            <v>Dayton</v>
          </cell>
          <cell r="L1205" t="str">
            <v>D1</v>
          </cell>
          <cell r="M1205" t="str">
            <v>Department of Culture and Tourism</v>
          </cell>
          <cell r="N1205" t="str">
            <v>Support Services</v>
          </cell>
          <cell r="O1205" t="str">
            <v>الخدمات المساندة</v>
          </cell>
          <cell r="P1205" t="str">
            <v>Finance</v>
          </cell>
          <cell r="Q1205" t="str">
            <v>إدارة المالية</v>
          </cell>
          <cell r="R1205" t="str">
            <v>Finance Operations</v>
          </cell>
          <cell r="S1205" t="str">
            <v>العمليات المالية</v>
          </cell>
          <cell r="T1205" t="str">
            <v>Treasury</v>
          </cell>
          <cell r="U1205" t="str">
            <v>خزينة</v>
          </cell>
          <cell r="V1205" t="str">
            <v>Abu Dhabi</v>
          </cell>
          <cell r="W1205" t="str">
            <v/>
          </cell>
          <cell r="X1205" t="str">
            <v>4510210</v>
          </cell>
          <cell r="Y1205" t="str">
            <v>Finance_Accountant _Professional Assistant</v>
          </cell>
          <cell r="Z1205" t="str">
            <v>Senior Professional</v>
          </cell>
          <cell r="AA1205" t="str">
            <v>3A</v>
          </cell>
        </row>
        <row r="1206">
          <cell r="A1206">
            <v>2000092</v>
          </cell>
          <cell r="B1206">
            <v>2000092</v>
          </cell>
          <cell r="C1206" t="str">
            <v>A</v>
          </cell>
          <cell r="D1206" t="str">
            <v>Israa Imad Maharmeh</v>
          </cell>
          <cell r="E1206" t="str">
            <v>إسراء عماد محارمه</v>
          </cell>
          <cell r="F1206">
            <v>40857</v>
          </cell>
          <cell r="G1206" t="str">
            <v>10007551</v>
          </cell>
          <cell r="H1206" t="str">
            <v>Accounts Payables Accountant</v>
          </cell>
          <cell r="I1206" t="str">
            <v>محاسب الحسابات الدائنة</v>
          </cell>
          <cell r="J1206" t="str">
            <v>On-Chart</v>
          </cell>
          <cell r="K1206" t="str">
            <v>Dayton</v>
          </cell>
          <cell r="L1206" t="str">
            <v>D1</v>
          </cell>
          <cell r="M1206" t="str">
            <v>Department of Culture and Tourism</v>
          </cell>
          <cell r="N1206" t="str">
            <v>Support Services</v>
          </cell>
          <cell r="O1206" t="str">
            <v>الخدمات المساندة</v>
          </cell>
          <cell r="P1206" t="str">
            <v>Finance</v>
          </cell>
          <cell r="Q1206" t="str">
            <v>إدارة المالية</v>
          </cell>
          <cell r="R1206" t="str">
            <v>Payables Operations</v>
          </cell>
          <cell r="S1206" t="str">
            <v>عمليات الحسابات الدائنة</v>
          </cell>
          <cell r="T1206" t="str">
            <v>Accounts Payables</v>
          </cell>
          <cell r="U1206" t="str">
            <v>حسابات دائنة</v>
          </cell>
          <cell r="V1206" t="str">
            <v>Abu Dhabi</v>
          </cell>
          <cell r="W1206" t="str">
            <v/>
          </cell>
          <cell r="X1206" t="str">
            <v>4510210</v>
          </cell>
          <cell r="Y1206" t="str">
            <v>Finance_Accountant _Professional Assistant</v>
          </cell>
          <cell r="Z1206" t="str">
            <v>Professional</v>
          </cell>
          <cell r="AA1206" t="str">
            <v>4A</v>
          </cell>
        </row>
        <row r="1207">
          <cell r="A1207">
            <v>2000123</v>
          </cell>
          <cell r="B1207">
            <v>2000123</v>
          </cell>
          <cell r="C1207" t="str">
            <v>A</v>
          </cell>
          <cell r="D1207" t="str">
            <v>Ammar Ahmad Ajlouni</v>
          </cell>
          <cell r="E1207" t="str">
            <v>عمار أحمد عجلوني</v>
          </cell>
          <cell r="F1207">
            <v>42372</v>
          </cell>
          <cell r="G1207" t="str">
            <v>10010803</v>
          </cell>
          <cell r="H1207" t="str">
            <v>E-Publishing Business Development Specialist</v>
          </cell>
          <cell r="I1207" t="str">
            <v>أخصائي تطوير أعمال النشر الإلكتروني</v>
          </cell>
          <cell r="J1207" t="str">
            <v>On-Chart</v>
          </cell>
          <cell r="K1207" t="str">
            <v>ALC Dayton</v>
          </cell>
          <cell r="L1207" t="str">
            <v>AL4</v>
          </cell>
          <cell r="M1207" t="str">
            <v>Abu Dhabi Arabic Language Centre</v>
          </cell>
          <cell r="N1207" t="str">
            <v>Abu Dhabi Arabic Language Centre</v>
          </cell>
          <cell r="O1207" t="str">
            <v>مركز أبوظبي للغة العربية</v>
          </cell>
          <cell r="P1207" t="str">
            <v>Book Fairs &amp; Events</v>
          </cell>
          <cell r="Q1207" t="str">
            <v>الفعاليات ومعارض الكتب</v>
          </cell>
          <cell r="R1207" t="str">
            <v>Commercial &amp; Business Development - ALC</v>
          </cell>
          <cell r="S1207" t="str">
            <v>التنمية التجارية وتطوير الأعمال</v>
          </cell>
          <cell r="T1207" t="str">
            <v>Business Development &amp; Sales – Publishing</v>
          </cell>
          <cell r="U1207" t="str">
            <v>تطوير الأعمال  والمبيعات - النشر</v>
          </cell>
          <cell r="V1207" t="str">
            <v>Abu Dhabi</v>
          </cell>
          <cell r="W1207" t="str">
            <v/>
          </cell>
          <cell r="X1207" t="str">
            <v>4519200</v>
          </cell>
          <cell r="Y1207" t="str">
            <v>Interpretation &amp; Engagement_Arabic/Global Language Examination _Senior Professional</v>
          </cell>
          <cell r="Z1207" t="str">
            <v>Senior Professional</v>
          </cell>
          <cell r="AA1207" t="str">
            <v>3A</v>
          </cell>
        </row>
        <row r="1208">
          <cell r="A1208">
            <v>2000126</v>
          </cell>
          <cell r="B1208">
            <v>2000126</v>
          </cell>
          <cell r="C1208" t="str">
            <v>A</v>
          </cell>
          <cell r="D1208" t="str">
            <v>Saif Aldin Ghazi Khalil</v>
          </cell>
          <cell r="E1208" t="str">
            <v>سيف الدين غازي خليل</v>
          </cell>
          <cell r="F1208">
            <v>42654</v>
          </cell>
          <cell r="G1208" t="str">
            <v>50001711</v>
          </cell>
          <cell r="H1208" t="str">
            <v>General Ledger Senior Accountant</v>
          </cell>
          <cell r="I1208" t="str">
            <v>محاسب أول سجل الحسابات العامة</v>
          </cell>
          <cell r="J1208" t="str">
            <v>On-Chart</v>
          </cell>
          <cell r="K1208" t="str">
            <v>Dayton</v>
          </cell>
          <cell r="L1208" t="str">
            <v>D1</v>
          </cell>
          <cell r="M1208" t="str">
            <v>Department of Culture and Tourism</v>
          </cell>
          <cell r="N1208" t="str">
            <v>Support Services</v>
          </cell>
          <cell r="O1208" t="str">
            <v>الخدمات المساندة</v>
          </cell>
          <cell r="P1208" t="str">
            <v>Finance</v>
          </cell>
          <cell r="Q1208" t="str">
            <v>إدارة المالية</v>
          </cell>
          <cell r="R1208" t="str">
            <v>Finance Operations</v>
          </cell>
          <cell r="S1208" t="str">
            <v>العمليات المالية</v>
          </cell>
          <cell r="T1208" t="str">
            <v>General Ledger</v>
          </cell>
          <cell r="U1208" t="str">
            <v/>
          </cell>
          <cell r="V1208" t="str">
            <v>Abu Dhabi</v>
          </cell>
          <cell r="W1208" t="str">
            <v/>
          </cell>
          <cell r="X1208" t="str">
            <v>4510210</v>
          </cell>
          <cell r="Y1208" t="str">
            <v>Finance_Finance Operations _Senior Professional</v>
          </cell>
          <cell r="Z1208" t="str">
            <v>Senior Professional</v>
          </cell>
          <cell r="AA1208" t="str">
            <v>3C</v>
          </cell>
        </row>
        <row r="1209">
          <cell r="A1209">
            <v>2000127</v>
          </cell>
          <cell r="B1209">
            <v>2000127</v>
          </cell>
          <cell r="C1209" t="str">
            <v>A</v>
          </cell>
          <cell r="D1209" t="str">
            <v>Saleh Mahmood Al Qawasmeh</v>
          </cell>
          <cell r="E1209" t="str">
            <v>صالح محمود القواسمه</v>
          </cell>
          <cell r="F1209">
            <v>42705</v>
          </cell>
          <cell r="G1209" t="str">
            <v>50003425</v>
          </cell>
          <cell r="H1209" t="str">
            <v>Financial Planning Senior Specialist</v>
          </cell>
          <cell r="I1209" t="str">
            <v>أخصائي أول التخطيط المالي</v>
          </cell>
          <cell r="J1209" t="str">
            <v>On-Chart</v>
          </cell>
          <cell r="K1209" t="str">
            <v>Dayton</v>
          </cell>
          <cell r="L1209" t="str">
            <v>D1</v>
          </cell>
          <cell r="M1209" t="str">
            <v>Department of Culture and Tourism</v>
          </cell>
          <cell r="N1209" t="str">
            <v>Support Services</v>
          </cell>
          <cell r="O1209" t="str">
            <v>الخدمات المساندة</v>
          </cell>
          <cell r="P1209" t="str">
            <v>Finance</v>
          </cell>
          <cell r="Q1209" t="str">
            <v>إدارة المالية</v>
          </cell>
          <cell r="R1209" t="str">
            <v>Finance Planning &amp; Reporting</v>
          </cell>
          <cell r="S1209" t="str">
            <v>التخطيط والتقرير المالي</v>
          </cell>
          <cell r="T1209" t="str">
            <v/>
          </cell>
          <cell r="U1209" t="str">
            <v/>
          </cell>
          <cell r="V1209" t="str">
            <v>Abu Dhabi</v>
          </cell>
          <cell r="W1209" t="str">
            <v/>
          </cell>
          <cell r="X1209" t="str">
            <v>4510210</v>
          </cell>
          <cell r="Y1209" t="str">
            <v>Finance_Finance Planning  Forecasting &amp; Reporting_Professional</v>
          </cell>
          <cell r="Z1209" t="str">
            <v>Senior Professional</v>
          </cell>
          <cell r="AA1209" t="str">
            <v>3C</v>
          </cell>
        </row>
        <row r="1210">
          <cell r="A1210">
            <v>2000132</v>
          </cell>
          <cell r="B1210">
            <v>2000132</v>
          </cell>
          <cell r="C1210" t="str">
            <v>A</v>
          </cell>
          <cell r="D1210" t="str">
            <v>Jose Ferdie Valencia</v>
          </cell>
          <cell r="E1210" t="str">
            <v>خوسيه فيداي فالنسيا</v>
          </cell>
          <cell r="F1210">
            <v>42852</v>
          </cell>
          <cell r="G1210" t="str">
            <v>10006422</v>
          </cell>
          <cell r="H1210" t="str">
            <v>Senior Document Controller</v>
          </cell>
          <cell r="I1210" t="str">
            <v>مراقب وثائق أول</v>
          </cell>
          <cell r="J1210" t="str">
            <v>On-Chart</v>
          </cell>
          <cell r="K1210" t="str">
            <v>Al Nahiya</v>
          </cell>
          <cell r="L1210" t="str">
            <v>N0</v>
          </cell>
          <cell r="M1210" t="str">
            <v>Department of Culture and Tourism</v>
          </cell>
          <cell r="N1210" t="str">
            <v>Project Management &amp; Engineering</v>
          </cell>
          <cell r="O1210" t="str">
            <v>مكتب وكيل الدائرة</v>
          </cell>
          <cell r="P1210" t="str">
            <v>Project Management &amp; Engineering</v>
          </cell>
          <cell r="Q1210" t="str">
            <v>هندسة وإدارة المشاريع</v>
          </cell>
          <cell r="R1210" t="str">
            <v>Technical Management Section</v>
          </cell>
          <cell r="S1210" t="str">
            <v/>
          </cell>
          <cell r="T1210" t="str">
            <v/>
          </cell>
          <cell r="U1210" t="str">
            <v/>
          </cell>
          <cell r="V1210" t="str">
            <v>Abu Dhabi</v>
          </cell>
          <cell r="W1210" t="str">
            <v/>
          </cell>
          <cell r="X1210" t="str">
            <v>4510150</v>
          </cell>
          <cell r="Y1210" t="str">
            <v>Technical Safety &amp; Security_Engineering Design &amp; Development _Senior Professional</v>
          </cell>
          <cell r="Z1210" t="str">
            <v>Senior Professional</v>
          </cell>
          <cell r="AA1210" t="str">
            <v>3A</v>
          </cell>
        </row>
        <row r="1211">
          <cell r="A1211">
            <v>2000139</v>
          </cell>
          <cell r="B1211">
            <v>2000139</v>
          </cell>
          <cell r="C1211" t="str">
            <v>A</v>
          </cell>
          <cell r="D1211" t="str">
            <v>Hiba Hassan Sleiman</v>
          </cell>
          <cell r="E1211" t="str">
            <v>هبا حسن سليمان</v>
          </cell>
          <cell r="F1211">
            <v>42583</v>
          </cell>
          <cell r="G1211" t="str">
            <v>10006491</v>
          </cell>
          <cell r="H1211" t="str">
            <v>Accounts Payables Senior Accountant</v>
          </cell>
          <cell r="I1211" t="str">
            <v>محاسب أول الحسابات الدائنة</v>
          </cell>
          <cell r="J1211" t="str">
            <v>On-Chart</v>
          </cell>
          <cell r="K1211" t="str">
            <v>Dayton</v>
          </cell>
          <cell r="L1211" t="str">
            <v>D1</v>
          </cell>
          <cell r="M1211" t="str">
            <v>Department of Culture and Tourism</v>
          </cell>
          <cell r="N1211" t="str">
            <v>Support Services</v>
          </cell>
          <cell r="O1211" t="str">
            <v>الخدمات المساندة</v>
          </cell>
          <cell r="P1211" t="str">
            <v>Finance</v>
          </cell>
          <cell r="Q1211" t="str">
            <v>إدارة المالية</v>
          </cell>
          <cell r="R1211" t="str">
            <v>Payables Operations</v>
          </cell>
          <cell r="S1211" t="str">
            <v>عمليات الحسابات الدائنة</v>
          </cell>
          <cell r="T1211" t="str">
            <v>Accounts Payables</v>
          </cell>
          <cell r="U1211" t="str">
            <v>حسابات دائنة</v>
          </cell>
          <cell r="V1211" t="str">
            <v>Abu Dhabi</v>
          </cell>
          <cell r="W1211" t="str">
            <v/>
          </cell>
          <cell r="X1211" t="str">
            <v>4510210</v>
          </cell>
          <cell r="Y1211" t="str">
            <v>Finance_Accountant_Senior Professional</v>
          </cell>
          <cell r="Z1211" t="str">
            <v>Senior Professional</v>
          </cell>
          <cell r="AA1211" t="str">
            <v>3B</v>
          </cell>
        </row>
        <row r="1212">
          <cell r="A1212">
            <v>2000141</v>
          </cell>
          <cell r="B1212">
            <v>2000141</v>
          </cell>
          <cell r="C1212" t="str">
            <v>A</v>
          </cell>
          <cell r="D1212" t="str">
            <v>Adnan Abdul Aziz Sakhta</v>
          </cell>
          <cell r="E1212" t="str">
            <v>عدنان عبدالعزيز شخطه</v>
          </cell>
          <cell r="F1212">
            <v>42729</v>
          </cell>
          <cell r="G1212" t="str">
            <v>50002578</v>
          </cell>
          <cell r="H1212" t="str">
            <v>Accounts Payables Senior Accountant</v>
          </cell>
          <cell r="I1212" t="str">
            <v>محاسب أول الحسابات الدائنة</v>
          </cell>
          <cell r="J1212" t="str">
            <v>On-Chart</v>
          </cell>
          <cell r="K1212" t="str">
            <v>MSS Dayton</v>
          </cell>
          <cell r="L1212" t="str">
            <v>M4</v>
          </cell>
          <cell r="M1212" t="str">
            <v>Department of Culture and Tourism</v>
          </cell>
          <cell r="N1212" t="str">
            <v>Museums Shared Services</v>
          </cell>
          <cell r="O1212" t="str">
            <v>الخدمات المشتركة للمتاحف</v>
          </cell>
          <cell r="P1212" t="str">
            <v>Finance - MSS</v>
          </cell>
          <cell r="Q1212" t="str">
            <v>الإدارة المالية - الخدمات المشتركة للمتاحف</v>
          </cell>
          <cell r="R1212" t="str">
            <v>Payables Operations Section - MSS</v>
          </cell>
          <cell r="S1212" t="str">
            <v>قسم عمليات الحسابات الدائنة</v>
          </cell>
          <cell r="T1212" t="str">
            <v>Accounts Payables Unit - MSS</v>
          </cell>
          <cell r="U1212" t="str">
            <v>وحدة الحسابات الدائنة</v>
          </cell>
          <cell r="V1212" t="str">
            <v>Abu Dhabi</v>
          </cell>
          <cell r="W1212" t="str">
            <v/>
          </cell>
          <cell r="X1212" t="str">
            <v>4514120</v>
          </cell>
          <cell r="Y1212" t="str">
            <v>Finance_Accountant_Senior Professional</v>
          </cell>
          <cell r="Z1212" t="str">
            <v>Senior Professional</v>
          </cell>
          <cell r="AA1212" t="str">
            <v>3C</v>
          </cell>
        </row>
        <row r="1213">
          <cell r="A1213">
            <v>2000143</v>
          </cell>
          <cell r="B1213">
            <v>2000143</v>
          </cell>
          <cell r="C1213" t="str">
            <v>A</v>
          </cell>
          <cell r="D1213" t="str">
            <v>Nihal AbuHaseera</v>
          </cell>
          <cell r="E1213" t="str">
            <v>نهال  أبوحصيره</v>
          </cell>
          <cell r="F1213">
            <v>42887</v>
          </cell>
          <cell r="G1213" t="str">
            <v>50003325</v>
          </cell>
          <cell r="H1213" t="str">
            <v>Payroll Management Senior Accountant</v>
          </cell>
          <cell r="I1213" t="str">
            <v>محاسب أول إدارة الرواتب</v>
          </cell>
          <cell r="J1213" t="str">
            <v>On-Chart</v>
          </cell>
          <cell r="K1213" t="str">
            <v>Dayton</v>
          </cell>
          <cell r="L1213" t="str">
            <v>D1</v>
          </cell>
          <cell r="M1213" t="str">
            <v>Department of Culture and Tourism</v>
          </cell>
          <cell r="N1213" t="str">
            <v>Support Services</v>
          </cell>
          <cell r="O1213" t="str">
            <v>الخدمات المساندة</v>
          </cell>
          <cell r="P1213" t="str">
            <v>Finance</v>
          </cell>
          <cell r="Q1213" t="str">
            <v>إدارة المالية</v>
          </cell>
          <cell r="R1213" t="str">
            <v>Payables Operations</v>
          </cell>
          <cell r="S1213" t="str">
            <v>عمليات الحسابات الدائنة</v>
          </cell>
          <cell r="T1213" t="str">
            <v>Payroll Management</v>
          </cell>
          <cell r="U1213" t="str">
            <v>إدارة الرواتب</v>
          </cell>
          <cell r="V1213" t="str">
            <v>Abu Dhabi</v>
          </cell>
          <cell r="W1213" t="str">
            <v/>
          </cell>
          <cell r="X1213" t="str">
            <v>4510210</v>
          </cell>
          <cell r="Y1213" t="str">
            <v>Finance_Accountant_Senior Professional</v>
          </cell>
          <cell r="Z1213" t="str">
            <v>Senior Professional</v>
          </cell>
          <cell r="AA1213" t="str">
            <v>3C</v>
          </cell>
        </row>
        <row r="1214">
          <cell r="A1214">
            <v>2000144</v>
          </cell>
          <cell r="B1214">
            <v>2000144</v>
          </cell>
          <cell r="C1214" t="str">
            <v>A</v>
          </cell>
          <cell r="D1214" t="str">
            <v>Yasmeen Zuhair Masoud</v>
          </cell>
          <cell r="E1214" t="str">
            <v>ياسمين زهير مسعود</v>
          </cell>
          <cell r="F1214">
            <v>42887</v>
          </cell>
          <cell r="G1214" t="str">
            <v>50003495</v>
          </cell>
          <cell r="H1214" t="str">
            <v>Finance Business Partner</v>
          </cell>
          <cell r="I1214" t="str">
            <v>شريك الأعمال المالية</v>
          </cell>
          <cell r="J1214" t="str">
            <v>On-Chart</v>
          </cell>
          <cell r="K1214" t="str">
            <v>Dayton</v>
          </cell>
          <cell r="L1214" t="str">
            <v>D1</v>
          </cell>
          <cell r="M1214" t="str">
            <v>Department of Culture and Tourism</v>
          </cell>
          <cell r="N1214" t="str">
            <v>Support Services</v>
          </cell>
          <cell r="O1214" t="str">
            <v>الخدمات المساندة</v>
          </cell>
          <cell r="P1214" t="str">
            <v>Finance</v>
          </cell>
          <cell r="Q1214" t="str">
            <v>إدارة المالية</v>
          </cell>
          <cell r="R1214" t="str">
            <v>Finance Business Partners</v>
          </cell>
          <cell r="S1214" t="str">
            <v>شركاء الأعمال المالية</v>
          </cell>
          <cell r="T1214" t="str">
            <v/>
          </cell>
          <cell r="U1214" t="str">
            <v/>
          </cell>
          <cell r="V1214" t="str">
            <v>Abu Dhabi</v>
          </cell>
          <cell r="W1214" t="str">
            <v/>
          </cell>
          <cell r="X1214" t="str">
            <v>4510210</v>
          </cell>
          <cell r="Y1214" t="str">
            <v>Finance_Financial Business Partners _Senior Professional</v>
          </cell>
          <cell r="Z1214" t="str">
            <v>Senior Professional</v>
          </cell>
          <cell r="AA1214" t="str">
            <v>3C</v>
          </cell>
        </row>
        <row r="1215">
          <cell r="A1215">
            <v>2000146</v>
          </cell>
          <cell r="B1215">
            <v>2000146</v>
          </cell>
          <cell r="C1215" t="str">
            <v>A</v>
          </cell>
          <cell r="D1215" t="str">
            <v>Mohamed Osman El Hassan</v>
          </cell>
          <cell r="E1215" t="str">
            <v>محمد عثمان الحسن</v>
          </cell>
          <cell r="F1215">
            <v>42900</v>
          </cell>
          <cell r="G1215" t="str">
            <v>50000385</v>
          </cell>
          <cell r="H1215" t="str">
            <v>Sponsorships Officer</v>
          </cell>
          <cell r="I1215" t="str">
            <v>ضابط الرعاية</v>
          </cell>
          <cell r="J1215" t="str">
            <v>On-Chart</v>
          </cell>
          <cell r="K1215" t="str">
            <v>ALC Al Nahiya</v>
          </cell>
          <cell r="L1215" t="str">
            <v>AL2</v>
          </cell>
          <cell r="M1215" t="str">
            <v>Abu Dhabi Arabic Language Centre</v>
          </cell>
          <cell r="N1215" t="str">
            <v>Abu Dhabi Arabic Language Centre</v>
          </cell>
          <cell r="O1215" t="str">
            <v>مركز أبوظبي للغة العربية</v>
          </cell>
          <cell r="P1215" t="str">
            <v>Book Fairs &amp; Events</v>
          </cell>
          <cell r="Q1215" t="str">
            <v>الفعاليات ومعارض الكتب</v>
          </cell>
          <cell r="R1215" t="str">
            <v>Commercial &amp; Business Development - ALC</v>
          </cell>
          <cell r="S1215" t="str">
            <v>التنمية التجارية وتطوير الأعمال</v>
          </cell>
          <cell r="T1215" t="str">
            <v>Sponsorships</v>
          </cell>
          <cell r="U1215" t="str">
            <v>الرعاية</v>
          </cell>
          <cell r="V1215" t="str">
            <v>Abu Dhabi</v>
          </cell>
          <cell r="W1215" t="str">
            <v/>
          </cell>
          <cell r="X1215" t="str">
            <v>4519200</v>
          </cell>
          <cell r="Y1215" t="str">
            <v>Interpretation &amp; Engagement_Arabic Language Examination _Professional</v>
          </cell>
          <cell r="Z1215" t="str">
            <v>Professional</v>
          </cell>
          <cell r="AA1215" t="str">
            <v>4A</v>
          </cell>
        </row>
        <row r="1216">
          <cell r="A1216">
            <v>2000147</v>
          </cell>
          <cell r="B1216">
            <v>2000147</v>
          </cell>
          <cell r="C1216" t="str">
            <v>A</v>
          </cell>
          <cell r="D1216" t="str">
            <v>Saleh Hasan Abu Kuhail</v>
          </cell>
          <cell r="E1216" t="str">
            <v>صالح حسن أبوكحيل</v>
          </cell>
          <cell r="F1216">
            <v>42887</v>
          </cell>
          <cell r="G1216" t="str">
            <v>10006607</v>
          </cell>
          <cell r="H1216" t="str">
            <v>References &amp; Library Education Specialist</v>
          </cell>
          <cell r="I1216" t="str">
            <v>أخصائي المراجع والتعليم</v>
          </cell>
          <cell r="J1216" t="str">
            <v>On-Chart</v>
          </cell>
          <cell r="K1216" t="str">
            <v>Al Nahiya</v>
          </cell>
          <cell r="L1216" t="str">
            <v>N0</v>
          </cell>
          <cell r="M1216" t="str">
            <v>Department of Culture and Tourism</v>
          </cell>
          <cell r="N1216" t="str">
            <v>Culture</v>
          </cell>
          <cell r="O1216" t="str">
            <v>الثقافة</v>
          </cell>
          <cell r="P1216" t="str">
            <v>Library Management</v>
          </cell>
          <cell r="Q1216" t="str">
            <v>إدارة المكتبات</v>
          </cell>
          <cell r="R1216" t="str">
            <v>Zayed Central Library - Al Ain</v>
          </cell>
          <cell r="S1216" t="str">
            <v>مكتبة زايد المركزية - العين</v>
          </cell>
          <cell r="T1216" t="str">
            <v>Reference &amp; Library Education</v>
          </cell>
          <cell r="U1216" t="str">
            <v>المراجع والتعليم</v>
          </cell>
          <cell r="V1216" t="str">
            <v>Abu Dhabi</v>
          </cell>
          <cell r="W1216" t="str">
            <v/>
          </cell>
          <cell r="X1216" t="str">
            <v>4516100</v>
          </cell>
          <cell r="Y1216" t="str">
            <v>Interpretation &amp; Engagement_Library Service Delivery (Librarian)_Professional</v>
          </cell>
          <cell r="Z1216" t="str">
            <v>Professional</v>
          </cell>
          <cell r="AA1216" t="str">
            <v>4A</v>
          </cell>
        </row>
        <row r="1217">
          <cell r="A1217">
            <v>2000149</v>
          </cell>
          <cell r="B1217">
            <v>2000149</v>
          </cell>
          <cell r="C1217" t="str">
            <v>A</v>
          </cell>
          <cell r="D1217" t="str">
            <v>Inna Shchurova</v>
          </cell>
          <cell r="E1217" t="str">
            <v>إنا  شجوروفا</v>
          </cell>
          <cell r="F1217">
            <v>43772</v>
          </cell>
          <cell r="G1217" t="str">
            <v>10011562</v>
          </cell>
          <cell r="H1217" t="str">
            <v>Strategic Planning Senior Specialist (Museums &amp; Affiliated Entities)</v>
          </cell>
          <cell r="I1217" t="str">
            <v>أخصائي أول التخطيط الاستراتيجي (المتاحف والجهات التابعة)</v>
          </cell>
          <cell r="J1217" t="str">
            <v>On-Chart</v>
          </cell>
          <cell r="K1217" t="str">
            <v>Al Nahiya</v>
          </cell>
          <cell r="L1217" t="str">
            <v>N0</v>
          </cell>
          <cell r="M1217" t="str">
            <v>Department of Culture and Tourism</v>
          </cell>
          <cell r="N1217" t="str">
            <v>Strategic Affairs</v>
          </cell>
          <cell r="O1217" t="str">
            <v>الشؤون الاستراتيجية</v>
          </cell>
          <cell r="P1217" t="str">
            <v>Strategic Planning</v>
          </cell>
          <cell r="Q1217" t="str">
            <v>التخطيط الاستراتيجي</v>
          </cell>
          <cell r="R1217" t="str">
            <v>Culture, Museums &amp; Affiliated Entities Strategic Planning</v>
          </cell>
          <cell r="S1217" t="str">
            <v>التخطيط الاستراتيجي لقطاع الثقافة والمتاحف والجهات التابعة</v>
          </cell>
          <cell r="T1217" t="str">
            <v>Strategic Planning (Museums &amp; Affiliated Entities)</v>
          </cell>
          <cell r="U1217" t="str">
            <v>التحليل الاستراتيجي</v>
          </cell>
          <cell r="V1217" t="str">
            <v>Abu Dhabi</v>
          </cell>
          <cell r="W1217" t="str">
            <v/>
          </cell>
          <cell r="X1217" t="str">
            <v>4512100</v>
          </cell>
          <cell r="Y1217" t="str">
            <v>Strategy, Planning, Project Mgt_Operational Planning &amp; Project Management _Senior Professional</v>
          </cell>
          <cell r="Z1217" t="str">
            <v>Senior Professional</v>
          </cell>
          <cell r="AA1217" t="str">
            <v>3C</v>
          </cell>
        </row>
        <row r="1218">
          <cell r="A1218">
            <v>2000158</v>
          </cell>
          <cell r="B1218">
            <v>2000158</v>
          </cell>
          <cell r="C1218" t="str">
            <v>A</v>
          </cell>
          <cell r="D1218" t="str">
            <v>Evangeline Garcia</v>
          </cell>
          <cell r="E1218" t="str">
            <v>ايفانجيلين  جاكايان</v>
          </cell>
          <cell r="F1218">
            <v>41883</v>
          </cell>
          <cell r="G1218" t="str">
            <v>10006733</v>
          </cell>
          <cell r="H1218" t="str">
            <v>Administrative Officer</v>
          </cell>
          <cell r="I1218" t="str">
            <v>ضابط إداري</v>
          </cell>
          <cell r="J1218" t="str">
            <v>On-Chart</v>
          </cell>
          <cell r="K1218" t="str">
            <v>Al Nahiya</v>
          </cell>
          <cell r="L1218" t="str">
            <v>N0</v>
          </cell>
          <cell r="M1218" t="str">
            <v>Department of Culture and Tourism</v>
          </cell>
          <cell r="N1218" t="str">
            <v>Support Services</v>
          </cell>
          <cell r="O1218" t="str">
            <v>الخدمات المساندة</v>
          </cell>
          <cell r="P1218" t="str">
            <v>Supply Management</v>
          </cell>
          <cell r="Q1218" t="str">
            <v>إدارة الإمداد</v>
          </cell>
          <cell r="R1218" t="str">
            <v/>
          </cell>
          <cell r="S1218" t="str">
            <v/>
          </cell>
          <cell r="T1218" t="str">
            <v/>
          </cell>
          <cell r="U1218" t="str">
            <v/>
          </cell>
          <cell r="V1218" t="str">
            <v>Abu Dhabi</v>
          </cell>
          <cell r="W1218" t="str">
            <v/>
          </cell>
          <cell r="X1218" t="str">
            <v>4510240</v>
          </cell>
          <cell r="Y1218" t="str">
            <v>Procurement_Procurement General_Professional</v>
          </cell>
          <cell r="Z1218" t="str">
            <v>Professional</v>
          </cell>
          <cell r="AA1218" t="str">
            <v>4A</v>
          </cell>
        </row>
        <row r="1219">
          <cell r="A1219">
            <v>2000159</v>
          </cell>
          <cell r="B1219">
            <v>2000159</v>
          </cell>
          <cell r="C1219" t="str">
            <v>A</v>
          </cell>
          <cell r="D1219" t="str">
            <v>Nabilah Khaled Al Zubaidi</v>
          </cell>
          <cell r="E1219" t="str">
            <v>نبيلة خالد الزبيدي</v>
          </cell>
          <cell r="F1219">
            <v>42900</v>
          </cell>
          <cell r="G1219" t="str">
            <v>50002635</v>
          </cell>
          <cell r="H1219" t="str">
            <v>Talent Acquisition Specialist</v>
          </cell>
          <cell r="I1219" t="str">
            <v>أخصائي استقطاب المواهب</v>
          </cell>
          <cell r="J1219" t="str">
            <v>On-Chart</v>
          </cell>
          <cell r="K1219" t="str">
            <v>MSS Al Nahiya</v>
          </cell>
          <cell r="L1219" t="str">
            <v>M2</v>
          </cell>
          <cell r="M1219" t="str">
            <v>Department of Culture and Tourism</v>
          </cell>
          <cell r="N1219" t="str">
            <v>Museums Shared Services</v>
          </cell>
          <cell r="O1219" t="str">
            <v>الخدمات المشتركة للمتاحف</v>
          </cell>
          <cell r="P1219" t="str">
            <v>People and Performance - MSS</v>
          </cell>
          <cell r="Q1219" t="str">
            <v>إدارة الكوادر البشرية والأداء - الخدمات المشتركة للمتاحف</v>
          </cell>
          <cell r="R1219" t="str">
            <v>Talent Acquisition Section - MSS</v>
          </cell>
          <cell r="S1219" t="str">
            <v>قسم استقطاب المواهب</v>
          </cell>
          <cell r="T1219" t="str">
            <v>Talent Acquisition Unit - MSS</v>
          </cell>
          <cell r="U1219" t="str">
            <v>وحدة استقطاب المواهب</v>
          </cell>
          <cell r="V1219" t="str">
            <v>Abu Dhabi</v>
          </cell>
          <cell r="W1219" t="str">
            <v/>
          </cell>
          <cell r="X1219" t="str">
            <v>4514140</v>
          </cell>
          <cell r="Y1219" t="str">
            <v>People &amp; Performance _Talent Acquisition_Professional</v>
          </cell>
          <cell r="Z1219" t="str">
            <v>Professional</v>
          </cell>
          <cell r="AA1219" t="str">
            <v>4A</v>
          </cell>
        </row>
        <row r="1220">
          <cell r="A1220">
            <v>2000166</v>
          </cell>
          <cell r="B1220">
            <v>2000166</v>
          </cell>
          <cell r="C1220" t="str">
            <v>A</v>
          </cell>
          <cell r="D1220" t="str">
            <v>Cecilia Nery Aguilar</v>
          </cell>
          <cell r="E1220" t="str">
            <v>سيسليا نيري أجولار</v>
          </cell>
          <cell r="F1220">
            <v>43011</v>
          </cell>
          <cell r="G1220" t="str">
            <v>10006868</v>
          </cell>
          <cell r="H1220" t="str">
            <v>Administrative Assistant</v>
          </cell>
          <cell r="I1220" t="str">
            <v>مساعد إداري</v>
          </cell>
          <cell r="J1220" t="str">
            <v>On-Chart</v>
          </cell>
          <cell r="K1220" t="str">
            <v>MSS Al Nahiya</v>
          </cell>
          <cell r="L1220" t="str">
            <v>M2</v>
          </cell>
          <cell r="M1220" t="str">
            <v>Louvre Abu Dhabi</v>
          </cell>
          <cell r="N1220" t="str">
            <v>Louvre Abu Dhabi</v>
          </cell>
          <cell r="O1220" t="str">
            <v>متحف اللوفر أبوظبي</v>
          </cell>
          <cell r="P1220" t="str">
            <v>External Affairs, Outreach and Cultural Engagement</v>
          </cell>
          <cell r="Q1220" t="str">
            <v>إدارة الشؤون الخارجية والتواصل، المشاركة الثقافية</v>
          </cell>
          <cell r="R1220" t="str">
            <v>International &amp; Institutional Affairs</v>
          </cell>
          <cell r="S1220" t="str">
            <v/>
          </cell>
          <cell r="T1220" t="str">
            <v/>
          </cell>
          <cell r="U1220" t="str">
            <v/>
          </cell>
          <cell r="V1220" t="str">
            <v>Abu Dhabi</v>
          </cell>
          <cell r="W1220" t="str">
            <v/>
          </cell>
          <cell r="X1220" t="str">
            <v>4510121</v>
          </cell>
          <cell r="Y1220" t="str">
            <v>Interpretation &amp; Engagement_Outreach &amp; Cultural Engagement _Professional</v>
          </cell>
          <cell r="Z1220" t="str">
            <v>Professional Assistant</v>
          </cell>
          <cell r="AA1220" t="str">
            <v>5B</v>
          </cell>
        </row>
        <row r="1221">
          <cell r="A1221">
            <v>2000168</v>
          </cell>
          <cell r="B1221">
            <v>2000168</v>
          </cell>
          <cell r="C1221" t="str">
            <v>A</v>
          </cell>
          <cell r="D1221" t="str">
            <v>Amanda Nicole Smith</v>
          </cell>
          <cell r="E1221" t="str">
            <v>أناندا نيكول سميث</v>
          </cell>
          <cell r="F1221">
            <v>43016</v>
          </cell>
          <cell r="G1221" t="str">
            <v>10006956</v>
          </cell>
          <cell r="H1221" t="str">
            <v>Publications Section Head</v>
          </cell>
          <cell r="I1221" t="str">
            <v>رئيس قسم المطبوعات</v>
          </cell>
          <cell r="J1221" t="str">
            <v>On-Chart</v>
          </cell>
          <cell r="K1221" t="str">
            <v>MSS Al Nahiya</v>
          </cell>
          <cell r="L1221" t="str">
            <v>M2</v>
          </cell>
          <cell r="M1221" t="str">
            <v>Louvre Abu Dhabi</v>
          </cell>
          <cell r="N1221" t="str">
            <v>Louvre Abu Dhabi</v>
          </cell>
          <cell r="O1221" t="str">
            <v>متحف اللوفر أبوظبي</v>
          </cell>
          <cell r="P1221" t="str">
            <v>External Affairs, Outreach and Cultural Engagement</v>
          </cell>
          <cell r="Q1221" t="str">
            <v>إدارة الشؤون الخارجية والتواصل، المشاركة الثقافية</v>
          </cell>
          <cell r="R1221" t="str">
            <v/>
          </cell>
          <cell r="S1221" t="str">
            <v/>
          </cell>
          <cell r="T1221" t="str">
            <v/>
          </cell>
          <cell r="U1221" t="str">
            <v/>
          </cell>
          <cell r="V1221" t="str">
            <v>Abu Dhabi</v>
          </cell>
          <cell r="W1221" t="str">
            <v/>
          </cell>
          <cell r="X1221" t="str">
            <v>4510123</v>
          </cell>
          <cell r="Y1221" t="str">
            <v>Interpretation &amp; Engagement_Outreach &amp; Cultural Engagement_Section Manager</v>
          </cell>
          <cell r="Z1221" t="str">
            <v>Section Manager</v>
          </cell>
          <cell r="AA1221" t="str">
            <v>2A</v>
          </cell>
        </row>
        <row r="1222">
          <cell r="A1222">
            <v>2000170</v>
          </cell>
          <cell r="B1222">
            <v>2000170</v>
          </cell>
          <cell r="C1222" t="str">
            <v>A</v>
          </cell>
          <cell r="D1222" t="str">
            <v>Tracy Wilson</v>
          </cell>
          <cell r="E1222" t="str">
            <v>تراسي  ولسون</v>
          </cell>
          <cell r="F1222">
            <v>43031</v>
          </cell>
          <cell r="G1222" t="str">
            <v>10006962</v>
          </cell>
          <cell r="H1222" t="str">
            <v>Workshops &amp; Studio Supervisor</v>
          </cell>
          <cell r="I1222" t="str">
            <v>مشرف الاستوديو وورش العمل</v>
          </cell>
          <cell r="J1222" t="str">
            <v>Off-Chart</v>
          </cell>
          <cell r="K1222" t="str">
            <v>Sundus</v>
          </cell>
          <cell r="L1222" t="str">
            <v>SU</v>
          </cell>
          <cell r="M1222" t="str">
            <v>Department of Culture and Tourism</v>
          </cell>
          <cell r="N1222" t="str">
            <v>Culture</v>
          </cell>
          <cell r="O1222" t="str">
            <v>الثقافة</v>
          </cell>
          <cell r="P1222" t="str">
            <v>Culture Sites Management</v>
          </cell>
          <cell r="Q1222" t="str">
            <v>إدارة المواقع الثقافية</v>
          </cell>
          <cell r="R1222" t="str">
            <v>Manarat Al Saadiyat</v>
          </cell>
          <cell r="S1222" t="str">
            <v>منارة السعديات</v>
          </cell>
          <cell r="T1222" t="str">
            <v>Art Studio</v>
          </cell>
          <cell r="U1222" t="str">
            <v>استوديو الفنون</v>
          </cell>
          <cell r="V1222" t="str">
            <v>Abu Dhabi</v>
          </cell>
          <cell r="W1222" t="str">
            <v/>
          </cell>
          <cell r="X1222" t="str">
            <v>4511250</v>
          </cell>
          <cell r="Y1222" t="str">
            <v>Compliance,Governance&amp;Protocol_Policy (Culture/Tourism _Senior Professional</v>
          </cell>
          <cell r="Z1222" t="str">
            <v>Senior Professional</v>
          </cell>
          <cell r="AA1222" t="str">
            <v>3A</v>
          </cell>
        </row>
        <row r="1223">
          <cell r="A1223">
            <v>2000173</v>
          </cell>
          <cell r="B1223">
            <v>2000173</v>
          </cell>
          <cell r="C1223" t="str">
            <v>A</v>
          </cell>
          <cell r="D1223" t="str">
            <v>Rand Abdul Jabbar</v>
          </cell>
          <cell r="E1223" t="str">
            <v>رندا  عبدالجبار</v>
          </cell>
          <cell r="F1223">
            <v>43044</v>
          </cell>
          <cell r="G1223" t="str">
            <v>50001703</v>
          </cell>
          <cell r="H1223" t="str">
            <v>Interpretation Unit Head  (Museums &amp; Exhibitions)</v>
          </cell>
          <cell r="I1223" t="str">
            <v>رئيس وحدة الإرشاد الثقافي (المتاحف والمعارض)</v>
          </cell>
          <cell r="J1223" t="str">
            <v>On-Chart</v>
          </cell>
          <cell r="K1223" t="str">
            <v>Sundus</v>
          </cell>
          <cell r="L1223" t="str">
            <v>SU</v>
          </cell>
          <cell r="M1223" t="str">
            <v>Department of Culture and Tourism</v>
          </cell>
          <cell r="N1223" t="str">
            <v>Culture</v>
          </cell>
          <cell r="O1223" t="str">
            <v>الثقافة</v>
          </cell>
          <cell r="P1223" t="str">
            <v>Education &amp; Outreach</v>
          </cell>
          <cell r="Q1223" t="str">
            <v>التعليم والتوعية الثقافية</v>
          </cell>
          <cell r="R1223" t="str">
            <v>Interpretation - Museums &amp; Exhibitions</v>
          </cell>
          <cell r="S1223" t="str">
            <v>الإرشاد الثقافي - المتاحف والمعارض</v>
          </cell>
          <cell r="T1223" t="str">
            <v>Interpretation (Museums &amp; Exhibitions)</v>
          </cell>
          <cell r="U1223" t="str">
            <v>الإرشاد الثقافي (المتاحف والمعارض)</v>
          </cell>
          <cell r="V1223" t="str">
            <v>Abu Dhabi</v>
          </cell>
          <cell r="W1223" t="str">
            <v/>
          </cell>
          <cell r="X1223" t="str">
            <v>4511800</v>
          </cell>
          <cell r="Y1223" t="str">
            <v>Interpretation &amp; Engagement_Outreach &amp; Cultural Engagement _Unit Head</v>
          </cell>
          <cell r="Z1223" t="str">
            <v>Unit Head</v>
          </cell>
          <cell r="AA1223" t="str">
            <v>3A</v>
          </cell>
        </row>
        <row r="1224">
          <cell r="A1224">
            <v>2000175</v>
          </cell>
          <cell r="B1224">
            <v>2000175</v>
          </cell>
          <cell r="C1224" t="str">
            <v>A</v>
          </cell>
          <cell r="D1224" t="str">
            <v>Maysa Sultan</v>
          </cell>
          <cell r="E1224" t="str">
            <v>ميساء  سلطان</v>
          </cell>
          <cell r="F1224">
            <v>43040</v>
          </cell>
          <cell r="G1224" t="str">
            <v>50000695</v>
          </cell>
          <cell r="H1224" t="str">
            <v>Publication Senior Specialist</v>
          </cell>
          <cell r="I1224" t="str">
            <v>أخصائي أول النشر</v>
          </cell>
          <cell r="J1224" t="str">
            <v>On-Chart</v>
          </cell>
          <cell r="K1224" t="str">
            <v>MSS Al Nahiya</v>
          </cell>
          <cell r="L1224" t="str">
            <v>M2</v>
          </cell>
          <cell r="M1224" t="str">
            <v>Department of Culture and Tourism</v>
          </cell>
          <cell r="N1224" t="str">
            <v>Zayed National Museum</v>
          </cell>
          <cell r="O1224" t="str">
            <v>متحف زايد الوطني</v>
          </cell>
          <cell r="P1224" t="str">
            <v>Learning &amp; Public Engagement</v>
          </cell>
          <cell r="Q1224" t="str">
            <v>التعليم والمشاركة المجتمعية</v>
          </cell>
          <cell r="R1224" t="str">
            <v>Publications</v>
          </cell>
          <cell r="S1224" t="str">
            <v>النشر</v>
          </cell>
          <cell r="T1224" t="str">
            <v/>
          </cell>
          <cell r="U1224" t="str">
            <v/>
          </cell>
          <cell r="V1224" t="str">
            <v>Abu Dhabi</v>
          </cell>
          <cell r="W1224" t="str">
            <v/>
          </cell>
          <cell r="X1224" t="str">
            <v>4510182</v>
          </cell>
          <cell r="Y1224" t="str">
            <v>Interpretation &amp; Engagement_Education &amp; Learning Development &amp;   Engagement(All)_Unit Head</v>
          </cell>
          <cell r="Z1224" t="str">
            <v>Senior Professional</v>
          </cell>
          <cell r="AA1224" t="str">
            <v>3A</v>
          </cell>
        </row>
        <row r="1225">
          <cell r="A1225">
            <v>2000177</v>
          </cell>
          <cell r="B1225">
            <v>2000177</v>
          </cell>
          <cell r="C1225" t="str">
            <v>A</v>
          </cell>
          <cell r="D1225" t="str">
            <v>Mariam Awad</v>
          </cell>
          <cell r="E1225" t="str">
            <v>مريم  عوض</v>
          </cell>
          <cell r="F1225">
            <v>43040</v>
          </cell>
          <cell r="G1225" t="str">
            <v>10007005</v>
          </cell>
          <cell r="H1225" t="str">
            <v>Strategic Projects &amp; Transformation Unit Head</v>
          </cell>
          <cell r="I1225" t="str">
            <v>رئيس وحدة التحول والمشاريع الاستراتيجية</v>
          </cell>
          <cell r="J1225" t="str">
            <v>On-Chart</v>
          </cell>
          <cell r="K1225" t="str">
            <v>Dayton</v>
          </cell>
          <cell r="L1225" t="str">
            <v>D1</v>
          </cell>
          <cell r="M1225" t="str">
            <v>Department of Culture and Tourism</v>
          </cell>
          <cell r="N1225" t="str">
            <v>Support Services</v>
          </cell>
          <cell r="O1225" t="str">
            <v>الخدمات المساندة</v>
          </cell>
          <cell r="P1225" t="str">
            <v>Office of the Support Services Executive Director</v>
          </cell>
          <cell r="Q1225" t="str">
            <v>مكتب المدير التنفيذي لقطاع الخدمات المساندة</v>
          </cell>
          <cell r="R1225" t="str">
            <v>Support Services Transformation</v>
          </cell>
          <cell r="S1225" t="str">
            <v>تحول الخدمات المساندة</v>
          </cell>
          <cell r="T1225" t="str">
            <v>Strategic Projects &amp; Transformation</v>
          </cell>
          <cell r="U1225" t="str">
            <v>التحول والمشاريع الاستراتيجية</v>
          </cell>
          <cell r="V1225" t="str">
            <v>Abu Dhabi</v>
          </cell>
          <cell r="W1225" t="str">
            <v/>
          </cell>
          <cell r="X1225" t="str">
            <v>4510201</v>
          </cell>
          <cell r="Y1225" t="str">
            <v>Strategy, Planning, Project Mgt_Strategic Business Partnership_Unit Head</v>
          </cell>
          <cell r="Z1225" t="str">
            <v>Unit Head</v>
          </cell>
          <cell r="AA1225" t="str">
            <v>3A</v>
          </cell>
        </row>
        <row r="1226">
          <cell r="A1226">
            <v>2000180</v>
          </cell>
          <cell r="B1226">
            <v>2000180</v>
          </cell>
          <cell r="C1226" t="str">
            <v>A</v>
          </cell>
          <cell r="D1226" t="str">
            <v>Vicky Mahendra Sangani</v>
          </cell>
          <cell r="E1226" t="str">
            <v>فيكي مهندرا سانجاني</v>
          </cell>
          <cell r="F1226">
            <v>42856</v>
          </cell>
          <cell r="G1226" t="str">
            <v>10007143</v>
          </cell>
          <cell r="H1226" t="str">
            <v>Tourism Analysis &amp; Reporting Unit Head</v>
          </cell>
          <cell r="I1226" t="str">
            <v>رئيس وحدة التحليل والتقارير للسياحة</v>
          </cell>
          <cell r="J1226" t="str">
            <v>On-Chart</v>
          </cell>
          <cell r="K1226" t="str">
            <v>Al Nahiya</v>
          </cell>
          <cell r="L1226" t="str">
            <v>N0</v>
          </cell>
          <cell r="M1226" t="str">
            <v>Department of Culture and Tourism</v>
          </cell>
          <cell r="N1226" t="str">
            <v>Strategic Affairs</v>
          </cell>
          <cell r="O1226" t="str">
            <v>الشؤون الاستراتيجية</v>
          </cell>
          <cell r="P1226" t="str">
            <v>Data &amp; AI Department</v>
          </cell>
          <cell r="Q1226" t="str">
            <v>إدارة البيانات والذكاء الاصطناعي</v>
          </cell>
          <cell r="R1226" t="str">
            <v>Research</v>
          </cell>
          <cell r="S1226" t="str">
            <v>البحوث</v>
          </cell>
          <cell r="T1226" t="str">
            <v>Tourism Analysis &amp; Reporting</v>
          </cell>
          <cell r="U1226" t="str">
            <v>التحليل والتقارير للسياحة</v>
          </cell>
          <cell r="V1226" t="str">
            <v>Abu Dhabi</v>
          </cell>
          <cell r="W1226" t="str">
            <v/>
          </cell>
          <cell r="X1226" t="str">
            <v>4512200</v>
          </cell>
          <cell r="Y1226" t="str">
            <v>Strategy, Planning, Project Mgt_Business &amp; Market Intelligence  Analysis &amp; Planning_Unit Head</v>
          </cell>
          <cell r="Z1226" t="str">
            <v>Unit Head</v>
          </cell>
          <cell r="AA1226" t="str">
            <v>3A</v>
          </cell>
        </row>
        <row r="1227">
          <cell r="A1227">
            <v>2000186</v>
          </cell>
          <cell r="B1227">
            <v>2000186</v>
          </cell>
          <cell r="C1227" t="str">
            <v>A</v>
          </cell>
          <cell r="D1227" t="str">
            <v>Thara Elizebath Varughese</v>
          </cell>
          <cell r="E1227" t="str">
            <v>ثارا اليزابيث فاروجيس</v>
          </cell>
          <cell r="F1227">
            <v>43107</v>
          </cell>
          <cell r="G1227" t="str">
            <v>50002554</v>
          </cell>
          <cell r="H1227" t="str">
            <v>Talent Attraction Unit Head</v>
          </cell>
          <cell r="I1227" t="str">
            <v>رئيس وحدة استقطاب المواهب</v>
          </cell>
          <cell r="J1227" t="str">
            <v>On-Chart</v>
          </cell>
          <cell r="K1227" t="str">
            <v>Al Nahiya</v>
          </cell>
          <cell r="L1227" t="str">
            <v>N0</v>
          </cell>
          <cell r="M1227" t="str">
            <v>Department of Culture and Tourism</v>
          </cell>
          <cell r="N1227" t="str">
            <v>Support Services</v>
          </cell>
          <cell r="O1227" t="str">
            <v>الخدمات المساندة</v>
          </cell>
          <cell r="P1227" t="str">
            <v>People &amp; Performance</v>
          </cell>
          <cell r="Q1227" t="str">
            <v>إدارة الكوادر البشرية والأداء</v>
          </cell>
          <cell r="R1227" t="str">
            <v>Talent Acquisition</v>
          </cell>
          <cell r="S1227" t="str">
            <v>قسم استقطاب المواهب</v>
          </cell>
          <cell r="T1227" t="str">
            <v>Talent Attraction</v>
          </cell>
          <cell r="U1227" t="str">
            <v/>
          </cell>
          <cell r="V1227" t="str">
            <v>Abu Dhabi</v>
          </cell>
          <cell r="W1227" t="str">
            <v/>
          </cell>
          <cell r="X1227" t="str">
            <v>4510220</v>
          </cell>
          <cell r="Y1227" t="str">
            <v>Senior Specialization HR</v>
          </cell>
          <cell r="Z1227" t="str">
            <v>Unit Head</v>
          </cell>
          <cell r="AA1227" t="str">
            <v>3A</v>
          </cell>
        </row>
        <row r="1228">
          <cell r="A1228">
            <v>2000214</v>
          </cell>
          <cell r="B1228">
            <v>2000214</v>
          </cell>
          <cell r="C1228" t="str">
            <v>A</v>
          </cell>
          <cell r="D1228" t="str">
            <v>Hazem Abuhajjaj</v>
          </cell>
          <cell r="E1228" t="str">
            <v>حازم  أبو حجاج</v>
          </cell>
          <cell r="F1228">
            <v>43107</v>
          </cell>
          <cell r="G1228" t="str">
            <v>50002606</v>
          </cell>
          <cell r="H1228" t="str">
            <v>P&amp;P Business Partners Unit Head</v>
          </cell>
          <cell r="I1228" t="str">
            <v>رئيس وحدة شركاء أعمال الكوادر البشرية والأداء</v>
          </cell>
          <cell r="J1228" t="str">
            <v>On-Chart</v>
          </cell>
          <cell r="K1228" t="str">
            <v>MSS Al Nahiya</v>
          </cell>
          <cell r="L1228" t="str">
            <v>M2</v>
          </cell>
          <cell r="M1228" t="str">
            <v>Department of Culture and Tourism</v>
          </cell>
          <cell r="N1228" t="str">
            <v>Museums Shared Services</v>
          </cell>
          <cell r="O1228" t="str">
            <v>الخدمات المشتركة للمتاحف</v>
          </cell>
          <cell r="P1228" t="str">
            <v>People and Performance - MSS</v>
          </cell>
          <cell r="Q1228" t="str">
            <v>إدارة الكوادر البشرية والأداء - الخدمات المشتركة للمتاحف</v>
          </cell>
          <cell r="R1228" t="str">
            <v>P&amp;P Planning and Business Partnership Section</v>
          </cell>
          <cell r="S1228" t="str">
            <v>قسم التخطيط وشركاء أعمال الكوادر البشرية والأداء</v>
          </cell>
          <cell r="T1228" t="str">
            <v>P&amp;P Business Partners Unit - MSS</v>
          </cell>
          <cell r="U1228" t="str">
            <v>وحدة شركاء أعمال الكوادر البشرية والأداء</v>
          </cell>
          <cell r="V1228" t="str">
            <v>Abu Dhabi</v>
          </cell>
          <cell r="W1228" t="str">
            <v/>
          </cell>
          <cell r="X1228" t="str">
            <v>4514140</v>
          </cell>
          <cell r="Y1228" t="str">
            <v>Senior Specialization HR</v>
          </cell>
          <cell r="Z1228" t="str">
            <v>Unit Head</v>
          </cell>
          <cell r="AA1228" t="str">
            <v>3A</v>
          </cell>
        </row>
        <row r="1229">
          <cell r="A1229">
            <v>2000215</v>
          </cell>
          <cell r="B1229">
            <v>2000215</v>
          </cell>
          <cell r="C1229" t="str">
            <v>A</v>
          </cell>
          <cell r="D1229" t="str">
            <v>Zainah Meshal Abusido</v>
          </cell>
          <cell r="E1229" t="str">
            <v>زينه مشعل أبوسيدو</v>
          </cell>
          <cell r="F1229">
            <v>43165</v>
          </cell>
          <cell r="G1229" t="str">
            <v>50003843</v>
          </cell>
          <cell r="H1229" t="str">
            <v>International Outreach &amp; Partnerships Lead</v>
          </cell>
          <cell r="I1229" t="str">
            <v>أخصائي رئيسي التوعية الدولية والشراكات</v>
          </cell>
          <cell r="J1229" t="str">
            <v>On-Chart</v>
          </cell>
          <cell r="K1229" t="str">
            <v>ALC Al Nahiya</v>
          </cell>
          <cell r="L1229" t="str">
            <v>AL2</v>
          </cell>
          <cell r="M1229" t="str">
            <v>Abu Dhabi Arabic Language Centre</v>
          </cell>
          <cell r="N1229" t="str">
            <v>Abu Dhabi Arabic Language Centre</v>
          </cell>
          <cell r="O1229" t="str">
            <v>مركز أبوظبي للغة العربية</v>
          </cell>
          <cell r="P1229" t="str">
            <v>Literature Awards</v>
          </cell>
          <cell r="Q1229" t="str">
            <v>الجوائز الأدبية</v>
          </cell>
          <cell r="R1229" t="str">
            <v>Outreach &amp; Partnerships</v>
          </cell>
          <cell r="S1229" t="str">
            <v>التوعية والشراكات</v>
          </cell>
          <cell r="T1229" t="str">
            <v/>
          </cell>
          <cell r="U1229" t="str">
            <v/>
          </cell>
          <cell r="V1229" t="str">
            <v>Abu Dhabi</v>
          </cell>
          <cell r="W1229" t="str">
            <v/>
          </cell>
          <cell r="X1229" t="str">
            <v>4519201</v>
          </cell>
          <cell r="Y1229" t="str">
            <v/>
          </cell>
          <cell r="Z1229" t="str">
            <v>Unit Head</v>
          </cell>
          <cell r="AA1229" t="str">
            <v>3B</v>
          </cell>
        </row>
        <row r="1230">
          <cell r="A1230">
            <v>2000220</v>
          </cell>
          <cell r="B1230">
            <v>2000220</v>
          </cell>
          <cell r="C1230" t="str">
            <v>A</v>
          </cell>
          <cell r="D1230" t="str">
            <v>Anas Yousef Alkhun</v>
          </cell>
          <cell r="E1230" t="str">
            <v> انس يوسف الخن</v>
          </cell>
          <cell r="F1230">
            <v>43178</v>
          </cell>
          <cell r="G1230" t="str">
            <v>10008130</v>
          </cell>
          <cell r="H1230" t="str">
            <v>Facilities Management Specialist</v>
          </cell>
          <cell r="I1230" t="str">
            <v>أخصائي إدارة المرافق</v>
          </cell>
          <cell r="J1230" t="str">
            <v>On-Chart</v>
          </cell>
          <cell r="K1230" t="str">
            <v>Al Nahiya</v>
          </cell>
          <cell r="L1230" t="str">
            <v>N0</v>
          </cell>
          <cell r="M1230" t="str">
            <v>Department of Culture and Tourism</v>
          </cell>
          <cell r="N1230" t="str">
            <v>Support Services</v>
          </cell>
          <cell r="O1230" t="str">
            <v>الخدمات المساندة</v>
          </cell>
          <cell r="P1230" t="str">
            <v>Supply Management</v>
          </cell>
          <cell r="Q1230" t="str">
            <v>إدارة الإمداد</v>
          </cell>
          <cell r="R1230" t="str">
            <v>Facilities Management</v>
          </cell>
          <cell r="S1230" t="str">
            <v>إدارة المرافق</v>
          </cell>
          <cell r="T1230" t="str">
            <v>Facilities Management(Al Ain)</v>
          </cell>
          <cell r="U1230" t="str">
            <v>مرافق العين</v>
          </cell>
          <cell r="V1230" t="str">
            <v>Al Ain</v>
          </cell>
          <cell r="W1230" t="str">
            <v/>
          </cell>
          <cell r="X1230" t="str">
            <v>4510240</v>
          </cell>
          <cell r="Y1230" t="str">
            <v>Procurement_Procurement General_Professional</v>
          </cell>
          <cell r="Z1230" t="str">
            <v>Professional</v>
          </cell>
          <cell r="AA1230" t="str">
            <v>4A</v>
          </cell>
        </row>
        <row r="1231">
          <cell r="A1231">
            <v>2000223</v>
          </cell>
          <cell r="B1231">
            <v>2000223</v>
          </cell>
          <cell r="C1231" t="str">
            <v>A</v>
          </cell>
          <cell r="D1231" t="str">
            <v>Fatema Mumtaz</v>
          </cell>
          <cell r="E1231" t="str">
            <v>فاطمة  ممتاز</v>
          </cell>
          <cell r="F1231">
            <v>43185</v>
          </cell>
          <cell r="G1231" t="str">
            <v>50002355</v>
          </cell>
          <cell r="H1231" t="str">
            <v>Experience Monitoring &amp; Reporting Senior Specialist</v>
          </cell>
          <cell r="I1231" t="str">
            <v>أخصائي أول متابعة وتقرير التجارب</v>
          </cell>
          <cell r="J1231" t="str">
            <v>On-Chart</v>
          </cell>
          <cell r="K1231" t="str">
            <v>Al Nahiya</v>
          </cell>
          <cell r="L1231" t="str">
            <v>N0</v>
          </cell>
          <cell r="M1231" t="str">
            <v>Department of Culture and Tourism</v>
          </cell>
          <cell r="N1231" t="str">
            <v>Tourism</v>
          </cell>
          <cell r="O1231" t="str">
            <v>السياحة</v>
          </cell>
          <cell r="P1231" t="str">
            <v>Visitors Experience</v>
          </cell>
          <cell r="Q1231" t="str">
            <v>تجربة الزوار</v>
          </cell>
          <cell r="R1231" t="str">
            <v>Experience Monitoring</v>
          </cell>
          <cell r="S1231" t="str">
            <v>مراقبة تجربة الزوار</v>
          </cell>
          <cell r="T1231" t="str">
            <v>Experience Monitoring &amp; Reporting Unit</v>
          </cell>
          <cell r="U1231" t="str">
            <v>وحدة متابعة وتقرير التجارب</v>
          </cell>
          <cell r="V1231" t="str">
            <v>Abu Dhabi</v>
          </cell>
          <cell r="W1231" t="str">
            <v/>
          </cell>
          <cell r="X1231" t="str">
            <v>4515300</v>
          </cell>
          <cell r="Y1231" t="str">
            <v>Specialization Festivals &amp; Events</v>
          </cell>
          <cell r="Z1231" t="str">
            <v>Professional</v>
          </cell>
          <cell r="AA1231" t="str">
            <v>3B</v>
          </cell>
        </row>
        <row r="1232">
          <cell r="A1232">
            <v>2000225</v>
          </cell>
          <cell r="B1232">
            <v>2000225</v>
          </cell>
          <cell r="C1232" t="str">
            <v>A</v>
          </cell>
          <cell r="D1232" t="str">
            <v>Rabi Georges</v>
          </cell>
          <cell r="E1232" t="str">
            <v>رابي  جورجس</v>
          </cell>
          <cell r="F1232">
            <v>43192</v>
          </cell>
          <cell r="G1232" t="str">
            <v>10008243</v>
          </cell>
          <cell r="H1232" t="str">
            <v>Artists-In-Residence Programme Specialist</v>
          </cell>
          <cell r="I1232" t="str">
            <v>أخصائي برنامج الإقامة الفنية</v>
          </cell>
          <cell r="J1232" t="str">
            <v>On-Chart</v>
          </cell>
          <cell r="K1232" t="str">
            <v>Al Nahiya</v>
          </cell>
          <cell r="L1232" t="str">
            <v>N0</v>
          </cell>
          <cell r="M1232" t="str">
            <v>Department of Culture and Tourism</v>
          </cell>
          <cell r="N1232" t="str">
            <v>Culture</v>
          </cell>
          <cell r="O1232" t="str">
            <v>الثقافة</v>
          </cell>
          <cell r="P1232" t="str">
            <v>Culture Sites Management</v>
          </cell>
          <cell r="Q1232" t="str">
            <v>إدارة المواقع الثقافية</v>
          </cell>
          <cell r="R1232" t="str">
            <v>Cultural Foundation</v>
          </cell>
          <cell r="S1232" t="str">
            <v>المجمع الثقافي</v>
          </cell>
          <cell r="T1232" t="str">
            <v>Exhibitions</v>
          </cell>
          <cell r="U1232" t="str">
            <v>المعارض</v>
          </cell>
          <cell r="V1232" t="str">
            <v>Abu Dhabi</v>
          </cell>
          <cell r="W1232" t="str">
            <v/>
          </cell>
          <cell r="X1232" t="str">
            <v>4511250</v>
          </cell>
          <cell r="Y1232" t="str">
            <v>Compliance,Governance&amp;Protocol_Policy (Culture/Tourism _Senior Professional</v>
          </cell>
          <cell r="Z1232" t="str">
            <v>Professional</v>
          </cell>
          <cell r="AA1232" t="str">
            <v>4A</v>
          </cell>
        </row>
        <row r="1233">
          <cell r="A1233">
            <v>2000228</v>
          </cell>
          <cell r="B1233">
            <v>2000228</v>
          </cell>
          <cell r="C1233" t="str">
            <v>A</v>
          </cell>
          <cell r="D1233" t="str">
            <v>Nader Khaled Sarieddine</v>
          </cell>
          <cell r="E1233" t="str">
            <v>نادر خالد سري الدين</v>
          </cell>
          <cell r="F1233">
            <v>43205</v>
          </cell>
          <cell r="G1233" t="str">
            <v>50003468</v>
          </cell>
          <cell r="H1233" t="str">
            <v>Procurement Business Partner</v>
          </cell>
          <cell r="I1233" t="str">
            <v>شريك أعمال المشتريات</v>
          </cell>
          <cell r="J1233" t="str">
            <v>On-Chart</v>
          </cell>
          <cell r="K1233" t="str">
            <v>Dayton</v>
          </cell>
          <cell r="L1233" t="str">
            <v>D1</v>
          </cell>
          <cell r="M1233" t="str">
            <v>Department of Culture and Tourism</v>
          </cell>
          <cell r="N1233" t="str">
            <v>Support Services</v>
          </cell>
          <cell r="O1233" t="str">
            <v>الخدمات المساندة</v>
          </cell>
          <cell r="P1233" t="str">
            <v>Supply Management</v>
          </cell>
          <cell r="Q1233" t="str">
            <v>إدارة الإمداد</v>
          </cell>
          <cell r="R1233" t="str">
            <v>Business Partners</v>
          </cell>
          <cell r="S1233" t="str">
            <v>شركاء أعمال</v>
          </cell>
          <cell r="T1233" t="str">
            <v/>
          </cell>
          <cell r="U1233" t="str">
            <v/>
          </cell>
          <cell r="V1233" t="str">
            <v>Abu Dhabi</v>
          </cell>
          <cell r="W1233" t="str">
            <v/>
          </cell>
          <cell r="X1233" t="str">
            <v>4510240</v>
          </cell>
          <cell r="Y1233" t="str">
            <v>Procurement_Procurement Business Partner _Senior Professional</v>
          </cell>
          <cell r="Z1233" t="str">
            <v>Professional</v>
          </cell>
          <cell r="AA1233" t="str">
            <v>3C</v>
          </cell>
        </row>
        <row r="1234">
          <cell r="A1234">
            <v>2000229</v>
          </cell>
          <cell r="B1234">
            <v>2000229</v>
          </cell>
          <cell r="C1234" t="str">
            <v>A</v>
          </cell>
          <cell r="D1234" t="str">
            <v>Reema Azmi AlSadeq</v>
          </cell>
          <cell r="E1234" t="str">
            <v>ريما عزمي الصادق</v>
          </cell>
          <cell r="F1234">
            <v>43208</v>
          </cell>
          <cell r="G1234" t="str">
            <v>10008767</v>
          </cell>
          <cell r="H1234" t="str">
            <v>Performance Management Senior Specialist</v>
          </cell>
          <cell r="I1234" t="str">
            <v>أخصائي أول إدارة الأداء</v>
          </cell>
          <cell r="J1234" t="str">
            <v>On-Chart</v>
          </cell>
          <cell r="K1234" t="str">
            <v>Al Nahiya</v>
          </cell>
          <cell r="L1234" t="str">
            <v>N0</v>
          </cell>
          <cell r="M1234" t="str">
            <v>Department of Culture and Tourism</v>
          </cell>
          <cell r="N1234" t="str">
            <v>Support Services</v>
          </cell>
          <cell r="O1234" t="str">
            <v>الخدمات المساندة</v>
          </cell>
          <cell r="P1234" t="str">
            <v>People &amp; Performance</v>
          </cell>
          <cell r="Q1234" t="str">
            <v>إدارة الكوادر البشرية والأداء</v>
          </cell>
          <cell r="R1234" t="str">
            <v>Talent Development</v>
          </cell>
          <cell r="S1234" t="str">
            <v>تطوير المواهب</v>
          </cell>
          <cell r="T1234" t="str">
            <v>Performance Management</v>
          </cell>
          <cell r="U1234" t="str">
            <v>إدارة الأداء</v>
          </cell>
          <cell r="V1234" t="str">
            <v>Abu Dhabi</v>
          </cell>
          <cell r="W1234" t="str">
            <v/>
          </cell>
          <cell r="X1234" t="str">
            <v>4510220</v>
          </cell>
          <cell r="Y1234" t="str">
            <v>People &amp; Performance_ Learning, Talent &amp; Capability Development _Senior Professional</v>
          </cell>
          <cell r="Z1234" t="str">
            <v>Senior Professional</v>
          </cell>
          <cell r="AA1234" t="str">
            <v>3B</v>
          </cell>
        </row>
        <row r="1235">
          <cell r="A1235">
            <v>2000233</v>
          </cell>
          <cell r="B1235">
            <v>2000233</v>
          </cell>
          <cell r="C1235" t="str">
            <v>A</v>
          </cell>
          <cell r="D1235" t="str">
            <v>Al Shaimaa Diab</v>
          </cell>
          <cell r="E1235" t="str">
            <v>الشيماء  ضاحي</v>
          </cell>
          <cell r="F1235">
            <v>43212</v>
          </cell>
          <cell r="G1235" t="str">
            <v>50002608</v>
          </cell>
          <cell r="H1235" t="str">
            <v>P&amp;P Business Partner</v>
          </cell>
          <cell r="I1235" t="str">
            <v>شريك أعمال الكوادر البشرية والأداء</v>
          </cell>
          <cell r="J1235" t="str">
            <v>On-Chart</v>
          </cell>
          <cell r="K1235" t="str">
            <v>MSS Al Nahiya</v>
          </cell>
          <cell r="L1235" t="str">
            <v>M2</v>
          </cell>
          <cell r="M1235" t="str">
            <v>Department of Culture and Tourism</v>
          </cell>
          <cell r="N1235" t="str">
            <v>Museums Shared Services</v>
          </cell>
          <cell r="O1235" t="str">
            <v>الخدمات المشتركة للمتاحف</v>
          </cell>
          <cell r="P1235" t="str">
            <v>People and Performance - MSS</v>
          </cell>
          <cell r="Q1235" t="str">
            <v>إدارة الكوادر البشرية والأداء - الخدمات المشتركة للمتاحف</v>
          </cell>
          <cell r="R1235" t="str">
            <v>P&amp;P Planning and Business Partnership Section</v>
          </cell>
          <cell r="S1235" t="str">
            <v>قسم التخطيط وشركاء أعمال الكوادر البشرية والأداء</v>
          </cell>
          <cell r="T1235" t="str">
            <v>P&amp;P Business Partners Unit - MSS</v>
          </cell>
          <cell r="U1235" t="str">
            <v>وحدة شركاء أعمال الكوادر البشرية والأداء</v>
          </cell>
          <cell r="V1235" t="str">
            <v>Abu Dhabi</v>
          </cell>
          <cell r="W1235" t="str">
            <v/>
          </cell>
          <cell r="X1235" t="str">
            <v>4514140</v>
          </cell>
          <cell r="Y1235" t="str">
            <v>Specialization HR</v>
          </cell>
          <cell r="Z1235" t="str">
            <v>Professional</v>
          </cell>
          <cell r="AA1235" t="str">
            <v>3A</v>
          </cell>
        </row>
        <row r="1236">
          <cell r="A1236">
            <v>2000236</v>
          </cell>
          <cell r="B1236">
            <v>2000236</v>
          </cell>
          <cell r="C1236" t="str">
            <v>A</v>
          </cell>
          <cell r="D1236" t="str">
            <v>Alaa Ayman Allan</v>
          </cell>
          <cell r="E1236" t="str">
            <v>الاء ايمن عبدالله</v>
          </cell>
          <cell r="F1236">
            <v>43221</v>
          </cell>
          <cell r="G1236" t="str">
            <v>10008742</v>
          </cell>
          <cell r="H1236" t="str">
            <v>Finance Reporting Senior Specialist</v>
          </cell>
          <cell r="I1236" t="str">
            <v>أخصائي أول التقارير المالية</v>
          </cell>
          <cell r="J1236" t="str">
            <v>On-Chart</v>
          </cell>
          <cell r="K1236" t="str">
            <v>Dayton</v>
          </cell>
          <cell r="L1236" t="str">
            <v>D1</v>
          </cell>
          <cell r="M1236" t="str">
            <v>Department of Culture and Tourism</v>
          </cell>
          <cell r="N1236" t="str">
            <v>Support Services</v>
          </cell>
          <cell r="O1236" t="str">
            <v>الخدمات المساندة</v>
          </cell>
          <cell r="P1236" t="str">
            <v>Finance</v>
          </cell>
          <cell r="Q1236" t="str">
            <v>إدارة المالية</v>
          </cell>
          <cell r="R1236" t="str">
            <v>Finance Planning &amp; Reporting</v>
          </cell>
          <cell r="S1236" t="str">
            <v>التخطيط والتقرير المالي</v>
          </cell>
          <cell r="T1236" t="str">
            <v>Finance Reporting</v>
          </cell>
          <cell r="U1236" t="str">
            <v>التقارير المالية</v>
          </cell>
          <cell r="V1236" t="str">
            <v>Abu Dhabi</v>
          </cell>
          <cell r="W1236" t="str">
            <v/>
          </cell>
          <cell r="X1236" t="str">
            <v>4510210</v>
          </cell>
          <cell r="Y1236" t="str">
            <v>Finance_Finance Planning Forecasting &amp; Reporting_Senior Professional</v>
          </cell>
          <cell r="Z1236" t="str">
            <v>Senior Professional</v>
          </cell>
          <cell r="AA1236" t="str">
            <v>3C</v>
          </cell>
        </row>
        <row r="1237">
          <cell r="A1237">
            <v>2000237</v>
          </cell>
          <cell r="B1237">
            <v>2000237</v>
          </cell>
          <cell r="C1237" t="str">
            <v>A</v>
          </cell>
          <cell r="D1237" t="str">
            <v>Husam Hassan El Ali</v>
          </cell>
          <cell r="E1237" t="str">
            <v>حسام حسن العلي</v>
          </cell>
          <cell r="F1237">
            <v>43221</v>
          </cell>
          <cell r="G1237" t="str">
            <v>10008581</v>
          </cell>
          <cell r="H1237" t="str">
            <v>Accounts Receivables Accountant (Commercial)</v>
          </cell>
          <cell r="I1237" t="str">
            <v>محاسب الحسابات المستحقة ( تجاري)</v>
          </cell>
          <cell r="J1237" t="str">
            <v>On-Chart</v>
          </cell>
          <cell r="K1237" t="str">
            <v>Dayton</v>
          </cell>
          <cell r="L1237" t="str">
            <v>D1</v>
          </cell>
          <cell r="M1237" t="str">
            <v>Department of Culture and Tourism</v>
          </cell>
          <cell r="N1237" t="str">
            <v>Support Services</v>
          </cell>
          <cell r="O1237" t="str">
            <v>الخدمات المساندة</v>
          </cell>
          <cell r="P1237" t="str">
            <v>Finance</v>
          </cell>
          <cell r="Q1237" t="str">
            <v>إدارة المالية</v>
          </cell>
          <cell r="R1237" t="str">
            <v>Receivables Operations</v>
          </cell>
          <cell r="S1237" t="str">
            <v>عمليات الحسابات المستحقة</v>
          </cell>
          <cell r="T1237" t="str">
            <v>Accounts Receivables</v>
          </cell>
          <cell r="U1237" t="str">
            <v>حسابات مستحقة</v>
          </cell>
          <cell r="V1237" t="str">
            <v>Abu Dhabi</v>
          </cell>
          <cell r="W1237" t="str">
            <v/>
          </cell>
          <cell r="X1237" t="str">
            <v>4510210</v>
          </cell>
          <cell r="Y1237" t="str">
            <v>Finance_Accountant _Professional Assistant</v>
          </cell>
          <cell r="Z1237" t="str">
            <v>Professional</v>
          </cell>
          <cell r="AA1237" t="str">
            <v>4A</v>
          </cell>
        </row>
        <row r="1238">
          <cell r="A1238">
            <v>2000241</v>
          </cell>
          <cell r="B1238">
            <v>2000241</v>
          </cell>
          <cell r="C1238" t="str">
            <v>A</v>
          </cell>
          <cell r="D1238" t="str">
            <v>Randa Elzubair</v>
          </cell>
          <cell r="E1238" t="str">
            <v>رندة  الزبير</v>
          </cell>
          <cell r="F1238">
            <v>43101</v>
          </cell>
          <cell r="G1238" t="str">
            <v>50002593</v>
          </cell>
          <cell r="H1238" t="str">
            <v>Payables Operations Section Head</v>
          </cell>
          <cell r="I1238" t="str">
            <v>رئيس قسم عمليات الحسابات الدائنة</v>
          </cell>
          <cell r="J1238" t="str">
            <v>On-Chart</v>
          </cell>
          <cell r="K1238" t="str">
            <v>MSS Dayton</v>
          </cell>
          <cell r="L1238" t="str">
            <v>M4</v>
          </cell>
          <cell r="M1238" t="str">
            <v>Department of Culture and Tourism</v>
          </cell>
          <cell r="N1238" t="str">
            <v>Museums Shared Services</v>
          </cell>
          <cell r="O1238" t="str">
            <v>الخدمات المشتركة للمتاحف</v>
          </cell>
          <cell r="P1238" t="str">
            <v>Finance - MSS</v>
          </cell>
          <cell r="Q1238" t="str">
            <v>الإدارة المالية - الخدمات المشتركة للمتاحف</v>
          </cell>
          <cell r="R1238" t="str">
            <v>Payables Operations Section - MSS</v>
          </cell>
          <cell r="S1238" t="str">
            <v>قسم عمليات الحسابات الدائنة</v>
          </cell>
          <cell r="T1238" t="str">
            <v/>
          </cell>
          <cell r="U1238" t="str">
            <v/>
          </cell>
          <cell r="V1238" t="str">
            <v>Abu Dhabi</v>
          </cell>
          <cell r="W1238" t="str">
            <v/>
          </cell>
          <cell r="X1238" t="str">
            <v>4514120</v>
          </cell>
          <cell r="Y1238" t="str">
            <v>Finance_Finance Operations _Unit Head</v>
          </cell>
          <cell r="Z1238" t="str">
            <v>Section Manager</v>
          </cell>
          <cell r="AA1238" t="str">
            <v>2C</v>
          </cell>
        </row>
        <row r="1239">
          <cell r="A1239">
            <v>2000245</v>
          </cell>
          <cell r="B1239">
            <v>2000245</v>
          </cell>
          <cell r="C1239" t="str">
            <v>A</v>
          </cell>
          <cell r="D1239" t="str">
            <v>Ahmed Mahmoud Ahmed</v>
          </cell>
          <cell r="E1239" t="str">
            <v>احمد محمود احمد</v>
          </cell>
          <cell r="F1239">
            <v>43221</v>
          </cell>
          <cell r="G1239" t="str">
            <v>50001554</v>
          </cell>
          <cell r="H1239" t="str">
            <v>Accounts Receivables Senior Accountant</v>
          </cell>
          <cell r="I1239" t="str">
            <v>محاسب أول الحسابات المستحقة</v>
          </cell>
          <cell r="J1239" t="str">
            <v>On-Chart</v>
          </cell>
          <cell r="K1239" t="str">
            <v>Dayton</v>
          </cell>
          <cell r="L1239" t="str">
            <v>D1</v>
          </cell>
          <cell r="M1239" t="str">
            <v>Department of Culture and Tourism</v>
          </cell>
          <cell r="N1239" t="str">
            <v>Support Services</v>
          </cell>
          <cell r="O1239" t="str">
            <v>الخدمات المساندة</v>
          </cell>
          <cell r="P1239" t="str">
            <v>Finance</v>
          </cell>
          <cell r="Q1239" t="str">
            <v>إدارة المالية</v>
          </cell>
          <cell r="R1239" t="str">
            <v>Receivables Operations</v>
          </cell>
          <cell r="S1239" t="str">
            <v>عمليات الحسابات المستحقة</v>
          </cell>
          <cell r="T1239" t="str">
            <v>Accounts Receivables</v>
          </cell>
          <cell r="U1239" t="str">
            <v>حسابات مستحقة</v>
          </cell>
          <cell r="V1239" t="str">
            <v>Abu Dhabi</v>
          </cell>
          <cell r="W1239" t="str">
            <v/>
          </cell>
          <cell r="X1239" t="str">
            <v>4510210</v>
          </cell>
          <cell r="Y1239" t="str">
            <v>Finance_Accountant_Senior Professional</v>
          </cell>
          <cell r="Z1239" t="str">
            <v>Senior Professional</v>
          </cell>
          <cell r="AA1239" t="str">
            <v>3B</v>
          </cell>
        </row>
        <row r="1240">
          <cell r="A1240">
            <v>2000246</v>
          </cell>
          <cell r="B1240">
            <v>2000246</v>
          </cell>
          <cell r="C1240" t="str">
            <v>A</v>
          </cell>
          <cell r="D1240" t="str">
            <v>Dipakkumar Fataniya</v>
          </cell>
          <cell r="E1240" t="str">
            <v>ديباكومار  فاتانيا</v>
          </cell>
          <cell r="F1240">
            <v>44020</v>
          </cell>
          <cell r="G1240" t="str">
            <v>10012322</v>
          </cell>
          <cell r="H1240" t="str">
            <v>Senior Applications Architect</v>
          </cell>
          <cell r="I1240" t="str">
            <v>مصمم أول تطبيقات</v>
          </cell>
          <cell r="J1240" t="str">
            <v>On-Chart</v>
          </cell>
          <cell r="K1240" t="str">
            <v>Al Nahiya</v>
          </cell>
          <cell r="L1240" t="str">
            <v>N0</v>
          </cell>
          <cell r="M1240" t="str">
            <v>Department of Culture and Tourism</v>
          </cell>
          <cell r="N1240" t="str">
            <v>Support Services</v>
          </cell>
          <cell r="O1240" t="str">
            <v>الخدمات المساندة</v>
          </cell>
          <cell r="P1240" t="str">
            <v>Technology</v>
          </cell>
          <cell r="Q1240" t="str">
            <v>التكنولوجيا</v>
          </cell>
          <cell r="R1240" t="str">
            <v>Enterprise Architecture</v>
          </cell>
          <cell r="S1240" t="str">
            <v>البنية المؤسسية</v>
          </cell>
          <cell r="T1240" t="str">
            <v/>
          </cell>
          <cell r="U1240" t="str">
            <v/>
          </cell>
          <cell r="V1240" t="str">
            <v>Abu Dhabi</v>
          </cell>
          <cell r="W1240" t="str">
            <v/>
          </cell>
          <cell r="X1240" t="str">
            <v>4510250</v>
          </cell>
          <cell r="Y1240" t="str">
            <v>Information Technology_Application Architect_Senior Professional</v>
          </cell>
          <cell r="Z1240" t="str">
            <v>Senior Professional</v>
          </cell>
          <cell r="AA1240" t="str">
            <v>2B</v>
          </cell>
        </row>
        <row r="1241">
          <cell r="A1241">
            <v>2000248</v>
          </cell>
          <cell r="B1241">
            <v>2000248</v>
          </cell>
          <cell r="C1241" t="str">
            <v>A</v>
          </cell>
          <cell r="D1241" t="str">
            <v>Riham A.A. Alatrash</v>
          </cell>
          <cell r="E1241" t="str">
            <v>ريهام عادل الأطرش</v>
          </cell>
          <cell r="F1241">
            <v>43256</v>
          </cell>
          <cell r="G1241" t="str">
            <v>50001920</v>
          </cell>
          <cell r="H1241" t="str">
            <v>Recruitment Experience Senior Specialist</v>
          </cell>
          <cell r="I1241" t="str">
            <v>أخصائي أول تجربة التوظيف</v>
          </cell>
          <cell r="J1241" t="str">
            <v>On-Chart</v>
          </cell>
          <cell r="K1241" t="str">
            <v>Sundus</v>
          </cell>
          <cell r="L1241" t="str">
            <v>SU</v>
          </cell>
          <cell r="M1241" t="str">
            <v>Department of Culture and Tourism</v>
          </cell>
          <cell r="N1241" t="str">
            <v>Support Services</v>
          </cell>
          <cell r="O1241" t="str">
            <v>الخدمات المساندة</v>
          </cell>
          <cell r="P1241" t="str">
            <v>People &amp; Performance</v>
          </cell>
          <cell r="Q1241" t="str">
            <v>إدارة الكوادر البشرية والأداء</v>
          </cell>
          <cell r="R1241" t="str">
            <v>Talent Acquisition</v>
          </cell>
          <cell r="S1241" t="str">
            <v>قسم استقطاب المواهب</v>
          </cell>
          <cell r="T1241" t="str">
            <v/>
          </cell>
          <cell r="U1241" t="str">
            <v/>
          </cell>
          <cell r="V1241" t="str">
            <v>Abu Dhabi</v>
          </cell>
          <cell r="W1241" t="str">
            <v/>
          </cell>
          <cell r="X1241" t="str">
            <v>4510220</v>
          </cell>
          <cell r="Y1241" t="str">
            <v>Senior Specialization HR</v>
          </cell>
          <cell r="Z1241" t="str">
            <v>Senior Professional</v>
          </cell>
          <cell r="AA1241" t="str">
            <v>3C</v>
          </cell>
        </row>
        <row r="1242">
          <cell r="A1242">
            <v>2000256</v>
          </cell>
          <cell r="B1242">
            <v>2000256</v>
          </cell>
          <cell r="C1242" t="str">
            <v>A</v>
          </cell>
          <cell r="D1242" t="str">
            <v>Hanan Mohamed Ba Alawi</v>
          </cell>
          <cell r="E1242" t="str">
            <v>حنان محمد باعلوي</v>
          </cell>
          <cell r="F1242">
            <v>45231</v>
          </cell>
          <cell r="G1242" t="str">
            <v>50001336</v>
          </cell>
          <cell r="H1242" t="str">
            <v>Support Services Affairs Officer</v>
          </cell>
          <cell r="I1242" t="str">
            <v>ضابط تنسيق الخدمات المساندة</v>
          </cell>
          <cell r="J1242" t="str">
            <v>On-Chart</v>
          </cell>
          <cell r="K1242" t="str">
            <v>ALC Al Nahiya</v>
          </cell>
          <cell r="L1242" t="str">
            <v>AL2</v>
          </cell>
          <cell r="M1242" t="str">
            <v>Abu Dhabi Arabic Language Centre</v>
          </cell>
          <cell r="N1242" t="str">
            <v>Abu Dhabi Arabic Language Centre</v>
          </cell>
          <cell r="O1242" t="str">
            <v>مركز أبوظبي للغة العربية</v>
          </cell>
          <cell r="P1242" t="str">
            <v>ALC Executive Director’s Office</v>
          </cell>
          <cell r="Q1242" t="str">
            <v>مكتب المدير التنفيذي لمركز أبوظبي للغة العربية</v>
          </cell>
          <cell r="R1242" t="str">
            <v/>
          </cell>
          <cell r="S1242" t="str">
            <v/>
          </cell>
          <cell r="T1242" t="str">
            <v/>
          </cell>
          <cell r="U1242" t="str">
            <v/>
          </cell>
          <cell r="V1242" t="str">
            <v>Abu Dhabi</v>
          </cell>
          <cell r="W1242" t="str">
            <v/>
          </cell>
          <cell r="X1242" t="str">
            <v>4510195</v>
          </cell>
          <cell r="Y1242" t="str">
            <v>Interpretation &amp; Engagement_Arabic Language Forum &amp; Events _Professional</v>
          </cell>
          <cell r="Z1242" t="str">
            <v>Professional</v>
          </cell>
          <cell r="AA1242" t="str">
            <v>4C</v>
          </cell>
        </row>
        <row r="1243">
          <cell r="A1243">
            <v>2000261</v>
          </cell>
          <cell r="B1243">
            <v>2000261</v>
          </cell>
          <cell r="C1243" t="str">
            <v>A</v>
          </cell>
          <cell r="D1243" t="str">
            <v>Bakri Abdalrahim Abdalla</v>
          </cell>
          <cell r="E1243" t="str">
            <v>بكري عبدالرحيم عبدالله</v>
          </cell>
          <cell r="F1243">
            <v>43270</v>
          </cell>
          <cell r="G1243" t="str">
            <v>10009608</v>
          </cell>
          <cell r="H1243" t="str">
            <v>Security Team Leader</v>
          </cell>
          <cell r="I1243" t="str">
            <v>قائد فريق الأمن</v>
          </cell>
          <cell r="J1243" t="str">
            <v>On-Chart</v>
          </cell>
          <cell r="K1243" t="str">
            <v>MSS Al Nahiya</v>
          </cell>
          <cell r="L1243" t="str">
            <v>M2</v>
          </cell>
          <cell r="M1243" t="str">
            <v>Louvre Abu Dhabi</v>
          </cell>
          <cell r="N1243" t="str">
            <v>Louvre Abu Dhabi</v>
          </cell>
          <cell r="O1243" t="str">
            <v>متحف اللوفر أبوظبي</v>
          </cell>
          <cell r="P1243" t="str">
            <v>Technical Operations</v>
          </cell>
          <cell r="Q1243" t="str">
            <v>العمليات الفنية</v>
          </cell>
          <cell r="R1243" t="str">
            <v>Safety &amp; Security</v>
          </cell>
          <cell r="S1243" t="str">
            <v>السلامة والأمن</v>
          </cell>
          <cell r="T1243" t="str">
            <v>Security</v>
          </cell>
          <cell r="U1243" t="str">
            <v>الأمن</v>
          </cell>
          <cell r="V1243" t="str">
            <v>Abu Dhabi</v>
          </cell>
          <cell r="W1243" t="str">
            <v/>
          </cell>
          <cell r="X1243" t="str">
            <v>4510127</v>
          </cell>
          <cell r="Y1243" t="str">
            <v>Information Technology_Technical Support Engineer_Professional</v>
          </cell>
          <cell r="Z1243" t="str">
            <v>Professional</v>
          </cell>
          <cell r="AA1243" t="str">
            <v>6A</v>
          </cell>
        </row>
        <row r="1244">
          <cell r="A1244">
            <v>2000262</v>
          </cell>
          <cell r="B1244">
            <v>2000262</v>
          </cell>
          <cell r="C1244" t="str">
            <v>A</v>
          </cell>
          <cell r="D1244" t="str">
            <v>Rana Mohammad Afghani</v>
          </cell>
          <cell r="E1244" t="str">
            <v>رنا محمد أفغاني</v>
          </cell>
          <cell r="F1244">
            <v>43283</v>
          </cell>
          <cell r="G1244" t="str">
            <v>50002579</v>
          </cell>
          <cell r="H1244" t="str">
            <v>Finance Business Partner</v>
          </cell>
          <cell r="I1244" t="str">
            <v>شريك الأعمال المالية</v>
          </cell>
          <cell r="J1244" t="str">
            <v>On-Chart</v>
          </cell>
          <cell r="K1244" t="str">
            <v>MSS Dayton</v>
          </cell>
          <cell r="L1244" t="str">
            <v>M4</v>
          </cell>
          <cell r="M1244" t="str">
            <v>Department of Culture and Tourism</v>
          </cell>
          <cell r="N1244" t="str">
            <v>Museums Shared Services</v>
          </cell>
          <cell r="O1244" t="str">
            <v>الخدمات المشتركة للمتاحف</v>
          </cell>
          <cell r="P1244" t="str">
            <v>Finance - MSS</v>
          </cell>
          <cell r="Q1244" t="str">
            <v>الإدارة المالية - الخدمات المشتركة للمتاحف</v>
          </cell>
          <cell r="R1244" t="str">
            <v>Finance Planning and Business Partnership Section - MSS</v>
          </cell>
          <cell r="S1244" t="str">
            <v>قسم التخطيط المالي وشراكات الأعمال</v>
          </cell>
          <cell r="T1244" t="str">
            <v>Finance Business Partners Unit  - MSS</v>
          </cell>
          <cell r="U1244" t="str">
            <v>وحدة شركاء الأعمال المالية</v>
          </cell>
          <cell r="V1244" t="str">
            <v>Abu Dhabi</v>
          </cell>
          <cell r="W1244" t="str">
            <v/>
          </cell>
          <cell r="X1244" t="str">
            <v>4514120</v>
          </cell>
          <cell r="Y1244" t="str">
            <v>Finance_Financial Business Partners _Senior Professional</v>
          </cell>
          <cell r="Z1244" t="str">
            <v>Senior Professional</v>
          </cell>
          <cell r="AA1244" t="str">
            <v>3A</v>
          </cell>
        </row>
        <row r="1245">
          <cell r="A1245">
            <v>2000267</v>
          </cell>
          <cell r="B1245">
            <v>2000267</v>
          </cell>
          <cell r="C1245" t="str">
            <v>A</v>
          </cell>
          <cell r="D1245" t="str">
            <v>Tariq Massarwah</v>
          </cell>
          <cell r="E1245" t="str">
            <v>طارق   مصاروه</v>
          </cell>
          <cell r="F1245">
            <v>43191</v>
          </cell>
          <cell r="G1245" t="str">
            <v>50003459</v>
          </cell>
          <cell r="H1245" t="str">
            <v>IT Audit &amp; Compliance Senior Specialist</v>
          </cell>
          <cell r="I1245" t="str">
            <v>أخصائي أول التدقيق والامتثال</v>
          </cell>
          <cell r="J1245" t="str">
            <v>On-Chart</v>
          </cell>
          <cell r="K1245" t="str">
            <v>Al Nahiya</v>
          </cell>
          <cell r="L1245" t="str">
            <v>N0</v>
          </cell>
          <cell r="M1245" t="str">
            <v>Department of Culture and Tourism</v>
          </cell>
          <cell r="N1245" t="str">
            <v>Support Services</v>
          </cell>
          <cell r="O1245" t="str">
            <v>الخدمات المساندة</v>
          </cell>
          <cell r="P1245" t="str">
            <v>Technology</v>
          </cell>
          <cell r="Q1245" t="str">
            <v>التكنولوجيا</v>
          </cell>
          <cell r="R1245" t="str">
            <v>IT Governance</v>
          </cell>
          <cell r="S1245" t="str">
            <v>حوكمة تكنولوجيا المعلومات</v>
          </cell>
          <cell r="T1245" t="str">
            <v/>
          </cell>
          <cell r="U1245" t="str">
            <v/>
          </cell>
          <cell r="V1245" t="str">
            <v>Abu Dhabi</v>
          </cell>
          <cell r="W1245" t="str">
            <v/>
          </cell>
          <cell r="X1245" t="str">
            <v>4510250</v>
          </cell>
          <cell r="Y1245" t="str">
            <v>Information Technology_IT Business Application _Senior Professional</v>
          </cell>
          <cell r="Z1245" t="str">
            <v>Senior Professional</v>
          </cell>
          <cell r="AA1245" t="str">
            <v>3C</v>
          </cell>
        </row>
        <row r="1246">
          <cell r="A1246">
            <v>2000273</v>
          </cell>
          <cell r="B1246">
            <v>2000273</v>
          </cell>
          <cell r="C1246" t="str">
            <v>A</v>
          </cell>
          <cell r="D1246" t="str">
            <v>Jamal Abdul Nasar Abdul Rahiman Meduvil</v>
          </cell>
          <cell r="E1246" t="str">
            <v>جمال عبدالناصر ميدوفيل</v>
          </cell>
          <cell r="F1246">
            <v>43285</v>
          </cell>
          <cell r="G1246" t="str">
            <v>10009692</v>
          </cell>
          <cell r="H1246" t="str">
            <v>Security Team Leader</v>
          </cell>
          <cell r="I1246" t="str">
            <v>قائد فريق الأمن</v>
          </cell>
          <cell r="J1246" t="str">
            <v>On-Chart</v>
          </cell>
          <cell r="K1246" t="str">
            <v>MSS Al Nahiya</v>
          </cell>
          <cell r="L1246" t="str">
            <v>M2</v>
          </cell>
          <cell r="M1246" t="str">
            <v>Louvre Abu Dhabi</v>
          </cell>
          <cell r="N1246" t="str">
            <v>Louvre Abu Dhabi</v>
          </cell>
          <cell r="O1246" t="str">
            <v>متحف اللوفر أبوظبي</v>
          </cell>
          <cell r="P1246" t="str">
            <v>Technical Operations</v>
          </cell>
          <cell r="Q1246" t="str">
            <v>العمليات الفنية</v>
          </cell>
          <cell r="R1246" t="str">
            <v>Safety &amp; Security</v>
          </cell>
          <cell r="S1246" t="str">
            <v>السلامة والأمن</v>
          </cell>
          <cell r="T1246" t="str">
            <v>Security</v>
          </cell>
          <cell r="U1246" t="str">
            <v>الأمن</v>
          </cell>
          <cell r="V1246" t="str">
            <v>Abu Dhabi</v>
          </cell>
          <cell r="W1246" t="str">
            <v/>
          </cell>
          <cell r="X1246" t="str">
            <v>4510127</v>
          </cell>
          <cell r="Y1246" t="str">
            <v>Information Technology_Technical Support Engineer_Professional</v>
          </cell>
          <cell r="Z1246" t="str">
            <v>Professional</v>
          </cell>
          <cell r="AA1246" t="str">
            <v>6A</v>
          </cell>
        </row>
        <row r="1247">
          <cell r="A1247">
            <v>2000274</v>
          </cell>
          <cell r="B1247">
            <v>2000274</v>
          </cell>
          <cell r="C1247" t="str">
            <v>A</v>
          </cell>
          <cell r="D1247" t="str">
            <v>Tamara Cabur</v>
          </cell>
          <cell r="E1247" t="str">
            <v>تمارا  كبور</v>
          </cell>
          <cell r="F1247">
            <v>43297</v>
          </cell>
          <cell r="G1247" t="str">
            <v>10009690</v>
          </cell>
          <cell r="H1247" t="str">
            <v>Senior Communication Specialist</v>
          </cell>
          <cell r="I1247" t="str">
            <v>أخصائي أول اتصال</v>
          </cell>
          <cell r="J1247" t="str">
            <v>On-Chart</v>
          </cell>
          <cell r="K1247" t="str">
            <v>MSS Al Nahiya</v>
          </cell>
          <cell r="L1247" t="str">
            <v>M2</v>
          </cell>
          <cell r="M1247" t="str">
            <v>Louvre Abu Dhabi</v>
          </cell>
          <cell r="N1247" t="str">
            <v>Louvre Abu Dhabi</v>
          </cell>
          <cell r="O1247" t="str">
            <v>متحف اللوفر أبوظبي</v>
          </cell>
          <cell r="P1247" t="str">
            <v>Development, Marketing &amp; Communications</v>
          </cell>
          <cell r="Q1247" t="str">
            <v>إدارة التطوير،التسويق والاتصال</v>
          </cell>
          <cell r="R1247" t="str">
            <v/>
          </cell>
          <cell r="S1247" t="str">
            <v/>
          </cell>
          <cell r="T1247" t="str">
            <v/>
          </cell>
          <cell r="U1247" t="str">
            <v/>
          </cell>
          <cell r="V1247" t="str">
            <v>Abu Dhabi</v>
          </cell>
          <cell r="W1247" t="str">
            <v/>
          </cell>
          <cell r="X1247" t="str">
            <v>4510124</v>
          </cell>
          <cell r="Y1247" t="str">
            <v>Comms &amp; Marketing _Marketing &amp; Communications (All areas)_Senior Professional</v>
          </cell>
          <cell r="Z1247" t="str">
            <v>Senior Professional</v>
          </cell>
          <cell r="AA1247" t="str">
            <v>3A</v>
          </cell>
        </row>
        <row r="1248">
          <cell r="A1248">
            <v>2000275</v>
          </cell>
          <cell r="B1248">
            <v>2000275</v>
          </cell>
          <cell r="C1248" t="str">
            <v>A</v>
          </cell>
          <cell r="D1248" t="str">
            <v>Ivy Toliao Rotor</v>
          </cell>
          <cell r="E1248" t="str">
            <v>ايفى تولياو روتور</v>
          </cell>
          <cell r="F1248">
            <v>43303</v>
          </cell>
          <cell r="G1248" t="str">
            <v>10009731</v>
          </cell>
          <cell r="H1248" t="str">
            <v>Safety &amp; Security Administrator</v>
          </cell>
          <cell r="I1248" t="str">
            <v>اداري الامن و السلامة</v>
          </cell>
          <cell r="J1248" t="str">
            <v>On-Chart</v>
          </cell>
          <cell r="K1248" t="str">
            <v>MSS Al Nahiya</v>
          </cell>
          <cell r="L1248" t="str">
            <v>M2</v>
          </cell>
          <cell r="M1248" t="str">
            <v>Louvre Abu Dhabi</v>
          </cell>
          <cell r="N1248" t="str">
            <v>Louvre Abu Dhabi</v>
          </cell>
          <cell r="O1248" t="str">
            <v>متحف اللوفر أبوظبي</v>
          </cell>
          <cell r="P1248" t="str">
            <v>Technical Operations</v>
          </cell>
          <cell r="Q1248" t="str">
            <v>العمليات الفنية</v>
          </cell>
          <cell r="R1248" t="str">
            <v>Safety &amp; Security</v>
          </cell>
          <cell r="S1248" t="str">
            <v>السلامة والأمن</v>
          </cell>
          <cell r="T1248" t="str">
            <v/>
          </cell>
          <cell r="U1248" t="str">
            <v/>
          </cell>
          <cell r="V1248" t="str">
            <v>Abu Dhabi</v>
          </cell>
          <cell r="W1248" t="str">
            <v/>
          </cell>
          <cell r="X1248" t="str">
            <v>4510127</v>
          </cell>
          <cell r="Y1248" t="str">
            <v>Information Technology_Security Architect_Senior Professional</v>
          </cell>
          <cell r="Z1248" t="str">
            <v>Professional Assistant</v>
          </cell>
          <cell r="AA1248" t="str">
            <v>5B</v>
          </cell>
        </row>
        <row r="1249">
          <cell r="A1249">
            <v>2000276</v>
          </cell>
          <cell r="B1249">
            <v>2000276</v>
          </cell>
          <cell r="C1249" t="str">
            <v>A</v>
          </cell>
          <cell r="D1249" t="str">
            <v>Seri Sami Badran</v>
          </cell>
          <cell r="E1249" t="str">
            <v>سرى سامي بدران</v>
          </cell>
          <cell r="F1249">
            <v>43590</v>
          </cell>
          <cell r="G1249" t="str">
            <v>50000342</v>
          </cell>
          <cell r="H1249" t="str">
            <v>Capital Projects Senior Specialist</v>
          </cell>
          <cell r="I1249" t="str">
            <v>أخصائي أول المشاريع الرأسمالية</v>
          </cell>
          <cell r="J1249" t="str">
            <v>On-Chart</v>
          </cell>
          <cell r="K1249" t="str">
            <v>Al Nahiya</v>
          </cell>
          <cell r="L1249" t="str">
            <v>N0</v>
          </cell>
          <cell r="M1249" t="str">
            <v>Department of Culture and Tourism</v>
          </cell>
          <cell r="N1249" t="str">
            <v>Culture</v>
          </cell>
          <cell r="O1249" t="str">
            <v>الثقافة</v>
          </cell>
          <cell r="P1249" t="str">
            <v>Scientific, Curatorial and Collection Department</v>
          </cell>
          <cell r="Q1249" t="str">
            <v>إدارة البحث العلمي والمقتنيات</v>
          </cell>
          <cell r="R1249" t="str">
            <v>Operational Planning &amp; Project Management</v>
          </cell>
          <cell r="S1249" t="str">
            <v>تخطيط العمليات وإدارة المشاريع</v>
          </cell>
          <cell r="T1249" t="str">
            <v>Capital Projects</v>
          </cell>
          <cell r="U1249" t="str">
            <v>المشاريع الرأسمالية</v>
          </cell>
          <cell r="V1249" t="str">
            <v>Abu Dhabi</v>
          </cell>
          <cell r="W1249" t="str">
            <v/>
          </cell>
          <cell r="X1249" t="str">
            <v>4511150</v>
          </cell>
          <cell r="Y1249" t="str">
            <v>Compliance,Governance&amp;Protocol_Policy (Culture/Tourism _Senior Professional</v>
          </cell>
          <cell r="Z1249" t="str">
            <v>Senior Professional</v>
          </cell>
          <cell r="AA1249" t="str">
            <v>3A</v>
          </cell>
        </row>
        <row r="1250">
          <cell r="A1250">
            <v>2000278</v>
          </cell>
          <cell r="B1250">
            <v>2000278</v>
          </cell>
          <cell r="C1250" t="str">
            <v>A</v>
          </cell>
          <cell r="D1250" t="str">
            <v>Muhammed Hashim Thangal Kunju</v>
          </cell>
          <cell r="E1250" t="str">
            <v>محمد هاشم تانقل</v>
          </cell>
          <cell r="F1250">
            <v>43101</v>
          </cell>
          <cell r="G1250" t="str">
            <v>10009686</v>
          </cell>
          <cell r="H1250" t="str">
            <v>Technical Support Engineer</v>
          </cell>
          <cell r="I1250" t="str">
            <v>مهندس الدعم التقني</v>
          </cell>
          <cell r="J1250" t="str">
            <v>On-Chart</v>
          </cell>
          <cell r="K1250" t="str">
            <v>Al Nahiya</v>
          </cell>
          <cell r="L1250" t="str">
            <v>N0</v>
          </cell>
          <cell r="M1250" t="str">
            <v>Department of Culture and Tourism</v>
          </cell>
          <cell r="N1250" t="str">
            <v>Support Services</v>
          </cell>
          <cell r="O1250" t="str">
            <v>الخدمات المساندة</v>
          </cell>
          <cell r="P1250" t="str">
            <v>Technology</v>
          </cell>
          <cell r="Q1250" t="str">
            <v>التكنولوجيا</v>
          </cell>
          <cell r="R1250" t="str">
            <v>Technology Infrastructure</v>
          </cell>
          <cell r="S1250" t="str">
            <v>البنية التحتية للتكنولوجيا</v>
          </cell>
          <cell r="T1250" t="str">
            <v>E Support</v>
          </cell>
          <cell r="U1250" t="str">
            <v>الدعم الإلكتروني</v>
          </cell>
          <cell r="V1250" t="str">
            <v>Abu Dhabi</v>
          </cell>
          <cell r="W1250" t="str">
            <v/>
          </cell>
          <cell r="X1250" t="str">
            <v>4510250</v>
          </cell>
          <cell r="Y1250" t="str">
            <v>Information Technology_Technical Support Engineer_Professional</v>
          </cell>
          <cell r="Z1250" t="str">
            <v>Professional</v>
          </cell>
          <cell r="AA1250" t="str">
            <v>4A</v>
          </cell>
        </row>
        <row r="1251">
          <cell r="A1251">
            <v>2000287</v>
          </cell>
          <cell r="B1251">
            <v>2000287</v>
          </cell>
          <cell r="C1251" t="str">
            <v>A</v>
          </cell>
          <cell r="D1251" t="str">
            <v>Dina Mohammad Turkieh</v>
          </cell>
          <cell r="E1251" t="str">
            <v>دينا محمد تركيه</v>
          </cell>
          <cell r="F1251">
            <v>43348</v>
          </cell>
          <cell r="G1251" t="str">
            <v>10009925</v>
          </cell>
          <cell r="H1251" t="str">
            <v>Museum Educator</v>
          </cell>
          <cell r="I1251" t="str">
            <v>مرشد جولات المتحف</v>
          </cell>
          <cell r="J1251" t="str">
            <v>On-Chart</v>
          </cell>
          <cell r="K1251" t="str">
            <v>MSS Al Nahiya</v>
          </cell>
          <cell r="L1251" t="str">
            <v>M2</v>
          </cell>
          <cell r="M1251" t="str">
            <v>Louvre Abu Dhabi</v>
          </cell>
          <cell r="N1251" t="str">
            <v>Louvre Abu Dhabi</v>
          </cell>
          <cell r="O1251" t="str">
            <v>متحف اللوفر أبوظبي</v>
          </cell>
          <cell r="P1251" t="str">
            <v>External Affairs, Outreach and Cultural Engagement</v>
          </cell>
          <cell r="Q1251" t="str">
            <v>إدارة الشؤون الخارجية والتواصل، المشاركة الثقافية</v>
          </cell>
          <cell r="R1251" t="str">
            <v/>
          </cell>
          <cell r="S1251" t="str">
            <v/>
          </cell>
          <cell r="T1251" t="str">
            <v/>
          </cell>
          <cell r="U1251" t="str">
            <v/>
          </cell>
          <cell r="V1251" t="str">
            <v>Abu Dhabi</v>
          </cell>
          <cell r="W1251" t="str">
            <v/>
          </cell>
          <cell r="X1251" t="str">
            <v>4510123</v>
          </cell>
          <cell r="Y1251" t="str">
            <v>Interpretation &amp; Engagement_Outreach &amp; Cultural Engagement _Professional</v>
          </cell>
          <cell r="Z1251" t="str">
            <v>Professional</v>
          </cell>
          <cell r="AA1251" t="str">
            <v>4A</v>
          </cell>
        </row>
        <row r="1252">
          <cell r="A1252">
            <v>2000288</v>
          </cell>
          <cell r="B1252">
            <v>2000288</v>
          </cell>
          <cell r="C1252" t="str">
            <v>A</v>
          </cell>
          <cell r="D1252" t="str">
            <v>Wafa Khreishi</v>
          </cell>
          <cell r="E1252" t="str">
            <v>وفاء  خريشي</v>
          </cell>
          <cell r="F1252">
            <v>43352</v>
          </cell>
          <cell r="G1252" t="str">
            <v>50002834</v>
          </cell>
          <cell r="H1252" t="str">
            <v>Sourcing Senior Specialist</v>
          </cell>
          <cell r="I1252" t="str">
            <v>أخصائي أول التوريد</v>
          </cell>
          <cell r="J1252" t="str">
            <v>On-Chart</v>
          </cell>
          <cell r="K1252" t="str">
            <v>MSS Al Nahiya</v>
          </cell>
          <cell r="L1252" t="str">
            <v>M2</v>
          </cell>
          <cell r="M1252" t="str">
            <v>Department of Culture and Tourism</v>
          </cell>
          <cell r="N1252" t="str">
            <v>Museums Shared Services</v>
          </cell>
          <cell r="O1252" t="str">
            <v>الخدمات المشتركة للمتاحف</v>
          </cell>
          <cell r="P1252" t="str">
            <v>Supply Management - MSS</v>
          </cell>
          <cell r="Q1252" t="str">
            <v>إدارة الإمداد - الخدمات المشتركة للمتاحف</v>
          </cell>
          <cell r="R1252" t="str">
            <v>Supply Management Operations Section</v>
          </cell>
          <cell r="S1252" t="str">
            <v>قسم عمليات إدارة الإمداد</v>
          </cell>
          <cell r="T1252" t="str">
            <v>Sourcing Unit</v>
          </cell>
          <cell r="U1252" t="str">
            <v>وحدة التوريد</v>
          </cell>
          <cell r="V1252" t="str">
            <v>Abu Dhabi</v>
          </cell>
          <cell r="W1252" t="str">
            <v/>
          </cell>
          <cell r="X1252" t="str">
            <v>4514160</v>
          </cell>
          <cell r="Y1252" t="str">
            <v>Procurement_Procurement General_Senior Professional</v>
          </cell>
          <cell r="Z1252" t="str">
            <v>Senior Professional</v>
          </cell>
          <cell r="AA1252" t="str">
            <v>3A</v>
          </cell>
        </row>
        <row r="1253">
          <cell r="A1253">
            <v>2000293</v>
          </cell>
          <cell r="B1253">
            <v>2000293</v>
          </cell>
          <cell r="C1253" t="str">
            <v>A</v>
          </cell>
          <cell r="D1253" t="str">
            <v>Rahmah Hasan Al Abidi</v>
          </cell>
          <cell r="E1253" t="str">
            <v> رحمة حسن العبيدي</v>
          </cell>
          <cell r="F1253">
            <v>43556</v>
          </cell>
          <cell r="G1253" t="str">
            <v>50001049</v>
          </cell>
          <cell r="H1253" t="str">
            <v>Regional Outreach &amp; Partnerships Specialist</v>
          </cell>
          <cell r="I1253" t="str">
            <v>أخصائي التوعية الإقليمية والشراكات</v>
          </cell>
          <cell r="J1253" t="str">
            <v>On-Chart</v>
          </cell>
          <cell r="K1253" t="str">
            <v>ALC Al Nahiya</v>
          </cell>
          <cell r="L1253" t="str">
            <v>AL2</v>
          </cell>
          <cell r="M1253" t="str">
            <v>Abu Dhabi Arabic Language Centre</v>
          </cell>
          <cell r="N1253" t="str">
            <v>Abu Dhabi Arabic Language Centre</v>
          </cell>
          <cell r="O1253" t="str">
            <v>مركز أبوظبي للغة العربية</v>
          </cell>
          <cell r="P1253" t="str">
            <v>Literature Awards</v>
          </cell>
          <cell r="Q1253" t="str">
            <v>الجوائز الأدبية</v>
          </cell>
          <cell r="R1253" t="str">
            <v>Outreach &amp; Partnerships</v>
          </cell>
          <cell r="S1253" t="str">
            <v>التوعية والشراكات</v>
          </cell>
          <cell r="T1253" t="str">
            <v/>
          </cell>
          <cell r="U1253" t="str">
            <v/>
          </cell>
          <cell r="V1253" t="str">
            <v>Abu Dhabi</v>
          </cell>
          <cell r="W1253" t="str">
            <v/>
          </cell>
          <cell r="X1253" t="str">
            <v>4519201</v>
          </cell>
          <cell r="Y1253" t="str">
            <v>Interpretation &amp; Engagement_Literature Awards Nominations _Senior Professional</v>
          </cell>
          <cell r="Z1253" t="str">
            <v>Senior Professional</v>
          </cell>
          <cell r="AA1253" t="str">
            <v>3B</v>
          </cell>
        </row>
        <row r="1254">
          <cell r="A1254">
            <v>2000302</v>
          </cell>
          <cell r="B1254">
            <v>2000302</v>
          </cell>
          <cell r="C1254" t="str">
            <v>A</v>
          </cell>
          <cell r="D1254" t="str">
            <v>Imtiaz Ahmed Farooqi</v>
          </cell>
          <cell r="E1254" t="str">
            <v>امتياز احمد فاروقي</v>
          </cell>
          <cell r="F1254">
            <v>43380</v>
          </cell>
          <cell r="G1254" t="str">
            <v>10010054</v>
          </cell>
          <cell r="H1254" t="str">
            <v>Security Team Leader</v>
          </cell>
          <cell r="I1254" t="str">
            <v>قائد فريق الأمن</v>
          </cell>
          <cell r="J1254" t="str">
            <v>On-Chart</v>
          </cell>
          <cell r="K1254" t="str">
            <v>MSS Al Nahiya</v>
          </cell>
          <cell r="L1254" t="str">
            <v>M2</v>
          </cell>
          <cell r="M1254" t="str">
            <v>Louvre Abu Dhabi</v>
          </cell>
          <cell r="N1254" t="str">
            <v>Louvre Abu Dhabi</v>
          </cell>
          <cell r="O1254" t="str">
            <v>متحف اللوفر أبوظبي</v>
          </cell>
          <cell r="P1254" t="str">
            <v>Technical Operations</v>
          </cell>
          <cell r="Q1254" t="str">
            <v>العمليات الفنية</v>
          </cell>
          <cell r="R1254" t="str">
            <v>Safety &amp; Security</v>
          </cell>
          <cell r="S1254" t="str">
            <v>السلامة والأمن</v>
          </cell>
          <cell r="T1254" t="str">
            <v>Security</v>
          </cell>
          <cell r="U1254" t="str">
            <v>الأمن</v>
          </cell>
          <cell r="V1254" t="str">
            <v>Abu Dhabi</v>
          </cell>
          <cell r="W1254" t="str">
            <v/>
          </cell>
          <cell r="X1254" t="str">
            <v>4510127</v>
          </cell>
          <cell r="Y1254" t="str">
            <v>Information Technology_Technical Support Engineer_Professional</v>
          </cell>
          <cell r="Z1254" t="str">
            <v>Professional</v>
          </cell>
          <cell r="AA1254" t="str">
            <v>6A</v>
          </cell>
        </row>
        <row r="1255">
          <cell r="A1255">
            <v>2000306</v>
          </cell>
          <cell r="B1255">
            <v>2000306</v>
          </cell>
          <cell r="C1255" t="str">
            <v>A</v>
          </cell>
          <cell r="D1255" t="str">
            <v>Mohamed Yakoub Hamouda</v>
          </cell>
          <cell r="E1255" t="str">
            <v>محمد يعقوب رمضان</v>
          </cell>
          <cell r="F1255">
            <v>43394</v>
          </cell>
          <cell r="G1255" t="str">
            <v>50001010</v>
          </cell>
          <cell r="H1255" t="str">
            <v>Business Development &amp; Sales Specialist - Publishing</v>
          </cell>
          <cell r="I1255" t="str">
            <v>أخصائي تطوير الأعمال والمبيعات - النشر</v>
          </cell>
          <cell r="J1255" t="str">
            <v>On-Chart</v>
          </cell>
          <cell r="K1255" t="str">
            <v>ALC Al Nahiya</v>
          </cell>
          <cell r="L1255" t="str">
            <v>AL2</v>
          </cell>
          <cell r="M1255" t="str">
            <v>Abu Dhabi Arabic Language Centre</v>
          </cell>
          <cell r="N1255" t="str">
            <v>Abu Dhabi Arabic Language Centre</v>
          </cell>
          <cell r="O1255" t="str">
            <v>مركز أبوظبي للغة العربية</v>
          </cell>
          <cell r="P1255" t="str">
            <v>Book Fairs &amp; Events</v>
          </cell>
          <cell r="Q1255" t="str">
            <v>الفعاليات ومعارض الكتب</v>
          </cell>
          <cell r="R1255" t="str">
            <v>Commercial &amp; Business Development - ALC</v>
          </cell>
          <cell r="S1255" t="str">
            <v>التنمية التجارية وتطوير الأعمال</v>
          </cell>
          <cell r="T1255" t="str">
            <v>Business Development &amp; Sales – Publishing</v>
          </cell>
          <cell r="U1255" t="str">
            <v>تطوير الأعمال  والمبيعات - النشر</v>
          </cell>
          <cell r="V1255" t="str">
            <v>Abu Dhabi</v>
          </cell>
          <cell r="W1255" t="str">
            <v/>
          </cell>
          <cell r="X1255" t="str">
            <v>4519200</v>
          </cell>
          <cell r="Y1255" t="str">
            <v>Interpretation &amp; Engagement_Arabic/Global Language Examination _Senior Professional</v>
          </cell>
          <cell r="Z1255" t="str">
            <v>Senior Professional</v>
          </cell>
          <cell r="AA1255" t="str">
            <v>3B</v>
          </cell>
        </row>
        <row r="1256">
          <cell r="A1256">
            <v>2000307</v>
          </cell>
          <cell r="B1256">
            <v>2000307</v>
          </cell>
          <cell r="C1256" t="str">
            <v>A</v>
          </cell>
          <cell r="D1256" t="str">
            <v>Mohamed Fawaz Almadhoun</v>
          </cell>
          <cell r="E1256" t="str">
            <v>محمد فواز المدهون</v>
          </cell>
          <cell r="F1256">
            <v>43394</v>
          </cell>
          <cell r="G1256" t="str">
            <v>50000845</v>
          </cell>
          <cell r="H1256" t="str">
            <v>Urban Conservation Senior Specialist</v>
          </cell>
          <cell r="I1256" t="str">
            <v>أخصائي أول حماية التراث الحديث</v>
          </cell>
          <cell r="J1256" t="str">
            <v>On-Chart</v>
          </cell>
          <cell r="K1256" t="str">
            <v>Al Nahiya</v>
          </cell>
          <cell r="L1256" t="str">
            <v>N0</v>
          </cell>
          <cell r="M1256" t="str">
            <v>Department of Culture and Tourism</v>
          </cell>
          <cell r="N1256" t="str">
            <v>Culture</v>
          </cell>
          <cell r="O1256" t="str">
            <v>الثقافة</v>
          </cell>
          <cell r="P1256" t="str">
            <v>Historic Environment</v>
          </cell>
          <cell r="Q1256" t="str">
            <v>البيئة التاريخية</v>
          </cell>
          <cell r="R1256" t="str">
            <v>Conservation</v>
          </cell>
          <cell r="S1256" t="str">
            <v>الترميم</v>
          </cell>
          <cell r="T1256" t="str">
            <v>Conservation – Modern &amp; Urban Heritage</v>
          </cell>
          <cell r="U1256" t="str">
            <v>حماية التراث الحديث</v>
          </cell>
          <cell r="V1256" t="str">
            <v>Abu Dhabi</v>
          </cell>
          <cell r="W1256" t="str">
            <v/>
          </cell>
          <cell r="X1256" t="str">
            <v>4511300</v>
          </cell>
          <cell r="Y1256" t="str">
            <v>Compliance,Governance&amp;Protocol_Policy (Culture/Tourism _Senior Professional</v>
          </cell>
          <cell r="Z1256" t="str">
            <v>Senior Professional</v>
          </cell>
          <cell r="AA1256" t="str">
            <v>3C</v>
          </cell>
        </row>
        <row r="1257">
          <cell r="A1257">
            <v>2000313</v>
          </cell>
          <cell r="B1257">
            <v>2000313</v>
          </cell>
          <cell r="C1257" t="str">
            <v>A</v>
          </cell>
          <cell r="D1257" t="str">
            <v>Afaf Rady Elsayed</v>
          </cell>
          <cell r="E1257" t="str">
            <v>عفاف رادي السيد</v>
          </cell>
          <cell r="F1257">
            <v>43410</v>
          </cell>
          <cell r="G1257" t="str">
            <v>10009790</v>
          </cell>
          <cell r="H1257" t="str">
            <v>Business Development &amp; Sales – Book Fairs Specialist</v>
          </cell>
          <cell r="I1257" t="str">
            <v>ضابط تطوير الأعمال  والمبيعات - معارض الكتاب</v>
          </cell>
          <cell r="J1257" t="str">
            <v>On-Chart</v>
          </cell>
          <cell r="K1257" t="str">
            <v>ALC Al Nahiya</v>
          </cell>
          <cell r="L1257" t="str">
            <v>AL2</v>
          </cell>
          <cell r="M1257" t="str">
            <v>Abu Dhabi Arabic Language Centre</v>
          </cell>
          <cell r="N1257" t="str">
            <v>Abu Dhabi Arabic Language Centre</v>
          </cell>
          <cell r="O1257" t="str">
            <v>مركز أبوظبي للغة العربية</v>
          </cell>
          <cell r="P1257" t="str">
            <v>Book Fairs &amp; Events</v>
          </cell>
          <cell r="Q1257" t="str">
            <v>الفعاليات ومعارض الكتب</v>
          </cell>
          <cell r="R1257" t="str">
            <v>Commercial &amp; Business Development - ALC</v>
          </cell>
          <cell r="S1257" t="str">
            <v>التنمية التجارية وتطوير الأعمال</v>
          </cell>
          <cell r="T1257" t="str">
            <v>Business Development &amp; Sales – Book Fairs</v>
          </cell>
          <cell r="U1257" t="str">
            <v>تطوير الأعمال  والمبيعات – معارض الكتاب</v>
          </cell>
          <cell r="V1257" t="str">
            <v>Abu Dhabi</v>
          </cell>
          <cell r="W1257" t="str">
            <v/>
          </cell>
          <cell r="X1257" t="str">
            <v>4519200</v>
          </cell>
          <cell r="Y1257" t="str">
            <v>Interpretation &amp; Engagement_Arabic Language Examination _Professional</v>
          </cell>
          <cell r="Z1257" t="str">
            <v>Professional</v>
          </cell>
          <cell r="AA1257" t="str">
            <v>3C</v>
          </cell>
        </row>
        <row r="1258">
          <cell r="A1258">
            <v>2000315</v>
          </cell>
          <cell r="B1258">
            <v>2000315</v>
          </cell>
          <cell r="C1258" t="str">
            <v>A</v>
          </cell>
          <cell r="D1258" t="str">
            <v>Ben A. Gendrano JR</v>
          </cell>
          <cell r="E1258" t="str">
            <v>بين  جندرانو</v>
          </cell>
          <cell r="F1258">
            <v>43674</v>
          </cell>
          <cell r="G1258" t="str">
            <v>10009915</v>
          </cell>
          <cell r="H1258" t="str">
            <v>Senior Visual Content Editor</v>
          </cell>
          <cell r="I1258" t="str">
            <v>محر ر أول المحتوى البصري</v>
          </cell>
          <cell r="J1258" t="str">
            <v>On-Chart</v>
          </cell>
          <cell r="K1258" t="str">
            <v>Sundus</v>
          </cell>
          <cell r="L1258" t="str">
            <v>SU</v>
          </cell>
          <cell r="M1258" t="str">
            <v>Department of Culture and Tourism</v>
          </cell>
          <cell r="N1258" t="str">
            <v>Strategic Marketing &amp; Communication</v>
          </cell>
          <cell r="O1258" t="str">
            <v>التسويق والاتصال الاستراتيجي</v>
          </cell>
          <cell r="P1258" t="str">
            <v>Creative &amp; Production</v>
          </cell>
          <cell r="Q1258" t="str">
            <v>الإبداع والإنتاج</v>
          </cell>
          <cell r="R1258" t="str">
            <v>Creative Content</v>
          </cell>
          <cell r="S1258" t="str">
            <v>المحتوى الإبداعي</v>
          </cell>
          <cell r="T1258" t="str">
            <v>Multimedia Design</v>
          </cell>
          <cell r="U1258" t="str">
            <v>تصميم الوسائط المتعددة</v>
          </cell>
          <cell r="V1258" t="str">
            <v>Abu Dhabi</v>
          </cell>
          <cell r="W1258" t="str">
            <v/>
          </cell>
          <cell r="X1258" t="str">
            <v>4513110</v>
          </cell>
          <cell r="Y1258" t="str">
            <v>Senior Specialization Marketing &amp; Communications</v>
          </cell>
          <cell r="Z1258" t="str">
            <v>Senior Professional</v>
          </cell>
          <cell r="AA1258" t="str">
            <v>3B</v>
          </cell>
        </row>
        <row r="1259">
          <cell r="A1259">
            <v>2000318</v>
          </cell>
          <cell r="B1259">
            <v>2000318</v>
          </cell>
          <cell r="C1259" t="str">
            <v>A</v>
          </cell>
          <cell r="D1259" t="str">
            <v>Duha Salih Ramadan</v>
          </cell>
          <cell r="E1259" t="str">
            <v>ضحى صالح رمضان</v>
          </cell>
          <cell r="F1259">
            <v>43424</v>
          </cell>
          <cell r="G1259" t="str">
            <v>10009012</v>
          </cell>
          <cell r="H1259" t="str">
            <v>Culture Sites Management Officer</v>
          </cell>
          <cell r="I1259" t="str">
            <v>ضابط إدارة المواقع الثقافية</v>
          </cell>
          <cell r="J1259" t="str">
            <v>On-Chart</v>
          </cell>
          <cell r="K1259" t="str">
            <v>Al Nahiya</v>
          </cell>
          <cell r="L1259" t="str">
            <v>N0</v>
          </cell>
          <cell r="M1259" t="str">
            <v>Department of Culture and Tourism</v>
          </cell>
          <cell r="N1259" t="str">
            <v>Culture</v>
          </cell>
          <cell r="O1259" t="str">
            <v>الثقافة</v>
          </cell>
          <cell r="P1259" t="str">
            <v>Culture Sites Management</v>
          </cell>
          <cell r="Q1259" t="str">
            <v>إدارة المواقع الثقافية</v>
          </cell>
          <cell r="R1259" t="str">
            <v/>
          </cell>
          <cell r="S1259" t="str">
            <v/>
          </cell>
          <cell r="T1259" t="str">
            <v/>
          </cell>
          <cell r="U1259" t="str">
            <v/>
          </cell>
          <cell r="V1259" t="str">
            <v>Abu Dhabi</v>
          </cell>
          <cell r="W1259" t="str">
            <v/>
          </cell>
          <cell r="X1259" t="str">
            <v>4511250</v>
          </cell>
          <cell r="Y1259" t="str">
            <v>Compliance,Governance&amp;Protocol_Policy (Culture/Tourism _Senior Professional</v>
          </cell>
          <cell r="Z1259" t="str">
            <v>Professional</v>
          </cell>
          <cell r="AA1259" t="str">
            <v>4B</v>
          </cell>
        </row>
        <row r="1260">
          <cell r="A1260">
            <v>2000321</v>
          </cell>
          <cell r="B1260">
            <v>2000321</v>
          </cell>
          <cell r="C1260" t="str">
            <v>A</v>
          </cell>
          <cell r="D1260" t="str">
            <v>Omer Khan Habib</v>
          </cell>
          <cell r="E1260" t="str">
            <v>عمير حبيب خان</v>
          </cell>
          <cell r="F1260">
            <v>43450</v>
          </cell>
          <cell r="G1260" t="str">
            <v>50003466</v>
          </cell>
          <cell r="H1260" t="str">
            <v>Procurement Business Partner</v>
          </cell>
          <cell r="I1260" t="str">
            <v>شريك أعمال المشتريات</v>
          </cell>
          <cell r="J1260" t="str">
            <v>On-Chart</v>
          </cell>
          <cell r="K1260" t="str">
            <v>Al Nahiya</v>
          </cell>
          <cell r="L1260" t="str">
            <v>N0</v>
          </cell>
          <cell r="M1260" t="str">
            <v>Department of Culture and Tourism</v>
          </cell>
          <cell r="N1260" t="str">
            <v>Support Services</v>
          </cell>
          <cell r="O1260" t="str">
            <v>الخدمات المساندة</v>
          </cell>
          <cell r="P1260" t="str">
            <v>Supply Management</v>
          </cell>
          <cell r="Q1260" t="str">
            <v>إدارة الإمداد</v>
          </cell>
          <cell r="R1260" t="str">
            <v>Business Partners</v>
          </cell>
          <cell r="S1260" t="str">
            <v>شركاء أعمال</v>
          </cell>
          <cell r="T1260" t="str">
            <v/>
          </cell>
          <cell r="U1260" t="str">
            <v/>
          </cell>
          <cell r="V1260" t="str">
            <v>Abu Dhabi</v>
          </cell>
          <cell r="W1260" t="str">
            <v/>
          </cell>
          <cell r="X1260" t="str">
            <v>4510240</v>
          </cell>
          <cell r="Y1260" t="str">
            <v>Procurement_Procurement Business Partner _Senior Professional</v>
          </cell>
          <cell r="Z1260" t="str">
            <v>Professional</v>
          </cell>
          <cell r="AA1260" t="str">
            <v>3C</v>
          </cell>
        </row>
        <row r="1261">
          <cell r="A1261">
            <v>2000323</v>
          </cell>
          <cell r="B1261">
            <v>2000323</v>
          </cell>
          <cell r="C1261" t="str">
            <v>A</v>
          </cell>
          <cell r="D1261" t="str">
            <v>Mallak Ahmad Etoum</v>
          </cell>
          <cell r="E1261" t="str">
            <v>ملاك احمد عتوم</v>
          </cell>
          <cell r="F1261">
            <v>43457</v>
          </cell>
          <cell r="G1261" t="str">
            <v>41000385</v>
          </cell>
          <cell r="H1261" t="str">
            <v>IT Service Desk Agent</v>
          </cell>
          <cell r="I1261" t="str">
            <v>مسؤول مكتب خدمات تكنولوجيا المعلومات</v>
          </cell>
          <cell r="J1261" t="str">
            <v>On-Chart</v>
          </cell>
          <cell r="K1261" t="str">
            <v>Al Nahiya</v>
          </cell>
          <cell r="L1261" t="str">
            <v>N0</v>
          </cell>
          <cell r="M1261" t="str">
            <v>Department of Culture and Tourism</v>
          </cell>
          <cell r="N1261" t="str">
            <v>Support Services</v>
          </cell>
          <cell r="O1261" t="str">
            <v>الخدمات المساندة</v>
          </cell>
          <cell r="P1261" t="str">
            <v>Technology</v>
          </cell>
          <cell r="Q1261" t="str">
            <v>التكنولوجيا</v>
          </cell>
          <cell r="R1261" t="str">
            <v>Technology Infrastructure</v>
          </cell>
          <cell r="S1261" t="str">
            <v>البنية التحتية للتكنولوجيا</v>
          </cell>
          <cell r="T1261" t="str">
            <v>E Support</v>
          </cell>
          <cell r="U1261" t="str">
            <v>الدعم الإلكتروني</v>
          </cell>
          <cell r="V1261" t="str">
            <v>Abu Dhabi</v>
          </cell>
          <cell r="W1261" t="str">
            <v/>
          </cell>
          <cell r="X1261" t="str">
            <v>4510250</v>
          </cell>
          <cell r="Y1261" t="str">
            <v>Information Technology_IT Service Desk Agent_Professional Assistant</v>
          </cell>
          <cell r="Z1261" t="str">
            <v>Professional</v>
          </cell>
          <cell r="AA1261" t="str">
            <v>4A</v>
          </cell>
        </row>
        <row r="1262">
          <cell r="A1262">
            <v>2000325</v>
          </cell>
          <cell r="B1262">
            <v>2000325</v>
          </cell>
          <cell r="C1262" t="str">
            <v>A</v>
          </cell>
          <cell r="D1262" t="str">
            <v>Omar Fayiz Alfarran</v>
          </cell>
          <cell r="E1262" t="str">
            <v>عمر فايز الفران</v>
          </cell>
          <cell r="F1262">
            <v>43471</v>
          </cell>
          <cell r="G1262" t="str">
            <v>50001470</v>
          </cell>
          <cell r="H1262" t="str">
            <v>Special Projects Manager</v>
          </cell>
          <cell r="I1262" t="str">
            <v>مدير المشاريع الخاصة</v>
          </cell>
          <cell r="J1262" t="str">
            <v>On-Chart</v>
          </cell>
          <cell r="K1262" t="str">
            <v>Al Nahiya</v>
          </cell>
          <cell r="L1262" t="str">
            <v>N0</v>
          </cell>
          <cell r="M1262" t="str">
            <v>Department of Culture and Tourism</v>
          </cell>
          <cell r="N1262" t="str">
            <v>Support Services</v>
          </cell>
          <cell r="O1262" t="str">
            <v>الخدمات المساندة</v>
          </cell>
          <cell r="P1262" t="str">
            <v>Office of the Support Services Executive Director</v>
          </cell>
          <cell r="Q1262" t="str">
            <v>مكتب المدير التنفيذي لقطاع الخدمات المساندة</v>
          </cell>
          <cell r="R1262" t="str">
            <v>Support Services Transformation</v>
          </cell>
          <cell r="S1262" t="str">
            <v>تحول الخدمات المساندة</v>
          </cell>
          <cell r="T1262" t="str">
            <v/>
          </cell>
          <cell r="U1262" t="str">
            <v/>
          </cell>
          <cell r="V1262" t="str">
            <v>Abu Dhabi</v>
          </cell>
          <cell r="W1262" t="str">
            <v/>
          </cell>
          <cell r="X1262" t="str">
            <v>4510201</v>
          </cell>
          <cell r="Y1262" t="str">
            <v>Strategy, Planning, Project Mgt_Strategic Business Partnership_Unit Head</v>
          </cell>
          <cell r="Z1262" t="str">
            <v>Unit Head</v>
          </cell>
          <cell r="AA1262" t="str">
            <v>3A</v>
          </cell>
        </row>
        <row r="1263">
          <cell r="A1263">
            <v>2000326</v>
          </cell>
          <cell r="B1263">
            <v>2000326</v>
          </cell>
          <cell r="C1263" t="str">
            <v>A</v>
          </cell>
          <cell r="D1263" t="str">
            <v>Anna Marie Ferris</v>
          </cell>
          <cell r="E1263" t="str">
            <v>انا ماري فريز</v>
          </cell>
          <cell r="F1263">
            <v>43467</v>
          </cell>
          <cell r="G1263" t="str">
            <v>50002927</v>
          </cell>
          <cell r="H1263" t="str">
            <v>Marketing Unit Head</v>
          </cell>
          <cell r="I1263" t="str">
            <v>رئيس وحدة التسويق</v>
          </cell>
          <cell r="J1263" t="str">
            <v>On-Chart</v>
          </cell>
          <cell r="K1263" t="str">
            <v>MSS Al Nahiya</v>
          </cell>
          <cell r="L1263" t="str">
            <v>M2</v>
          </cell>
          <cell r="M1263" t="str">
            <v>Louvre Abu Dhabi</v>
          </cell>
          <cell r="N1263" t="str">
            <v>Louvre Abu Dhabi</v>
          </cell>
          <cell r="O1263" t="str">
            <v>متحف اللوفر أبوظبي</v>
          </cell>
          <cell r="P1263" t="str">
            <v>Development, Marketing &amp; Communications</v>
          </cell>
          <cell r="Q1263" t="str">
            <v>إدارة التطوير،التسويق والاتصال</v>
          </cell>
          <cell r="R1263" t="str">
            <v/>
          </cell>
          <cell r="S1263" t="str">
            <v/>
          </cell>
          <cell r="T1263" t="str">
            <v/>
          </cell>
          <cell r="U1263" t="str">
            <v/>
          </cell>
          <cell r="V1263" t="str">
            <v>Abu Dhabi</v>
          </cell>
          <cell r="W1263" t="str">
            <v/>
          </cell>
          <cell r="X1263" t="str">
            <v>4510124</v>
          </cell>
          <cell r="Y1263" t="str">
            <v>Senior Specialization Marketing &amp; Communications</v>
          </cell>
          <cell r="Z1263" t="str">
            <v>Unit Head</v>
          </cell>
          <cell r="AA1263" t="str">
            <v>3A</v>
          </cell>
        </row>
        <row r="1264">
          <cell r="A1264">
            <v>2000330</v>
          </cell>
          <cell r="B1264">
            <v>2000330</v>
          </cell>
          <cell r="C1264" t="str">
            <v>A</v>
          </cell>
          <cell r="D1264" t="str">
            <v>Abdelhadi Abed</v>
          </cell>
          <cell r="E1264" t="str">
            <v>عبد الهادي  عابد</v>
          </cell>
          <cell r="F1264">
            <v>43475</v>
          </cell>
          <cell r="G1264" t="str">
            <v>50002595</v>
          </cell>
          <cell r="H1264" t="str">
            <v>Payroll Management Senior Specialist</v>
          </cell>
          <cell r="I1264" t="str">
            <v>أخصائي أول إدارة الرواتب</v>
          </cell>
          <cell r="J1264" t="str">
            <v>On-Chart</v>
          </cell>
          <cell r="K1264" t="str">
            <v>MSS Dayton</v>
          </cell>
          <cell r="L1264" t="str">
            <v>M4</v>
          </cell>
          <cell r="M1264" t="str">
            <v>Department of Culture and Tourism</v>
          </cell>
          <cell r="N1264" t="str">
            <v>Museums Shared Services</v>
          </cell>
          <cell r="O1264" t="str">
            <v>الخدمات المشتركة للمتاحف</v>
          </cell>
          <cell r="P1264" t="str">
            <v>Finance - MSS</v>
          </cell>
          <cell r="Q1264" t="str">
            <v>الإدارة المالية - الخدمات المشتركة للمتاحف</v>
          </cell>
          <cell r="R1264" t="str">
            <v>Payables Operations Section - MSS</v>
          </cell>
          <cell r="S1264" t="str">
            <v>قسم عمليات الحسابات الدائنة</v>
          </cell>
          <cell r="T1264" t="str">
            <v/>
          </cell>
          <cell r="U1264" t="str">
            <v/>
          </cell>
          <cell r="V1264" t="str">
            <v>Abu Dhabi</v>
          </cell>
          <cell r="W1264" t="str">
            <v/>
          </cell>
          <cell r="X1264" t="str">
            <v>4514120</v>
          </cell>
          <cell r="Y1264" t="str">
            <v>Finance_Payroll _Senior Professional</v>
          </cell>
          <cell r="Z1264" t="str">
            <v>Senior Professional</v>
          </cell>
          <cell r="AA1264" t="str">
            <v>3A</v>
          </cell>
        </row>
        <row r="1265">
          <cell r="A1265">
            <v>2000332</v>
          </cell>
          <cell r="B1265">
            <v>2000332</v>
          </cell>
          <cell r="C1265" t="str">
            <v>A</v>
          </cell>
          <cell r="D1265" t="str">
            <v>Ahmad Mohamed Abou Jamus</v>
          </cell>
          <cell r="E1265" t="str">
            <v>احمد محمد ابو جاموس</v>
          </cell>
          <cell r="F1265">
            <v>43206</v>
          </cell>
          <cell r="G1265" t="str">
            <v>10010170</v>
          </cell>
          <cell r="H1265" t="str">
            <v>Accounts Payables Senior Accountant</v>
          </cell>
          <cell r="I1265" t="str">
            <v>محاسب أول الحسابات الدائنة</v>
          </cell>
          <cell r="J1265" t="str">
            <v>On-Chart</v>
          </cell>
          <cell r="K1265" t="str">
            <v>Dayton</v>
          </cell>
          <cell r="L1265" t="str">
            <v>D1</v>
          </cell>
          <cell r="M1265" t="str">
            <v>Department of Culture and Tourism</v>
          </cell>
          <cell r="N1265" t="str">
            <v>Support Services</v>
          </cell>
          <cell r="O1265" t="str">
            <v>الخدمات المساندة</v>
          </cell>
          <cell r="P1265" t="str">
            <v>Finance</v>
          </cell>
          <cell r="Q1265" t="str">
            <v>إدارة المالية</v>
          </cell>
          <cell r="R1265" t="str">
            <v>Payables Operations</v>
          </cell>
          <cell r="S1265" t="str">
            <v>عمليات الحسابات الدائنة</v>
          </cell>
          <cell r="T1265" t="str">
            <v>Accounts Payables</v>
          </cell>
          <cell r="U1265" t="str">
            <v>حسابات دائنة</v>
          </cell>
          <cell r="V1265" t="str">
            <v>Abu Dhabi</v>
          </cell>
          <cell r="W1265" t="str">
            <v/>
          </cell>
          <cell r="X1265" t="str">
            <v>4510210</v>
          </cell>
          <cell r="Y1265" t="str">
            <v>Finance_Accountant_Senior Professional</v>
          </cell>
          <cell r="Z1265" t="str">
            <v>Senior Professional</v>
          </cell>
          <cell r="AA1265" t="str">
            <v>3B</v>
          </cell>
        </row>
        <row r="1266">
          <cell r="A1266">
            <v>2000333</v>
          </cell>
          <cell r="B1266">
            <v>2000333</v>
          </cell>
          <cell r="C1266" t="str">
            <v>A</v>
          </cell>
          <cell r="D1266" t="str">
            <v>Saleem Abdul Latif Ahmad</v>
          </cell>
          <cell r="E1266" t="str">
            <v>سليم عبداللطيف احمد</v>
          </cell>
          <cell r="F1266">
            <v>43475</v>
          </cell>
          <cell r="G1266" t="str">
            <v>47700202</v>
          </cell>
          <cell r="H1266" t="str">
            <v>Driver</v>
          </cell>
          <cell r="I1266" t="str">
            <v>سائق</v>
          </cell>
          <cell r="J1266" t="str">
            <v>Off-Chart</v>
          </cell>
          <cell r="K1266" t="str">
            <v>Al Nahiya</v>
          </cell>
          <cell r="L1266" t="str">
            <v>N0</v>
          </cell>
          <cell r="M1266" t="str">
            <v>Department of Culture and Tourism</v>
          </cell>
          <cell r="N1266" t="str">
            <v>Support Services</v>
          </cell>
          <cell r="O1266" t="str">
            <v>الخدمات المساندة</v>
          </cell>
          <cell r="P1266" t="str">
            <v>Supply Management</v>
          </cell>
          <cell r="Q1266" t="str">
            <v>إدارة الإمداد</v>
          </cell>
          <cell r="R1266" t="str">
            <v>Facilities Management</v>
          </cell>
          <cell r="S1266" t="str">
            <v>إدارة المرافق</v>
          </cell>
          <cell r="T1266" t="str">
            <v/>
          </cell>
          <cell r="U1266" t="str">
            <v/>
          </cell>
          <cell r="V1266" t="str">
            <v>Abu Dhabi</v>
          </cell>
          <cell r="W1266" t="str">
            <v/>
          </cell>
          <cell r="X1266" t="str">
            <v>4510220</v>
          </cell>
          <cell r="Y1266" t="str">
            <v>Procurement_Procurement General_Professional</v>
          </cell>
          <cell r="Z1266" t="str">
            <v>Professional Assistant</v>
          </cell>
          <cell r="AA1266" t="str">
            <v>7A</v>
          </cell>
        </row>
        <row r="1267">
          <cell r="A1267">
            <v>2000334</v>
          </cell>
          <cell r="B1267">
            <v>2000334</v>
          </cell>
          <cell r="C1267" t="str">
            <v>A</v>
          </cell>
          <cell r="D1267" t="str">
            <v>Omar Jehad Mosleh</v>
          </cell>
          <cell r="E1267" t="str">
            <v>عمر جهاد مصلح</v>
          </cell>
          <cell r="F1267">
            <v>43499</v>
          </cell>
          <cell r="G1267" t="str">
            <v>10010227</v>
          </cell>
          <cell r="H1267" t="str">
            <v>Technical Support Engineer</v>
          </cell>
          <cell r="I1267" t="str">
            <v>مهندس الدعم التقني</v>
          </cell>
          <cell r="J1267" t="str">
            <v>On-Chart</v>
          </cell>
          <cell r="K1267" t="str">
            <v>Al Nahiya</v>
          </cell>
          <cell r="L1267" t="str">
            <v>N0</v>
          </cell>
          <cell r="M1267" t="str">
            <v>Department of Culture and Tourism</v>
          </cell>
          <cell r="N1267" t="str">
            <v>Support Services</v>
          </cell>
          <cell r="O1267" t="str">
            <v>الخدمات المساندة</v>
          </cell>
          <cell r="P1267" t="str">
            <v>Technology</v>
          </cell>
          <cell r="Q1267" t="str">
            <v>التكنولوجيا</v>
          </cell>
          <cell r="R1267" t="str">
            <v>Technology Infrastructure</v>
          </cell>
          <cell r="S1267" t="str">
            <v>البنية التحتية للتكنولوجيا</v>
          </cell>
          <cell r="T1267" t="str">
            <v>E Support</v>
          </cell>
          <cell r="U1267" t="str">
            <v>الدعم الإلكتروني</v>
          </cell>
          <cell r="V1267" t="str">
            <v>Al Ain</v>
          </cell>
          <cell r="W1267" t="str">
            <v/>
          </cell>
          <cell r="X1267" t="str">
            <v>4510250</v>
          </cell>
          <cell r="Y1267" t="str">
            <v>Information Technology_Technical Support Engineer_Professional</v>
          </cell>
          <cell r="Z1267" t="str">
            <v>Professional</v>
          </cell>
          <cell r="AA1267" t="str">
            <v>4A</v>
          </cell>
        </row>
        <row r="1268">
          <cell r="A1268">
            <v>2000336</v>
          </cell>
          <cell r="B1268">
            <v>2000336</v>
          </cell>
          <cell r="C1268" t="str">
            <v>A</v>
          </cell>
          <cell r="D1268" t="str">
            <v>Fakhry Maher Alsarraj</v>
          </cell>
          <cell r="E1268" t="str">
            <v>فخري ماهر السراج</v>
          </cell>
          <cell r="F1268">
            <v>43506</v>
          </cell>
          <cell r="G1268" t="str">
            <v>10006543</v>
          </cell>
          <cell r="H1268" t="str">
            <v>Abu Dhabi Events Bureau Director</v>
          </cell>
          <cell r="I1268" t="str">
            <v>مدير مكتب أبوظبي للفعاليات</v>
          </cell>
          <cell r="J1268" t="str">
            <v>On-Chart</v>
          </cell>
          <cell r="K1268" t="str">
            <v>Al Nahiya</v>
          </cell>
          <cell r="L1268" t="str">
            <v>N0</v>
          </cell>
          <cell r="M1268" t="str">
            <v>Department of Culture and Tourism</v>
          </cell>
          <cell r="N1268" t="str">
            <v>Tourism</v>
          </cell>
          <cell r="O1268" t="str">
            <v>السياحة</v>
          </cell>
          <cell r="P1268" t="str">
            <v>Abu Dhabi Events Bureau</v>
          </cell>
          <cell r="Q1268" t="str">
            <v>مكتب أبوظبي للفعاليات</v>
          </cell>
          <cell r="R1268" t="str">
            <v/>
          </cell>
          <cell r="S1268" t="str">
            <v/>
          </cell>
          <cell r="T1268" t="str">
            <v/>
          </cell>
          <cell r="U1268" t="str">
            <v/>
          </cell>
          <cell r="V1268" t="str">
            <v>Abu Dhabi</v>
          </cell>
          <cell r="W1268" t="str">
            <v/>
          </cell>
          <cell r="X1268" t="str">
            <v>4515500</v>
          </cell>
          <cell r="Y1268" t="str">
            <v>Commercial _Conventions, Exhibitions, Events &amp; Festivals _Director</v>
          </cell>
          <cell r="Z1268" t="str">
            <v>Director</v>
          </cell>
          <cell r="AA1268" t="str">
            <v>1B</v>
          </cell>
        </row>
        <row r="1269">
          <cell r="A1269">
            <v>2000337</v>
          </cell>
          <cell r="B1269">
            <v>2000337</v>
          </cell>
          <cell r="C1269" t="str">
            <v>A</v>
          </cell>
          <cell r="D1269" t="str">
            <v>Rizwan Farooq</v>
          </cell>
          <cell r="E1269" t="str">
            <v>رضوان  فاروق</v>
          </cell>
          <cell r="F1269">
            <v>43459</v>
          </cell>
          <cell r="G1269" t="str">
            <v>10010400</v>
          </cell>
          <cell r="H1269" t="str">
            <v>Senior Events Specialist</v>
          </cell>
          <cell r="I1269" t="str">
            <v>أخصائي فعاليات أول</v>
          </cell>
          <cell r="J1269" t="str">
            <v>On-Chart</v>
          </cell>
          <cell r="K1269" t="str">
            <v>MSS Al Nahiya</v>
          </cell>
          <cell r="L1269" t="str">
            <v>M2</v>
          </cell>
          <cell r="M1269" t="str">
            <v>Louvre Abu Dhabi</v>
          </cell>
          <cell r="N1269" t="str">
            <v>Louvre Abu Dhabi</v>
          </cell>
          <cell r="O1269" t="str">
            <v>متحف اللوفر أبوظبي</v>
          </cell>
          <cell r="P1269" t="str">
            <v>Visitor Experience &amp; Sales</v>
          </cell>
          <cell r="Q1269" t="str">
            <v>إدارة تجربة الزوار و المبيعات</v>
          </cell>
          <cell r="R1269" t="str">
            <v>Event Operations</v>
          </cell>
          <cell r="S1269" t="str">
            <v/>
          </cell>
          <cell r="T1269" t="str">
            <v/>
          </cell>
          <cell r="U1269" t="str">
            <v/>
          </cell>
          <cell r="V1269" t="str">
            <v>Abu Dhabi</v>
          </cell>
          <cell r="W1269" t="str">
            <v/>
          </cell>
          <cell r="X1269" t="str">
            <v>4510125</v>
          </cell>
          <cell r="Y1269" t="str">
            <v>Specialization Festivals &amp; Events</v>
          </cell>
          <cell r="Z1269" t="str">
            <v>Senior Professional</v>
          </cell>
          <cell r="AA1269" t="str">
            <v>3A</v>
          </cell>
        </row>
        <row r="1270">
          <cell r="A1270">
            <v>2000348</v>
          </cell>
          <cell r="B1270">
            <v>2000348</v>
          </cell>
          <cell r="C1270" t="str">
            <v>A</v>
          </cell>
          <cell r="D1270" t="str">
            <v>Mohammad Zakareya Tahboub</v>
          </cell>
          <cell r="E1270" t="str">
            <v>محمد زكريا طهبوب</v>
          </cell>
          <cell r="F1270">
            <v>43473</v>
          </cell>
          <cell r="G1270" t="str">
            <v>50002599</v>
          </cell>
          <cell r="H1270" t="str">
            <v>Accounts Payables Accountant</v>
          </cell>
          <cell r="I1270" t="str">
            <v>محاسب الحسابات الدائنة</v>
          </cell>
          <cell r="J1270" t="str">
            <v>On-Chart</v>
          </cell>
          <cell r="K1270" t="str">
            <v>MSS Dayton</v>
          </cell>
          <cell r="L1270" t="str">
            <v>M4</v>
          </cell>
          <cell r="M1270" t="str">
            <v>Department of Culture and Tourism</v>
          </cell>
          <cell r="N1270" t="str">
            <v>Museums Shared Services</v>
          </cell>
          <cell r="O1270" t="str">
            <v>الخدمات المشتركة للمتاحف</v>
          </cell>
          <cell r="P1270" t="str">
            <v>Finance - MSS</v>
          </cell>
          <cell r="Q1270" t="str">
            <v>الإدارة المالية - الخدمات المشتركة للمتاحف</v>
          </cell>
          <cell r="R1270" t="str">
            <v>Payables Operations Section - MSS</v>
          </cell>
          <cell r="S1270" t="str">
            <v>قسم عمليات الحسابات الدائنة</v>
          </cell>
          <cell r="T1270" t="str">
            <v>Accounts Payables Unit - MSS</v>
          </cell>
          <cell r="U1270" t="str">
            <v>وحدة الحسابات الدائنة</v>
          </cell>
          <cell r="V1270" t="str">
            <v>Abu Dhabi</v>
          </cell>
          <cell r="W1270" t="str">
            <v/>
          </cell>
          <cell r="X1270" t="str">
            <v>4514120</v>
          </cell>
          <cell r="Y1270" t="str">
            <v>Finance_Accountant_Professional</v>
          </cell>
          <cell r="Z1270" t="str">
            <v>Professional</v>
          </cell>
          <cell r="AA1270" t="str">
            <v>4A</v>
          </cell>
        </row>
        <row r="1271">
          <cell r="A1271">
            <v>2000351</v>
          </cell>
          <cell r="B1271">
            <v>2000351</v>
          </cell>
          <cell r="C1271" t="str">
            <v>A</v>
          </cell>
          <cell r="D1271" t="str">
            <v>April Joy Manalo</v>
          </cell>
          <cell r="E1271" t="str">
            <v>بريل جوي مانالو</v>
          </cell>
          <cell r="F1271">
            <v>43534</v>
          </cell>
          <cell r="G1271" t="str">
            <v>50001109</v>
          </cell>
          <cell r="H1271" t="str">
            <v>Senior Graphic Designer</v>
          </cell>
          <cell r="I1271" t="str">
            <v>مصمم جرافيك أول</v>
          </cell>
          <cell r="J1271" t="str">
            <v>On-Chart</v>
          </cell>
          <cell r="K1271" t="str">
            <v>ALC Al Nahiya</v>
          </cell>
          <cell r="L1271" t="str">
            <v>AL2</v>
          </cell>
          <cell r="M1271" t="str">
            <v>Abu Dhabi Arabic Language Centre</v>
          </cell>
          <cell r="N1271" t="str">
            <v>Abu Dhabi Arabic Language Centre</v>
          </cell>
          <cell r="O1271" t="str">
            <v>مركز أبوظبي للغة العربية</v>
          </cell>
          <cell r="P1271" t="str">
            <v>Marketing &amp; Communications</v>
          </cell>
          <cell r="Q1271" t="str">
            <v>التسويق والاتصال</v>
          </cell>
          <cell r="R1271" t="str">
            <v>Brand Development</v>
          </cell>
          <cell r="S1271" t="str">
            <v>تطوير الهوية المؤسسية</v>
          </cell>
          <cell r="T1271" t="str">
            <v>Creative</v>
          </cell>
          <cell r="U1271" t="str">
            <v>الإبداع</v>
          </cell>
          <cell r="V1271" t="str">
            <v>Abu Dhabi</v>
          </cell>
          <cell r="W1271" t="str">
            <v/>
          </cell>
          <cell r="X1271" t="str">
            <v>4519196</v>
          </cell>
          <cell r="Y1271" t="str">
            <v>Comms &amp; Marketing _Marketing &amp; Communications (All areas)_Senior Professional</v>
          </cell>
          <cell r="Z1271" t="str">
            <v>Senior Professional</v>
          </cell>
          <cell r="AA1271" t="str">
            <v>3A</v>
          </cell>
        </row>
        <row r="1272">
          <cell r="A1272">
            <v>2000355</v>
          </cell>
          <cell r="B1272">
            <v>2000355</v>
          </cell>
          <cell r="C1272" t="str">
            <v>A</v>
          </cell>
          <cell r="D1272" t="str">
            <v>Khaldoun Zahran</v>
          </cell>
          <cell r="E1272" t="str">
            <v>خلدون  زهران</v>
          </cell>
          <cell r="F1272">
            <v>43572</v>
          </cell>
          <cell r="G1272" t="str">
            <v>10010473</v>
          </cell>
          <cell r="H1272" t="str">
            <v>Visitor Operations Supervisor</v>
          </cell>
          <cell r="I1272" t="str">
            <v>مشرف عمليات الزوار</v>
          </cell>
          <cell r="J1272" t="str">
            <v>On-Chart</v>
          </cell>
          <cell r="K1272" t="str">
            <v>MSS Al Nahiya</v>
          </cell>
          <cell r="L1272" t="str">
            <v>M2</v>
          </cell>
          <cell r="M1272" t="str">
            <v>Louvre Abu Dhabi</v>
          </cell>
          <cell r="N1272" t="str">
            <v>Louvre Abu Dhabi</v>
          </cell>
          <cell r="O1272" t="str">
            <v>متحف اللوفر أبوظبي</v>
          </cell>
          <cell r="P1272" t="str">
            <v>Visitor Experience &amp; Sales</v>
          </cell>
          <cell r="Q1272" t="str">
            <v>إدارة تجربة الزوار و المبيعات</v>
          </cell>
          <cell r="R1272" t="str">
            <v>Visitor Operations</v>
          </cell>
          <cell r="S1272" t="str">
            <v>عمليات الزوار</v>
          </cell>
          <cell r="T1272" t="str">
            <v/>
          </cell>
          <cell r="U1272" t="str">
            <v/>
          </cell>
          <cell r="V1272" t="str">
            <v>Abu Dhabi</v>
          </cell>
          <cell r="W1272" t="str">
            <v/>
          </cell>
          <cell r="X1272" t="str">
            <v>4510125</v>
          </cell>
          <cell r="Y1272" t="str">
            <v>Design_Visitor Experience Design _Professional</v>
          </cell>
          <cell r="Z1272" t="str">
            <v>Professional</v>
          </cell>
          <cell r="AA1272" t="str">
            <v>4A</v>
          </cell>
        </row>
        <row r="1273">
          <cell r="A1273">
            <v>2000357</v>
          </cell>
          <cell r="B1273">
            <v>2000357</v>
          </cell>
          <cell r="C1273" t="str">
            <v>A</v>
          </cell>
          <cell r="D1273" t="str">
            <v>Ahad Khateeb Nisar</v>
          </cell>
          <cell r="E1273" t="str">
            <v>أحد الخطيب نزار</v>
          </cell>
          <cell r="F1273">
            <v>43545</v>
          </cell>
          <cell r="G1273" t="str">
            <v>10010573</v>
          </cell>
          <cell r="H1273" t="str">
            <v>Sector Environment Health &amp; Safety Executive</v>
          </cell>
          <cell r="I1273" t="str">
            <v>تنفيذي البيئة والصحة والسلامة للقطاعات</v>
          </cell>
          <cell r="J1273" t="str">
            <v>On-Chart</v>
          </cell>
          <cell r="K1273" t="str">
            <v>Al Nahiya</v>
          </cell>
          <cell r="L1273" t="str">
            <v>N0</v>
          </cell>
          <cell r="M1273" t="str">
            <v>Department of Culture and Tourism</v>
          </cell>
          <cell r="N1273" t="str">
            <v>Tourism</v>
          </cell>
          <cell r="O1273" t="str">
            <v>السياحة</v>
          </cell>
          <cell r="P1273" t="str">
            <v>Licensing &amp; Regulatory Compliance</v>
          </cell>
          <cell r="Q1273" t="str">
            <v>الرقابة والترخيص</v>
          </cell>
          <cell r="R1273" t="str">
            <v>Environment, Health &amp; Safety</v>
          </cell>
          <cell r="S1273" t="str">
            <v>البيئة والصحة والسلامة</v>
          </cell>
          <cell r="T1273" t="str">
            <v>Sector Environment, Health &amp; Safety</v>
          </cell>
          <cell r="U1273" t="str">
            <v>البيئة والصحة والسلامة للقطاعات</v>
          </cell>
          <cell r="V1273" t="str">
            <v>Abu Dhabi</v>
          </cell>
          <cell r="W1273" t="str">
            <v/>
          </cell>
          <cell r="X1273" t="str">
            <v>4510170</v>
          </cell>
          <cell r="Y1273" t="str">
            <v>Compliance,Governance&amp;Protocol_Licensing &amp; Regulatory Compliance- (Follow-up and Reporting) _Professional Assistant</v>
          </cell>
          <cell r="Z1273" t="str">
            <v>Professional</v>
          </cell>
          <cell r="AA1273" t="str">
            <v>4A</v>
          </cell>
        </row>
        <row r="1274">
          <cell r="A1274">
            <v>2000358</v>
          </cell>
          <cell r="B1274">
            <v>2000358</v>
          </cell>
          <cell r="C1274" t="str">
            <v>A</v>
          </cell>
          <cell r="D1274" t="str">
            <v>Nikolett Kovacs</v>
          </cell>
          <cell r="E1274" t="str">
            <v>نيكوليت  كوفاسيش</v>
          </cell>
          <cell r="F1274">
            <v>43556</v>
          </cell>
          <cell r="G1274" t="str">
            <v>50004225</v>
          </cell>
          <cell r="H1274" t="str">
            <v>Events Partnerships Management Unit Head</v>
          </cell>
          <cell r="I1274" t="str">
            <v>رئيس وحدة  إدارة شراكات الفعاليات</v>
          </cell>
          <cell r="J1274" t="str">
            <v>On-Chart</v>
          </cell>
          <cell r="K1274" t="str">
            <v>Al Nahiya</v>
          </cell>
          <cell r="L1274" t="str">
            <v>N0</v>
          </cell>
          <cell r="M1274" t="str">
            <v>Department of Culture and Tourism</v>
          </cell>
          <cell r="N1274" t="str">
            <v>Tourism</v>
          </cell>
          <cell r="O1274" t="str">
            <v>السياحة</v>
          </cell>
          <cell r="P1274" t="str">
            <v>Abu Dhabi Events Bureau</v>
          </cell>
          <cell r="Q1274" t="str">
            <v>مكتب أبوظبي للفعاليات</v>
          </cell>
          <cell r="R1274" t="str">
            <v>Events Partnerships Management</v>
          </cell>
          <cell r="S1274" t="str">
            <v>قسم تدقيق العائدات</v>
          </cell>
          <cell r="T1274" t="str">
            <v>Events Partnerships Management</v>
          </cell>
          <cell r="U1274" t="str">
            <v>وحدة إدارة شراكات الفعاليات</v>
          </cell>
          <cell r="V1274" t="str">
            <v>Abu Dhabi</v>
          </cell>
          <cell r="W1274" t="str">
            <v/>
          </cell>
          <cell r="X1274" t="str">
            <v>4515500</v>
          </cell>
          <cell r="Y1274" t="str">
            <v>Middle Management Festivals &amp; Events</v>
          </cell>
          <cell r="Z1274" t="str">
            <v>Unit Head</v>
          </cell>
          <cell r="AA1274" t="str">
            <v>3A</v>
          </cell>
        </row>
        <row r="1275">
          <cell r="A1275">
            <v>2000359</v>
          </cell>
          <cell r="B1275">
            <v>2000359</v>
          </cell>
          <cell r="C1275" t="str">
            <v>A</v>
          </cell>
          <cell r="D1275" t="str">
            <v>Ahmed Ezzdin Shlibak</v>
          </cell>
          <cell r="E1275" t="str">
            <v>أحمد عزالدين شليباك</v>
          </cell>
          <cell r="F1275">
            <v>43541</v>
          </cell>
          <cell r="G1275" t="str">
            <v>10010518</v>
          </cell>
          <cell r="H1275" t="str">
            <v>Exhibitor Relations Specialist</v>
          </cell>
          <cell r="I1275" t="str">
            <v>أخصائي علاقات العارضين</v>
          </cell>
          <cell r="J1275" t="str">
            <v>On-Chart</v>
          </cell>
          <cell r="K1275" t="str">
            <v>ALC Al Nahiya</v>
          </cell>
          <cell r="L1275" t="str">
            <v>AL2</v>
          </cell>
          <cell r="M1275" t="str">
            <v>Abu Dhabi Arabic Language Centre</v>
          </cell>
          <cell r="N1275" t="str">
            <v>Abu Dhabi Arabic Language Centre</v>
          </cell>
          <cell r="O1275" t="str">
            <v>مركز أبوظبي للغة العربية</v>
          </cell>
          <cell r="P1275" t="str">
            <v>Book Fairs &amp; Events</v>
          </cell>
          <cell r="Q1275" t="str">
            <v>الفعاليات ومعارض الكتب</v>
          </cell>
          <cell r="R1275" t="str">
            <v>Commercial &amp; Business Development - ALC</v>
          </cell>
          <cell r="S1275" t="str">
            <v>التنمية التجارية وتطوير الأعمال</v>
          </cell>
          <cell r="T1275" t="str">
            <v>Business Development &amp; Sales – Book Fairs</v>
          </cell>
          <cell r="U1275" t="str">
            <v>تطوير الأعمال  والمبيعات – معارض الكتاب</v>
          </cell>
          <cell r="V1275" t="str">
            <v>Abu Dhabi</v>
          </cell>
          <cell r="W1275" t="str">
            <v/>
          </cell>
          <cell r="X1275" t="str">
            <v>4519200</v>
          </cell>
          <cell r="Y1275" t="str">
            <v>Interpretation &amp; Engagement_Arabic Language Examination _Professional</v>
          </cell>
          <cell r="Z1275" t="str">
            <v>Professional</v>
          </cell>
          <cell r="AA1275" t="str">
            <v>3C</v>
          </cell>
        </row>
        <row r="1276">
          <cell r="A1276">
            <v>2000364</v>
          </cell>
          <cell r="B1276">
            <v>2000364</v>
          </cell>
          <cell r="C1276" t="str">
            <v>A</v>
          </cell>
          <cell r="D1276" t="str">
            <v>Robert Metzger</v>
          </cell>
          <cell r="E1276" t="str">
            <v>روبرت  ميتزجير</v>
          </cell>
          <cell r="F1276">
            <v>43937</v>
          </cell>
          <cell r="G1276" t="str">
            <v>10011539</v>
          </cell>
          <cell r="H1276" t="str">
            <v>Visitor Experience Specialist</v>
          </cell>
          <cell r="I1276" t="str">
            <v>أخصائي عمليات الزوار</v>
          </cell>
          <cell r="J1276" t="str">
            <v>On-Chart</v>
          </cell>
          <cell r="K1276" t="str">
            <v>MSS Al Nahiya</v>
          </cell>
          <cell r="L1276" t="str">
            <v>M2</v>
          </cell>
          <cell r="M1276" t="str">
            <v>Louvre Abu Dhabi</v>
          </cell>
          <cell r="N1276" t="str">
            <v>Louvre Abu Dhabi</v>
          </cell>
          <cell r="O1276" t="str">
            <v>متحف اللوفر أبوظبي</v>
          </cell>
          <cell r="P1276" t="str">
            <v>Visitor Experience &amp; Sales</v>
          </cell>
          <cell r="Q1276" t="str">
            <v>إدارة تجربة الزوار و المبيعات</v>
          </cell>
          <cell r="R1276" t="str">
            <v>Visitor Operations</v>
          </cell>
          <cell r="S1276" t="str">
            <v>عمليات الزوار</v>
          </cell>
          <cell r="T1276" t="str">
            <v/>
          </cell>
          <cell r="U1276" t="str">
            <v/>
          </cell>
          <cell r="V1276" t="str">
            <v>Abu Dhabi</v>
          </cell>
          <cell r="W1276" t="str">
            <v/>
          </cell>
          <cell r="X1276" t="str">
            <v>4510125</v>
          </cell>
          <cell r="Y1276" t="str">
            <v>Design_Visitor Experience Design _Professional</v>
          </cell>
          <cell r="Z1276" t="str">
            <v>Professional</v>
          </cell>
          <cell r="AA1276" t="str">
            <v>3A</v>
          </cell>
        </row>
        <row r="1277">
          <cell r="A1277">
            <v>2000366</v>
          </cell>
          <cell r="B1277">
            <v>2000366</v>
          </cell>
          <cell r="C1277" t="str">
            <v>A</v>
          </cell>
          <cell r="D1277" t="str">
            <v>Richa Subhash Mehta</v>
          </cell>
          <cell r="E1277" t="str">
            <v>ريشا  ميهتا</v>
          </cell>
          <cell r="F1277">
            <v>43597</v>
          </cell>
          <cell r="G1277" t="str">
            <v>50001699</v>
          </cell>
          <cell r="H1277" t="str">
            <v>Senior Learning Resources Officer</v>
          </cell>
          <cell r="I1277" t="str">
            <v>ضابط أول الموارد التعليمية</v>
          </cell>
          <cell r="J1277" t="str">
            <v>On-Chart</v>
          </cell>
          <cell r="K1277" t="str">
            <v>MSS Al Nahiya</v>
          </cell>
          <cell r="L1277" t="str">
            <v>M2</v>
          </cell>
          <cell r="M1277" t="str">
            <v>Louvre Abu Dhabi</v>
          </cell>
          <cell r="N1277" t="str">
            <v>Louvre Abu Dhabi</v>
          </cell>
          <cell r="O1277" t="str">
            <v>متحف اللوفر أبوظبي</v>
          </cell>
          <cell r="P1277" t="str">
            <v>External Affairs, Outreach and Cultural Engagement</v>
          </cell>
          <cell r="Q1277" t="str">
            <v>إدارة الشؤون الخارجية والتواصل، المشاركة الثقافية</v>
          </cell>
          <cell r="R1277" t="str">
            <v>Education &amp; Learning Resources</v>
          </cell>
          <cell r="S1277" t="str">
            <v>التعليم والترجمة</v>
          </cell>
          <cell r="T1277" t="str">
            <v/>
          </cell>
          <cell r="U1277" t="str">
            <v/>
          </cell>
          <cell r="V1277" t="str">
            <v>Abu Dhabi</v>
          </cell>
          <cell r="W1277" t="str">
            <v/>
          </cell>
          <cell r="X1277" t="str">
            <v>4510123</v>
          </cell>
          <cell r="Y1277" t="str">
            <v>Interpretation &amp; Engagement_Outreach &amp; Cultural Engagement _Senior Professional</v>
          </cell>
          <cell r="Z1277" t="str">
            <v>Senior Professional</v>
          </cell>
          <cell r="AA1277" t="str">
            <v>3B</v>
          </cell>
        </row>
        <row r="1278">
          <cell r="A1278">
            <v>2000367</v>
          </cell>
          <cell r="B1278">
            <v>2000367</v>
          </cell>
          <cell r="C1278" t="str">
            <v>A</v>
          </cell>
          <cell r="D1278" t="str">
            <v>Majid Ahmed Mohammed</v>
          </cell>
          <cell r="E1278" t="str">
            <v>ماجد أحمد محمد</v>
          </cell>
          <cell r="F1278">
            <v>43586</v>
          </cell>
          <cell r="G1278" t="str">
            <v>50002767</v>
          </cell>
          <cell r="H1278" t="str">
            <v>Business Applications Senior Specialist</v>
          </cell>
          <cell r="I1278" t="str">
            <v>اخصائي أول التطبيقات المؤسسية</v>
          </cell>
          <cell r="J1278" t="str">
            <v>On-Chart</v>
          </cell>
          <cell r="K1278" t="str">
            <v>MSS Al Nahiya</v>
          </cell>
          <cell r="L1278" t="str">
            <v>M2</v>
          </cell>
          <cell r="M1278" t="str">
            <v>Department of Culture and Tourism</v>
          </cell>
          <cell r="N1278" t="str">
            <v>Museums Shared Services</v>
          </cell>
          <cell r="O1278" t="str">
            <v>الخدمات المشتركة للمتاحف</v>
          </cell>
          <cell r="P1278" t="str">
            <v>Technology - MSS</v>
          </cell>
          <cell r="Q1278" t="str">
            <v>إدارة التكنولوجيا - الخدمات المشتركة للمتاحف</v>
          </cell>
          <cell r="R1278" t="str">
            <v>Technical Operations Section</v>
          </cell>
          <cell r="S1278" t="str">
            <v>قسم العمليات التقنية</v>
          </cell>
          <cell r="T1278" t="str">
            <v>Business Applications Unit</v>
          </cell>
          <cell r="U1278" t="str">
            <v>وحدة التطبيقات المؤسسية</v>
          </cell>
          <cell r="V1278" t="str">
            <v>Abu Dhabi</v>
          </cell>
          <cell r="W1278" t="str">
            <v/>
          </cell>
          <cell r="X1278" t="str">
            <v>4514180</v>
          </cell>
          <cell r="Y1278" t="str">
            <v>Information Technology_IT Business Application _Senior Professional</v>
          </cell>
          <cell r="Z1278" t="str">
            <v>Senior Professional</v>
          </cell>
          <cell r="AA1278" t="str">
            <v>3A</v>
          </cell>
        </row>
        <row r="1279">
          <cell r="A1279">
            <v>2000369</v>
          </cell>
          <cell r="B1279">
            <v>2000369</v>
          </cell>
          <cell r="C1279" t="str">
            <v>A</v>
          </cell>
          <cell r="D1279" t="str">
            <v>Eugenie Remie Marcelo</v>
          </cell>
          <cell r="E1279" t="str">
            <v>ايوجيني ريمي مارسيلو</v>
          </cell>
          <cell r="F1279">
            <v>43569</v>
          </cell>
          <cell r="G1279" t="str">
            <v>47700927</v>
          </cell>
          <cell r="H1279" t="str">
            <v>Document Controller</v>
          </cell>
          <cell r="I1279" t="str">
            <v>مراقب وثائق</v>
          </cell>
          <cell r="J1279" t="str">
            <v>On-Chart</v>
          </cell>
          <cell r="K1279" t="str">
            <v>Al Nahiya</v>
          </cell>
          <cell r="L1279" t="str">
            <v>N0</v>
          </cell>
          <cell r="M1279" t="str">
            <v>Department of Culture and Tourism</v>
          </cell>
          <cell r="N1279" t="str">
            <v>Project Management &amp; Engineering</v>
          </cell>
          <cell r="O1279" t="str">
            <v>مكتب وكيل الدائرة</v>
          </cell>
          <cell r="P1279" t="str">
            <v>Project Management &amp; Engineering</v>
          </cell>
          <cell r="Q1279" t="str">
            <v>هندسة وإدارة المشاريع</v>
          </cell>
          <cell r="R1279" t="str">
            <v/>
          </cell>
          <cell r="S1279" t="str">
            <v/>
          </cell>
          <cell r="T1279" t="str">
            <v/>
          </cell>
          <cell r="U1279" t="str">
            <v/>
          </cell>
          <cell r="V1279" t="str">
            <v>Abu Dhabi</v>
          </cell>
          <cell r="W1279" t="str">
            <v/>
          </cell>
          <cell r="X1279" t="str">
            <v>4510150</v>
          </cell>
          <cell r="Y1279" t="str">
            <v>Information Technology_IT Technical Support Engineer _Professional Assistant</v>
          </cell>
          <cell r="Z1279" t="str">
            <v>Professional</v>
          </cell>
          <cell r="AA1279" t="str">
            <v>4A</v>
          </cell>
        </row>
        <row r="1280">
          <cell r="A1280">
            <v>2000371</v>
          </cell>
          <cell r="B1280">
            <v>2000371</v>
          </cell>
          <cell r="C1280" t="str">
            <v>A</v>
          </cell>
          <cell r="D1280" t="str">
            <v>Noura Nadim Kahil</v>
          </cell>
          <cell r="E1280" t="str">
            <v>نورة نديم خيل</v>
          </cell>
          <cell r="F1280">
            <v>43583</v>
          </cell>
          <cell r="G1280" t="str">
            <v>10009332</v>
          </cell>
          <cell r="H1280" t="str">
            <v>Combat Sports Unit Head</v>
          </cell>
          <cell r="I1280" t="str">
            <v>رئيس وحدة الألعاب القتالية</v>
          </cell>
          <cell r="J1280" t="str">
            <v>On-Chart</v>
          </cell>
          <cell r="K1280" t="str">
            <v>Al Nahiya</v>
          </cell>
          <cell r="L1280" t="str">
            <v>N0</v>
          </cell>
          <cell r="M1280" t="str">
            <v>Department of Culture and Tourism</v>
          </cell>
          <cell r="N1280" t="str">
            <v>Tourism</v>
          </cell>
          <cell r="O1280" t="str">
            <v>السياحة</v>
          </cell>
          <cell r="P1280" t="str">
            <v>Abu Dhabi Events Bureau</v>
          </cell>
          <cell r="Q1280" t="str">
            <v>مكتب أبوظبي للفعاليات</v>
          </cell>
          <cell r="R1280" t="str">
            <v>Sports Engagement</v>
          </cell>
          <cell r="S1280" t="str">
            <v>الرياضة العامة</v>
          </cell>
          <cell r="T1280" t="str">
            <v>Combat Sports</v>
          </cell>
          <cell r="U1280" t="str">
            <v>الألعاب القتالية</v>
          </cell>
          <cell r="V1280" t="str">
            <v>Abu Dhabi</v>
          </cell>
          <cell r="W1280" t="str">
            <v/>
          </cell>
          <cell r="X1280" t="str">
            <v>4515500</v>
          </cell>
          <cell r="Y1280" t="str">
            <v>Commercial _Conventions, Exhibitions, Events,Festivals Development &amp; Sales  _Unit Head</v>
          </cell>
          <cell r="Z1280" t="str">
            <v>Unit Head</v>
          </cell>
          <cell r="AA1280" t="str">
            <v>3A</v>
          </cell>
        </row>
        <row r="1281">
          <cell r="A1281">
            <v>2000372</v>
          </cell>
          <cell r="B1281">
            <v>2000372</v>
          </cell>
          <cell r="C1281" t="str">
            <v>A</v>
          </cell>
          <cell r="D1281" t="str">
            <v>Esameldin Mohamed Abdesalam</v>
          </cell>
          <cell r="E1281" t="str">
            <v>عصام الدين محمد عبدالسلام</v>
          </cell>
          <cell r="F1281">
            <v>43466</v>
          </cell>
          <cell r="G1281" t="str">
            <v>10010634</v>
          </cell>
          <cell r="H1281" t="str">
            <v>Gifts &amp; Exchange Assistant</v>
          </cell>
          <cell r="I1281" t="str">
            <v>مساعد التبادل والهدايا</v>
          </cell>
          <cell r="J1281" t="str">
            <v>Off-Chart</v>
          </cell>
          <cell r="K1281" t="str">
            <v>Al Nahiya</v>
          </cell>
          <cell r="L1281" t="str">
            <v>N0</v>
          </cell>
          <cell r="M1281" t="str">
            <v>Department of Culture and Tourism</v>
          </cell>
          <cell r="N1281" t="str">
            <v>Culture</v>
          </cell>
          <cell r="O1281" t="str">
            <v>الثقافة</v>
          </cell>
          <cell r="P1281" t="str">
            <v>Library Management</v>
          </cell>
          <cell r="Q1281" t="str">
            <v>إدارة المكتبات</v>
          </cell>
          <cell r="R1281" t="str">
            <v>Technical Services</v>
          </cell>
          <cell r="S1281" t="str">
            <v>الخدمات الفنية</v>
          </cell>
          <cell r="T1281" t="str">
            <v>Gifts &amp; Exchange</v>
          </cell>
          <cell r="U1281" t="str">
            <v>التبادل والهدايا</v>
          </cell>
          <cell r="V1281" t="str">
            <v>Abu Dhabi</v>
          </cell>
          <cell r="W1281" t="str">
            <v/>
          </cell>
          <cell r="X1281" t="str">
            <v>4516100</v>
          </cell>
          <cell r="Y1281" t="str">
            <v>Operations_Library Operational  Management _Professional Assistant</v>
          </cell>
          <cell r="Z1281" t="str">
            <v>Professional Assistant</v>
          </cell>
          <cell r="AA1281" t="str">
            <v>4A</v>
          </cell>
        </row>
        <row r="1282">
          <cell r="A1282">
            <v>2000373</v>
          </cell>
          <cell r="B1282">
            <v>2000373</v>
          </cell>
          <cell r="C1282" t="str">
            <v>A</v>
          </cell>
          <cell r="D1282" t="str">
            <v>Salem Imad Sultan</v>
          </cell>
          <cell r="E1282" t="str">
            <v>سالم عماد سلطان</v>
          </cell>
          <cell r="F1282">
            <v>43352</v>
          </cell>
          <cell r="G1282" t="str">
            <v>10010810</v>
          </cell>
          <cell r="H1282" t="str">
            <v>Fixed Assets Management Accountant</v>
          </cell>
          <cell r="I1282" t="str">
            <v>محاسب إدارة الأصول الثابتة</v>
          </cell>
          <cell r="J1282" t="str">
            <v>On-Chart</v>
          </cell>
          <cell r="K1282" t="str">
            <v>Dayton</v>
          </cell>
          <cell r="L1282" t="str">
            <v>D1</v>
          </cell>
          <cell r="M1282" t="str">
            <v>Department of Culture and Tourism</v>
          </cell>
          <cell r="N1282" t="str">
            <v>Support Services</v>
          </cell>
          <cell r="O1282" t="str">
            <v>الخدمات المساندة</v>
          </cell>
          <cell r="P1282" t="str">
            <v>Finance</v>
          </cell>
          <cell r="Q1282" t="str">
            <v>إدارة المالية</v>
          </cell>
          <cell r="R1282" t="str">
            <v>Finance Operations</v>
          </cell>
          <cell r="S1282" t="str">
            <v>العمليات المالية</v>
          </cell>
          <cell r="T1282" t="str">
            <v>Fixed Assets Management</v>
          </cell>
          <cell r="U1282" t="str">
            <v>إدارة الأصول الثابتة</v>
          </cell>
          <cell r="V1282" t="str">
            <v>Abu Dhabi</v>
          </cell>
          <cell r="W1282" t="str">
            <v/>
          </cell>
          <cell r="X1282" t="str">
            <v>4510210</v>
          </cell>
          <cell r="Y1282" t="str">
            <v>Finance_Accountant _Professional Assistant</v>
          </cell>
          <cell r="Z1282" t="str">
            <v>Professional</v>
          </cell>
          <cell r="AA1282" t="str">
            <v>4A</v>
          </cell>
        </row>
        <row r="1283">
          <cell r="A1283">
            <v>2000376</v>
          </cell>
          <cell r="B1283">
            <v>2000376</v>
          </cell>
          <cell r="C1283" t="str">
            <v>A</v>
          </cell>
          <cell r="D1283" t="str">
            <v>Tamer Cheng</v>
          </cell>
          <cell r="E1283" t="str">
            <v>تامر  شينغ</v>
          </cell>
          <cell r="F1283">
            <v>43583</v>
          </cell>
          <cell r="G1283" t="str">
            <v>50003423</v>
          </cell>
          <cell r="H1283" t="str">
            <v>Procurement Business Partners Unit Head</v>
          </cell>
          <cell r="I1283" t="str">
            <v>رئيس وحدة شركاء أعمال المشتريات</v>
          </cell>
          <cell r="J1283" t="str">
            <v>On-Chart</v>
          </cell>
          <cell r="K1283" t="str">
            <v>Al Nahiya</v>
          </cell>
          <cell r="L1283" t="str">
            <v>N0</v>
          </cell>
          <cell r="M1283" t="str">
            <v>Department of Culture and Tourism</v>
          </cell>
          <cell r="N1283" t="str">
            <v>Support Services</v>
          </cell>
          <cell r="O1283" t="str">
            <v>الخدمات المساندة</v>
          </cell>
          <cell r="P1283" t="str">
            <v>Supply Management</v>
          </cell>
          <cell r="Q1283" t="str">
            <v>إدارة الإمداد</v>
          </cell>
          <cell r="R1283" t="str">
            <v>Business Partners</v>
          </cell>
          <cell r="S1283" t="str">
            <v>شركاء أعمال</v>
          </cell>
          <cell r="T1283" t="str">
            <v/>
          </cell>
          <cell r="U1283" t="str">
            <v/>
          </cell>
          <cell r="V1283" t="str">
            <v>Abu Dhabi</v>
          </cell>
          <cell r="W1283" t="str">
            <v/>
          </cell>
          <cell r="X1283" t="str">
            <v>4510240</v>
          </cell>
          <cell r="Y1283" t="str">
            <v>Procurement_Procurement Business Partners _Unit Head</v>
          </cell>
          <cell r="Z1283" t="str">
            <v>Unit Head</v>
          </cell>
          <cell r="AA1283" t="str">
            <v>3C</v>
          </cell>
        </row>
        <row r="1284">
          <cell r="A1284">
            <v>2000377</v>
          </cell>
          <cell r="B1284">
            <v>2000377</v>
          </cell>
          <cell r="C1284" t="str">
            <v>A</v>
          </cell>
          <cell r="D1284" t="str">
            <v>Thomas Jean Patrick de Oliveira</v>
          </cell>
          <cell r="E1284" t="str">
            <v>توماس جان اوليفيرا</v>
          </cell>
          <cell r="F1284">
            <v>43583</v>
          </cell>
          <cell r="G1284" t="str">
            <v>10010784</v>
          </cell>
          <cell r="H1284" t="str">
            <v>BD &amp; Sales Lead</v>
          </cell>
          <cell r="I1284" t="str">
            <v>تنفيذي رئيسي تطوير الأعمال والمبيعات</v>
          </cell>
          <cell r="J1284" t="str">
            <v>On-Chart</v>
          </cell>
          <cell r="K1284" t="str">
            <v>Al Nahiya</v>
          </cell>
          <cell r="L1284" t="str">
            <v>N0</v>
          </cell>
          <cell r="M1284" t="str">
            <v>Department of Culture and Tourism</v>
          </cell>
          <cell r="N1284" t="str">
            <v>Tourism</v>
          </cell>
          <cell r="O1284" t="str">
            <v>السياحة</v>
          </cell>
          <cell r="P1284" t="str">
            <v>Abu Dhabi Conventions &amp; Exhibition Bureau</v>
          </cell>
          <cell r="Q1284" t="str">
            <v>مكتب أبوظبي للمؤتمرات والمعارض</v>
          </cell>
          <cell r="R1284" t="str">
            <v>Conferences &amp; Exhibitions</v>
          </cell>
          <cell r="S1284" t="str">
            <v>المؤتمرات والمعارض</v>
          </cell>
          <cell r="T1284" t="str">
            <v/>
          </cell>
          <cell r="U1284" t="str">
            <v/>
          </cell>
          <cell r="V1284" t="str">
            <v>Abu Dhabi</v>
          </cell>
          <cell r="W1284" t="str">
            <v/>
          </cell>
          <cell r="X1284" t="str">
            <v>4515400</v>
          </cell>
          <cell r="Y1284" t="str">
            <v>Commercial _Conventions, Exhibitions, Events,Festivals Development &amp; Sales  _Senior Professional</v>
          </cell>
          <cell r="Z1284" t="str">
            <v>Unit Head</v>
          </cell>
          <cell r="AA1284" t="str">
            <v>3A</v>
          </cell>
        </row>
        <row r="1285">
          <cell r="A1285">
            <v>2000379</v>
          </cell>
          <cell r="B1285">
            <v>2000379</v>
          </cell>
          <cell r="C1285" t="str">
            <v>A</v>
          </cell>
          <cell r="D1285" t="str">
            <v>Shabeer Mohamed Mohamedali</v>
          </cell>
          <cell r="E1285" t="str">
            <v>شابير محمد علي</v>
          </cell>
          <cell r="F1285">
            <v>43590</v>
          </cell>
          <cell r="G1285" t="str">
            <v>50000377</v>
          </cell>
          <cell r="H1285" t="str">
            <v>Contracts Administration &amp; Cost Estimation Lead</v>
          </cell>
          <cell r="I1285" t="str">
            <v>اخصائي رئيسي للعقود وتقدير التكاليف</v>
          </cell>
          <cell r="J1285" t="str">
            <v>On-Chart</v>
          </cell>
          <cell r="K1285" t="str">
            <v>Al Nahiya</v>
          </cell>
          <cell r="L1285" t="str">
            <v>N0</v>
          </cell>
          <cell r="M1285" t="str">
            <v>Department of Culture and Tourism</v>
          </cell>
          <cell r="N1285" t="str">
            <v>Tendering &amp; Projects Control</v>
          </cell>
          <cell r="O1285" t="str">
            <v>مكتب وكيل الدائرة</v>
          </cell>
          <cell r="P1285" t="str">
            <v>Tendering &amp; Projects Control</v>
          </cell>
          <cell r="Q1285" t="str">
            <v>المناقصات ومراقبة المشاريع</v>
          </cell>
          <cell r="R1285" t="str">
            <v>Contracts Administration &amp; Cost Estimation</v>
          </cell>
          <cell r="S1285" t="str">
            <v>إدارة العقود وتقدير التكاليف</v>
          </cell>
          <cell r="T1285" t="str">
            <v/>
          </cell>
          <cell r="U1285" t="str">
            <v/>
          </cell>
          <cell r="V1285" t="str">
            <v>Abu Dhabi</v>
          </cell>
          <cell r="W1285" t="str">
            <v/>
          </cell>
          <cell r="X1285" t="str">
            <v>4510155</v>
          </cell>
          <cell r="Y1285" t="str">
            <v>Senior Specialization Project Management</v>
          </cell>
          <cell r="Z1285" t="str">
            <v>Senior Professional</v>
          </cell>
          <cell r="AA1285" t="str">
            <v>3A</v>
          </cell>
        </row>
        <row r="1286">
          <cell r="A1286">
            <v>2000381</v>
          </cell>
          <cell r="B1286">
            <v>2000381</v>
          </cell>
          <cell r="C1286" t="str">
            <v>A</v>
          </cell>
          <cell r="D1286" t="str">
            <v>Atheeq Rahman</v>
          </cell>
          <cell r="E1286" t="str">
            <v>عتيق  رحمن</v>
          </cell>
          <cell r="F1286">
            <v>43611</v>
          </cell>
          <cell r="G1286" t="str">
            <v>10011422</v>
          </cell>
          <cell r="H1286" t="str">
            <v>CRM Coordinator</v>
          </cell>
          <cell r="I1286" t="str">
            <v>منسق إدارة علاقات الشركاء</v>
          </cell>
          <cell r="J1286" t="str">
            <v>On-Chart</v>
          </cell>
          <cell r="K1286" t="str">
            <v>MSS Al Nahiya</v>
          </cell>
          <cell r="L1286" t="str">
            <v>M2</v>
          </cell>
          <cell r="M1286" t="str">
            <v>Louvre Abu Dhabi</v>
          </cell>
          <cell r="N1286" t="str">
            <v>Louvre Abu Dhabi</v>
          </cell>
          <cell r="O1286" t="str">
            <v>متحف اللوفر أبوظبي</v>
          </cell>
          <cell r="P1286" t="str">
            <v>Development, Marketing &amp; Communications</v>
          </cell>
          <cell r="Q1286" t="str">
            <v>إدارة التطوير،التسويق والاتصال</v>
          </cell>
          <cell r="R1286" t="str">
            <v/>
          </cell>
          <cell r="S1286" t="str">
            <v/>
          </cell>
          <cell r="T1286" t="str">
            <v/>
          </cell>
          <cell r="U1286" t="str">
            <v/>
          </cell>
          <cell r="V1286" t="str">
            <v>Abu Dhabi</v>
          </cell>
          <cell r="W1286" t="str">
            <v/>
          </cell>
          <cell r="X1286" t="str">
            <v>4510124</v>
          </cell>
          <cell r="Y1286" t="str">
            <v>Comms &amp; Marketing _Marketing &amp; Communications (All)_Professional</v>
          </cell>
          <cell r="Z1286" t="str">
            <v>Professional Assistant</v>
          </cell>
          <cell r="AA1286" t="str">
            <v>5A</v>
          </cell>
        </row>
        <row r="1287">
          <cell r="A1287">
            <v>2000392</v>
          </cell>
          <cell r="B1287">
            <v>2000392</v>
          </cell>
          <cell r="C1287" t="str">
            <v>A</v>
          </cell>
          <cell r="D1287" t="str">
            <v>Siroos Setoodeh</v>
          </cell>
          <cell r="E1287" t="str">
            <v>سيروس رمضان ستوده</v>
          </cell>
          <cell r="F1287">
            <v>45170</v>
          </cell>
          <cell r="G1287" t="str">
            <v>50001342</v>
          </cell>
          <cell r="H1287" t="str">
            <v>Travel &amp; Hospitality Specialist</v>
          </cell>
          <cell r="I1287" t="str">
            <v>اخصائي شؤون السفر والضيافة</v>
          </cell>
          <cell r="J1287" t="str">
            <v>On-Chart</v>
          </cell>
          <cell r="K1287" t="str">
            <v>Al Nahiya</v>
          </cell>
          <cell r="L1287" t="str">
            <v>N0</v>
          </cell>
          <cell r="M1287" t="str">
            <v>Department of Culture and Tourism</v>
          </cell>
          <cell r="N1287" t="str">
            <v>Support Services</v>
          </cell>
          <cell r="O1287" t="str">
            <v>الخدمات المساندة</v>
          </cell>
          <cell r="P1287" t="str">
            <v>People &amp; Performance</v>
          </cell>
          <cell r="Q1287" t="str">
            <v>إدارة الكوادر البشرية والأداء</v>
          </cell>
          <cell r="R1287" t="str">
            <v>Rewards &amp; Policy</v>
          </cell>
          <cell r="S1287" t="str">
            <v>المكافآت والسياسات</v>
          </cell>
          <cell r="T1287" t="str">
            <v>Travel &amp; Hospitality</v>
          </cell>
          <cell r="U1287" t="str">
            <v>السفر والضيافة</v>
          </cell>
          <cell r="V1287" t="str">
            <v>Abu Dhabi</v>
          </cell>
          <cell r="W1287" t="str">
            <v/>
          </cell>
          <cell r="X1287" t="str">
            <v>4510220</v>
          </cell>
          <cell r="Y1287" t="str">
            <v>People &amp; Performance _Rewards Policy &amp; Recognition _Professional</v>
          </cell>
          <cell r="Z1287" t="str">
            <v>Professional</v>
          </cell>
          <cell r="AA1287" t="str">
            <v>4B</v>
          </cell>
        </row>
        <row r="1288">
          <cell r="A1288">
            <v>2000393</v>
          </cell>
          <cell r="B1288">
            <v>2000393</v>
          </cell>
          <cell r="C1288" t="str">
            <v>A</v>
          </cell>
          <cell r="D1288" t="str">
            <v>Zeinab El Turk</v>
          </cell>
          <cell r="E1288" t="str">
            <v>زينب  الترك</v>
          </cell>
          <cell r="F1288">
            <v>43600</v>
          </cell>
          <cell r="G1288" t="str">
            <v>50001563</v>
          </cell>
          <cell r="H1288" t="str">
            <v>Executive Assistant</v>
          </cell>
          <cell r="I1288" t="str">
            <v>مساعد تنفيذي</v>
          </cell>
          <cell r="J1288" t="str">
            <v>On-Chart</v>
          </cell>
          <cell r="K1288" t="str">
            <v>Dayton</v>
          </cell>
          <cell r="L1288" t="str">
            <v>D1</v>
          </cell>
          <cell r="M1288" t="str">
            <v>Department of Culture and Tourism</v>
          </cell>
          <cell r="N1288" t="str">
            <v>Tourism</v>
          </cell>
          <cell r="O1288" t="str">
            <v>السياحة</v>
          </cell>
          <cell r="P1288" t="str">
            <v>Director General Office</v>
          </cell>
          <cell r="Q1288" t="str">
            <v>مكتب المدير العام للسياحة</v>
          </cell>
          <cell r="R1288" t="str">
            <v/>
          </cell>
          <cell r="S1288" t="str">
            <v/>
          </cell>
          <cell r="T1288" t="str">
            <v/>
          </cell>
          <cell r="U1288" t="str">
            <v/>
          </cell>
          <cell r="V1288" t="str">
            <v>Abu Dhabi</v>
          </cell>
          <cell r="W1288" t="str">
            <v/>
          </cell>
          <cell r="X1288" t="str">
            <v>4515001</v>
          </cell>
          <cell r="Y1288" t="str">
            <v>Commercial _Tourism Products Development _Senior Professional</v>
          </cell>
          <cell r="Z1288" t="str">
            <v>Professional</v>
          </cell>
          <cell r="AA1288" t="str">
            <v>4A</v>
          </cell>
        </row>
        <row r="1289">
          <cell r="A1289">
            <v>2000395</v>
          </cell>
          <cell r="B1289">
            <v>2000395</v>
          </cell>
          <cell r="C1289" t="str">
            <v>A</v>
          </cell>
          <cell r="D1289" t="str">
            <v>Emad Eddisah</v>
          </cell>
          <cell r="E1289" t="str">
            <v>عماد  عديسه</v>
          </cell>
          <cell r="F1289">
            <v>43625</v>
          </cell>
          <cell r="G1289" t="str">
            <v>10011145</v>
          </cell>
          <cell r="H1289" t="str">
            <v>Schools Projects Officer</v>
          </cell>
          <cell r="I1289" t="str">
            <v>ضابط مشاريع المدارس</v>
          </cell>
          <cell r="J1289" t="str">
            <v>On-Chart</v>
          </cell>
          <cell r="K1289" t="str">
            <v>MSS Al Nahiya</v>
          </cell>
          <cell r="L1289" t="str">
            <v>M2</v>
          </cell>
          <cell r="M1289" t="str">
            <v>Louvre Abu Dhabi</v>
          </cell>
          <cell r="N1289" t="str">
            <v>Louvre Abu Dhabi</v>
          </cell>
          <cell r="O1289" t="str">
            <v>متحف اللوفر أبوظبي</v>
          </cell>
          <cell r="P1289" t="str">
            <v>External Affairs, Outreach and Cultural Engagement</v>
          </cell>
          <cell r="Q1289" t="str">
            <v>إدارة الشؤون الخارجية والتواصل، المشاركة الثقافية</v>
          </cell>
          <cell r="R1289" t="str">
            <v/>
          </cell>
          <cell r="S1289" t="str">
            <v/>
          </cell>
          <cell r="T1289" t="str">
            <v/>
          </cell>
          <cell r="U1289" t="str">
            <v/>
          </cell>
          <cell r="V1289" t="str">
            <v>Abu Dhabi</v>
          </cell>
          <cell r="W1289" t="str">
            <v/>
          </cell>
          <cell r="X1289" t="str">
            <v>4510123</v>
          </cell>
          <cell r="Y1289" t="str">
            <v>Interpretation &amp; Engagement_Outreach &amp; Cultural Engagement _Professional</v>
          </cell>
          <cell r="Z1289" t="str">
            <v>Professional</v>
          </cell>
          <cell r="AA1289" t="str">
            <v>4A</v>
          </cell>
        </row>
        <row r="1290">
          <cell r="A1290">
            <v>2000396</v>
          </cell>
          <cell r="B1290">
            <v>2000396</v>
          </cell>
          <cell r="C1290" t="str">
            <v>A</v>
          </cell>
          <cell r="D1290" t="str">
            <v>Sarah Julie Ferry</v>
          </cell>
          <cell r="E1290" t="str">
            <v>ساراه جولي فيري</v>
          </cell>
          <cell r="F1290">
            <v>43611</v>
          </cell>
          <cell r="G1290" t="str">
            <v>10010976</v>
          </cell>
          <cell r="H1290" t="str">
            <v>Weddings Lead</v>
          </cell>
          <cell r="I1290" t="str">
            <v>تنفيذي رئيسي حفلات الزفاف</v>
          </cell>
          <cell r="J1290" t="str">
            <v>On-Chart</v>
          </cell>
          <cell r="K1290" t="str">
            <v>Al Nahiya</v>
          </cell>
          <cell r="L1290" t="str">
            <v>N0</v>
          </cell>
          <cell r="M1290" t="str">
            <v>Department of Culture and Tourism</v>
          </cell>
          <cell r="N1290" t="str">
            <v>Tourism</v>
          </cell>
          <cell r="O1290" t="str">
            <v>السياحة</v>
          </cell>
          <cell r="P1290" t="str">
            <v>Abu Dhabi Conventions &amp; Exhibition Bureau</v>
          </cell>
          <cell r="Q1290" t="str">
            <v>مكتب أبوظبي للمؤتمرات والمعارض</v>
          </cell>
          <cell r="R1290" t="str">
            <v>Meetings, Incentives &amp; Weddings</v>
          </cell>
          <cell r="S1290" t="str">
            <v>الاجتماعات، الحوافز وحفلات الزفاف</v>
          </cell>
          <cell r="T1290" t="str">
            <v/>
          </cell>
          <cell r="U1290" t="str">
            <v/>
          </cell>
          <cell r="V1290" t="str">
            <v>Abu Dhabi</v>
          </cell>
          <cell r="W1290" t="str">
            <v/>
          </cell>
          <cell r="X1290" t="str">
            <v>4515400</v>
          </cell>
          <cell r="Y1290" t="str">
            <v>Commercial _Conventions, Exhibitions, Events,Festivals Development &amp; Sales  _Senior Professional</v>
          </cell>
          <cell r="Z1290" t="str">
            <v>Unit Head</v>
          </cell>
          <cell r="AA1290" t="str">
            <v>3A</v>
          </cell>
        </row>
        <row r="1291">
          <cell r="A1291">
            <v>2000398</v>
          </cell>
          <cell r="B1291">
            <v>2000398</v>
          </cell>
          <cell r="C1291" t="str">
            <v>A</v>
          </cell>
          <cell r="D1291" t="str">
            <v>Priji Kumar Damodharan</v>
          </cell>
          <cell r="E1291" t="str">
            <v>بريجي كومار داموداران</v>
          </cell>
          <cell r="F1291">
            <v>43625</v>
          </cell>
          <cell r="G1291" t="str">
            <v>50003464</v>
          </cell>
          <cell r="H1291" t="str">
            <v>Cataloguing Technician</v>
          </cell>
          <cell r="I1291" t="str">
            <v>فني الفهرسة</v>
          </cell>
          <cell r="J1291" t="str">
            <v>On-Chart</v>
          </cell>
          <cell r="K1291" t="str">
            <v>Al Nahiya</v>
          </cell>
          <cell r="L1291" t="str">
            <v>N0</v>
          </cell>
          <cell r="M1291" t="str">
            <v>Department of Culture and Tourism</v>
          </cell>
          <cell r="N1291" t="str">
            <v>Culture</v>
          </cell>
          <cell r="O1291" t="str">
            <v>الثقافة</v>
          </cell>
          <cell r="P1291" t="str">
            <v>Library Management</v>
          </cell>
          <cell r="Q1291" t="str">
            <v>إدارة المكتبات</v>
          </cell>
          <cell r="R1291" t="str">
            <v>Technical Services</v>
          </cell>
          <cell r="S1291" t="str">
            <v>الخدمات الفنية</v>
          </cell>
          <cell r="T1291" t="str">
            <v/>
          </cell>
          <cell r="U1291" t="str">
            <v/>
          </cell>
          <cell r="V1291" t="str">
            <v>Abu Dhabi</v>
          </cell>
          <cell r="W1291" t="str">
            <v/>
          </cell>
          <cell r="X1291" t="str">
            <v>4516100</v>
          </cell>
          <cell r="Y1291" t="str">
            <v>Interpretation &amp; Engagement_Library Service Delivery (Librarian)_Professional</v>
          </cell>
          <cell r="Z1291" t="str">
            <v>Professional</v>
          </cell>
          <cell r="AA1291" t="str">
            <v>5C</v>
          </cell>
        </row>
        <row r="1292">
          <cell r="A1292">
            <v>2000405</v>
          </cell>
          <cell r="B1292">
            <v>2000405</v>
          </cell>
          <cell r="C1292" t="str">
            <v>A</v>
          </cell>
          <cell r="D1292" t="str">
            <v>Honaida Hassan Naib</v>
          </cell>
          <cell r="E1292" t="str">
            <v>هنيدة حسن نايب</v>
          </cell>
          <cell r="F1292">
            <v>43639</v>
          </cell>
          <cell r="G1292" t="str">
            <v>50000518</v>
          </cell>
          <cell r="H1292" t="str">
            <v>Senior Heritage Planner</v>
          </cell>
          <cell r="I1292" t="str">
            <v>أخصائي أول تخطيط تراث</v>
          </cell>
          <cell r="J1292" t="str">
            <v>On-Chart</v>
          </cell>
          <cell r="K1292" t="str">
            <v>Al Nahiya</v>
          </cell>
          <cell r="L1292" t="str">
            <v>N0</v>
          </cell>
          <cell r="M1292" t="str">
            <v>Department of Culture and Tourism</v>
          </cell>
          <cell r="N1292" t="str">
            <v>Culture</v>
          </cell>
          <cell r="O1292" t="str">
            <v>الثقافة</v>
          </cell>
          <cell r="P1292" t="str">
            <v>Historic Environment</v>
          </cell>
          <cell r="Q1292" t="str">
            <v>البيئة التاريخية</v>
          </cell>
          <cell r="R1292" t="str">
            <v>World Heritage Sites Management</v>
          </cell>
          <cell r="S1292" t="str">
            <v>إدارة مواقع التراث العالمي</v>
          </cell>
          <cell r="T1292" t="str">
            <v>World Heritage Planning</v>
          </cell>
          <cell r="U1292" t="str">
            <v>تخطيط التراث العالمي</v>
          </cell>
          <cell r="V1292" t="str">
            <v>Al Ain</v>
          </cell>
          <cell r="W1292" t="str">
            <v/>
          </cell>
          <cell r="X1292" t="str">
            <v>4511300</v>
          </cell>
          <cell r="Y1292" t="str">
            <v>Compliance,Governance&amp;Protocol_Policy (Culture/Tourism _Senior Professional</v>
          </cell>
          <cell r="Z1292" t="str">
            <v>Senior Professional</v>
          </cell>
          <cell r="AA1292" t="str">
            <v>3B</v>
          </cell>
        </row>
        <row r="1293">
          <cell r="A1293">
            <v>2000407</v>
          </cell>
          <cell r="B1293">
            <v>2000407</v>
          </cell>
          <cell r="C1293" t="str">
            <v>A</v>
          </cell>
          <cell r="D1293" t="str">
            <v>Vijay Maruthamuthu</v>
          </cell>
          <cell r="E1293" t="str">
            <v>فيجاي  ماروثاموثو</v>
          </cell>
          <cell r="F1293">
            <v>43626</v>
          </cell>
          <cell r="G1293" t="str">
            <v>10011113</v>
          </cell>
          <cell r="H1293" t="str">
            <v>Technical Support Engineer</v>
          </cell>
          <cell r="I1293" t="str">
            <v>مهندس الدعم التقني</v>
          </cell>
          <cell r="J1293" t="str">
            <v>On-Chart</v>
          </cell>
          <cell r="K1293" t="str">
            <v>Sundus</v>
          </cell>
          <cell r="L1293" t="str">
            <v>SU</v>
          </cell>
          <cell r="M1293" t="str">
            <v>Department of Culture and Tourism</v>
          </cell>
          <cell r="N1293" t="str">
            <v>Support Services</v>
          </cell>
          <cell r="O1293" t="str">
            <v>الخدمات المساندة</v>
          </cell>
          <cell r="P1293" t="str">
            <v>Technology</v>
          </cell>
          <cell r="Q1293" t="str">
            <v>التكنولوجيا</v>
          </cell>
          <cell r="R1293" t="str">
            <v>Technology Infrastructure</v>
          </cell>
          <cell r="S1293" t="str">
            <v>البنية التحتية للتكنولوجيا</v>
          </cell>
          <cell r="T1293" t="str">
            <v>E Support</v>
          </cell>
          <cell r="U1293" t="str">
            <v>الدعم الإلكتروني</v>
          </cell>
          <cell r="V1293" t="str">
            <v>Abu Dhabi</v>
          </cell>
          <cell r="W1293" t="str">
            <v/>
          </cell>
          <cell r="X1293" t="str">
            <v>4510250</v>
          </cell>
          <cell r="Y1293" t="str">
            <v>Information Technology_Technical Support Engineer_Professional</v>
          </cell>
          <cell r="Z1293" t="str">
            <v>Professional</v>
          </cell>
          <cell r="AA1293" t="str">
            <v>4A</v>
          </cell>
        </row>
        <row r="1294">
          <cell r="A1294">
            <v>2000409</v>
          </cell>
          <cell r="B1294">
            <v>2000409</v>
          </cell>
          <cell r="C1294" t="str">
            <v>A</v>
          </cell>
          <cell r="D1294" t="str">
            <v>Tino Belarmino Castillo</v>
          </cell>
          <cell r="E1294" t="str">
            <v>تينو  كاستيلو</v>
          </cell>
          <cell r="F1294">
            <v>43653</v>
          </cell>
          <cell r="G1294" t="str">
            <v>10011090</v>
          </cell>
          <cell r="H1294" t="str">
            <v>Employee Relations Specialist</v>
          </cell>
          <cell r="I1294" t="str">
            <v>أخصائي شؤون الموظفين</v>
          </cell>
          <cell r="J1294" t="str">
            <v>On-Chart</v>
          </cell>
          <cell r="K1294" t="str">
            <v>Al Nahiya</v>
          </cell>
          <cell r="L1294" t="str">
            <v>N0</v>
          </cell>
          <cell r="M1294" t="str">
            <v>Department of Culture and Tourism</v>
          </cell>
          <cell r="N1294" t="str">
            <v>Support Services</v>
          </cell>
          <cell r="O1294" t="str">
            <v>الخدمات المساندة</v>
          </cell>
          <cell r="P1294" t="str">
            <v>People &amp; Performance</v>
          </cell>
          <cell r="Q1294" t="str">
            <v>إدارة الكوادر البشرية والأداء</v>
          </cell>
          <cell r="R1294" t="str">
            <v>Employee Relations</v>
          </cell>
          <cell r="S1294" t="str">
            <v>شؤون الموظفين</v>
          </cell>
          <cell r="T1294" t="str">
            <v>Employee Relations</v>
          </cell>
          <cell r="U1294" t="str">
            <v>شؤون الموظفين</v>
          </cell>
          <cell r="V1294" t="str">
            <v>Abu Dhabi</v>
          </cell>
          <cell r="W1294" t="str">
            <v/>
          </cell>
          <cell r="X1294" t="str">
            <v>4510220</v>
          </cell>
          <cell r="Y1294" t="str">
            <v>People &amp; Performance _Employee Relations _Professional</v>
          </cell>
          <cell r="Z1294" t="str">
            <v>Professional</v>
          </cell>
          <cell r="AA1294" t="str">
            <v>4A</v>
          </cell>
        </row>
        <row r="1295">
          <cell r="A1295">
            <v>2000410</v>
          </cell>
          <cell r="B1295">
            <v>2000410</v>
          </cell>
          <cell r="C1295" t="str">
            <v>A</v>
          </cell>
          <cell r="D1295" t="str">
            <v>Bahaaeldin Mohamed Okasha</v>
          </cell>
          <cell r="E1295" t="str">
            <v>بهاء الدين  عكاشة</v>
          </cell>
          <cell r="F1295">
            <v>43660</v>
          </cell>
          <cell r="G1295" t="str">
            <v>10011100</v>
          </cell>
          <cell r="H1295" t="str">
            <v>Sales Lead</v>
          </cell>
          <cell r="I1295" t="str">
            <v>تنفيذي رئيسي المبيعات</v>
          </cell>
          <cell r="J1295" t="str">
            <v>On-Chart</v>
          </cell>
          <cell r="K1295" t="str">
            <v>Al Nahiya</v>
          </cell>
          <cell r="L1295" t="str">
            <v>N0</v>
          </cell>
          <cell r="M1295" t="str">
            <v>Department of Culture and Tourism</v>
          </cell>
          <cell r="N1295" t="str">
            <v>Tourism</v>
          </cell>
          <cell r="O1295" t="str">
            <v>السياحة</v>
          </cell>
          <cell r="P1295" t="str">
            <v>Abu Dhabi Conventions &amp; Exhibition Bureau</v>
          </cell>
          <cell r="Q1295" t="str">
            <v>مكتب أبوظبي للمؤتمرات والمعارض</v>
          </cell>
          <cell r="R1295" t="str">
            <v>Conventions</v>
          </cell>
          <cell r="S1295" t="str">
            <v>الاتفاقيات</v>
          </cell>
          <cell r="T1295" t="str">
            <v/>
          </cell>
          <cell r="U1295" t="str">
            <v/>
          </cell>
          <cell r="V1295" t="str">
            <v>Abu Dhabi</v>
          </cell>
          <cell r="W1295" t="str">
            <v/>
          </cell>
          <cell r="X1295" t="str">
            <v>4515400</v>
          </cell>
          <cell r="Y1295" t="str">
            <v>Commercial _Conventions, Exhibitions, Events,Festivals Development &amp; Sales  _Senior Professional</v>
          </cell>
          <cell r="Z1295" t="str">
            <v>Unit Head</v>
          </cell>
          <cell r="AA1295" t="str">
            <v>3A</v>
          </cell>
        </row>
        <row r="1296">
          <cell r="A1296">
            <v>2000412</v>
          </cell>
          <cell r="B1296">
            <v>2000412</v>
          </cell>
          <cell r="C1296" t="str">
            <v>A</v>
          </cell>
          <cell r="D1296" t="str">
            <v>Niyas Ahamed Sirajudeen Sirajudeen</v>
          </cell>
          <cell r="E1296" t="str">
            <v>نياز احمد سراج الدين سراج الدين</v>
          </cell>
          <cell r="F1296">
            <v>43674</v>
          </cell>
          <cell r="G1296" t="str">
            <v>50002726</v>
          </cell>
          <cell r="H1296" t="str">
            <v>IT Governance Specialist</v>
          </cell>
          <cell r="I1296" t="str">
            <v>أخصائي حوكمة تكنولوجيا المعلومات</v>
          </cell>
          <cell r="J1296" t="str">
            <v>On-Chart</v>
          </cell>
          <cell r="K1296" t="str">
            <v>MSS Al Nahiya</v>
          </cell>
          <cell r="L1296" t="str">
            <v>M2</v>
          </cell>
          <cell r="M1296" t="str">
            <v>Department of Culture and Tourism</v>
          </cell>
          <cell r="N1296" t="str">
            <v>Museums Shared Services</v>
          </cell>
          <cell r="O1296" t="str">
            <v>الخدمات المشتركة للمتاحف</v>
          </cell>
          <cell r="P1296" t="str">
            <v>Technology - MSS</v>
          </cell>
          <cell r="Q1296" t="str">
            <v>إدارة التكنولوجيا - الخدمات المشتركة للمتاحف</v>
          </cell>
          <cell r="R1296" t="str">
            <v>IT Governance</v>
          </cell>
          <cell r="S1296" t="str">
            <v/>
          </cell>
          <cell r="T1296" t="str">
            <v>IT Governance Unit</v>
          </cell>
          <cell r="U1296" t="str">
            <v>وحدة حوكمة تكنولوجيا المعلومات</v>
          </cell>
          <cell r="V1296" t="str">
            <v>Abu Dhabi</v>
          </cell>
          <cell r="W1296" t="str">
            <v/>
          </cell>
          <cell r="X1296" t="str">
            <v>4514180</v>
          </cell>
          <cell r="Y1296" t="str">
            <v>Information Technology_Security Architect_Senior Professional</v>
          </cell>
          <cell r="Z1296" t="str">
            <v>Professional</v>
          </cell>
          <cell r="AA1296" t="str">
            <v>4A</v>
          </cell>
        </row>
        <row r="1297">
          <cell r="A1297">
            <v>2000416</v>
          </cell>
          <cell r="B1297">
            <v>2000416</v>
          </cell>
          <cell r="C1297" t="str">
            <v>A</v>
          </cell>
          <cell r="D1297" t="str">
            <v>Mohammed Sairaj</v>
          </cell>
          <cell r="E1297" t="str">
            <v>محمد  سراج</v>
          </cell>
          <cell r="F1297">
            <v>43716</v>
          </cell>
          <cell r="G1297" t="str">
            <v>10008831</v>
          </cell>
          <cell r="H1297" t="str">
            <v>Procurement Business Partner</v>
          </cell>
          <cell r="I1297" t="str">
            <v>شريك أعمال المشتريات</v>
          </cell>
          <cell r="J1297" t="str">
            <v>On-Chart</v>
          </cell>
          <cell r="K1297" t="str">
            <v>Al Nahiya</v>
          </cell>
          <cell r="L1297" t="str">
            <v>N0</v>
          </cell>
          <cell r="M1297" t="str">
            <v>Department of Culture and Tourism</v>
          </cell>
          <cell r="N1297" t="str">
            <v>Support Services</v>
          </cell>
          <cell r="O1297" t="str">
            <v>الخدمات المساندة</v>
          </cell>
          <cell r="P1297" t="str">
            <v>Supply Management</v>
          </cell>
          <cell r="Q1297" t="str">
            <v>إدارة الإمداد</v>
          </cell>
          <cell r="R1297" t="str">
            <v>Business Partners</v>
          </cell>
          <cell r="S1297" t="str">
            <v>شركاء أعمال</v>
          </cell>
          <cell r="T1297" t="str">
            <v>Procurement Business Partners</v>
          </cell>
          <cell r="U1297" t="str">
            <v>شركاء أعمال المشتريات</v>
          </cell>
          <cell r="V1297" t="str">
            <v>Abu Dhabi</v>
          </cell>
          <cell r="W1297" t="str">
            <v/>
          </cell>
          <cell r="X1297" t="str">
            <v>4510240</v>
          </cell>
          <cell r="Y1297" t="str">
            <v>Procurement_Procurement Business Partner _Senior Professional</v>
          </cell>
          <cell r="Z1297" t="str">
            <v>Senior Professional</v>
          </cell>
          <cell r="AA1297" t="str">
            <v>3B</v>
          </cell>
        </row>
        <row r="1298">
          <cell r="A1298">
            <v>2000417</v>
          </cell>
          <cell r="B1298">
            <v>2000417</v>
          </cell>
          <cell r="C1298" t="str">
            <v>A</v>
          </cell>
          <cell r="D1298" t="str">
            <v>Muhammad Arif Mushtaq</v>
          </cell>
          <cell r="E1298" t="str">
            <v>محمد عارف  مشتاق</v>
          </cell>
          <cell r="F1298">
            <v>43646</v>
          </cell>
          <cell r="G1298" t="str">
            <v>50002573</v>
          </cell>
          <cell r="H1298" t="str">
            <v>Senior Accountant</v>
          </cell>
          <cell r="I1298" t="str">
            <v>محاسب أول</v>
          </cell>
          <cell r="J1298" t="str">
            <v>On-Chart</v>
          </cell>
          <cell r="K1298" t="str">
            <v>MSS Al Nahiya</v>
          </cell>
          <cell r="L1298" t="str">
            <v>M2</v>
          </cell>
          <cell r="M1298" t="str">
            <v>Department of Culture and Tourism</v>
          </cell>
          <cell r="N1298" t="str">
            <v>Museums Shared Services</v>
          </cell>
          <cell r="O1298" t="str">
            <v>الخدمات المشتركة للمتاحف</v>
          </cell>
          <cell r="P1298" t="str">
            <v>Finance - MSS</v>
          </cell>
          <cell r="Q1298" t="str">
            <v>الإدارة المالية - الخدمات المشتركة للمتاحف</v>
          </cell>
          <cell r="R1298" t="str">
            <v>Finance Operation Section - MSS</v>
          </cell>
          <cell r="S1298" t="str">
            <v>قسم العمليات المالية</v>
          </cell>
          <cell r="T1298" t="str">
            <v>Fixed Assets Unit - MSS</v>
          </cell>
          <cell r="U1298" t="str">
            <v>وحدة إدارة الأصول الثابتة</v>
          </cell>
          <cell r="V1298" t="str">
            <v>Abu Dhabi</v>
          </cell>
          <cell r="W1298" t="str">
            <v/>
          </cell>
          <cell r="X1298" t="str">
            <v>4514120</v>
          </cell>
          <cell r="Y1298" t="str">
            <v>Finance_Accountant_Senior Professional</v>
          </cell>
          <cell r="Z1298" t="str">
            <v>Senior Professional</v>
          </cell>
          <cell r="AA1298" t="str">
            <v>3A</v>
          </cell>
        </row>
        <row r="1299">
          <cell r="A1299">
            <v>2000419</v>
          </cell>
          <cell r="B1299">
            <v>2000419</v>
          </cell>
          <cell r="C1299" t="str">
            <v>A</v>
          </cell>
          <cell r="D1299" t="str">
            <v>Expedieto Agravante</v>
          </cell>
          <cell r="E1299" t="str">
            <v>اسبيديتو  اجرافانتي</v>
          </cell>
          <cell r="F1299">
            <v>43681</v>
          </cell>
          <cell r="G1299" t="str">
            <v>10011257</v>
          </cell>
          <cell r="H1299" t="str">
            <v>Fixed Assets Management Accountant</v>
          </cell>
          <cell r="I1299" t="str">
            <v>محاسب إدارة الأصول الثابتة</v>
          </cell>
          <cell r="J1299" t="str">
            <v>On-Chart</v>
          </cell>
          <cell r="K1299" t="str">
            <v>Al Nahiya</v>
          </cell>
          <cell r="L1299" t="str">
            <v>N0</v>
          </cell>
          <cell r="M1299" t="str">
            <v>Department of Culture and Tourism</v>
          </cell>
          <cell r="N1299" t="str">
            <v>Support Services</v>
          </cell>
          <cell r="O1299" t="str">
            <v>الخدمات المساندة</v>
          </cell>
          <cell r="P1299" t="str">
            <v>Finance</v>
          </cell>
          <cell r="Q1299" t="str">
            <v>إدارة المالية</v>
          </cell>
          <cell r="R1299" t="str">
            <v>Finance Operations</v>
          </cell>
          <cell r="S1299" t="str">
            <v>العمليات المالية</v>
          </cell>
          <cell r="T1299" t="str">
            <v>Fixed Assets Management</v>
          </cell>
          <cell r="U1299" t="str">
            <v>إدارة الأصول الثابتة</v>
          </cell>
          <cell r="V1299" t="str">
            <v>Abu Dhabi</v>
          </cell>
          <cell r="W1299" t="str">
            <v/>
          </cell>
          <cell r="X1299" t="str">
            <v>4510210</v>
          </cell>
          <cell r="Y1299" t="str">
            <v>Finance_Accountant _Professional Assistant</v>
          </cell>
          <cell r="Z1299" t="str">
            <v>Professional</v>
          </cell>
          <cell r="AA1299" t="str">
            <v>4A</v>
          </cell>
        </row>
        <row r="1300">
          <cell r="A1300">
            <v>2000420</v>
          </cell>
          <cell r="B1300">
            <v>2000420</v>
          </cell>
          <cell r="C1300" t="str">
            <v>A</v>
          </cell>
          <cell r="D1300" t="str">
            <v>Abdelrahman Abdelsalam ElGharieb</v>
          </cell>
          <cell r="E1300" t="str">
            <v>عبدالرحمن عبدالسلام الغريب</v>
          </cell>
          <cell r="F1300">
            <v>43647</v>
          </cell>
          <cell r="G1300" t="str">
            <v>10011314</v>
          </cell>
          <cell r="H1300" t="str">
            <v>Technical Support Engineer</v>
          </cell>
          <cell r="I1300" t="str">
            <v>مهندس الدعم التقني</v>
          </cell>
          <cell r="J1300" t="str">
            <v>On-Chart</v>
          </cell>
          <cell r="K1300" t="str">
            <v>Sundus</v>
          </cell>
          <cell r="L1300" t="str">
            <v>SU</v>
          </cell>
          <cell r="M1300" t="str">
            <v>Department of Culture and Tourism</v>
          </cell>
          <cell r="N1300" t="str">
            <v>Support Services</v>
          </cell>
          <cell r="O1300" t="str">
            <v>الخدمات المساندة</v>
          </cell>
          <cell r="P1300" t="str">
            <v>Technology</v>
          </cell>
          <cell r="Q1300" t="str">
            <v>التكنولوجيا</v>
          </cell>
          <cell r="R1300" t="str">
            <v>Technology Infrastructure</v>
          </cell>
          <cell r="S1300" t="str">
            <v>البنية التحتية للتكنولوجيا</v>
          </cell>
          <cell r="T1300" t="str">
            <v>E Support</v>
          </cell>
          <cell r="U1300" t="str">
            <v>الدعم الإلكتروني</v>
          </cell>
          <cell r="V1300" t="str">
            <v>Abu Dhabi</v>
          </cell>
          <cell r="W1300" t="str">
            <v/>
          </cell>
          <cell r="X1300" t="str">
            <v>4510250</v>
          </cell>
          <cell r="Y1300" t="str">
            <v>Information Technology_Technical Support Engineer_Professional</v>
          </cell>
          <cell r="Z1300" t="str">
            <v>Professional</v>
          </cell>
          <cell r="AA1300" t="str">
            <v>4C</v>
          </cell>
        </row>
        <row r="1301">
          <cell r="A1301">
            <v>2000423</v>
          </cell>
          <cell r="B1301">
            <v>2000423</v>
          </cell>
          <cell r="C1301" t="str">
            <v>A</v>
          </cell>
          <cell r="D1301" t="str">
            <v>Majd Shat</v>
          </cell>
          <cell r="E1301" t="str">
            <v>مجد  شعت</v>
          </cell>
          <cell r="F1301">
            <v>43683</v>
          </cell>
          <cell r="G1301" t="str">
            <v>50001044</v>
          </cell>
          <cell r="H1301" t="str">
            <v>Nominations Specialist</v>
          </cell>
          <cell r="I1301" t="str">
            <v>أخصائي الترشيحات</v>
          </cell>
          <cell r="J1301" t="str">
            <v>On-Chart</v>
          </cell>
          <cell r="K1301" t="str">
            <v>ALC Al Nahiya</v>
          </cell>
          <cell r="L1301" t="str">
            <v>AL2</v>
          </cell>
          <cell r="M1301" t="str">
            <v>Abu Dhabi Arabic Language Centre</v>
          </cell>
          <cell r="N1301" t="str">
            <v>Abu Dhabi Arabic Language Centre</v>
          </cell>
          <cell r="O1301" t="str">
            <v>مركز أبوظبي للغة العربية</v>
          </cell>
          <cell r="P1301" t="str">
            <v>Literature Awards</v>
          </cell>
          <cell r="Q1301" t="str">
            <v>الجوائز الأدبية</v>
          </cell>
          <cell r="R1301" t="str">
            <v>Nominations - ALC</v>
          </cell>
          <cell r="S1301" t="str">
            <v>الترشيحات</v>
          </cell>
          <cell r="T1301" t="str">
            <v/>
          </cell>
          <cell r="U1301" t="str">
            <v/>
          </cell>
          <cell r="V1301" t="str">
            <v>Abu Dhabi</v>
          </cell>
          <cell r="W1301" t="str">
            <v/>
          </cell>
          <cell r="X1301" t="str">
            <v>4519201</v>
          </cell>
          <cell r="Y1301" t="str">
            <v>Interpretation &amp; Engagement_Literature Awards Nominations _Professional</v>
          </cell>
          <cell r="Z1301" t="str">
            <v>Professional</v>
          </cell>
          <cell r="AA1301" t="str">
            <v>4B</v>
          </cell>
        </row>
        <row r="1302">
          <cell r="A1302">
            <v>2000427</v>
          </cell>
          <cell r="B1302">
            <v>2000427</v>
          </cell>
          <cell r="C1302" t="str">
            <v>A</v>
          </cell>
          <cell r="D1302" t="str">
            <v>Anna Balysheva</v>
          </cell>
          <cell r="E1302" t="str">
            <v>أنا  باليشيفا</v>
          </cell>
          <cell r="F1302">
            <v>43702</v>
          </cell>
          <cell r="G1302" t="str">
            <v>50001334</v>
          </cell>
          <cell r="H1302" t="str">
            <v>Curator</v>
          </cell>
          <cell r="I1302" t="str">
            <v>أمين متحف</v>
          </cell>
          <cell r="J1302" t="str">
            <v>On-Chart</v>
          </cell>
          <cell r="K1302" t="str">
            <v>Al Nahiya</v>
          </cell>
          <cell r="L1302" t="str">
            <v>N0</v>
          </cell>
          <cell r="M1302" t="str">
            <v>Department of Culture and Tourism</v>
          </cell>
          <cell r="N1302" t="str">
            <v>Culture</v>
          </cell>
          <cell r="O1302" t="str">
            <v>الثقافة</v>
          </cell>
          <cell r="P1302" t="str">
            <v>Scientific, Curatorial and Collection Department</v>
          </cell>
          <cell r="Q1302" t="str">
            <v>إدارة البحث العلمي والمقتنيات</v>
          </cell>
          <cell r="R1302" t="str">
            <v>Curatorial Research</v>
          </cell>
          <cell r="S1302" t="str">
            <v>البحوث وأمناء المتاحف</v>
          </cell>
          <cell r="T1302" t="str">
            <v/>
          </cell>
          <cell r="U1302" t="str">
            <v/>
          </cell>
          <cell r="V1302" t="str">
            <v>Abu Dhabi</v>
          </cell>
          <cell r="W1302" t="str">
            <v/>
          </cell>
          <cell r="X1302" t="str">
            <v>4511150</v>
          </cell>
          <cell r="Y1302" t="str">
            <v>Compliance,Governance&amp;Protocol_Policy (Culture/Tourism _Senior Professional</v>
          </cell>
          <cell r="Z1302" t="str">
            <v>Senior Professional</v>
          </cell>
          <cell r="AA1302" t="str">
            <v>3C</v>
          </cell>
        </row>
        <row r="1303">
          <cell r="A1303">
            <v>2000428</v>
          </cell>
          <cell r="B1303">
            <v>2000428</v>
          </cell>
          <cell r="C1303" t="str">
            <v>A</v>
          </cell>
          <cell r="D1303" t="str">
            <v>Ramadan Youssef Hassanien Mohamed</v>
          </cell>
          <cell r="E1303" t="str">
            <v>رمضان يوسف محمد</v>
          </cell>
          <cell r="F1303">
            <v>43669</v>
          </cell>
          <cell r="G1303" t="str">
            <v>10011357</v>
          </cell>
          <cell r="H1303" t="str">
            <v>Assistant Oud Builder</v>
          </cell>
          <cell r="I1303" t="str">
            <v>مساعد صانع عود</v>
          </cell>
          <cell r="J1303" t="str">
            <v>On-Chart</v>
          </cell>
          <cell r="K1303" t="str">
            <v>Sundus</v>
          </cell>
          <cell r="L1303" t="str">
            <v>SU</v>
          </cell>
          <cell r="M1303" t="str">
            <v>Department of Culture and Tourism</v>
          </cell>
          <cell r="N1303" t="str">
            <v>Culture</v>
          </cell>
          <cell r="O1303" t="str">
            <v>الثقافة</v>
          </cell>
          <cell r="P1303" t="str">
            <v>Culture Sites Management</v>
          </cell>
          <cell r="Q1303" t="str">
            <v>إدارة المواقع الثقافية</v>
          </cell>
          <cell r="R1303" t="str">
            <v>Bait Al Oud</v>
          </cell>
          <cell r="S1303" t="str">
            <v>بيت العود</v>
          </cell>
          <cell r="T1303" t="str">
            <v>Academic &amp; Performances</v>
          </cell>
          <cell r="U1303" t="str">
            <v>تعليم العود والأداء</v>
          </cell>
          <cell r="V1303" t="str">
            <v>Abu Dhabi</v>
          </cell>
          <cell r="W1303" t="str">
            <v/>
          </cell>
          <cell r="X1303" t="str">
            <v>4511250</v>
          </cell>
          <cell r="Y1303" t="str">
            <v>Content &amp; Care_Culture Sites Protection_Assistant &amp; Technical Staff</v>
          </cell>
          <cell r="Z1303" t="str">
            <v>Assistant and Technical Staff</v>
          </cell>
          <cell r="AA1303" t="str">
            <v>7A</v>
          </cell>
        </row>
        <row r="1304">
          <cell r="A1304">
            <v>2000430</v>
          </cell>
          <cell r="B1304">
            <v>2000430</v>
          </cell>
          <cell r="C1304" t="str">
            <v>A</v>
          </cell>
          <cell r="D1304" t="str">
            <v>Leslie Rocal</v>
          </cell>
          <cell r="E1304" t="str">
            <v>ليسلي  روكال</v>
          </cell>
          <cell r="F1304">
            <v>43709</v>
          </cell>
          <cell r="G1304" t="str">
            <v>10011339</v>
          </cell>
          <cell r="H1304" t="str">
            <v>Document Controller</v>
          </cell>
          <cell r="I1304" t="str">
            <v>مراقب وثائق</v>
          </cell>
          <cell r="J1304" t="str">
            <v>On-Chart</v>
          </cell>
          <cell r="K1304" t="str">
            <v>Al Nahiya</v>
          </cell>
          <cell r="L1304" t="str">
            <v>N0</v>
          </cell>
          <cell r="M1304" t="str">
            <v>Department of Culture and Tourism</v>
          </cell>
          <cell r="N1304" t="str">
            <v>Project Management &amp; Engineering</v>
          </cell>
          <cell r="O1304" t="str">
            <v>مكتب وكيل الدائرة</v>
          </cell>
          <cell r="P1304" t="str">
            <v>Project Management &amp; Engineering</v>
          </cell>
          <cell r="Q1304" t="str">
            <v>هندسة وإدارة المشاريع</v>
          </cell>
          <cell r="R1304" t="str">
            <v/>
          </cell>
          <cell r="S1304" t="str">
            <v/>
          </cell>
          <cell r="T1304" t="str">
            <v/>
          </cell>
          <cell r="U1304" t="str">
            <v/>
          </cell>
          <cell r="V1304" t="str">
            <v>Abu Dhabi</v>
          </cell>
          <cell r="W1304" t="str">
            <v/>
          </cell>
          <cell r="X1304" t="str">
            <v>4510150</v>
          </cell>
          <cell r="Y1304" t="str">
            <v>Information Technology_IT Technical Support Engineer _Professional Assistant</v>
          </cell>
          <cell r="Z1304" t="str">
            <v>Professional Assistant</v>
          </cell>
          <cell r="AA1304" t="str">
            <v>5A</v>
          </cell>
        </row>
        <row r="1305">
          <cell r="A1305">
            <v>2000431</v>
          </cell>
          <cell r="B1305">
            <v>2000431</v>
          </cell>
          <cell r="C1305" t="str">
            <v>A</v>
          </cell>
          <cell r="D1305" t="str">
            <v>Malak Mohamed Al Ajou</v>
          </cell>
          <cell r="E1305" t="str">
            <v>ملاك محمد العجو</v>
          </cell>
          <cell r="F1305">
            <v>43710</v>
          </cell>
          <cell r="G1305" t="str">
            <v>10009114</v>
          </cell>
          <cell r="H1305" t="str">
            <v>Surveyor</v>
          </cell>
          <cell r="I1305" t="str">
            <v>مساح</v>
          </cell>
          <cell r="J1305" t="str">
            <v>On-Chart</v>
          </cell>
          <cell r="K1305" t="str">
            <v>Al Nahiya</v>
          </cell>
          <cell r="L1305" t="str">
            <v>N0</v>
          </cell>
          <cell r="M1305" t="str">
            <v>Department of Culture and Tourism</v>
          </cell>
          <cell r="N1305" t="str">
            <v>Culture</v>
          </cell>
          <cell r="O1305" t="str">
            <v>الثقافة</v>
          </cell>
          <cell r="P1305" t="str">
            <v>Historic Environment</v>
          </cell>
          <cell r="Q1305" t="str">
            <v>البيئة التاريخية</v>
          </cell>
          <cell r="R1305" t="str">
            <v>Historic Buildings &amp; Landscapes</v>
          </cell>
          <cell r="S1305" t="str">
            <v>المباني والمسطحات التاريخية</v>
          </cell>
          <cell r="T1305" t="str">
            <v>Historic Buildings &amp; Landscape – Al Dhafra &amp; Abu Dhabi</v>
          </cell>
          <cell r="U1305" t="str">
            <v>المباني والمسطحات التاريخية – الظفرة وأبوظبي</v>
          </cell>
          <cell r="V1305" t="str">
            <v>Al Ain</v>
          </cell>
          <cell r="W1305" t="str">
            <v/>
          </cell>
          <cell r="X1305" t="str">
            <v>4511300</v>
          </cell>
          <cell r="Y1305" t="str">
            <v>Compliance,Governance&amp;Protocol_Policy (Culture/Tourism) _Professional</v>
          </cell>
          <cell r="Z1305" t="str">
            <v>Professional</v>
          </cell>
          <cell r="AA1305" t="str">
            <v>4B</v>
          </cell>
        </row>
        <row r="1306">
          <cell r="A1306">
            <v>2000438</v>
          </cell>
          <cell r="B1306">
            <v>2000438</v>
          </cell>
          <cell r="C1306" t="str">
            <v>A</v>
          </cell>
          <cell r="D1306" t="str">
            <v>Shabeena Cassiere</v>
          </cell>
          <cell r="E1306" t="str">
            <v>شابينا  كاسيري</v>
          </cell>
          <cell r="F1306">
            <v>43730</v>
          </cell>
          <cell r="G1306" t="str">
            <v>10011439</v>
          </cell>
          <cell r="H1306" t="str">
            <v>Events Services Unit Head</v>
          </cell>
          <cell r="I1306" t="str">
            <v>رئيس وحدة خدمات الفعاليات</v>
          </cell>
          <cell r="J1306" t="str">
            <v>On-Chart</v>
          </cell>
          <cell r="K1306" t="str">
            <v>Al Nahiya</v>
          </cell>
          <cell r="L1306" t="str">
            <v>N0</v>
          </cell>
          <cell r="M1306" t="str">
            <v>Department of Culture and Tourism</v>
          </cell>
          <cell r="N1306" t="str">
            <v>Tourism</v>
          </cell>
          <cell r="O1306" t="str">
            <v>السياحة</v>
          </cell>
          <cell r="P1306" t="str">
            <v>Abu Dhabi Conventions &amp; Exhibition Bureau</v>
          </cell>
          <cell r="Q1306" t="str">
            <v>مكتب أبوظبي للمؤتمرات والمعارض</v>
          </cell>
          <cell r="R1306" t="str">
            <v>Events Services</v>
          </cell>
          <cell r="S1306" t="str">
            <v>خدمات الفعاليات</v>
          </cell>
          <cell r="T1306" t="str">
            <v>Event Services</v>
          </cell>
          <cell r="U1306" t="str">
            <v>وحدة خدمات الفعاليات</v>
          </cell>
          <cell r="V1306" t="str">
            <v>Abu Dhabi</v>
          </cell>
          <cell r="W1306" t="str">
            <v/>
          </cell>
          <cell r="X1306" t="str">
            <v>4515400</v>
          </cell>
          <cell r="Y1306" t="str">
            <v>Commercial _Conventions, Exhibitions, Events,Festivals Development &amp; Sales  _Senior Professional</v>
          </cell>
          <cell r="Z1306" t="str">
            <v>Unit Head</v>
          </cell>
          <cell r="AA1306" t="str">
            <v>3B</v>
          </cell>
        </row>
        <row r="1307">
          <cell r="A1307">
            <v>2000441</v>
          </cell>
          <cell r="B1307">
            <v>2000441</v>
          </cell>
          <cell r="C1307" t="str">
            <v>A</v>
          </cell>
          <cell r="D1307" t="str">
            <v>Sahil Dhawan</v>
          </cell>
          <cell r="E1307" t="str">
            <v>ساهيل  داوان</v>
          </cell>
          <cell r="F1307">
            <v>44007</v>
          </cell>
          <cell r="G1307" t="str">
            <v>10009981</v>
          </cell>
          <cell r="H1307" t="str">
            <v>Business Analytics Senior Specialist</v>
          </cell>
          <cell r="I1307" t="str">
            <v>أخصائي أول تحليل الأعمال</v>
          </cell>
          <cell r="J1307" t="str">
            <v>On-Chart</v>
          </cell>
          <cell r="K1307" t="str">
            <v>Al Nahiya</v>
          </cell>
          <cell r="L1307" t="str">
            <v>N0</v>
          </cell>
          <cell r="M1307" t="str">
            <v>Department of Culture and Tourism</v>
          </cell>
          <cell r="N1307" t="str">
            <v>Strategic Affairs</v>
          </cell>
          <cell r="O1307" t="str">
            <v>الشؤون الاستراتيجية</v>
          </cell>
          <cell r="P1307" t="str">
            <v>Data &amp; AI Department</v>
          </cell>
          <cell r="Q1307" t="str">
            <v>إدارة البيانات والذكاء الاصطناعي</v>
          </cell>
          <cell r="R1307" t="str">
            <v>Artificial Intelligence Section</v>
          </cell>
          <cell r="S1307" t="str">
            <v>التحليل وعلم البيانات</v>
          </cell>
          <cell r="T1307" t="str">
            <v>Data Science</v>
          </cell>
          <cell r="U1307" t="str">
            <v>علم البيانات</v>
          </cell>
          <cell r="V1307" t="str">
            <v>Abu Dhabi</v>
          </cell>
          <cell r="W1307" t="str">
            <v/>
          </cell>
          <cell r="X1307" t="str">
            <v>4512200</v>
          </cell>
          <cell r="Y1307" t="str">
            <v>Strategy, Planning, Project Mgt_Business &amp; Market Intelligence  Analysis &amp; Planning_Senior Professional</v>
          </cell>
          <cell r="Z1307" t="str">
            <v>Senior Professional</v>
          </cell>
          <cell r="AA1307" t="str">
            <v>4B</v>
          </cell>
        </row>
        <row r="1308">
          <cell r="A1308">
            <v>2000442</v>
          </cell>
          <cell r="B1308">
            <v>2000442</v>
          </cell>
          <cell r="C1308" t="str">
            <v>A</v>
          </cell>
          <cell r="D1308" t="str">
            <v>Anabela Ferreira</v>
          </cell>
          <cell r="E1308" t="str">
            <v>أنابيلا  فيرادرا</v>
          </cell>
          <cell r="F1308">
            <v>43740</v>
          </cell>
          <cell r="G1308" t="str">
            <v>10011536</v>
          </cell>
          <cell r="H1308" t="str">
            <v>Objects Conservator</v>
          </cell>
          <cell r="I1308" t="str">
            <v>أخصائي حفظ التحف</v>
          </cell>
          <cell r="J1308" t="str">
            <v>On-Chart</v>
          </cell>
          <cell r="K1308" t="str">
            <v>Al Nahiya</v>
          </cell>
          <cell r="L1308" t="str">
            <v>N0</v>
          </cell>
          <cell r="M1308" t="str">
            <v>Department of Culture and Tourism</v>
          </cell>
          <cell r="N1308" t="str">
            <v>Culture</v>
          </cell>
          <cell r="O1308" t="str">
            <v>الثقافة</v>
          </cell>
          <cell r="P1308" t="str">
            <v>Scientific, Curatorial and Collection Department</v>
          </cell>
          <cell r="Q1308" t="str">
            <v>إدارة البحث العلمي والمقتنيات</v>
          </cell>
          <cell r="R1308" t="str">
            <v>Collections</v>
          </cell>
          <cell r="S1308" t="str">
            <v>إدارة المقتنيات</v>
          </cell>
          <cell r="T1308" t="str">
            <v>Collections Conservation</v>
          </cell>
          <cell r="U1308" t="str">
            <v>حفظ المقتنيات</v>
          </cell>
          <cell r="V1308" t="str">
            <v>Abu Dhabi</v>
          </cell>
          <cell r="W1308" t="str">
            <v/>
          </cell>
          <cell r="X1308" t="str">
            <v>4511150</v>
          </cell>
          <cell r="Y1308" t="str">
            <v>Compliance,Governance&amp;Protocol_Policy (Culture/Tourism) _Professional</v>
          </cell>
          <cell r="Z1308" t="str">
            <v>Professional</v>
          </cell>
          <cell r="AA1308" t="str">
            <v>4A</v>
          </cell>
        </row>
        <row r="1309">
          <cell r="A1309">
            <v>2000445</v>
          </cell>
          <cell r="B1309">
            <v>2000445</v>
          </cell>
          <cell r="C1309" t="str">
            <v>A</v>
          </cell>
          <cell r="D1309" t="str">
            <v>Fatima Hassan Ahmed</v>
          </cell>
          <cell r="E1309" t="str">
            <v>فاطمة حسن أحمد</v>
          </cell>
          <cell r="F1309">
            <v>43745</v>
          </cell>
          <cell r="G1309" t="str">
            <v>10011545</v>
          </cell>
          <cell r="H1309" t="str">
            <v>Projects Coordinator</v>
          </cell>
          <cell r="I1309" t="str">
            <v>منسق مشاريع</v>
          </cell>
          <cell r="J1309" t="str">
            <v>Off-Chart</v>
          </cell>
          <cell r="K1309" t="str">
            <v>Al Nahiya</v>
          </cell>
          <cell r="L1309" t="str">
            <v>N0</v>
          </cell>
          <cell r="M1309" t="str">
            <v>Department of Culture and Tourism</v>
          </cell>
          <cell r="N1309" t="str">
            <v>Culture</v>
          </cell>
          <cell r="O1309" t="str">
            <v>الثقافة</v>
          </cell>
          <cell r="P1309" t="str">
            <v>Historic Environment</v>
          </cell>
          <cell r="Q1309" t="str">
            <v>البيئة التاريخية</v>
          </cell>
          <cell r="R1309" t="str">
            <v>Conservation</v>
          </cell>
          <cell r="S1309" t="str">
            <v>الترميم</v>
          </cell>
          <cell r="T1309" t="str">
            <v/>
          </cell>
          <cell r="U1309" t="str">
            <v/>
          </cell>
          <cell r="V1309" t="str">
            <v>Abu Dhabi</v>
          </cell>
          <cell r="W1309" t="str">
            <v/>
          </cell>
          <cell r="X1309" t="str">
            <v>4511300</v>
          </cell>
          <cell r="Y1309" t="str">
            <v>Compliance,Governance&amp;Protocol_Policy (Culture/Tourism) _Professional</v>
          </cell>
          <cell r="Z1309" t="str">
            <v>Professional Assistant</v>
          </cell>
          <cell r="AA1309" t="str">
            <v>5A</v>
          </cell>
        </row>
        <row r="1310">
          <cell r="A1310">
            <v>2000447</v>
          </cell>
          <cell r="B1310">
            <v>2000447</v>
          </cell>
          <cell r="C1310" t="str">
            <v>A</v>
          </cell>
          <cell r="D1310" t="str">
            <v>Ahmad Akram Al Zubi</v>
          </cell>
          <cell r="E1310" t="str">
            <v>أحمد أكرم الزعبي</v>
          </cell>
          <cell r="F1310">
            <v>43751</v>
          </cell>
          <cell r="G1310" t="str">
            <v>50000846</v>
          </cell>
          <cell r="H1310" t="str">
            <v>Senior Specialist, Field Research</v>
          </cell>
          <cell r="I1310" t="str">
            <v>أخصائي أول بحوث ميدانية</v>
          </cell>
          <cell r="J1310" t="str">
            <v>On-Chart</v>
          </cell>
          <cell r="K1310" t="str">
            <v>Al Nahiya</v>
          </cell>
          <cell r="L1310" t="str">
            <v>N0</v>
          </cell>
          <cell r="M1310" t="str">
            <v>Department of Culture and Tourism</v>
          </cell>
          <cell r="N1310" t="str">
            <v>Culture</v>
          </cell>
          <cell r="O1310" t="str">
            <v>الثقافة</v>
          </cell>
          <cell r="P1310" t="str">
            <v>Historic Environment</v>
          </cell>
          <cell r="Q1310" t="str">
            <v>البيئة التاريخية</v>
          </cell>
          <cell r="R1310" t="str">
            <v>Conservation</v>
          </cell>
          <cell r="S1310" t="str">
            <v>الترميم</v>
          </cell>
          <cell r="T1310" t="str">
            <v>Conservation – Modern &amp; Urban Heritage</v>
          </cell>
          <cell r="U1310" t="str">
            <v>حماية التراث الحديث</v>
          </cell>
          <cell r="V1310" t="str">
            <v>Abu Dhabi</v>
          </cell>
          <cell r="W1310" t="str">
            <v/>
          </cell>
          <cell r="X1310" t="str">
            <v>4511300</v>
          </cell>
          <cell r="Y1310" t="str">
            <v>Compliance,Governance&amp;Protocol_Policy (Culture/Tourism _Senior Professional</v>
          </cell>
          <cell r="Z1310" t="str">
            <v>Senior Professional</v>
          </cell>
          <cell r="AA1310" t="str">
            <v>3B</v>
          </cell>
        </row>
        <row r="1311">
          <cell r="A1311">
            <v>2000459</v>
          </cell>
          <cell r="B1311">
            <v>2000459</v>
          </cell>
          <cell r="C1311" t="str">
            <v>A</v>
          </cell>
          <cell r="D1311" t="str">
            <v>Ghadeer Albaghdadi</v>
          </cell>
          <cell r="E1311" t="str">
            <v>غدير  البغدادي</v>
          </cell>
          <cell r="F1311">
            <v>43772</v>
          </cell>
          <cell r="G1311" t="str">
            <v>10011602</v>
          </cell>
          <cell r="H1311" t="str">
            <v>Project Management Senior Specialist</v>
          </cell>
          <cell r="I1311" t="str">
            <v>أخصائي أول إدارة المشاريع</v>
          </cell>
          <cell r="J1311" t="str">
            <v>On-Chart</v>
          </cell>
          <cell r="K1311" t="str">
            <v>Al Nahiya</v>
          </cell>
          <cell r="L1311" t="str">
            <v>N0</v>
          </cell>
          <cell r="M1311" t="str">
            <v>Department of Culture and Tourism</v>
          </cell>
          <cell r="N1311" t="str">
            <v>Project Management &amp; Engineering</v>
          </cell>
          <cell r="O1311" t="str">
            <v>مكتب وكيل الدائرة</v>
          </cell>
          <cell r="P1311" t="str">
            <v>Project Management &amp; Engineering</v>
          </cell>
          <cell r="Q1311" t="str">
            <v>هندسة وإدارة المشاريع</v>
          </cell>
          <cell r="R1311" t="str">
            <v/>
          </cell>
          <cell r="S1311" t="str">
            <v/>
          </cell>
          <cell r="T1311" t="str">
            <v/>
          </cell>
          <cell r="U1311" t="str">
            <v/>
          </cell>
          <cell r="V1311" t="str">
            <v>Abu Dhabi</v>
          </cell>
          <cell r="W1311" t="str">
            <v/>
          </cell>
          <cell r="X1311" t="str">
            <v>4510150</v>
          </cell>
          <cell r="Y1311" t="str">
            <v>Technical Safety &amp; Security_Engineering Design &amp; Development _Senior Professional</v>
          </cell>
          <cell r="Z1311" t="str">
            <v>Senior Professional</v>
          </cell>
          <cell r="AA1311" t="str">
            <v>3A</v>
          </cell>
        </row>
        <row r="1312">
          <cell r="A1312">
            <v>2000464</v>
          </cell>
          <cell r="B1312">
            <v>2000464</v>
          </cell>
          <cell r="C1312" t="str">
            <v>A</v>
          </cell>
          <cell r="D1312" t="str">
            <v>Yasin Mohamed Ibrahim</v>
          </cell>
          <cell r="E1312" t="str">
            <v>ياسين محمد ابراهيم</v>
          </cell>
          <cell r="F1312">
            <v>43772</v>
          </cell>
          <cell r="G1312" t="str">
            <v>10011710</v>
          </cell>
          <cell r="H1312" t="str">
            <v>Storekeeping Assistant</v>
          </cell>
          <cell r="I1312" t="str">
            <v>مساعد مستودعات</v>
          </cell>
          <cell r="J1312" t="str">
            <v>Off-Chart</v>
          </cell>
          <cell r="K1312" t="str">
            <v>Al Nahiya</v>
          </cell>
          <cell r="L1312" t="str">
            <v>N0</v>
          </cell>
          <cell r="M1312" t="str">
            <v>Department of Culture and Tourism</v>
          </cell>
          <cell r="N1312" t="str">
            <v>Culture</v>
          </cell>
          <cell r="O1312" t="str">
            <v>الثقافة</v>
          </cell>
          <cell r="P1312" t="str">
            <v>Library Management</v>
          </cell>
          <cell r="Q1312" t="str">
            <v>إدارة المكتبات</v>
          </cell>
          <cell r="R1312" t="str">
            <v>Technical Services</v>
          </cell>
          <cell r="S1312" t="str">
            <v>الخدمات الفنية</v>
          </cell>
          <cell r="T1312" t="str">
            <v>Stores &amp; Binding</v>
          </cell>
          <cell r="U1312" t="str">
            <v>المستودعات</v>
          </cell>
          <cell r="V1312" t="str">
            <v>Al Ain</v>
          </cell>
          <cell r="W1312" t="str">
            <v/>
          </cell>
          <cell r="X1312" t="str">
            <v>4516100</v>
          </cell>
          <cell r="Y1312" t="str">
            <v>Operations_Library Operational  Management _Professional Assistant</v>
          </cell>
          <cell r="Z1312" t="str">
            <v>Professional Assistant</v>
          </cell>
          <cell r="AA1312" t="str">
            <v>5A</v>
          </cell>
        </row>
        <row r="1313">
          <cell r="A1313">
            <v>2000465</v>
          </cell>
          <cell r="B1313">
            <v>2000465</v>
          </cell>
          <cell r="C1313" t="str">
            <v>A</v>
          </cell>
          <cell r="D1313" t="str">
            <v>Moustafa Mohamed Elmetwally</v>
          </cell>
          <cell r="E1313" t="str">
            <v>مصطفى محمد المتولي</v>
          </cell>
          <cell r="F1313">
            <v>43772</v>
          </cell>
          <cell r="G1313" t="str">
            <v>10011711</v>
          </cell>
          <cell r="H1313" t="str">
            <v>Storekeeping Assistant</v>
          </cell>
          <cell r="I1313" t="str">
            <v>مساعد مستودعات</v>
          </cell>
          <cell r="J1313" t="str">
            <v>Off-Chart</v>
          </cell>
          <cell r="K1313" t="str">
            <v>Al Nahiya</v>
          </cell>
          <cell r="L1313" t="str">
            <v>N0</v>
          </cell>
          <cell r="M1313" t="str">
            <v>Department of Culture and Tourism</v>
          </cell>
          <cell r="N1313" t="str">
            <v>Culture</v>
          </cell>
          <cell r="O1313" t="str">
            <v>الثقافة</v>
          </cell>
          <cell r="P1313" t="str">
            <v>Library Management</v>
          </cell>
          <cell r="Q1313" t="str">
            <v>إدارة المكتبات</v>
          </cell>
          <cell r="R1313" t="str">
            <v>Technical Services</v>
          </cell>
          <cell r="S1313" t="str">
            <v>الخدمات الفنية</v>
          </cell>
          <cell r="T1313" t="str">
            <v>Stores &amp; Binding</v>
          </cell>
          <cell r="U1313" t="str">
            <v>المستودعات</v>
          </cell>
          <cell r="V1313" t="str">
            <v>Al Ain</v>
          </cell>
          <cell r="W1313" t="str">
            <v/>
          </cell>
          <cell r="X1313" t="str">
            <v>4516100</v>
          </cell>
          <cell r="Y1313" t="str">
            <v>Operations_Library Operational  Management _Professional Assistant</v>
          </cell>
          <cell r="Z1313" t="str">
            <v>Professional Assistant</v>
          </cell>
          <cell r="AA1313" t="str">
            <v>4B</v>
          </cell>
        </row>
        <row r="1314">
          <cell r="A1314">
            <v>2000466</v>
          </cell>
          <cell r="B1314">
            <v>2000466</v>
          </cell>
          <cell r="C1314" t="str">
            <v>A</v>
          </cell>
          <cell r="D1314" t="str">
            <v>Mohammad Munir</v>
          </cell>
          <cell r="E1314" t="str">
            <v>محمد  منير</v>
          </cell>
          <cell r="F1314">
            <v>43772</v>
          </cell>
          <cell r="G1314" t="str">
            <v>10011712</v>
          </cell>
          <cell r="H1314" t="str">
            <v>Cataloguing Technician</v>
          </cell>
          <cell r="I1314" t="str">
            <v>فني الفهرسة</v>
          </cell>
          <cell r="J1314" t="str">
            <v>On-Chart</v>
          </cell>
          <cell r="K1314" t="str">
            <v>Al Nahiya</v>
          </cell>
          <cell r="L1314" t="str">
            <v>N0</v>
          </cell>
          <cell r="M1314" t="str">
            <v>Department of Culture and Tourism</v>
          </cell>
          <cell r="N1314" t="str">
            <v>Culture</v>
          </cell>
          <cell r="O1314" t="str">
            <v>الثقافة</v>
          </cell>
          <cell r="P1314" t="str">
            <v>Library Management</v>
          </cell>
          <cell r="Q1314" t="str">
            <v>إدارة المكتبات</v>
          </cell>
          <cell r="R1314" t="str">
            <v>Technical Services</v>
          </cell>
          <cell r="S1314" t="str">
            <v>الخدمات الفنية</v>
          </cell>
          <cell r="T1314" t="str">
            <v>Cataloguing</v>
          </cell>
          <cell r="U1314" t="str">
            <v>الفهرسة</v>
          </cell>
          <cell r="V1314" t="str">
            <v>Al Ain</v>
          </cell>
          <cell r="W1314" t="str">
            <v/>
          </cell>
          <cell r="X1314" t="str">
            <v>4516100</v>
          </cell>
          <cell r="Y1314" t="str">
            <v>Operations_Library Operational  Management _Professional Assistant</v>
          </cell>
          <cell r="Z1314" t="str">
            <v>Jr. Professional Assistant</v>
          </cell>
          <cell r="AA1314" t="str">
            <v>6A</v>
          </cell>
        </row>
        <row r="1315">
          <cell r="A1315">
            <v>2000468</v>
          </cell>
          <cell r="B1315">
            <v>2000468</v>
          </cell>
          <cell r="C1315" t="str">
            <v>A</v>
          </cell>
          <cell r="D1315" t="str">
            <v>Shaukat Hussain</v>
          </cell>
          <cell r="E1315" t="str">
            <v>شوكت  عطا حسين</v>
          </cell>
          <cell r="F1315">
            <v>43807</v>
          </cell>
          <cell r="G1315" t="str">
            <v>10009654</v>
          </cell>
          <cell r="H1315" t="str">
            <v>Security Team Leader</v>
          </cell>
          <cell r="I1315" t="str">
            <v>قائد فريق الامن</v>
          </cell>
          <cell r="J1315" t="str">
            <v>On-Chart</v>
          </cell>
          <cell r="K1315" t="str">
            <v>MSS Al Nahiya</v>
          </cell>
          <cell r="L1315" t="str">
            <v>M2</v>
          </cell>
          <cell r="M1315" t="str">
            <v>Louvre Abu Dhabi</v>
          </cell>
          <cell r="N1315" t="str">
            <v>Louvre Abu Dhabi</v>
          </cell>
          <cell r="O1315" t="str">
            <v>متحف اللوفر أبوظبي</v>
          </cell>
          <cell r="P1315" t="str">
            <v>Technical Operations</v>
          </cell>
          <cell r="Q1315" t="str">
            <v>العمليات الفنية</v>
          </cell>
          <cell r="R1315" t="str">
            <v>Safety &amp; Security</v>
          </cell>
          <cell r="S1315" t="str">
            <v>السلامة والأمن</v>
          </cell>
          <cell r="T1315" t="str">
            <v>Security</v>
          </cell>
          <cell r="U1315" t="str">
            <v>الأمن</v>
          </cell>
          <cell r="V1315" t="str">
            <v>Abu Dhabi</v>
          </cell>
          <cell r="W1315" t="str">
            <v/>
          </cell>
          <cell r="X1315" t="str">
            <v>4510127</v>
          </cell>
          <cell r="Y1315" t="str">
            <v>Information Technology_Technical Support Engineer_Professional</v>
          </cell>
          <cell r="Z1315" t="str">
            <v>Professional</v>
          </cell>
          <cell r="AA1315" t="str">
            <v>6A</v>
          </cell>
        </row>
        <row r="1316">
          <cell r="A1316">
            <v>2000470</v>
          </cell>
          <cell r="B1316">
            <v>2000470</v>
          </cell>
          <cell r="C1316" t="str">
            <v>A</v>
          </cell>
          <cell r="D1316" t="str">
            <v>Guanyu Chen Sanders</v>
          </cell>
          <cell r="E1316" t="str">
            <v>جوانيو  تشين</v>
          </cell>
          <cell r="F1316">
            <v>43828</v>
          </cell>
          <cell r="G1316" t="str">
            <v>10011101</v>
          </cell>
          <cell r="H1316" t="str">
            <v>Visitor Operations Supervisor</v>
          </cell>
          <cell r="I1316" t="str">
            <v>مشرف عمليات الزوار</v>
          </cell>
          <cell r="J1316" t="str">
            <v>On-Chart</v>
          </cell>
          <cell r="K1316" t="str">
            <v>MSS Al Nahiya</v>
          </cell>
          <cell r="L1316" t="str">
            <v>M2</v>
          </cell>
          <cell r="M1316" t="str">
            <v>Louvre Abu Dhabi</v>
          </cell>
          <cell r="N1316" t="str">
            <v>Louvre Abu Dhabi</v>
          </cell>
          <cell r="O1316" t="str">
            <v>متحف اللوفر أبوظبي</v>
          </cell>
          <cell r="P1316" t="str">
            <v>Visitor Experience &amp; Sales</v>
          </cell>
          <cell r="Q1316" t="str">
            <v>إدارة تجربة الزوار و المبيعات</v>
          </cell>
          <cell r="R1316" t="str">
            <v>Visitor Operations</v>
          </cell>
          <cell r="S1316" t="str">
            <v>عمليات الزوار</v>
          </cell>
          <cell r="T1316" t="str">
            <v/>
          </cell>
          <cell r="U1316" t="str">
            <v/>
          </cell>
          <cell r="V1316" t="str">
            <v>Abu Dhabi</v>
          </cell>
          <cell r="W1316" t="str">
            <v/>
          </cell>
          <cell r="X1316" t="str">
            <v>4510125</v>
          </cell>
          <cell r="Y1316" t="str">
            <v>Design_Visitor Experience Design _Professional</v>
          </cell>
          <cell r="Z1316" t="str">
            <v>Professional</v>
          </cell>
          <cell r="AA1316" t="str">
            <v>4A</v>
          </cell>
        </row>
        <row r="1317">
          <cell r="A1317">
            <v>2000471</v>
          </cell>
          <cell r="B1317">
            <v>2000471</v>
          </cell>
          <cell r="C1317" t="str">
            <v>A</v>
          </cell>
          <cell r="D1317" t="str">
            <v>Syed Moazzam Ali</v>
          </cell>
          <cell r="E1317" t="str">
            <v>سيد معظم علي</v>
          </cell>
          <cell r="F1317">
            <v>43836</v>
          </cell>
          <cell r="G1317" t="str">
            <v>10011919</v>
          </cell>
          <cell r="H1317" t="str">
            <v>BD &amp; Sales Lead</v>
          </cell>
          <cell r="I1317" t="str">
            <v>تنفيذي رئيسي تطوير الأعمال والمبيعات</v>
          </cell>
          <cell r="J1317" t="str">
            <v>On-Chart</v>
          </cell>
          <cell r="K1317" t="str">
            <v>Al Nahiya</v>
          </cell>
          <cell r="L1317" t="str">
            <v>N0</v>
          </cell>
          <cell r="M1317" t="str">
            <v>Department of Culture and Tourism</v>
          </cell>
          <cell r="N1317" t="str">
            <v>Tourism</v>
          </cell>
          <cell r="O1317" t="str">
            <v>السياحة</v>
          </cell>
          <cell r="P1317" t="str">
            <v>Abu Dhabi Conventions &amp; Exhibition Bureau</v>
          </cell>
          <cell r="Q1317" t="str">
            <v>مكتب أبوظبي للمؤتمرات والمعارض</v>
          </cell>
          <cell r="R1317" t="str">
            <v>Conferences &amp; Exhibitions</v>
          </cell>
          <cell r="S1317" t="str">
            <v>المؤتمرات والمعارض</v>
          </cell>
          <cell r="T1317" t="str">
            <v/>
          </cell>
          <cell r="U1317" t="str">
            <v/>
          </cell>
          <cell r="V1317" t="str">
            <v>Abu Dhabi</v>
          </cell>
          <cell r="W1317" t="str">
            <v/>
          </cell>
          <cell r="X1317" t="str">
            <v>4515400</v>
          </cell>
          <cell r="Y1317" t="str">
            <v>Commercial _Conventions, Exhibitions, Events,Festivals Development &amp; Sales  _Senior Professional</v>
          </cell>
          <cell r="Z1317" t="str">
            <v>Unit Head</v>
          </cell>
          <cell r="AA1317" t="str">
            <v>3A</v>
          </cell>
        </row>
        <row r="1318">
          <cell r="A1318">
            <v>2000478</v>
          </cell>
          <cell r="B1318">
            <v>2000478</v>
          </cell>
          <cell r="C1318" t="str">
            <v>A</v>
          </cell>
          <cell r="D1318" t="str">
            <v>Wael Dawoud</v>
          </cell>
          <cell r="E1318" t="str">
            <v>وائل  داوود</v>
          </cell>
          <cell r="F1318">
            <v>43879</v>
          </cell>
          <cell r="G1318" t="str">
            <v>50002838</v>
          </cell>
          <cell r="H1318" t="str">
            <v>Sourcing Senior Specialist</v>
          </cell>
          <cell r="I1318" t="str">
            <v>أخصائي أول التوريد</v>
          </cell>
          <cell r="J1318" t="str">
            <v>On-Chart</v>
          </cell>
          <cell r="K1318" t="str">
            <v>MSS Al Nahiya</v>
          </cell>
          <cell r="L1318" t="str">
            <v>M2</v>
          </cell>
          <cell r="M1318" t="str">
            <v>Department of Culture and Tourism</v>
          </cell>
          <cell r="N1318" t="str">
            <v>Museums Shared Services</v>
          </cell>
          <cell r="O1318" t="str">
            <v>الخدمات المشتركة للمتاحف</v>
          </cell>
          <cell r="P1318" t="str">
            <v>Supply Management - MSS</v>
          </cell>
          <cell r="Q1318" t="str">
            <v>إدارة الإمداد - الخدمات المشتركة للمتاحف</v>
          </cell>
          <cell r="R1318" t="str">
            <v>Supply Management Operations Section</v>
          </cell>
          <cell r="S1318" t="str">
            <v>قسم عمليات إدارة الإمداد</v>
          </cell>
          <cell r="T1318" t="str">
            <v>Sourcing Unit</v>
          </cell>
          <cell r="U1318" t="str">
            <v>وحدة التوريد</v>
          </cell>
          <cell r="V1318" t="str">
            <v>Abu Dhabi</v>
          </cell>
          <cell r="W1318" t="str">
            <v/>
          </cell>
          <cell r="X1318" t="str">
            <v>4514160</v>
          </cell>
          <cell r="Y1318" t="str">
            <v>Procurement_Procurement General_Senior Professional</v>
          </cell>
          <cell r="Z1318" t="str">
            <v>Senior Professional</v>
          </cell>
          <cell r="AA1318" t="str">
            <v>3A</v>
          </cell>
        </row>
        <row r="1319">
          <cell r="A1319">
            <v>2000479</v>
          </cell>
          <cell r="B1319">
            <v>2000479</v>
          </cell>
          <cell r="C1319" t="str">
            <v>A</v>
          </cell>
          <cell r="D1319" t="str">
            <v>Tiffany Therese Martin</v>
          </cell>
          <cell r="E1319" t="str">
            <v>تيفاني  مارتن</v>
          </cell>
          <cell r="F1319">
            <v>43891</v>
          </cell>
          <cell r="G1319" t="str">
            <v>50000330</v>
          </cell>
          <cell r="H1319" t="str">
            <v>Exhibitions Registrar</v>
          </cell>
          <cell r="I1319" t="str">
            <v>مسجل معارض</v>
          </cell>
          <cell r="J1319" t="str">
            <v>On-Chart</v>
          </cell>
          <cell r="K1319" t="str">
            <v>MSS Al Nahiya</v>
          </cell>
          <cell r="L1319" t="str">
            <v>M2</v>
          </cell>
          <cell r="M1319" t="str">
            <v>Louvre Abu Dhabi</v>
          </cell>
          <cell r="N1319" t="str">
            <v>Louvre Abu Dhabi</v>
          </cell>
          <cell r="O1319" t="str">
            <v>متحف اللوفر أبوظبي</v>
          </cell>
          <cell r="P1319" t="str">
            <v>Scientific, Curatorial &amp; Collection Management</v>
          </cell>
          <cell r="Q1319" t="str">
            <v>إدارة المقتنيات العلمية والتنظيمية</v>
          </cell>
          <cell r="R1319" t="str">
            <v>Museography &amp; Collection Management</v>
          </cell>
          <cell r="S1319" t="str">
            <v>إدارة المجموعات</v>
          </cell>
          <cell r="T1319" t="str">
            <v>Registration &amp; Collection Management</v>
          </cell>
          <cell r="U1319" t="str">
            <v/>
          </cell>
          <cell r="V1319" t="str">
            <v>Abu Dhabi</v>
          </cell>
          <cell r="W1319" t="str">
            <v/>
          </cell>
          <cell r="X1319" t="str">
            <v>4510122</v>
          </cell>
          <cell r="Y1319" t="str">
            <v>Design_Exhibitions Design _Senior Professional</v>
          </cell>
          <cell r="Z1319" t="str">
            <v>Senior Professional</v>
          </cell>
          <cell r="AA1319" t="str">
            <v>3A</v>
          </cell>
        </row>
        <row r="1320">
          <cell r="A1320">
            <v>2000481</v>
          </cell>
          <cell r="B1320">
            <v>2000481</v>
          </cell>
          <cell r="C1320" t="str">
            <v>A</v>
          </cell>
          <cell r="D1320" t="str">
            <v>Muhammad Ahsan Abid</v>
          </cell>
          <cell r="E1320" t="str">
            <v>محمد أحسن مير عابد</v>
          </cell>
          <cell r="F1320">
            <v>43898</v>
          </cell>
          <cell r="G1320" t="str">
            <v>50002817</v>
          </cell>
          <cell r="H1320" t="str">
            <v>Contracts &amp; Performance Senior Specialist</v>
          </cell>
          <cell r="I1320" t="str">
            <v>أخصائي أول العقود والأداء</v>
          </cell>
          <cell r="J1320" t="str">
            <v>On-Chart</v>
          </cell>
          <cell r="K1320" t="str">
            <v>MSS Al Nahiya</v>
          </cell>
          <cell r="L1320" t="str">
            <v>M2</v>
          </cell>
          <cell r="M1320" t="str">
            <v>Department of Culture and Tourism</v>
          </cell>
          <cell r="N1320" t="str">
            <v>Museums Shared Services</v>
          </cell>
          <cell r="O1320" t="str">
            <v>الخدمات المشتركة للمتاحف</v>
          </cell>
          <cell r="P1320" t="str">
            <v>Supply Management - MSS</v>
          </cell>
          <cell r="Q1320" t="str">
            <v>إدارة الإمداد - الخدمات المشتركة للمتاحف</v>
          </cell>
          <cell r="R1320" t="str">
            <v>Contracts System &amp; Reporting Section</v>
          </cell>
          <cell r="S1320" t="str">
            <v>قسم العقود والأنظمة والتقارير</v>
          </cell>
          <cell r="T1320" t="str">
            <v>Contracts &amp; Performance Unit</v>
          </cell>
          <cell r="U1320" t="str">
            <v>وحدة العقود والاداء</v>
          </cell>
          <cell r="V1320" t="str">
            <v>Abu Dhabi</v>
          </cell>
          <cell r="W1320" t="str">
            <v/>
          </cell>
          <cell r="X1320" t="str">
            <v>4514160</v>
          </cell>
          <cell r="Y1320" t="str">
            <v>Procurement_Contracts  _Senior Professional</v>
          </cell>
          <cell r="Z1320" t="str">
            <v>Senior Professional</v>
          </cell>
          <cell r="AA1320" t="str">
            <v>3A</v>
          </cell>
        </row>
        <row r="1321">
          <cell r="A1321">
            <v>2000483</v>
          </cell>
          <cell r="B1321">
            <v>2000483</v>
          </cell>
          <cell r="C1321" t="str">
            <v>A</v>
          </cell>
          <cell r="D1321" t="str">
            <v>Brian Michael Kerrigan</v>
          </cell>
          <cell r="E1321" t="str">
            <v>برايان  كيراجان</v>
          </cell>
          <cell r="F1321">
            <v>43935</v>
          </cell>
          <cell r="G1321" t="str">
            <v>50000350</v>
          </cell>
          <cell r="H1321" t="str">
            <v>Senior Visual &amp; Images Officer</v>
          </cell>
          <cell r="I1321" t="str">
            <v>ضابط أول المرئيات والصور</v>
          </cell>
          <cell r="J1321" t="str">
            <v>On-Chart</v>
          </cell>
          <cell r="K1321" t="str">
            <v>MSS Al Nahiya</v>
          </cell>
          <cell r="L1321" t="str">
            <v>M2</v>
          </cell>
          <cell r="M1321" t="str">
            <v>Louvre Abu Dhabi</v>
          </cell>
          <cell r="N1321" t="str">
            <v>Louvre Abu Dhabi</v>
          </cell>
          <cell r="O1321" t="str">
            <v>متحف اللوفر أبوظبي</v>
          </cell>
          <cell r="P1321" t="str">
            <v>External Affairs, Outreach and Cultural Engagement</v>
          </cell>
          <cell r="Q1321" t="str">
            <v>إدارة الشؤون الخارجية والتواصل، المشاركة الثقافية</v>
          </cell>
          <cell r="R1321" t="str">
            <v/>
          </cell>
          <cell r="S1321" t="str">
            <v/>
          </cell>
          <cell r="T1321" t="str">
            <v/>
          </cell>
          <cell r="U1321" t="str">
            <v/>
          </cell>
          <cell r="V1321" t="str">
            <v>Abu Dhabi</v>
          </cell>
          <cell r="W1321" t="str">
            <v/>
          </cell>
          <cell r="X1321" t="str">
            <v>4510123</v>
          </cell>
          <cell r="Y1321" t="str">
            <v>Interpretation &amp; Engagement_Outreach &amp; Cultural Engagement _Senior Professional</v>
          </cell>
          <cell r="Z1321" t="str">
            <v>Senior Professional</v>
          </cell>
          <cell r="AA1321" t="str">
            <v>3A</v>
          </cell>
        </row>
        <row r="1322">
          <cell r="A1322">
            <v>2000484</v>
          </cell>
          <cell r="B1322">
            <v>2000484</v>
          </cell>
          <cell r="C1322" t="str">
            <v>A</v>
          </cell>
          <cell r="D1322" t="str">
            <v>Samah Kadah</v>
          </cell>
          <cell r="E1322" t="str">
            <v>سماح  قدح</v>
          </cell>
          <cell r="F1322">
            <v>43933</v>
          </cell>
          <cell r="G1322" t="str">
            <v>50000333</v>
          </cell>
          <cell r="H1322" t="str">
            <v>Director's Office Supervisor</v>
          </cell>
          <cell r="I1322" t="str">
            <v>مشرف مكتب مدير المتحف</v>
          </cell>
          <cell r="J1322" t="str">
            <v>On-Chart</v>
          </cell>
          <cell r="K1322" t="str">
            <v>MSS Al Nahiya</v>
          </cell>
          <cell r="L1322" t="str">
            <v>M2</v>
          </cell>
          <cell r="M1322" t="str">
            <v>Department of Culture and Tourism</v>
          </cell>
          <cell r="N1322" t="str">
            <v>Zayed National Museum</v>
          </cell>
          <cell r="O1322" t="str">
            <v>متحف زايد الوطني</v>
          </cell>
          <cell r="P1322" t="str">
            <v>Director’s Office</v>
          </cell>
          <cell r="Q1322" t="str">
            <v>مكتب مدير المتحف</v>
          </cell>
          <cell r="R1322" t="str">
            <v/>
          </cell>
          <cell r="S1322" t="str">
            <v/>
          </cell>
          <cell r="T1322" t="str">
            <v/>
          </cell>
          <cell r="U1322" t="str">
            <v/>
          </cell>
          <cell r="V1322" t="str">
            <v>Abu Dhabi</v>
          </cell>
          <cell r="W1322" t="str">
            <v/>
          </cell>
          <cell r="X1322" t="str">
            <v>4510180</v>
          </cell>
          <cell r="Y1322" t="str">
            <v>Strategy, Planning, Project Mgt_Strategy Planning Delivery &amp; Reporting_Professional</v>
          </cell>
          <cell r="Z1322" t="str">
            <v>Professional Assistant</v>
          </cell>
          <cell r="AA1322" t="str">
            <v>4A</v>
          </cell>
        </row>
        <row r="1323">
          <cell r="A1323">
            <v>2000485</v>
          </cell>
          <cell r="B1323">
            <v>2000485</v>
          </cell>
          <cell r="C1323" t="str">
            <v>A</v>
          </cell>
          <cell r="D1323" t="str">
            <v>Noman Valliani</v>
          </cell>
          <cell r="E1323" t="str">
            <v>نعمان فالياني  نعمان فالياني</v>
          </cell>
          <cell r="F1323">
            <v>43956</v>
          </cell>
          <cell r="G1323" t="str">
            <v>50000335</v>
          </cell>
          <cell r="H1323" t="str">
            <v>BD &amp; Sales Lead</v>
          </cell>
          <cell r="I1323" t="str">
            <v>تنفيذي رئيسي تطوير الأعمال والمبيعات</v>
          </cell>
          <cell r="J1323" t="str">
            <v>On-Chart</v>
          </cell>
          <cell r="K1323" t="str">
            <v>Sundus</v>
          </cell>
          <cell r="L1323" t="str">
            <v>SU</v>
          </cell>
          <cell r="M1323" t="str">
            <v>Department of Culture and Tourism</v>
          </cell>
          <cell r="N1323" t="str">
            <v>Tourism</v>
          </cell>
          <cell r="O1323" t="str">
            <v>السياحة</v>
          </cell>
          <cell r="P1323" t="str">
            <v>Abu Dhabi Conventions &amp; Exhibition Bureau</v>
          </cell>
          <cell r="Q1323" t="str">
            <v>مكتب أبوظبي للمؤتمرات والمعارض</v>
          </cell>
          <cell r="R1323" t="str">
            <v>Meetings, Incentives &amp; Weddings</v>
          </cell>
          <cell r="S1323" t="str">
            <v>الاجتماعات، الحوافز وحفلات الزفاف</v>
          </cell>
          <cell r="T1323" t="str">
            <v/>
          </cell>
          <cell r="U1323" t="str">
            <v/>
          </cell>
          <cell r="V1323" t="str">
            <v>Abu Dhabi</v>
          </cell>
          <cell r="W1323" t="str">
            <v/>
          </cell>
          <cell r="X1323" t="str">
            <v>4515400</v>
          </cell>
          <cell r="Y1323" t="str">
            <v>Commercial _Conventions, Exhibitions, Events,Festivals Development &amp; Sales  _Senior Professional</v>
          </cell>
          <cell r="Z1323" t="str">
            <v>Unit Head</v>
          </cell>
          <cell r="AA1323" t="str">
            <v>3A</v>
          </cell>
        </row>
        <row r="1324">
          <cell r="A1324">
            <v>2000490</v>
          </cell>
          <cell r="B1324">
            <v>2000490</v>
          </cell>
          <cell r="C1324" t="str">
            <v>A</v>
          </cell>
          <cell r="D1324" t="str">
            <v>Ruth Gallafant</v>
          </cell>
          <cell r="E1324" t="str">
            <v>روث  جالافانت</v>
          </cell>
          <cell r="F1324">
            <v>43955</v>
          </cell>
          <cell r="G1324" t="str">
            <v>50003329</v>
          </cell>
          <cell r="H1324" t="str">
            <v>Design Thinking Senior Specialist</v>
          </cell>
          <cell r="I1324" t="str">
            <v>اخصائي اول  تصميم الأفكار</v>
          </cell>
          <cell r="J1324" t="str">
            <v>On-Chart</v>
          </cell>
          <cell r="K1324" t="str">
            <v>Al Nahiya</v>
          </cell>
          <cell r="L1324" t="str">
            <v>N0</v>
          </cell>
          <cell r="M1324" t="str">
            <v>Department of Culture and Tourism</v>
          </cell>
          <cell r="N1324" t="str">
            <v>Support Services</v>
          </cell>
          <cell r="O1324" t="str">
            <v>الخدمات المساندة</v>
          </cell>
          <cell r="P1324" t="str">
            <v>Technology</v>
          </cell>
          <cell r="Q1324" t="str">
            <v>التكنولوجيا</v>
          </cell>
          <cell r="R1324" t="str">
            <v>Business Partnership</v>
          </cell>
          <cell r="S1324" t="str">
            <v>شراكات الأعمال</v>
          </cell>
          <cell r="T1324" t="str">
            <v/>
          </cell>
          <cell r="U1324" t="str">
            <v/>
          </cell>
          <cell r="V1324" t="str">
            <v>Abu Dhabi</v>
          </cell>
          <cell r="W1324" t="str">
            <v/>
          </cell>
          <cell r="X1324" t="str">
            <v>4510250</v>
          </cell>
          <cell r="Y1324" t="str">
            <v>Information Technology_Building Information Modelling Architecture / Development Unit Head_Unit Head</v>
          </cell>
          <cell r="Z1324" t="str">
            <v>Unit Head</v>
          </cell>
          <cell r="AA1324" t="str">
            <v>3A</v>
          </cell>
        </row>
        <row r="1325">
          <cell r="A1325">
            <v>2000491</v>
          </cell>
          <cell r="B1325">
            <v>2000491</v>
          </cell>
          <cell r="C1325" t="str">
            <v>A</v>
          </cell>
          <cell r="D1325" t="str">
            <v>Andre Dieufonne Poisson</v>
          </cell>
          <cell r="E1325" t="str">
            <v>ويسون يودونى  اندرى د</v>
          </cell>
          <cell r="F1325">
            <v>43950</v>
          </cell>
          <cell r="G1325" t="str">
            <v>50000339</v>
          </cell>
          <cell r="H1325" t="str">
            <v>Planning Section Head</v>
          </cell>
          <cell r="I1325" t="str">
            <v>رئيس قسم التخطيط</v>
          </cell>
          <cell r="J1325" t="str">
            <v>Off-Chart</v>
          </cell>
          <cell r="K1325" t="str">
            <v>MSS Al Nahiya</v>
          </cell>
          <cell r="L1325" t="str">
            <v>M2</v>
          </cell>
          <cell r="M1325" t="str">
            <v>Louvre Abu Dhabi</v>
          </cell>
          <cell r="N1325" t="str">
            <v>Louvre Abu Dhabi</v>
          </cell>
          <cell r="O1325" t="str">
            <v>متحف اللوفر أبوظبي</v>
          </cell>
          <cell r="P1325" t="str">
            <v>Museum’s Director Office</v>
          </cell>
          <cell r="Q1325" t="str">
            <v>مكتب مدير المتحف</v>
          </cell>
          <cell r="R1325" t="str">
            <v/>
          </cell>
          <cell r="S1325" t="str">
            <v/>
          </cell>
          <cell r="T1325" t="str">
            <v/>
          </cell>
          <cell r="U1325" t="str">
            <v/>
          </cell>
          <cell r="V1325" t="str">
            <v>Abu Dhabi</v>
          </cell>
          <cell r="W1325" t="str">
            <v/>
          </cell>
          <cell r="X1325" t="str">
            <v>4512100</v>
          </cell>
          <cell r="Y1325" t="str">
            <v>Strategy, Planning, Project Mgt_Strategic Planning  delivery &amp; Reporting_Section Head</v>
          </cell>
          <cell r="Z1325" t="str">
            <v>Section Manager</v>
          </cell>
          <cell r="AA1325" t="str">
            <v>02</v>
          </cell>
        </row>
        <row r="1326">
          <cell r="A1326">
            <v>2000492</v>
          </cell>
          <cell r="B1326">
            <v>2000492</v>
          </cell>
          <cell r="C1326" t="str">
            <v>A</v>
          </cell>
          <cell r="D1326" t="str">
            <v>Kristine Plaza</v>
          </cell>
          <cell r="E1326" t="str">
            <v>كريستين  بلازا</v>
          </cell>
          <cell r="F1326">
            <v>43982</v>
          </cell>
          <cell r="G1326" t="str">
            <v>50000352</v>
          </cell>
          <cell r="H1326" t="str">
            <v>Administrative Assistant</v>
          </cell>
          <cell r="I1326" t="str">
            <v>مساعد إداري</v>
          </cell>
          <cell r="J1326" t="str">
            <v>On-Chart</v>
          </cell>
          <cell r="K1326" t="str">
            <v>Al Nahiya</v>
          </cell>
          <cell r="L1326" t="str">
            <v>N0</v>
          </cell>
          <cell r="M1326" t="str">
            <v>Department of Culture and Tourism</v>
          </cell>
          <cell r="N1326" t="str">
            <v>Support Services</v>
          </cell>
          <cell r="O1326" t="str">
            <v>الخدمات المساندة</v>
          </cell>
          <cell r="P1326" t="str">
            <v>Technology</v>
          </cell>
          <cell r="Q1326" t="str">
            <v>التكنولوجيا</v>
          </cell>
          <cell r="R1326" t="str">
            <v/>
          </cell>
          <cell r="S1326" t="str">
            <v/>
          </cell>
          <cell r="T1326" t="str">
            <v/>
          </cell>
          <cell r="U1326" t="str">
            <v/>
          </cell>
          <cell r="V1326" t="str">
            <v>Abu Dhabi</v>
          </cell>
          <cell r="W1326" t="str">
            <v/>
          </cell>
          <cell r="X1326" t="str">
            <v>4510250</v>
          </cell>
          <cell r="Y1326" t="str">
            <v>Information Technology_IT Business Application _Senior Professional</v>
          </cell>
          <cell r="Z1326" t="str">
            <v>Professional Assistant</v>
          </cell>
          <cell r="AA1326" t="str">
            <v>6A</v>
          </cell>
        </row>
        <row r="1327">
          <cell r="A1327">
            <v>2000493</v>
          </cell>
          <cell r="B1327">
            <v>2000493</v>
          </cell>
          <cell r="C1327" t="str">
            <v>A</v>
          </cell>
          <cell r="D1327" t="str">
            <v>Saliny Paul</v>
          </cell>
          <cell r="E1327" t="str">
            <v>سالينى  بول</v>
          </cell>
          <cell r="F1327">
            <v>44024</v>
          </cell>
          <cell r="G1327" t="str">
            <v>10009854</v>
          </cell>
          <cell r="H1327" t="str">
            <v>Contracts Administration &amp; Cost Estimation Manager</v>
          </cell>
          <cell r="I1327" t="str">
            <v>مدير العقود وتقدير التكاليف</v>
          </cell>
          <cell r="J1327" t="str">
            <v>On-Chart</v>
          </cell>
          <cell r="K1327" t="str">
            <v>Al Nahiya</v>
          </cell>
          <cell r="L1327" t="str">
            <v>N0</v>
          </cell>
          <cell r="M1327" t="str">
            <v>Department of Culture and Tourism</v>
          </cell>
          <cell r="N1327" t="str">
            <v>Tendering &amp; Projects Control</v>
          </cell>
          <cell r="O1327" t="str">
            <v>مكتب وكيل الدائرة</v>
          </cell>
          <cell r="P1327" t="str">
            <v>Tendering &amp; Projects Control</v>
          </cell>
          <cell r="Q1327" t="str">
            <v>المناقصات ومراقبة المشاريع</v>
          </cell>
          <cell r="R1327" t="str">
            <v>Contracts Administration &amp; Cost Estimation</v>
          </cell>
          <cell r="S1327" t="str">
            <v>إدارة العقود وتقدير التكاليف</v>
          </cell>
          <cell r="T1327" t="str">
            <v/>
          </cell>
          <cell r="U1327" t="str">
            <v/>
          </cell>
          <cell r="V1327" t="str">
            <v>Abu Dhabi</v>
          </cell>
          <cell r="W1327" t="str">
            <v/>
          </cell>
          <cell r="X1327" t="str">
            <v>4510155</v>
          </cell>
          <cell r="Y1327" t="str">
            <v>Procurement_Tendering _Unit Head</v>
          </cell>
          <cell r="Z1327" t="str">
            <v>Unit Head</v>
          </cell>
          <cell r="AA1327" t="str">
            <v>3A</v>
          </cell>
        </row>
        <row r="1328">
          <cell r="A1328">
            <v>2000501</v>
          </cell>
          <cell r="B1328">
            <v>2000501</v>
          </cell>
          <cell r="C1328" t="str">
            <v>A</v>
          </cell>
          <cell r="D1328" t="str">
            <v>Esraa Mahmoud Ayoub</v>
          </cell>
          <cell r="E1328" t="str">
            <v>إسراء محمود أيوب</v>
          </cell>
          <cell r="F1328">
            <v>44067</v>
          </cell>
          <cell r="G1328" t="str">
            <v>50001533</v>
          </cell>
          <cell r="H1328" t="str">
            <v>Support Services Senior Specialist</v>
          </cell>
          <cell r="I1328" t="str">
            <v>أخصائي أول الخدمات المساندة</v>
          </cell>
          <cell r="J1328" t="str">
            <v>On-Chart</v>
          </cell>
          <cell r="K1328" t="str">
            <v>Al Nahiya</v>
          </cell>
          <cell r="L1328" t="str">
            <v>N0</v>
          </cell>
          <cell r="M1328" t="str">
            <v>Department of Culture and Tourism</v>
          </cell>
          <cell r="N1328" t="str">
            <v>Support Services</v>
          </cell>
          <cell r="O1328" t="str">
            <v>الخدمات المساندة</v>
          </cell>
          <cell r="P1328" t="str">
            <v>Office of the Support Services Executive Director</v>
          </cell>
          <cell r="Q1328" t="str">
            <v>مكتب المدير التنفيذي لقطاع الخدمات المساندة</v>
          </cell>
          <cell r="R1328" t="str">
            <v/>
          </cell>
          <cell r="S1328" t="str">
            <v/>
          </cell>
          <cell r="T1328" t="str">
            <v/>
          </cell>
          <cell r="U1328" t="str">
            <v/>
          </cell>
          <cell r="V1328" t="str">
            <v>Abu Dhabi</v>
          </cell>
          <cell r="W1328" t="str">
            <v/>
          </cell>
          <cell r="X1328" t="str">
            <v>4510201</v>
          </cell>
          <cell r="Y1328" t="str">
            <v>Admin &amp; Support_Business Operations &amp;
Support _Director</v>
          </cell>
          <cell r="Z1328" t="str">
            <v>Senior Professional</v>
          </cell>
          <cell r="AA1328" t="str">
            <v>3B</v>
          </cell>
        </row>
        <row r="1329">
          <cell r="A1329">
            <v>2000502</v>
          </cell>
          <cell r="B1329">
            <v>2000502</v>
          </cell>
          <cell r="C1329" t="str">
            <v>A</v>
          </cell>
          <cell r="D1329" t="str">
            <v>Ruth Ladrillo</v>
          </cell>
          <cell r="E1329" t="str">
            <v>روث  اباديسكو</v>
          </cell>
          <cell r="F1329">
            <v>44067</v>
          </cell>
          <cell r="G1329" t="str">
            <v>50000384</v>
          </cell>
          <cell r="H1329" t="str">
            <v>Technical Support Officer</v>
          </cell>
          <cell r="I1329" t="str">
            <v>ضابط الدعم الفني</v>
          </cell>
          <cell r="J1329" t="str">
            <v>On-Chart</v>
          </cell>
          <cell r="K1329" t="str">
            <v>Al Nahiya</v>
          </cell>
          <cell r="L1329" t="str">
            <v>N0</v>
          </cell>
          <cell r="M1329" t="str">
            <v>Department of Culture and Tourism</v>
          </cell>
          <cell r="N1329" t="str">
            <v>Tendering &amp; Projects Control</v>
          </cell>
          <cell r="O1329" t="str">
            <v>مكتب وكيل الدائرة</v>
          </cell>
          <cell r="P1329" t="str">
            <v>Tendering &amp; Projects Control</v>
          </cell>
          <cell r="Q1329" t="str">
            <v>المناقصات ومراقبة المشاريع</v>
          </cell>
          <cell r="R1329" t="str">
            <v/>
          </cell>
          <cell r="S1329" t="str">
            <v/>
          </cell>
          <cell r="T1329" t="str">
            <v/>
          </cell>
          <cell r="U1329" t="str">
            <v/>
          </cell>
          <cell r="V1329" t="str">
            <v>Abu Dhabi</v>
          </cell>
          <cell r="W1329" t="str">
            <v/>
          </cell>
          <cell r="X1329" t="str">
            <v>4510155</v>
          </cell>
          <cell r="Y1329" t="str">
            <v>Procurement_Tendering _Professional</v>
          </cell>
          <cell r="Z1329" t="str">
            <v>Professional</v>
          </cell>
          <cell r="AA1329" t="str">
            <v>4A</v>
          </cell>
        </row>
        <row r="1330">
          <cell r="A1330">
            <v>2000503</v>
          </cell>
          <cell r="B1330">
            <v>2000503</v>
          </cell>
          <cell r="C1330" t="str">
            <v>A</v>
          </cell>
          <cell r="D1330" t="str">
            <v>Khalil Mohammed Alshaikh</v>
          </cell>
          <cell r="E1330" t="str">
            <v>خليل محمد الشيخ</v>
          </cell>
          <cell r="F1330">
            <v>44069</v>
          </cell>
          <cell r="G1330" t="str">
            <v>50000969</v>
          </cell>
          <cell r="H1330" t="str">
            <v>Arabic Language Education &amp; Research Department Director</v>
          </cell>
          <cell r="I1330" t="str">
            <v>مدير إدارة التعليم وبحوث اللغة العربية</v>
          </cell>
          <cell r="J1330" t="str">
            <v>On-Chart</v>
          </cell>
          <cell r="K1330" t="str">
            <v>ALC Al Nahiya</v>
          </cell>
          <cell r="L1330" t="str">
            <v>AL2</v>
          </cell>
          <cell r="M1330" t="str">
            <v>Abu Dhabi Arabic Language Centre</v>
          </cell>
          <cell r="N1330" t="str">
            <v>Abu Dhabi Arabic Language Centre</v>
          </cell>
          <cell r="O1330" t="str">
            <v>مركز أبوظبي للغة العربية</v>
          </cell>
          <cell r="P1330" t="str">
            <v>Arabic Language Education &amp; Research</v>
          </cell>
          <cell r="Q1330" t="str">
            <v>التعليم وبحوث اللغة العربية</v>
          </cell>
          <cell r="R1330" t="str">
            <v/>
          </cell>
          <cell r="S1330" t="str">
            <v/>
          </cell>
          <cell r="T1330" t="str">
            <v/>
          </cell>
          <cell r="U1330" t="str">
            <v/>
          </cell>
          <cell r="V1330" t="str">
            <v>Abu Dhabi</v>
          </cell>
          <cell r="W1330" t="str">
            <v/>
          </cell>
          <cell r="X1330" t="str">
            <v>4519197</v>
          </cell>
          <cell r="Y1330" t="str">
            <v>Interpretation &amp; Engagement_Arabic Language Education &amp; Research_Director</v>
          </cell>
          <cell r="Z1330" t="str">
            <v>Director</v>
          </cell>
          <cell r="AA1330" t="str">
            <v>1B</v>
          </cell>
        </row>
        <row r="1331">
          <cell r="A1331">
            <v>2000508</v>
          </cell>
          <cell r="B1331">
            <v>2000508</v>
          </cell>
          <cell r="C1331" t="str">
            <v>A</v>
          </cell>
          <cell r="D1331" t="str">
            <v>Khaled Alhousaini</v>
          </cell>
          <cell r="E1331" t="str">
            <v>خالد  الحسيني</v>
          </cell>
          <cell r="F1331">
            <v>45296</v>
          </cell>
          <cell r="G1331" t="str">
            <v>50002469</v>
          </cell>
          <cell r="H1331" t="str">
            <v>Senior Projects Manager</v>
          </cell>
          <cell r="I1331" t="str">
            <v>مدير مشاريع أول</v>
          </cell>
          <cell r="J1331" t="str">
            <v>On-Chart</v>
          </cell>
          <cell r="K1331" t="str">
            <v>Al Nahiya</v>
          </cell>
          <cell r="L1331" t="str">
            <v>N0</v>
          </cell>
          <cell r="M1331" t="str">
            <v>Department of Culture and Tourism</v>
          </cell>
          <cell r="N1331" t="str">
            <v>Project Management &amp; Engineering</v>
          </cell>
          <cell r="O1331" t="str">
            <v>مكتب وكيل الدائرة</v>
          </cell>
          <cell r="P1331" t="str">
            <v>Project Management &amp; Engineering</v>
          </cell>
          <cell r="Q1331" t="str">
            <v>هندسة وإدارة المشاريع</v>
          </cell>
          <cell r="R1331" t="str">
            <v/>
          </cell>
          <cell r="S1331" t="str">
            <v/>
          </cell>
          <cell r="T1331" t="str">
            <v/>
          </cell>
          <cell r="U1331" t="str">
            <v/>
          </cell>
          <cell r="V1331" t="str">
            <v>Abu Dhabi</v>
          </cell>
          <cell r="W1331" t="str">
            <v/>
          </cell>
          <cell r="X1331" t="str">
            <v>4510150</v>
          </cell>
          <cell r="Y1331" t="str">
            <v>Technical Safety &amp; Security_Engineering Project Management  _Section Head</v>
          </cell>
          <cell r="Z1331" t="str">
            <v>Section Manager</v>
          </cell>
          <cell r="AA1331" t="str">
            <v>2B</v>
          </cell>
        </row>
        <row r="1332">
          <cell r="A1332">
            <v>2000509</v>
          </cell>
          <cell r="B1332">
            <v>2000509</v>
          </cell>
          <cell r="C1332" t="str">
            <v>A</v>
          </cell>
          <cell r="D1332" t="str">
            <v>Raouf Ibrahim Salama</v>
          </cell>
          <cell r="E1332" t="str">
            <v>رؤوف إبراهيم سلامة</v>
          </cell>
          <cell r="F1332">
            <v>44118</v>
          </cell>
          <cell r="G1332" t="str">
            <v>10007057</v>
          </cell>
          <cell r="H1332" t="str">
            <v>DCT Museums and Affiliates Contracts Advisory Senior Legal Counsel</v>
          </cell>
          <cell r="I1332" t="str">
            <v>مستشار قانوني أول لاستشارات عقود المتاحف والجهات التابعة دائرة الثقافة والسياحة</v>
          </cell>
          <cell r="J1332" t="str">
            <v>On-Chart</v>
          </cell>
          <cell r="K1332" t="str">
            <v>Al Nahiya</v>
          </cell>
          <cell r="L1332" t="str">
            <v>N0</v>
          </cell>
          <cell r="M1332" t="str">
            <v>Department of Culture and Tourism</v>
          </cell>
          <cell r="N1332" t="str">
            <v>Legal &amp; Government Affairs</v>
          </cell>
          <cell r="O1332" t="str">
            <v>مكتب وكيل الدائرة</v>
          </cell>
          <cell r="P1332" t="str">
            <v>Legal &amp; Government Affairs</v>
          </cell>
          <cell r="Q1332" t="str">
            <v>الشؤون القانونية والحكومية</v>
          </cell>
          <cell r="R1332" t="str">
            <v>DCT Museums &amp; Affiliates Contracts Advisory</v>
          </cell>
          <cell r="S1332" t="str">
            <v>الاستشارات القانونية لعقود المتاحف والجهات التابعة</v>
          </cell>
          <cell r="T1332" t="str">
            <v/>
          </cell>
          <cell r="U1332" t="str">
            <v/>
          </cell>
          <cell r="V1332" t="str">
            <v>Abu Dhabi</v>
          </cell>
          <cell r="W1332" t="str">
            <v/>
          </cell>
          <cell r="X1332" t="str">
            <v>4510160</v>
          </cell>
          <cell r="Y1332" t="str">
            <v>Legal _Head of Legal_Section Head</v>
          </cell>
          <cell r="Z1332" t="str">
            <v>Section Manager</v>
          </cell>
          <cell r="AA1332" t="str">
            <v>2A</v>
          </cell>
        </row>
        <row r="1333">
          <cell r="A1333">
            <v>2000516</v>
          </cell>
          <cell r="B1333">
            <v>2000516</v>
          </cell>
          <cell r="C1333" t="str">
            <v>A</v>
          </cell>
          <cell r="D1333" t="str">
            <v>Karim Qassoud</v>
          </cell>
          <cell r="E1333" t="str">
            <v>كريم  قسود</v>
          </cell>
          <cell r="F1333">
            <v>45139</v>
          </cell>
          <cell r="G1333" t="str">
            <v>50000617</v>
          </cell>
          <cell r="H1333" t="str">
            <v>Strategic Planning Unit Head (International Operations &amp; Marketing)</v>
          </cell>
          <cell r="I1333" t="str">
            <v>رئيس وحدة التخطيط الاستراتيجي (التسويق والعمليات الدولية)</v>
          </cell>
          <cell r="J1333" t="str">
            <v>On-Chart</v>
          </cell>
          <cell r="K1333" t="str">
            <v>Al Nahiya</v>
          </cell>
          <cell r="L1333" t="str">
            <v>N0</v>
          </cell>
          <cell r="M1333" t="str">
            <v>Department of Culture and Tourism</v>
          </cell>
          <cell r="N1333" t="str">
            <v>Strategic Affairs</v>
          </cell>
          <cell r="O1333" t="str">
            <v>الشؤون الاستراتيجية</v>
          </cell>
          <cell r="P1333" t="str">
            <v>Strategic Planning</v>
          </cell>
          <cell r="Q1333" t="str">
            <v>التخطيط الاستراتيجي</v>
          </cell>
          <cell r="R1333" t="str">
            <v>Tourism &amp; Marketing Strategic Planning</v>
          </cell>
          <cell r="S1333" t="str">
            <v>التخطيط الاستراتيجي لقطاعي السياحة والتسويق</v>
          </cell>
          <cell r="T1333" t="str">
            <v>Strategic Planning (International Operations &amp; Marketing)</v>
          </cell>
          <cell r="U1333" t="str">
            <v>التخطيط الاستراتيجي (التسويق والعمليات الدولية)</v>
          </cell>
          <cell r="V1333" t="str">
            <v>Abu Dhabi</v>
          </cell>
          <cell r="W1333" t="str">
            <v/>
          </cell>
          <cell r="X1333" t="str">
            <v>4512100</v>
          </cell>
          <cell r="Y1333" t="str">
            <v>Strategy, Planning, Project Mgt_Visitor Experience Monitoring _Section Head</v>
          </cell>
          <cell r="Z1333" t="str">
            <v>Unit Head</v>
          </cell>
          <cell r="AA1333" t="str">
            <v>3B</v>
          </cell>
        </row>
        <row r="1334">
          <cell r="A1334">
            <v>2000517</v>
          </cell>
          <cell r="B1334">
            <v>2000517</v>
          </cell>
          <cell r="C1334" t="str">
            <v>A</v>
          </cell>
          <cell r="D1334" t="str">
            <v>Faisal Nawaz Danyal</v>
          </cell>
          <cell r="E1334" t="str">
            <v>فيصل نواز  دانيال</v>
          </cell>
          <cell r="F1334">
            <v>44197</v>
          </cell>
          <cell r="G1334" t="str">
            <v>50000932</v>
          </cell>
          <cell r="H1334" t="str">
            <v>AV Support Engineer</v>
          </cell>
          <cell r="I1334" t="str">
            <v>مهندس دعم النظم السمعية-البصرية</v>
          </cell>
          <cell r="J1334" t="str">
            <v>On-Chart</v>
          </cell>
          <cell r="K1334" t="str">
            <v>Al Nahiya</v>
          </cell>
          <cell r="L1334" t="str">
            <v>N0</v>
          </cell>
          <cell r="M1334" t="str">
            <v>Department of Culture and Tourism</v>
          </cell>
          <cell r="N1334" t="str">
            <v>Support Services</v>
          </cell>
          <cell r="O1334" t="str">
            <v>الخدمات المساندة</v>
          </cell>
          <cell r="P1334" t="str">
            <v>Technology</v>
          </cell>
          <cell r="Q1334" t="str">
            <v>التكنولوجيا</v>
          </cell>
          <cell r="R1334" t="str">
            <v>Technology Infrastructure</v>
          </cell>
          <cell r="S1334" t="str">
            <v>البنية التحتية للتكنولوجيا</v>
          </cell>
          <cell r="T1334" t="str">
            <v>E Support</v>
          </cell>
          <cell r="U1334" t="str">
            <v>الدعم الإلكتروني</v>
          </cell>
          <cell r="V1334" t="str">
            <v>Abu Dhabi</v>
          </cell>
          <cell r="W1334" t="str">
            <v/>
          </cell>
          <cell r="X1334" t="str">
            <v>4510250</v>
          </cell>
          <cell r="Y1334" t="str">
            <v>Information Technology_Technical Support Engineer_Professional</v>
          </cell>
          <cell r="Z1334" t="str">
            <v>Professional</v>
          </cell>
          <cell r="AA1334" t="str">
            <v>4A</v>
          </cell>
        </row>
        <row r="1335">
          <cell r="A1335">
            <v>2000518</v>
          </cell>
          <cell r="B1335">
            <v>2000518</v>
          </cell>
          <cell r="C1335" t="str">
            <v>A</v>
          </cell>
          <cell r="D1335" t="str">
            <v>Ahmed Mohamed Higazy</v>
          </cell>
          <cell r="E1335" t="str">
            <v>أحمد محمد حجازى</v>
          </cell>
          <cell r="F1335">
            <v>44197</v>
          </cell>
          <cell r="G1335" t="str">
            <v>41009385</v>
          </cell>
          <cell r="H1335" t="str">
            <v>Technical Support Engineer</v>
          </cell>
          <cell r="I1335" t="str">
            <v>مهندس الدعم التقني</v>
          </cell>
          <cell r="J1335" t="str">
            <v>On-Chart</v>
          </cell>
          <cell r="K1335" t="str">
            <v>Al Nahiya</v>
          </cell>
          <cell r="L1335" t="str">
            <v>N0</v>
          </cell>
          <cell r="M1335" t="str">
            <v>Department of Culture and Tourism</v>
          </cell>
          <cell r="N1335" t="str">
            <v>Support Services</v>
          </cell>
          <cell r="O1335" t="str">
            <v>الخدمات المساندة</v>
          </cell>
          <cell r="P1335" t="str">
            <v>Technology</v>
          </cell>
          <cell r="Q1335" t="str">
            <v>التكنولوجيا</v>
          </cell>
          <cell r="R1335" t="str">
            <v>Technology Infrastructure</v>
          </cell>
          <cell r="S1335" t="str">
            <v>البنية التحتية للتكنولوجيا</v>
          </cell>
          <cell r="T1335" t="str">
            <v>E Support</v>
          </cell>
          <cell r="U1335" t="str">
            <v>الدعم الإلكتروني</v>
          </cell>
          <cell r="V1335" t="str">
            <v>Abu Dhabi</v>
          </cell>
          <cell r="W1335" t="str">
            <v/>
          </cell>
          <cell r="X1335" t="str">
            <v>4510250</v>
          </cell>
          <cell r="Y1335" t="str">
            <v>Information Technology_Technical Support Engineer_Professional</v>
          </cell>
          <cell r="Z1335" t="str">
            <v>Professional</v>
          </cell>
          <cell r="AA1335" t="str">
            <v>4A</v>
          </cell>
        </row>
        <row r="1336">
          <cell r="A1336">
            <v>2000529</v>
          </cell>
          <cell r="B1336">
            <v>2000529</v>
          </cell>
          <cell r="C1336" t="str">
            <v>A</v>
          </cell>
          <cell r="D1336" t="str">
            <v>Zeljkica Palcer</v>
          </cell>
          <cell r="E1336" t="str">
            <v>زلجكيكا  بالسر</v>
          </cell>
          <cell r="F1336">
            <v>45170</v>
          </cell>
          <cell r="G1336" t="str">
            <v>50001133</v>
          </cell>
          <cell r="H1336" t="str">
            <v>Committees Governance and Reporting Senior Specialist</v>
          </cell>
          <cell r="I1336" t="str">
            <v>أخصائي أول إدارة اللجان واعداد التقارير</v>
          </cell>
          <cell r="J1336" t="str">
            <v>On-Chart</v>
          </cell>
          <cell r="K1336" t="str">
            <v>Sundus</v>
          </cell>
          <cell r="L1336" t="str">
            <v>SU</v>
          </cell>
          <cell r="M1336" t="str">
            <v>Department of Culture and Tourism</v>
          </cell>
          <cell r="N1336" t="str">
            <v>Executive Affairs</v>
          </cell>
          <cell r="O1336" t="str">
            <v>مكتب رئيس الدائرة</v>
          </cell>
          <cell r="P1336" t="str">
            <v>Executive Affairs</v>
          </cell>
          <cell r="Q1336" t="str">
            <v>الشؤون التنفيذية</v>
          </cell>
          <cell r="R1336" t="str">
            <v>Executive Operations</v>
          </cell>
          <cell r="S1336" t="str">
            <v>العمليات التنفيذية</v>
          </cell>
          <cell r="T1336" t="str">
            <v>Committees Governance and Reporting</v>
          </cell>
          <cell r="U1336" t="str">
            <v>إدارة اللجان واعداد التقارير</v>
          </cell>
          <cell r="V1336" t="str">
            <v>Abu Dhabi</v>
          </cell>
          <cell r="W1336" t="str">
            <v/>
          </cell>
          <cell r="X1336" t="str">
            <v>4510011</v>
          </cell>
          <cell r="Y1336" t="str">
            <v>Stakeholder &amp; Partner Relations_International &amp; Institutional Affairs _Senior Professional</v>
          </cell>
          <cell r="Z1336" t="str">
            <v>Senior Professional</v>
          </cell>
          <cell r="AA1336" t="str">
            <v>3B</v>
          </cell>
        </row>
        <row r="1337">
          <cell r="A1337">
            <v>2000533</v>
          </cell>
          <cell r="B1337">
            <v>2000533</v>
          </cell>
          <cell r="C1337" t="str">
            <v>A</v>
          </cell>
          <cell r="D1337" t="str">
            <v>Namer Nabil Harb</v>
          </cell>
          <cell r="E1337" t="str">
            <v>نامر  حرب</v>
          </cell>
          <cell r="F1337">
            <v>44290</v>
          </cell>
          <cell r="G1337" t="str">
            <v>50003280</v>
          </cell>
          <cell r="H1337" t="str">
            <v>Travel &amp; Hospitality Senior Specialist</v>
          </cell>
          <cell r="I1337" t="str">
            <v>أخصائي أول شؤون السفر والضيافة</v>
          </cell>
          <cell r="J1337" t="str">
            <v>Temporary</v>
          </cell>
          <cell r="K1337" t="str">
            <v>Al Nahiya</v>
          </cell>
          <cell r="L1337" t="str">
            <v>N0</v>
          </cell>
          <cell r="M1337" t="str">
            <v>Department of Culture and Tourism</v>
          </cell>
          <cell r="N1337" t="str">
            <v>Support Services</v>
          </cell>
          <cell r="O1337" t="str">
            <v>الخدمات المساندة</v>
          </cell>
          <cell r="P1337" t="str">
            <v>People &amp; Performance</v>
          </cell>
          <cell r="Q1337" t="str">
            <v>إدارة الكوادر البشرية والأداء</v>
          </cell>
          <cell r="R1337" t="str">
            <v>Rewards &amp; Policy</v>
          </cell>
          <cell r="S1337" t="str">
            <v>المكافآت والسياسات</v>
          </cell>
          <cell r="T1337" t="str">
            <v>Travel &amp; Hospitality</v>
          </cell>
          <cell r="U1337" t="str">
            <v>السفر والضيافة</v>
          </cell>
          <cell r="V1337" t="str">
            <v>Abu Dhabi</v>
          </cell>
          <cell r="W1337" t="str">
            <v/>
          </cell>
          <cell r="X1337" t="str">
            <v>4510220</v>
          </cell>
          <cell r="Y1337" t="str">
            <v>Specialization HR</v>
          </cell>
          <cell r="Z1337" t="str">
            <v>Senior Professional</v>
          </cell>
          <cell r="AA1337" t="str">
            <v>3B</v>
          </cell>
        </row>
        <row r="1338">
          <cell r="A1338">
            <v>2000535</v>
          </cell>
          <cell r="B1338">
            <v>2000535</v>
          </cell>
          <cell r="C1338" t="str">
            <v>A</v>
          </cell>
          <cell r="D1338" t="str">
            <v>Hanya Alkhadra</v>
          </cell>
          <cell r="E1338" t="str">
            <v>هانيا  الخضراء</v>
          </cell>
          <cell r="F1338">
            <v>44831</v>
          </cell>
          <cell r="G1338" t="str">
            <v>50001147</v>
          </cell>
          <cell r="H1338" t="str">
            <v>Digital Marketing Unit Head</v>
          </cell>
          <cell r="I1338" t="str">
            <v>رئيس وحدة التسويق الرقمي</v>
          </cell>
          <cell r="J1338" t="str">
            <v>On-Chart</v>
          </cell>
          <cell r="K1338" t="str">
            <v>ALC Al Nahiya</v>
          </cell>
          <cell r="L1338" t="str">
            <v>AL2</v>
          </cell>
          <cell r="M1338" t="str">
            <v>Abu Dhabi Arabic Language Centre</v>
          </cell>
          <cell r="N1338" t="str">
            <v>Abu Dhabi Arabic Language Centre</v>
          </cell>
          <cell r="O1338" t="str">
            <v>مركز أبوظبي للغة العربية</v>
          </cell>
          <cell r="P1338" t="str">
            <v>Marketing &amp; Communications</v>
          </cell>
          <cell r="Q1338" t="str">
            <v>التسويق والاتصال</v>
          </cell>
          <cell r="R1338" t="str">
            <v>Digital Content Production</v>
          </cell>
          <cell r="S1338" t="str">
            <v>إنتاج المحتوى الرقمي</v>
          </cell>
          <cell r="T1338" t="str">
            <v>Digital Marketing - ALC</v>
          </cell>
          <cell r="U1338" t="str">
            <v>التسويق الرقمي</v>
          </cell>
          <cell r="V1338" t="str">
            <v>Abu Dhabi</v>
          </cell>
          <cell r="W1338" t="str">
            <v/>
          </cell>
          <cell r="X1338" t="str">
            <v>4519196</v>
          </cell>
          <cell r="Y1338" t="str">
            <v>Comms &amp; Marketing _Communications (All Areas)_Unit Head</v>
          </cell>
          <cell r="Z1338" t="str">
            <v>Unit Head</v>
          </cell>
          <cell r="AA1338" t="str">
            <v>3A</v>
          </cell>
        </row>
        <row r="1339">
          <cell r="A1339">
            <v>2000537</v>
          </cell>
          <cell r="B1339">
            <v>2000537</v>
          </cell>
          <cell r="C1339" t="str">
            <v>A</v>
          </cell>
          <cell r="D1339" t="str">
            <v>Malek Abu Ageel</v>
          </cell>
          <cell r="E1339" t="str">
            <v>مالك  ابو عقيل</v>
          </cell>
          <cell r="F1339">
            <v>44313</v>
          </cell>
          <cell r="G1339" t="str">
            <v>50001145</v>
          </cell>
          <cell r="H1339" t="str">
            <v>Digital Marketing and Analytics Section Head</v>
          </cell>
          <cell r="I1339" t="str">
            <v>رئيس قسم التسويق الرقمي والتحليلات</v>
          </cell>
          <cell r="J1339" t="str">
            <v>On-Chart</v>
          </cell>
          <cell r="K1339" t="str">
            <v>ALC Al Nahiya</v>
          </cell>
          <cell r="L1339" t="str">
            <v>AL2</v>
          </cell>
          <cell r="M1339" t="str">
            <v>Abu Dhabi Arabic Language Centre</v>
          </cell>
          <cell r="N1339" t="str">
            <v>Abu Dhabi Arabic Language Centre</v>
          </cell>
          <cell r="O1339" t="str">
            <v>مركز أبوظبي للغة العربية</v>
          </cell>
          <cell r="P1339" t="str">
            <v>Marketing &amp; Communications</v>
          </cell>
          <cell r="Q1339" t="str">
            <v>التسويق والاتصال</v>
          </cell>
          <cell r="R1339" t="str">
            <v>Digital Content Production</v>
          </cell>
          <cell r="S1339" t="str">
            <v>إنتاج المحتوى الرقمي</v>
          </cell>
          <cell r="T1339" t="str">
            <v/>
          </cell>
          <cell r="U1339" t="str">
            <v/>
          </cell>
          <cell r="V1339" t="str">
            <v>Abu Dhabi</v>
          </cell>
          <cell r="W1339" t="str">
            <v/>
          </cell>
          <cell r="X1339" t="str">
            <v>4519196</v>
          </cell>
          <cell r="Y1339" t="str">
            <v>Comms &amp; Marketing _Marketing &amp; Communications (All Areas)_Section Head</v>
          </cell>
          <cell r="Z1339" t="str">
            <v>Section Manager</v>
          </cell>
          <cell r="AA1339" t="str">
            <v>2B</v>
          </cell>
        </row>
        <row r="1340">
          <cell r="A1340">
            <v>2000538</v>
          </cell>
          <cell r="B1340">
            <v>2000538</v>
          </cell>
          <cell r="C1340" t="str">
            <v>A</v>
          </cell>
          <cell r="D1340" t="str">
            <v>Andrawes Snobar</v>
          </cell>
          <cell r="E1340" t="str">
            <v>اندراوس  صنوبر</v>
          </cell>
          <cell r="F1340">
            <v>44831</v>
          </cell>
          <cell r="G1340" t="str">
            <v>10005983</v>
          </cell>
          <cell r="H1340" t="str">
            <v>Strategy &amp; Growth Management Section Head</v>
          </cell>
          <cell r="I1340" t="str">
            <v>رئيس قسم إدارة الاستراتيجية والنمو</v>
          </cell>
          <cell r="J1340" t="str">
            <v>On-Chart</v>
          </cell>
          <cell r="K1340" t="str">
            <v>ALC Al Nahiya</v>
          </cell>
          <cell r="L1340" t="str">
            <v>AL2</v>
          </cell>
          <cell r="M1340" t="str">
            <v>Abu Dhabi Arabic Language Centre</v>
          </cell>
          <cell r="N1340" t="str">
            <v>Abu Dhabi Arabic Language Centre</v>
          </cell>
          <cell r="O1340" t="str">
            <v>مركز أبوظبي للغة العربية</v>
          </cell>
          <cell r="P1340" t="str">
            <v>Strategic Planning Office - ALC</v>
          </cell>
          <cell r="Q1340" t="str">
            <v>مكتب التخطيط الاستراتيجي</v>
          </cell>
          <cell r="R1340" t="str">
            <v>Strategic Planning &amp; Market Intelligence</v>
          </cell>
          <cell r="S1340" t="str">
            <v>التخطيط الاستراتيجي وتحليل السوق</v>
          </cell>
          <cell r="T1340" t="str">
            <v/>
          </cell>
          <cell r="U1340" t="str">
            <v/>
          </cell>
          <cell r="V1340" t="str">
            <v>Abu Dhabi</v>
          </cell>
          <cell r="W1340" t="str">
            <v/>
          </cell>
          <cell r="X1340" t="str">
            <v>4519203</v>
          </cell>
          <cell r="Y1340" t="str">
            <v>Interpretation &amp; Engagement_Arabic Language Research &amp; Studies _Section Manager</v>
          </cell>
          <cell r="Z1340" t="str">
            <v>Section Manager</v>
          </cell>
          <cell r="AA1340" t="str">
            <v>2B</v>
          </cell>
        </row>
        <row r="1341">
          <cell r="A1341">
            <v>2000542</v>
          </cell>
          <cell r="B1341">
            <v>2000542</v>
          </cell>
          <cell r="C1341" t="str">
            <v>A</v>
          </cell>
          <cell r="D1341" t="str">
            <v>Waed Dakkak</v>
          </cell>
          <cell r="E1341" t="str">
            <v>وعيد  دكاك</v>
          </cell>
          <cell r="F1341">
            <v>44287</v>
          </cell>
          <cell r="G1341" t="str">
            <v>10010244</v>
          </cell>
          <cell r="H1341" t="str">
            <v>Culture Sector Senior Officer</v>
          </cell>
          <cell r="I1341" t="str">
            <v>ضابط أول قطاع الثقافة</v>
          </cell>
          <cell r="J1341" t="str">
            <v>On-Chart</v>
          </cell>
          <cell r="K1341" t="str">
            <v>Al Nahiya</v>
          </cell>
          <cell r="L1341" t="str">
            <v>N0</v>
          </cell>
          <cell r="M1341" t="str">
            <v>Department of Culture and Tourism</v>
          </cell>
          <cell r="N1341" t="str">
            <v>Culture</v>
          </cell>
          <cell r="O1341" t="str">
            <v>الثقافة</v>
          </cell>
          <cell r="P1341" t="str">
            <v>Office of the Culture Executive Director</v>
          </cell>
          <cell r="Q1341" t="str">
            <v>مكتب المدير التنفيذي لقطاع الثقافة</v>
          </cell>
          <cell r="R1341" t="str">
            <v/>
          </cell>
          <cell r="S1341" t="str">
            <v/>
          </cell>
          <cell r="T1341" t="str">
            <v/>
          </cell>
          <cell r="U1341" t="str">
            <v/>
          </cell>
          <cell r="V1341" t="str">
            <v>Abu Dhabi</v>
          </cell>
          <cell r="W1341" t="str">
            <v/>
          </cell>
          <cell r="X1341" t="str">
            <v>4511010</v>
          </cell>
          <cell r="Y1341" t="str">
            <v>Compliance,Governance&amp;Protocol_Policy (Culture/Tourism) _Professional</v>
          </cell>
          <cell r="Z1341" t="str">
            <v>Senior Professional</v>
          </cell>
          <cell r="AA1341" t="str">
            <v>3A</v>
          </cell>
        </row>
        <row r="1342">
          <cell r="A1342">
            <v>2000545</v>
          </cell>
          <cell r="B1342">
            <v>2000545</v>
          </cell>
          <cell r="C1342" t="str">
            <v>A</v>
          </cell>
          <cell r="D1342" t="str">
            <v>Ciaran Costello</v>
          </cell>
          <cell r="E1342" t="str">
            <v>كيران  كوستيلو</v>
          </cell>
          <cell r="F1342">
            <v>45078</v>
          </cell>
          <cell r="G1342" t="str">
            <v>50000362</v>
          </cell>
          <cell r="H1342" t="str">
            <v>Project Manager Capital Projects</v>
          </cell>
          <cell r="I1342" t="str">
            <v>مدير مشاريع المشاريع الرأسمالية</v>
          </cell>
          <cell r="J1342" t="str">
            <v>On-Chart</v>
          </cell>
          <cell r="K1342" t="str">
            <v>Al Nahiya</v>
          </cell>
          <cell r="L1342" t="str">
            <v>N0</v>
          </cell>
          <cell r="M1342" t="str">
            <v>Department of Culture and Tourism</v>
          </cell>
          <cell r="N1342" t="str">
            <v>Culture</v>
          </cell>
          <cell r="O1342" t="str">
            <v>الثقافة</v>
          </cell>
          <cell r="P1342" t="str">
            <v>Culture Sector Policy and Development Office</v>
          </cell>
          <cell r="Q1342" t="str">
            <v>مكتب إدارة سياسة وتطوير قطاع الثقافة</v>
          </cell>
          <cell r="R1342" t="str">
            <v/>
          </cell>
          <cell r="S1342" t="str">
            <v/>
          </cell>
          <cell r="T1342" t="str">
            <v/>
          </cell>
          <cell r="U1342" t="str">
            <v/>
          </cell>
          <cell r="V1342" t="str">
            <v>Abu Dhabi</v>
          </cell>
          <cell r="W1342" t="str">
            <v/>
          </cell>
          <cell r="X1342" t="str">
            <v>4511150</v>
          </cell>
          <cell r="Y1342" t="str">
            <v>Compliance,Governance&amp;Protocol_Policy  (Culture &amp; Tourism)_Unit Head</v>
          </cell>
          <cell r="Z1342" t="str">
            <v>Unit Head</v>
          </cell>
          <cell r="AA1342" t="str">
            <v>3B</v>
          </cell>
        </row>
        <row r="1343">
          <cell r="A1343">
            <v>2000548</v>
          </cell>
          <cell r="B1343">
            <v>2000548</v>
          </cell>
          <cell r="C1343" t="str">
            <v>A</v>
          </cell>
          <cell r="D1343" t="str">
            <v>Yanal Alshaban</v>
          </cell>
          <cell r="E1343" t="str">
            <v>ينال  الشعبان</v>
          </cell>
          <cell r="F1343">
            <v>44325</v>
          </cell>
          <cell r="G1343" t="str">
            <v>50001052</v>
          </cell>
          <cell r="H1343" t="str">
            <v>Performance &amp; Process Management Unit Head</v>
          </cell>
          <cell r="I1343" t="str">
            <v>رئيس وحدة إدارة الأداء والعمليات</v>
          </cell>
          <cell r="J1343" t="str">
            <v>On-Chart</v>
          </cell>
          <cell r="K1343" t="str">
            <v>ALC Al Nahiya</v>
          </cell>
          <cell r="L1343" t="str">
            <v>AL2</v>
          </cell>
          <cell r="M1343" t="str">
            <v>Abu Dhabi Arabic Language Centre</v>
          </cell>
          <cell r="N1343" t="str">
            <v>Abu Dhabi Arabic Language Centre</v>
          </cell>
          <cell r="O1343" t="str">
            <v>مركز أبوظبي للغة العربية</v>
          </cell>
          <cell r="P1343" t="str">
            <v>Strategic Planning Office - ALC</v>
          </cell>
          <cell r="Q1343" t="str">
            <v>مكتب التخطيط الاستراتيجي</v>
          </cell>
          <cell r="R1343" t="str">
            <v>Strategic Planning &amp; Market Intelligence</v>
          </cell>
          <cell r="S1343" t="str">
            <v>التخطيط الاستراتيجي وتحليل السوق</v>
          </cell>
          <cell r="T1343" t="str">
            <v>Strategy Planning &amp; Performance Management</v>
          </cell>
          <cell r="U1343" t="str">
            <v>التخطيط الاستراتيجي وإدارة الأداء</v>
          </cell>
          <cell r="V1343" t="str">
            <v>Abu Dhabi</v>
          </cell>
          <cell r="W1343" t="str">
            <v/>
          </cell>
          <cell r="X1343" t="str">
            <v>4519203</v>
          </cell>
          <cell r="Y1343" t="str">
            <v>Interpretation &amp; Engagement_Arabic Language Research &amp; Studies _Unit Head</v>
          </cell>
          <cell r="Z1343" t="str">
            <v>Unit Head</v>
          </cell>
          <cell r="AA1343" t="str">
            <v>3C</v>
          </cell>
        </row>
        <row r="1344">
          <cell r="A1344">
            <v>2000549</v>
          </cell>
          <cell r="B1344">
            <v>2000549</v>
          </cell>
          <cell r="C1344" t="str">
            <v>A</v>
          </cell>
          <cell r="D1344" t="str">
            <v>Raied Al Bitar</v>
          </cell>
          <cell r="E1344" t="str">
            <v>رائد انور  البيطار</v>
          </cell>
          <cell r="F1344">
            <v>45139</v>
          </cell>
          <cell r="G1344" t="str">
            <v>50000390</v>
          </cell>
          <cell r="H1344" t="str">
            <v>MEP Projects Manager</v>
          </cell>
          <cell r="I1344" t="str">
            <v>مدير المشاريع الالكتروميكانيكية</v>
          </cell>
          <cell r="J1344" t="str">
            <v>On-Chart</v>
          </cell>
          <cell r="K1344" t="str">
            <v>Al Nahiya</v>
          </cell>
          <cell r="L1344" t="str">
            <v>N0</v>
          </cell>
          <cell r="M1344" t="str">
            <v>Department of Culture and Tourism</v>
          </cell>
          <cell r="N1344" t="str">
            <v>Project Management &amp; Engineering</v>
          </cell>
          <cell r="O1344" t="str">
            <v>مكتب وكيل الدائرة</v>
          </cell>
          <cell r="P1344" t="str">
            <v>Project Management &amp; Engineering</v>
          </cell>
          <cell r="Q1344" t="str">
            <v>هندسة وإدارة المشاريع</v>
          </cell>
          <cell r="R1344" t="str">
            <v/>
          </cell>
          <cell r="S1344" t="str">
            <v/>
          </cell>
          <cell r="T1344" t="str">
            <v/>
          </cell>
          <cell r="U1344" t="str">
            <v/>
          </cell>
          <cell r="V1344" t="str">
            <v>Abu Dhabi</v>
          </cell>
          <cell r="W1344" t="str">
            <v/>
          </cell>
          <cell r="X1344" t="str">
            <v>4510150</v>
          </cell>
          <cell r="Y1344" t="str">
            <v>Technical Safety &amp; Security_Engineering Project Management  _Unit Head</v>
          </cell>
          <cell r="Z1344" t="str">
            <v>Unit Head</v>
          </cell>
          <cell r="AA1344" t="str">
            <v>3B</v>
          </cell>
        </row>
        <row r="1345">
          <cell r="A1345">
            <v>2000556</v>
          </cell>
          <cell r="B1345">
            <v>2000556</v>
          </cell>
          <cell r="C1345" t="str">
            <v>A</v>
          </cell>
          <cell r="D1345" t="str">
            <v>Ashraf F.S Qaddoura</v>
          </cell>
          <cell r="E1345" t="str">
            <v>أشرف فريد قدورة</v>
          </cell>
          <cell r="F1345">
            <v>44925</v>
          </cell>
          <cell r="G1345" t="str">
            <v>10008703</v>
          </cell>
          <cell r="H1345" t="str">
            <v>Planning Unit Head</v>
          </cell>
          <cell r="I1345" t="str">
            <v>رئيس وحدة التخطيط</v>
          </cell>
          <cell r="J1345" t="str">
            <v>On-Chart</v>
          </cell>
          <cell r="K1345" t="str">
            <v>Sundus</v>
          </cell>
          <cell r="L1345" t="str">
            <v>SU</v>
          </cell>
          <cell r="M1345" t="str">
            <v>Department of Culture and Tourism</v>
          </cell>
          <cell r="N1345" t="str">
            <v>Strategic Marketing &amp; Communication</v>
          </cell>
          <cell r="O1345" t="str">
            <v>التسويق والاتصال الاستراتيجي</v>
          </cell>
          <cell r="P1345" t="str">
            <v>Planning, Strategy &amp; Operations</v>
          </cell>
          <cell r="Q1345" t="str">
            <v>التخطيط والاستراتيجية والعمليات</v>
          </cell>
          <cell r="R1345" t="str">
            <v>Planning, Research &amp; Insight</v>
          </cell>
          <cell r="S1345" t="str">
            <v>التخطيط والبحوث</v>
          </cell>
          <cell r="T1345" t="str">
            <v>Planning</v>
          </cell>
          <cell r="U1345" t="str">
            <v>التخطيط</v>
          </cell>
          <cell r="V1345" t="str">
            <v>Abu Dhabi</v>
          </cell>
          <cell r="W1345" t="str">
            <v/>
          </cell>
          <cell r="X1345" t="str">
            <v>4513130</v>
          </cell>
          <cell r="Y1345" t="str">
            <v>Strategy, Planning, Project Mgt_Operational Planning &amp; Project Management_Unit Head</v>
          </cell>
          <cell r="Z1345" t="str">
            <v>Unit Head</v>
          </cell>
          <cell r="AA1345" t="str">
            <v>3B</v>
          </cell>
        </row>
        <row r="1346">
          <cell r="A1346">
            <v>2000561</v>
          </cell>
          <cell r="B1346">
            <v>2000561</v>
          </cell>
          <cell r="C1346" t="str">
            <v>A</v>
          </cell>
          <cell r="D1346" t="str">
            <v>Khalilul Rahman Kunnakkadan Khalilul</v>
          </cell>
          <cell r="E1346" t="str">
            <v>خليل الرحمن كوناكادان</v>
          </cell>
          <cell r="F1346">
            <v>44402</v>
          </cell>
          <cell r="G1346" t="str">
            <v>50002092</v>
          </cell>
          <cell r="H1346" t="str">
            <v>Sourcing Senior Specialist</v>
          </cell>
          <cell r="I1346" t="str">
            <v>أخصائي أول التوريد</v>
          </cell>
          <cell r="J1346" t="str">
            <v>On-Chart</v>
          </cell>
          <cell r="K1346" t="str">
            <v>Al Nahiya</v>
          </cell>
          <cell r="L1346" t="str">
            <v>N0</v>
          </cell>
          <cell r="M1346" t="str">
            <v>Department of Culture and Tourism</v>
          </cell>
          <cell r="N1346" t="str">
            <v>Support Services</v>
          </cell>
          <cell r="O1346" t="str">
            <v>الخدمات المساندة</v>
          </cell>
          <cell r="P1346" t="str">
            <v>Supply Management</v>
          </cell>
          <cell r="Q1346" t="str">
            <v>إدارة الإمداد</v>
          </cell>
          <cell r="R1346" t="str">
            <v>Sourcing</v>
          </cell>
          <cell r="S1346" t="str">
            <v>التوريد</v>
          </cell>
          <cell r="T1346" t="str">
            <v>Sourcing</v>
          </cell>
          <cell r="U1346" t="str">
            <v>توريد المشتريات</v>
          </cell>
          <cell r="V1346" t="str">
            <v>Abu Dhabi</v>
          </cell>
          <cell r="W1346" t="str">
            <v/>
          </cell>
          <cell r="X1346" t="str">
            <v>4510240</v>
          </cell>
          <cell r="Y1346" t="str">
            <v>Procurement_Procurement General_Senior Professional</v>
          </cell>
          <cell r="Z1346" t="str">
            <v>Senior Professional</v>
          </cell>
          <cell r="AA1346" t="str">
            <v>3A</v>
          </cell>
        </row>
        <row r="1347">
          <cell r="A1347">
            <v>2000562</v>
          </cell>
          <cell r="B1347">
            <v>2000562</v>
          </cell>
          <cell r="C1347" t="str">
            <v>A</v>
          </cell>
          <cell r="D1347" t="str">
            <v>Henry Richard Harding</v>
          </cell>
          <cell r="E1347" t="str">
            <v>هنري ريتشارد  هاردينج</v>
          </cell>
          <cell r="F1347">
            <v>44409</v>
          </cell>
          <cell r="G1347" t="str">
            <v>50001220</v>
          </cell>
          <cell r="H1347" t="str">
            <v>Curator</v>
          </cell>
          <cell r="I1347" t="str">
            <v>أمين متحف</v>
          </cell>
          <cell r="J1347" t="str">
            <v>On-Chart</v>
          </cell>
          <cell r="K1347" t="str">
            <v>Al Nahiya</v>
          </cell>
          <cell r="L1347" t="str">
            <v>N0</v>
          </cell>
          <cell r="M1347" t="str">
            <v>Department of Culture and Tourism</v>
          </cell>
          <cell r="N1347" t="str">
            <v>Culture</v>
          </cell>
          <cell r="O1347" t="str">
            <v>الثقافة</v>
          </cell>
          <cell r="P1347" t="str">
            <v>Scientific, Curatorial and Collection Department</v>
          </cell>
          <cell r="Q1347" t="str">
            <v>إدارة البحث العلمي والمقتنيات</v>
          </cell>
          <cell r="R1347" t="str">
            <v>Curatorial Research</v>
          </cell>
          <cell r="S1347" t="str">
            <v>البحوث وأمناء المتاحف</v>
          </cell>
          <cell r="T1347" t="str">
            <v/>
          </cell>
          <cell r="U1347" t="str">
            <v/>
          </cell>
          <cell r="V1347" t="str">
            <v>Abu Dhabi</v>
          </cell>
          <cell r="W1347" t="str">
            <v/>
          </cell>
          <cell r="X1347" t="str">
            <v>4511150</v>
          </cell>
          <cell r="Y1347" t="str">
            <v>Compliance,Governance&amp;Protocol_Policy (Culture/Tourism _Senior Professional</v>
          </cell>
          <cell r="Z1347" t="str">
            <v>Senior Professional</v>
          </cell>
          <cell r="AA1347" t="str">
            <v>3A</v>
          </cell>
        </row>
        <row r="1348">
          <cell r="A1348">
            <v>2000566</v>
          </cell>
          <cell r="B1348">
            <v>2000566</v>
          </cell>
          <cell r="C1348" t="str">
            <v>A</v>
          </cell>
          <cell r="D1348" t="str">
            <v>Hamza Shafiq Alqum</v>
          </cell>
          <cell r="E1348" t="str">
            <v>حمزه شفيق علقم</v>
          </cell>
          <cell r="F1348">
            <v>45113</v>
          </cell>
          <cell r="G1348" t="str">
            <v>50000993</v>
          </cell>
          <cell r="H1348" t="str">
            <v>Social Media Management Unit Head</v>
          </cell>
          <cell r="I1348" t="str">
            <v>رئيس وحدة إدارة وسائل التواصل الاجتماعي</v>
          </cell>
          <cell r="J1348" t="str">
            <v>On-Chart</v>
          </cell>
          <cell r="K1348" t="str">
            <v>ALC Al Nahiya</v>
          </cell>
          <cell r="L1348" t="str">
            <v>AL2</v>
          </cell>
          <cell r="M1348" t="str">
            <v>Abu Dhabi Arabic Language Centre</v>
          </cell>
          <cell r="N1348" t="str">
            <v>Abu Dhabi Arabic Language Centre</v>
          </cell>
          <cell r="O1348" t="str">
            <v>مركز أبوظبي للغة العربية</v>
          </cell>
          <cell r="P1348" t="str">
            <v>Marketing &amp; Communications</v>
          </cell>
          <cell r="Q1348" t="str">
            <v>التسويق والاتصال</v>
          </cell>
          <cell r="R1348" t="str">
            <v>Digital Content Production</v>
          </cell>
          <cell r="S1348" t="str">
            <v>إنتاج المحتوى الرقمي</v>
          </cell>
          <cell r="T1348" t="str">
            <v>Digital Content Production</v>
          </cell>
          <cell r="U1348" t="str">
            <v>إنتاج المحتوى الرقمي</v>
          </cell>
          <cell r="V1348" t="str">
            <v>Abu Dhabi</v>
          </cell>
          <cell r="W1348" t="str">
            <v/>
          </cell>
          <cell r="X1348" t="str">
            <v>4519196</v>
          </cell>
          <cell r="Y1348" t="str">
            <v>Comms &amp; Marketing _Communications (All Areas)_Unit Head</v>
          </cell>
          <cell r="Z1348" t="str">
            <v>Unit Head</v>
          </cell>
          <cell r="AA1348" t="str">
            <v>2C</v>
          </cell>
        </row>
        <row r="1349">
          <cell r="A1349">
            <v>2000570</v>
          </cell>
          <cell r="B1349">
            <v>2000570</v>
          </cell>
          <cell r="C1349" t="str">
            <v>A</v>
          </cell>
          <cell r="D1349" t="str">
            <v>Zainab Mohamed Hamed</v>
          </cell>
          <cell r="E1349" t="str">
            <v>زينب محمد حامد</v>
          </cell>
          <cell r="F1349">
            <v>44416</v>
          </cell>
          <cell r="G1349" t="str">
            <v>50000911</v>
          </cell>
          <cell r="H1349" t="str">
            <v>People &amp; Performance Business Partner</v>
          </cell>
          <cell r="I1349" t="str">
            <v>شريك أعمال الكوادر البشرية والأداء</v>
          </cell>
          <cell r="J1349" t="str">
            <v>On-Chart</v>
          </cell>
          <cell r="K1349" t="str">
            <v>Al Nahiya</v>
          </cell>
          <cell r="L1349" t="str">
            <v>N0</v>
          </cell>
          <cell r="M1349" t="str">
            <v>Department of Culture and Tourism</v>
          </cell>
          <cell r="N1349" t="str">
            <v>Support Services</v>
          </cell>
          <cell r="O1349" t="str">
            <v>الخدمات المساندة</v>
          </cell>
          <cell r="P1349" t="str">
            <v>People &amp; Performance</v>
          </cell>
          <cell r="Q1349" t="str">
            <v>إدارة الكوادر البشرية والأداء</v>
          </cell>
          <cell r="R1349" t="str">
            <v>People &amp; Performance Business Partners</v>
          </cell>
          <cell r="S1349" t="str">
            <v>شركاء أعمال الكوادر البشرية والأداء</v>
          </cell>
          <cell r="T1349" t="str">
            <v>P&amp;P Business Partners</v>
          </cell>
          <cell r="U1349" t="str">
            <v/>
          </cell>
          <cell r="V1349" t="str">
            <v>Abu Dhabi</v>
          </cell>
          <cell r="W1349" t="str">
            <v/>
          </cell>
          <cell r="X1349" t="str">
            <v>4510220</v>
          </cell>
          <cell r="Y1349" t="str">
            <v>People &amp; Performance _Business Partnership _Senior Professional</v>
          </cell>
          <cell r="Z1349" t="str">
            <v>Unit Head</v>
          </cell>
          <cell r="AA1349" t="str">
            <v>3A</v>
          </cell>
        </row>
        <row r="1350">
          <cell r="A1350">
            <v>2000571</v>
          </cell>
          <cell r="B1350">
            <v>2000571</v>
          </cell>
          <cell r="C1350" t="str">
            <v>A</v>
          </cell>
          <cell r="D1350" t="str">
            <v>Ahmed Galal Elkhawity Ahmed</v>
          </cell>
          <cell r="E1350" t="str">
            <v>احمد جلال الخويطي</v>
          </cell>
          <cell r="F1350">
            <v>45385</v>
          </cell>
          <cell r="G1350" t="str">
            <v>10006736</v>
          </cell>
          <cell r="H1350" t="str">
            <v>Senior Arabic Copywriter</v>
          </cell>
          <cell r="I1350" t="str">
            <v>محرر أول باللغة العربية</v>
          </cell>
          <cell r="J1350" t="str">
            <v>On-Chart</v>
          </cell>
          <cell r="K1350" t="str">
            <v>Al Nahiya</v>
          </cell>
          <cell r="L1350" t="str">
            <v>N0</v>
          </cell>
          <cell r="M1350" t="str">
            <v>Department of Culture and Tourism</v>
          </cell>
          <cell r="N1350" t="str">
            <v>Strategic Marketing &amp; Communication</v>
          </cell>
          <cell r="O1350" t="str">
            <v>التسويق والاتصال الاستراتيجي</v>
          </cell>
          <cell r="P1350" t="str">
            <v>Creative &amp; Production</v>
          </cell>
          <cell r="Q1350" t="str">
            <v>الإبداع والإنتاج</v>
          </cell>
          <cell r="R1350" t="str">
            <v>Creative Content</v>
          </cell>
          <cell r="S1350" t="str">
            <v>المحتوى الإبداعي</v>
          </cell>
          <cell r="T1350" t="str">
            <v>Editorial</v>
          </cell>
          <cell r="U1350" t="str">
            <v>التحرير</v>
          </cell>
          <cell r="V1350" t="str">
            <v>Abu Dhabi</v>
          </cell>
          <cell r="W1350" t="str">
            <v/>
          </cell>
          <cell r="X1350" t="str">
            <v>4513110</v>
          </cell>
          <cell r="Y1350" t="str">
            <v>Senior Specialization Marketing &amp; Communications</v>
          </cell>
          <cell r="Z1350" t="str">
            <v>Senior Professional</v>
          </cell>
          <cell r="AA1350" t="str">
            <v>3A</v>
          </cell>
        </row>
        <row r="1351">
          <cell r="A1351">
            <v>2000574</v>
          </cell>
          <cell r="B1351">
            <v>2000574</v>
          </cell>
          <cell r="C1351" t="str">
            <v>A</v>
          </cell>
          <cell r="D1351" t="str">
            <v>Rajinder Sangha</v>
          </cell>
          <cell r="E1351" t="str">
            <v>راجيندر كاور  سانجا</v>
          </cell>
          <cell r="F1351">
            <v>44565</v>
          </cell>
          <cell r="G1351" t="str">
            <v>50002634</v>
          </cell>
          <cell r="H1351" t="str">
            <v>Talent Acquisition Unit Head</v>
          </cell>
          <cell r="I1351" t="str">
            <v>رئيس وحدة استقطاب المواهب</v>
          </cell>
          <cell r="J1351" t="str">
            <v>On-Chart</v>
          </cell>
          <cell r="K1351" t="str">
            <v>MSS Al Nahiya</v>
          </cell>
          <cell r="L1351" t="str">
            <v>M2</v>
          </cell>
          <cell r="M1351" t="str">
            <v>Department of Culture and Tourism</v>
          </cell>
          <cell r="N1351" t="str">
            <v>Museums Shared Services</v>
          </cell>
          <cell r="O1351" t="str">
            <v>الخدمات المشتركة للمتاحف</v>
          </cell>
          <cell r="P1351" t="str">
            <v>People and Performance - MSS</v>
          </cell>
          <cell r="Q1351" t="str">
            <v>إدارة الكوادر البشرية والأداء - الخدمات المشتركة للمتاحف</v>
          </cell>
          <cell r="R1351" t="str">
            <v>Talent Acquisition Section - MSS</v>
          </cell>
          <cell r="S1351" t="str">
            <v>قسم استقطاب المواهب</v>
          </cell>
          <cell r="T1351" t="str">
            <v>Talent Acquisition Unit - MSS</v>
          </cell>
          <cell r="U1351" t="str">
            <v>وحدة استقطاب المواهب</v>
          </cell>
          <cell r="V1351" t="str">
            <v>Abu Dhabi</v>
          </cell>
          <cell r="W1351" t="str">
            <v/>
          </cell>
          <cell r="X1351" t="str">
            <v>4514140</v>
          </cell>
          <cell r="Y1351" t="str">
            <v>People &amp; Performance _Talent Acquisition_Unit Head</v>
          </cell>
          <cell r="Z1351" t="str">
            <v>Unit Head</v>
          </cell>
          <cell r="AA1351" t="str">
            <v>3A</v>
          </cell>
        </row>
        <row r="1352">
          <cell r="A1352">
            <v>2000576</v>
          </cell>
          <cell r="B1352">
            <v>2000576</v>
          </cell>
          <cell r="C1352" t="str">
            <v>A</v>
          </cell>
          <cell r="D1352" t="str">
            <v>Sendrla Nabil Saad</v>
          </cell>
          <cell r="E1352" t="str">
            <v>سندريلا نبيل سعد</v>
          </cell>
          <cell r="F1352">
            <v>44621</v>
          </cell>
          <cell r="G1352" t="str">
            <v>50000916</v>
          </cell>
          <cell r="H1352" t="str">
            <v>Succession Planning &amp; Leadership Senior Specialist</v>
          </cell>
          <cell r="I1352" t="str">
            <v>أخصائي أول تخطيط التعاقب الوظيفي والقيادة</v>
          </cell>
          <cell r="J1352" t="str">
            <v>On-Chart</v>
          </cell>
          <cell r="K1352" t="str">
            <v>Al Nahiya</v>
          </cell>
          <cell r="L1352" t="str">
            <v>N0</v>
          </cell>
          <cell r="M1352" t="str">
            <v>Department of Culture and Tourism</v>
          </cell>
          <cell r="N1352" t="str">
            <v>Support Services</v>
          </cell>
          <cell r="O1352" t="str">
            <v>الخدمات المساندة</v>
          </cell>
          <cell r="P1352" t="str">
            <v>People &amp; Performance</v>
          </cell>
          <cell r="Q1352" t="str">
            <v>إدارة الكوادر البشرية والأداء</v>
          </cell>
          <cell r="R1352" t="str">
            <v>Talent Development</v>
          </cell>
          <cell r="S1352" t="str">
            <v>تطوير المواهب</v>
          </cell>
          <cell r="T1352" t="str">
            <v>Succession Planning &amp; Leadership</v>
          </cell>
          <cell r="U1352" t="str">
            <v>تخطيط التعاقب الوظيفي والقيادة</v>
          </cell>
          <cell r="V1352" t="str">
            <v>Abu Dhabi</v>
          </cell>
          <cell r="W1352" t="str">
            <v/>
          </cell>
          <cell r="X1352" t="str">
            <v>4510220</v>
          </cell>
          <cell r="Y1352" t="str">
            <v>People &amp; Performance _Learning, Talent &amp; Capability Development _Senior Professional</v>
          </cell>
          <cell r="Z1352" t="str">
            <v>Senior Professional</v>
          </cell>
          <cell r="AA1352" t="str">
            <v>3A</v>
          </cell>
        </row>
        <row r="1353">
          <cell r="A1353">
            <v>2000582</v>
          </cell>
          <cell r="B1353">
            <v>2000582</v>
          </cell>
          <cell r="C1353" t="str">
            <v>A</v>
          </cell>
          <cell r="D1353" t="str">
            <v>Jawad Al Nimri</v>
          </cell>
          <cell r="E1353" t="str">
            <v>جواد  النمري</v>
          </cell>
          <cell r="F1353">
            <v>45385</v>
          </cell>
          <cell r="G1353" t="str">
            <v>50003929</v>
          </cell>
          <cell r="H1353" t="str">
            <v>Contracts Administration &amp; Cost Estimation Manager</v>
          </cell>
          <cell r="I1353" t="str">
            <v>مدير العقود وتقدير التكاليف</v>
          </cell>
          <cell r="J1353" t="str">
            <v>On-Chart</v>
          </cell>
          <cell r="K1353" t="str">
            <v>Al Nahiya</v>
          </cell>
          <cell r="L1353" t="str">
            <v>N0</v>
          </cell>
          <cell r="M1353" t="str">
            <v>Department of Culture and Tourism</v>
          </cell>
          <cell r="N1353" t="str">
            <v>Tendering &amp; Projects Control</v>
          </cell>
          <cell r="O1353" t="str">
            <v>مكتب وكيل الدائرة</v>
          </cell>
          <cell r="P1353" t="str">
            <v>Tendering &amp; Projects Control</v>
          </cell>
          <cell r="Q1353" t="str">
            <v>المناقصات ومراقبة المشاريع</v>
          </cell>
          <cell r="R1353" t="str">
            <v>Contracts Administration &amp; Cost Estimation</v>
          </cell>
          <cell r="S1353" t="str">
            <v>إدارة العقود وتقدير التكاليف</v>
          </cell>
          <cell r="T1353" t="str">
            <v/>
          </cell>
          <cell r="U1353" t="str">
            <v/>
          </cell>
          <cell r="V1353" t="str">
            <v>Abu Dhabi</v>
          </cell>
          <cell r="W1353" t="str">
            <v/>
          </cell>
          <cell r="X1353" t="str">
            <v>4510155</v>
          </cell>
          <cell r="Y1353" t="str">
            <v/>
          </cell>
          <cell r="Z1353" t="str">
            <v>Unit Head</v>
          </cell>
          <cell r="AA1353" t="str">
            <v>3B</v>
          </cell>
        </row>
        <row r="1354">
          <cell r="A1354">
            <v>2000583</v>
          </cell>
          <cell r="B1354">
            <v>2000583</v>
          </cell>
          <cell r="C1354" t="str">
            <v>A</v>
          </cell>
          <cell r="D1354" t="str">
            <v>Oliver Sackeyfio</v>
          </cell>
          <cell r="E1354" t="str">
            <v>اوليفير  ساكيفيو</v>
          </cell>
          <cell r="F1354">
            <v>45170</v>
          </cell>
          <cell r="G1354" t="str">
            <v>50000573</v>
          </cell>
          <cell r="H1354" t="str">
            <v>Operations Department Director</v>
          </cell>
          <cell r="I1354" t="str">
            <v>مدير إدارة العمليات</v>
          </cell>
          <cell r="J1354" t="str">
            <v>On-Chart</v>
          </cell>
          <cell r="K1354" t="str">
            <v>MSS Al Nahiya</v>
          </cell>
          <cell r="L1354" t="str">
            <v>M2</v>
          </cell>
          <cell r="M1354" t="str">
            <v>Department of Culture and Tourism</v>
          </cell>
          <cell r="N1354" t="str">
            <v>Zayed National Museum</v>
          </cell>
          <cell r="O1354" t="str">
            <v>متحف زايد الوطني</v>
          </cell>
          <cell r="P1354" t="str">
            <v>Operations</v>
          </cell>
          <cell r="Q1354" t="str">
            <v>العمليات</v>
          </cell>
          <cell r="R1354" t="str">
            <v/>
          </cell>
          <cell r="S1354" t="str">
            <v/>
          </cell>
          <cell r="T1354" t="str">
            <v/>
          </cell>
          <cell r="U1354" t="str">
            <v/>
          </cell>
          <cell r="V1354" t="str">
            <v>Abu Dhabi</v>
          </cell>
          <cell r="W1354" t="str">
            <v/>
          </cell>
          <cell r="X1354" t="str">
            <v>4510184</v>
          </cell>
          <cell r="Y1354" t="str">
            <v>Operations_Operations Management Department _Director</v>
          </cell>
          <cell r="Z1354" t="str">
            <v>Director</v>
          </cell>
          <cell r="AA1354" t="str">
            <v>1B</v>
          </cell>
        </row>
        <row r="1355">
          <cell r="A1355">
            <v>2000584</v>
          </cell>
          <cell r="B1355">
            <v>2000584</v>
          </cell>
          <cell r="C1355" t="str">
            <v>A</v>
          </cell>
          <cell r="D1355" t="str">
            <v>Soraya Farag</v>
          </cell>
          <cell r="E1355" t="str">
            <v>ثريا  فرج</v>
          </cell>
          <cell r="F1355">
            <v>44439</v>
          </cell>
          <cell r="G1355" t="str">
            <v>50001335</v>
          </cell>
          <cell r="H1355" t="str">
            <v>Support Services Affairs Specialist</v>
          </cell>
          <cell r="I1355" t="str">
            <v>أخصائي تنسيق الخدمات المساندة</v>
          </cell>
          <cell r="J1355" t="str">
            <v>On-Chart</v>
          </cell>
          <cell r="K1355" t="str">
            <v>ALC Al Nahiya</v>
          </cell>
          <cell r="L1355" t="str">
            <v>AL2</v>
          </cell>
          <cell r="M1355" t="str">
            <v>Abu Dhabi Arabic Language Centre</v>
          </cell>
          <cell r="N1355" t="str">
            <v>Abu Dhabi Arabic Language Centre</v>
          </cell>
          <cell r="O1355" t="str">
            <v>مركز أبوظبي للغة العربية</v>
          </cell>
          <cell r="P1355" t="str">
            <v>ALC Executive Director’s Office</v>
          </cell>
          <cell r="Q1355" t="str">
            <v>مكتب المدير التنفيذي لمركز أبوظبي للغة العربية</v>
          </cell>
          <cell r="R1355" t="str">
            <v/>
          </cell>
          <cell r="S1355" t="str">
            <v/>
          </cell>
          <cell r="T1355" t="str">
            <v/>
          </cell>
          <cell r="U1355" t="str">
            <v/>
          </cell>
          <cell r="V1355" t="str">
            <v>Abu Dhabi</v>
          </cell>
          <cell r="W1355" t="str">
            <v/>
          </cell>
          <cell r="X1355" t="str">
            <v>4510195</v>
          </cell>
          <cell r="Y1355" t="str">
            <v>Interpretation &amp; Engagement_Arabic Language Education &amp; Research_Director</v>
          </cell>
          <cell r="Z1355" t="str">
            <v>Senior Professional</v>
          </cell>
          <cell r="AA1355" t="str">
            <v>3A</v>
          </cell>
        </row>
        <row r="1356">
          <cell r="A1356">
            <v>2000589</v>
          </cell>
          <cell r="B1356">
            <v>2000589</v>
          </cell>
          <cell r="C1356" t="str">
            <v>A</v>
          </cell>
          <cell r="D1356" t="str">
            <v>Nasra Salman</v>
          </cell>
          <cell r="E1356" t="str">
            <v>نصره  سلمان</v>
          </cell>
          <cell r="F1356">
            <v>44824</v>
          </cell>
          <cell r="G1356" t="str">
            <v>50001104</v>
          </cell>
          <cell r="H1356" t="str">
            <v>Executive Administrator</v>
          </cell>
          <cell r="I1356" t="str">
            <v>إداري تنفيذي</v>
          </cell>
          <cell r="J1356" t="str">
            <v>On-Chart</v>
          </cell>
          <cell r="K1356" t="str">
            <v>ALC Al Nahiya</v>
          </cell>
          <cell r="L1356" t="str">
            <v>AL2</v>
          </cell>
          <cell r="M1356" t="str">
            <v>Abu Dhabi Arabic Language Centre</v>
          </cell>
          <cell r="N1356" t="str">
            <v>Abu Dhabi Arabic Language Centre</v>
          </cell>
          <cell r="O1356" t="str">
            <v>مركز أبوظبي للغة العربية</v>
          </cell>
          <cell r="P1356" t="str">
            <v>Book Fairs &amp; Events</v>
          </cell>
          <cell r="Q1356" t="str">
            <v>الفعاليات ومعارض الكتب</v>
          </cell>
          <cell r="R1356" t="str">
            <v/>
          </cell>
          <cell r="S1356" t="str">
            <v/>
          </cell>
          <cell r="T1356" t="str">
            <v/>
          </cell>
          <cell r="U1356" t="str">
            <v/>
          </cell>
          <cell r="V1356" t="str">
            <v>Abu Dhabi</v>
          </cell>
          <cell r="W1356" t="str">
            <v/>
          </cell>
          <cell r="X1356" t="str">
            <v>4519200</v>
          </cell>
          <cell r="Y1356" t="str">
            <v>Interpretation &amp; Engagement_Arabic Language Examination _Professional</v>
          </cell>
          <cell r="Z1356" t="str">
            <v>Professional</v>
          </cell>
          <cell r="AA1356" t="str">
            <v>4A</v>
          </cell>
        </row>
        <row r="1357">
          <cell r="A1357">
            <v>2000591</v>
          </cell>
          <cell r="B1357">
            <v>2000591</v>
          </cell>
          <cell r="C1357" t="str">
            <v>A</v>
          </cell>
          <cell r="D1357" t="str">
            <v>Razan Hussein</v>
          </cell>
          <cell r="E1357" t="str">
            <v>رزان  حسين</v>
          </cell>
          <cell r="F1357">
            <v>44627</v>
          </cell>
          <cell r="G1357" t="str">
            <v>50001035</v>
          </cell>
          <cell r="H1357" t="str">
            <v>Specialized Arabic Language Programmes - Programme Manager</v>
          </cell>
          <cell r="I1357" t="str">
            <v>مدير برامج البرامج المخصصة للغة العربية</v>
          </cell>
          <cell r="J1357" t="str">
            <v>On-Chart</v>
          </cell>
          <cell r="K1357" t="str">
            <v>ALC Al Nahiya</v>
          </cell>
          <cell r="L1357" t="str">
            <v>AL2</v>
          </cell>
          <cell r="M1357" t="str">
            <v>Abu Dhabi Arabic Language Centre</v>
          </cell>
          <cell r="N1357" t="str">
            <v>Abu Dhabi Arabic Language Centre</v>
          </cell>
          <cell r="O1357" t="str">
            <v>مركز أبوظبي للغة العربية</v>
          </cell>
          <cell r="P1357" t="str">
            <v>Arabic Language Education &amp; Research</v>
          </cell>
          <cell r="Q1357" t="str">
            <v>التعليم وبحوث اللغة العربية</v>
          </cell>
          <cell r="R1357" t="str">
            <v>Arabic Language Learning &amp; Specialized Programmes</v>
          </cell>
          <cell r="S1357" t="str">
            <v>تعليم اللغة العربية والبرامج المخصصة</v>
          </cell>
          <cell r="T1357" t="str">
            <v>Specialized Arabic Language Programmes</v>
          </cell>
          <cell r="U1357" t="str">
            <v>البرامج المخصصة للغة العربية</v>
          </cell>
          <cell r="V1357" t="str">
            <v>Abu Dhabi</v>
          </cell>
          <cell r="W1357" t="str">
            <v/>
          </cell>
          <cell r="X1357" t="str">
            <v>4519197</v>
          </cell>
          <cell r="Y1357" t="str">
            <v>Interpretation &amp; Engagement_Arabic Language Research &amp; Studies _Unit Head</v>
          </cell>
          <cell r="Z1357" t="str">
            <v>Unit Head</v>
          </cell>
          <cell r="AA1357" t="str">
            <v>3A</v>
          </cell>
        </row>
        <row r="1358">
          <cell r="A1358">
            <v>2000602</v>
          </cell>
          <cell r="B1358">
            <v>2000602</v>
          </cell>
          <cell r="C1358" t="str">
            <v>A</v>
          </cell>
          <cell r="D1358" t="str">
            <v>Maria Georges</v>
          </cell>
          <cell r="E1358" t="str">
            <v>ماريا جيورجيس  جيورجيس</v>
          </cell>
          <cell r="F1358">
            <v>44314</v>
          </cell>
          <cell r="G1358" t="str">
            <v>50001266</v>
          </cell>
          <cell r="H1358" t="str">
            <v>Senior Curatorial Assistant</v>
          </cell>
          <cell r="I1358" t="str">
            <v>مساعد اول امين متحف</v>
          </cell>
          <cell r="J1358" t="str">
            <v>On-Chart</v>
          </cell>
          <cell r="K1358" t="str">
            <v>MSS Al Nahiya</v>
          </cell>
          <cell r="L1358" t="str">
            <v>M2</v>
          </cell>
          <cell r="M1358" t="str">
            <v>Louvre Abu Dhabi</v>
          </cell>
          <cell r="N1358" t="str">
            <v>Louvre Abu Dhabi</v>
          </cell>
          <cell r="O1358" t="str">
            <v>متحف اللوفر أبوظبي</v>
          </cell>
          <cell r="P1358" t="str">
            <v>Scientific, Curatorial &amp; Collection Management</v>
          </cell>
          <cell r="Q1358" t="str">
            <v>إدارة المقتنيات العلمية والتنظيمية</v>
          </cell>
          <cell r="R1358" t="str">
            <v>Research &amp; Documentation</v>
          </cell>
          <cell r="S1358" t="str">
            <v/>
          </cell>
          <cell r="T1358" t="str">
            <v/>
          </cell>
          <cell r="U1358" t="str">
            <v/>
          </cell>
          <cell r="V1358" t="str">
            <v>Abu Dhabi</v>
          </cell>
          <cell r="W1358" t="str">
            <v/>
          </cell>
          <cell r="X1358" t="str">
            <v>4510122</v>
          </cell>
          <cell r="Y1358" t="str">
            <v>Content &amp; Care_Curatorial  Management_Senior Professional</v>
          </cell>
          <cell r="Z1358" t="str">
            <v>Senior Professional</v>
          </cell>
          <cell r="AA1358" t="str">
            <v>3B</v>
          </cell>
        </row>
        <row r="1359">
          <cell r="A1359">
            <v>2000611</v>
          </cell>
          <cell r="B1359">
            <v>2000611</v>
          </cell>
          <cell r="C1359" t="str">
            <v>A</v>
          </cell>
          <cell r="D1359" t="str">
            <v>Judith McAlester</v>
          </cell>
          <cell r="E1359" t="str">
            <v>اليستر  جوديث</v>
          </cell>
          <cell r="F1359">
            <v>44986</v>
          </cell>
          <cell r="G1359" t="str">
            <v>50001969</v>
          </cell>
          <cell r="H1359" t="str">
            <v>Project Manager</v>
          </cell>
          <cell r="I1359" t="str">
            <v>مدير مشاريع</v>
          </cell>
          <cell r="J1359" t="str">
            <v>On-Chart</v>
          </cell>
          <cell r="K1359" t="str">
            <v>MSS Sundus</v>
          </cell>
          <cell r="L1359" t="str">
            <v>M3</v>
          </cell>
          <cell r="M1359" t="str">
            <v>Department of Culture and Tourism</v>
          </cell>
          <cell r="N1359" t="str">
            <v>Culture</v>
          </cell>
          <cell r="O1359" t="str">
            <v>الثقافة</v>
          </cell>
          <cell r="P1359" t="str">
            <v>Natural History Museum Abu Dhabi</v>
          </cell>
          <cell r="Q1359" t="str">
            <v>متحف التاريخ الطبيعي - أبوظبي</v>
          </cell>
          <cell r="R1359" t="str">
            <v/>
          </cell>
          <cell r="S1359" t="str">
            <v/>
          </cell>
          <cell r="T1359" t="str">
            <v/>
          </cell>
          <cell r="U1359" t="str">
            <v/>
          </cell>
          <cell r="V1359" t="str">
            <v>Abu Dhabi</v>
          </cell>
          <cell r="W1359" t="str">
            <v/>
          </cell>
          <cell r="X1359" t="str">
            <v>4510310</v>
          </cell>
          <cell r="Y1359" t="str">
            <v>Compliance,Governance&amp;Protocol_Policy  (Culture &amp; Tourism)_Unit Head</v>
          </cell>
          <cell r="Z1359" t="str">
            <v>Unit Head</v>
          </cell>
          <cell r="AA1359" t="str">
            <v>3B</v>
          </cell>
        </row>
        <row r="1360">
          <cell r="A1360">
            <v>2000619</v>
          </cell>
          <cell r="B1360">
            <v>2000619</v>
          </cell>
          <cell r="C1360" t="str">
            <v>A</v>
          </cell>
          <cell r="D1360" t="str">
            <v>Jean Ayenon</v>
          </cell>
          <cell r="E1360" t="str">
            <v>جين  اينون</v>
          </cell>
          <cell r="F1360">
            <v>44509</v>
          </cell>
          <cell r="G1360" t="str">
            <v>50001347</v>
          </cell>
          <cell r="H1360" t="str">
            <v>Visitor Operations Supervisor</v>
          </cell>
          <cell r="I1360" t="str">
            <v>مشرف عمليات الزوار</v>
          </cell>
          <cell r="J1360" t="str">
            <v>On-Chart</v>
          </cell>
          <cell r="K1360" t="str">
            <v>MSS Al Nahiya</v>
          </cell>
          <cell r="L1360" t="str">
            <v>M2</v>
          </cell>
          <cell r="M1360" t="str">
            <v>Louvre Abu Dhabi</v>
          </cell>
          <cell r="N1360" t="str">
            <v>Louvre Abu Dhabi</v>
          </cell>
          <cell r="O1360" t="str">
            <v>متحف اللوفر أبوظبي</v>
          </cell>
          <cell r="P1360" t="str">
            <v>Visitor Experience &amp; Sales</v>
          </cell>
          <cell r="Q1360" t="str">
            <v>إدارة تجربة الزوار و المبيعات</v>
          </cell>
          <cell r="R1360" t="str">
            <v>Visitor Operations</v>
          </cell>
          <cell r="S1360" t="str">
            <v>عمليات الزوار</v>
          </cell>
          <cell r="T1360" t="str">
            <v/>
          </cell>
          <cell r="U1360" t="str">
            <v/>
          </cell>
          <cell r="V1360" t="str">
            <v>Abu Dhabi</v>
          </cell>
          <cell r="W1360" t="str">
            <v/>
          </cell>
          <cell r="X1360" t="str">
            <v>4510125</v>
          </cell>
          <cell r="Y1360" t="str">
            <v>Design_Visitor Experience Design _Professional</v>
          </cell>
          <cell r="Z1360" t="str">
            <v>Professional</v>
          </cell>
          <cell r="AA1360" t="str">
            <v>4B</v>
          </cell>
        </row>
        <row r="1361">
          <cell r="A1361">
            <v>2000620</v>
          </cell>
          <cell r="B1361">
            <v>2000620</v>
          </cell>
          <cell r="C1361" t="str">
            <v>A</v>
          </cell>
          <cell r="D1361" t="str">
            <v>Beverly Galdamez</v>
          </cell>
          <cell r="E1361" t="str">
            <v>بيفيرلي  جالمديز</v>
          </cell>
          <cell r="F1361">
            <v>44507</v>
          </cell>
          <cell r="G1361" t="str">
            <v>50001350</v>
          </cell>
          <cell r="H1361" t="str">
            <v>Senior Curatorial Assistant</v>
          </cell>
          <cell r="I1361" t="str">
            <v>مساعد اول امين متحف</v>
          </cell>
          <cell r="J1361" t="str">
            <v>On-Chart</v>
          </cell>
          <cell r="K1361" t="str">
            <v>MSS Al Nahiya</v>
          </cell>
          <cell r="L1361" t="str">
            <v>M2</v>
          </cell>
          <cell r="M1361" t="str">
            <v>Louvre Abu Dhabi</v>
          </cell>
          <cell r="N1361" t="str">
            <v>Louvre Abu Dhabi</v>
          </cell>
          <cell r="O1361" t="str">
            <v>متحف اللوفر أبوظبي</v>
          </cell>
          <cell r="P1361" t="str">
            <v>Scientific, Curatorial &amp; Collection Management</v>
          </cell>
          <cell r="Q1361" t="str">
            <v>إدارة المقتنيات العلمية والتنظيمية</v>
          </cell>
          <cell r="R1361" t="str">
            <v/>
          </cell>
          <cell r="S1361" t="str">
            <v/>
          </cell>
          <cell r="T1361" t="str">
            <v/>
          </cell>
          <cell r="U1361" t="str">
            <v/>
          </cell>
          <cell r="V1361" t="str">
            <v>Abu Dhabi</v>
          </cell>
          <cell r="W1361" t="str">
            <v/>
          </cell>
          <cell r="X1361" t="str">
            <v>4510122</v>
          </cell>
          <cell r="Y1361" t="str">
            <v>Content &amp; Care_Curatorial  Management_Senior Professional</v>
          </cell>
          <cell r="Z1361" t="str">
            <v>Senior Professional</v>
          </cell>
          <cell r="AA1361" t="str">
            <v>3B</v>
          </cell>
        </row>
        <row r="1362">
          <cell r="A1362">
            <v>2000627</v>
          </cell>
          <cell r="B1362">
            <v>2000627</v>
          </cell>
          <cell r="C1362" t="str">
            <v>A</v>
          </cell>
          <cell r="D1362" t="str">
            <v>Anas Mohd Bahnini</v>
          </cell>
          <cell r="E1362" t="str">
            <v>أنس محمد بهنيني</v>
          </cell>
          <cell r="F1362">
            <v>44866</v>
          </cell>
          <cell r="G1362" t="str">
            <v>10001707</v>
          </cell>
          <cell r="H1362" t="str">
            <v>Business Partnership Senior Specialist</v>
          </cell>
          <cell r="I1362" t="str">
            <v>أخصائي أول شراكات الأعمال</v>
          </cell>
          <cell r="J1362" t="str">
            <v>On-Chart</v>
          </cell>
          <cell r="K1362" t="str">
            <v>Al Nahiya</v>
          </cell>
          <cell r="L1362" t="str">
            <v>N0</v>
          </cell>
          <cell r="M1362" t="str">
            <v>Department of Culture and Tourism</v>
          </cell>
          <cell r="N1362" t="str">
            <v>Support Services</v>
          </cell>
          <cell r="O1362" t="str">
            <v>الخدمات المساندة</v>
          </cell>
          <cell r="P1362" t="str">
            <v>Technology</v>
          </cell>
          <cell r="Q1362" t="str">
            <v>التكنولوجيا</v>
          </cell>
          <cell r="R1362" t="str">
            <v>Business Partnership</v>
          </cell>
          <cell r="S1362" t="str">
            <v>شراكات الأعمال</v>
          </cell>
          <cell r="T1362" t="str">
            <v>Business Partnership</v>
          </cell>
          <cell r="U1362" t="str">
            <v>شراكات الأعمال</v>
          </cell>
          <cell r="V1362" t="str">
            <v>Abu Dhabi</v>
          </cell>
          <cell r="W1362" t="str">
            <v/>
          </cell>
          <cell r="X1362" t="str">
            <v>4510250</v>
          </cell>
          <cell r="Y1362" t="str">
            <v>Information Technology_Software Program Management _Senior Professional</v>
          </cell>
          <cell r="Z1362" t="str">
            <v>Senior Professional</v>
          </cell>
          <cell r="AA1362" t="str">
            <v>3B</v>
          </cell>
        </row>
        <row r="1363">
          <cell r="A1363">
            <v>2000629</v>
          </cell>
          <cell r="B1363">
            <v>2000629</v>
          </cell>
          <cell r="C1363" t="str">
            <v>A</v>
          </cell>
          <cell r="D1363" t="str">
            <v>Jayakumar Sekar Sekar</v>
          </cell>
          <cell r="E1363" t="str">
            <v>جاياكومار سيكار سيكار</v>
          </cell>
          <cell r="F1363">
            <v>44536</v>
          </cell>
          <cell r="G1363" t="str">
            <v>50001373</v>
          </cell>
          <cell r="H1363" t="str">
            <v>Contracts Administration &amp; Cost Estimation Engineer</v>
          </cell>
          <cell r="I1363" t="str">
            <v>مهندس للعقود وتقدير التكاليف</v>
          </cell>
          <cell r="J1363" t="str">
            <v>On-Chart</v>
          </cell>
          <cell r="K1363" t="str">
            <v>Sundus</v>
          </cell>
          <cell r="L1363" t="str">
            <v>SU</v>
          </cell>
          <cell r="M1363" t="str">
            <v>Department of Culture and Tourism</v>
          </cell>
          <cell r="N1363" t="str">
            <v>Tendering &amp; Projects Control</v>
          </cell>
          <cell r="O1363" t="str">
            <v>مكتب وكيل الدائرة</v>
          </cell>
          <cell r="P1363" t="str">
            <v>Tendering &amp; Projects Control</v>
          </cell>
          <cell r="Q1363" t="str">
            <v>المناقصات ومراقبة المشاريع</v>
          </cell>
          <cell r="R1363" t="str">
            <v>Contracts Administration &amp; Cost Estimation</v>
          </cell>
          <cell r="S1363" t="str">
            <v>إدارة العقود وتقدير التكاليف</v>
          </cell>
          <cell r="T1363" t="str">
            <v/>
          </cell>
          <cell r="U1363" t="str">
            <v/>
          </cell>
          <cell r="V1363" t="str">
            <v>Abu Dhabi</v>
          </cell>
          <cell r="W1363" t="str">
            <v/>
          </cell>
          <cell r="X1363" t="str">
            <v>4510155</v>
          </cell>
          <cell r="Y1363" t="str">
            <v>Procurement_Tendering _Professional</v>
          </cell>
          <cell r="Z1363" t="str">
            <v>Professional</v>
          </cell>
          <cell r="AA1363" t="str">
            <v>4B</v>
          </cell>
        </row>
        <row r="1364">
          <cell r="A1364">
            <v>2000631</v>
          </cell>
          <cell r="B1364">
            <v>2000631</v>
          </cell>
          <cell r="C1364" t="str">
            <v>A</v>
          </cell>
          <cell r="D1364" t="str">
            <v>Doaa Mohamed Nounou</v>
          </cell>
          <cell r="E1364" t="str">
            <v>دعاء محمد نونو</v>
          </cell>
          <cell r="F1364">
            <v>44507</v>
          </cell>
          <cell r="G1364" t="str">
            <v>47700609</v>
          </cell>
          <cell r="H1364" t="str">
            <v>Manuscripts Cataloguing Senior Specialist</v>
          </cell>
          <cell r="I1364" t="str">
            <v>أخصائي أول فهرسة المخطوطات</v>
          </cell>
          <cell r="J1364" t="str">
            <v>On-Chart</v>
          </cell>
          <cell r="K1364" t="str">
            <v>Sundus</v>
          </cell>
          <cell r="L1364" t="str">
            <v>SU</v>
          </cell>
          <cell r="M1364" t="str">
            <v>Department of Culture and Tourism</v>
          </cell>
          <cell r="N1364" t="str">
            <v>Culture</v>
          </cell>
          <cell r="O1364" t="str">
            <v>الثقافة</v>
          </cell>
          <cell r="P1364" t="str">
            <v>Library Management</v>
          </cell>
          <cell r="Q1364" t="str">
            <v>إدارة المكتبات</v>
          </cell>
          <cell r="R1364" t="str">
            <v>Manuscripts Conservation</v>
          </cell>
          <cell r="S1364" t="str">
            <v>حفظ المخطوطات</v>
          </cell>
          <cell r="T1364" t="str">
            <v/>
          </cell>
          <cell r="U1364" t="str">
            <v/>
          </cell>
          <cell r="V1364" t="str">
            <v>Abu Dhabi</v>
          </cell>
          <cell r="W1364" t="str">
            <v/>
          </cell>
          <cell r="X1364" t="str">
            <v>4516100</v>
          </cell>
          <cell r="Y1364" t="str">
            <v>Operations_Library Operational Management_Senior Professional</v>
          </cell>
          <cell r="Z1364" t="str">
            <v>Senior Professional</v>
          </cell>
          <cell r="AA1364" t="str">
            <v>3A</v>
          </cell>
        </row>
        <row r="1365">
          <cell r="A1365">
            <v>2000634</v>
          </cell>
          <cell r="B1365">
            <v>2000634</v>
          </cell>
          <cell r="C1365" t="str">
            <v>A</v>
          </cell>
          <cell r="D1365" t="str">
            <v>Dana Khamis Baker</v>
          </cell>
          <cell r="E1365" t="str">
            <v>دانة خميس بكر</v>
          </cell>
          <cell r="F1365">
            <v>44521</v>
          </cell>
          <cell r="G1365" t="str">
            <v>50000417</v>
          </cell>
          <cell r="H1365" t="str">
            <v>Recruitment Operations Specialist</v>
          </cell>
          <cell r="I1365" t="str">
            <v>أخصائي عمليات التوظيف</v>
          </cell>
          <cell r="J1365" t="str">
            <v>On-Chart</v>
          </cell>
          <cell r="K1365" t="str">
            <v>Sundus</v>
          </cell>
          <cell r="L1365" t="str">
            <v>SU</v>
          </cell>
          <cell r="M1365" t="str">
            <v>Department of Culture and Tourism</v>
          </cell>
          <cell r="N1365" t="str">
            <v>Support Services</v>
          </cell>
          <cell r="O1365" t="str">
            <v>الخدمات المساندة</v>
          </cell>
          <cell r="P1365" t="str">
            <v>People &amp; Performance</v>
          </cell>
          <cell r="Q1365" t="str">
            <v>إدارة الكوادر البشرية والأداء</v>
          </cell>
          <cell r="R1365" t="str">
            <v>Talent Acquisition</v>
          </cell>
          <cell r="S1365" t="str">
            <v>قسم استقطاب المواهب</v>
          </cell>
          <cell r="T1365" t="str">
            <v>Talent Acquisition Candidate Experience &amp; Reporting</v>
          </cell>
          <cell r="U1365" t="str">
            <v>تجربة المرشحين والتقارير</v>
          </cell>
          <cell r="V1365" t="str">
            <v>Abu Dhabi</v>
          </cell>
          <cell r="W1365" t="str">
            <v/>
          </cell>
          <cell r="X1365" t="str">
            <v>4510220</v>
          </cell>
          <cell r="Y1365" t="str">
            <v>People &amp; Performance _Talent Acquisition_Professional</v>
          </cell>
          <cell r="Z1365" t="str">
            <v>Professional</v>
          </cell>
          <cell r="AA1365" t="str">
            <v>4A</v>
          </cell>
        </row>
        <row r="1366">
          <cell r="A1366">
            <v>2000635</v>
          </cell>
          <cell r="B1366">
            <v>2000635</v>
          </cell>
          <cell r="C1366" t="str">
            <v>A</v>
          </cell>
          <cell r="D1366" t="str">
            <v>Deema Salaheddin Al-Rousan</v>
          </cell>
          <cell r="E1366" t="str">
            <v>ديما صلاح الدين الروسان</v>
          </cell>
          <cell r="F1366">
            <v>44535</v>
          </cell>
          <cell r="G1366" t="str">
            <v>50000382</v>
          </cell>
          <cell r="H1366" t="str">
            <v>Organization Development Senior Specialist</v>
          </cell>
          <cell r="I1366" t="str">
            <v>أخصائي أول التطوير المؤسسي</v>
          </cell>
          <cell r="J1366" t="str">
            <v>On-Chart</v>
          </cell>
          <cell r="K1366" t="str">
            <v>Sundus</v>
          </cell>
          <cell r="L1366" t="str">
            <v>SU</v>
          </cell>
          <cell r="M1366" t="str">
            <v>Department of Culture and Tourism</v>
          </cell>
          <cell r="N1366" t="str">
            <v>Strategic Affairs</v>
          </cell>
          <cell r="O1366" t="str">
            <v>الشؤون الاستراتيجية</v>
          </cell>
          <cell r="P1366" t="str">
            <v>Organization Strategy &amp; Transformation Department</v>
          </cell>
          <cell r="Q1366" t="str">
            <v/>
          </cell>
          <cell r="R1366" t="str">
            <v>Organization Development  &amp; Workforce Planning Section</v>
          </cell>
          <cell r="S1366" t="str">
            <v>رئيس قسم التطوير المؤسسي وتحليل وتخطيط القوى العاملة</v>
          </cell>
          <cell r="T1366" t="str">
            <v>Organization Development</v>
          </cell>
          <cell r="U1366" t="str">
            <v>التطوير المؤسسي</v>
          </cell>
          <cell r="V1366" t="str">
            <v>Abu Dhabi</v>
          </cell>
          <cell r="W1366" t="str">
            <v/>
          </cell>
          <cell r="X1366" t="str">
            <v>4512300</v>
          </cell>
          <cell r="Y1366" t="str">
            <v>Strategy, Planning, Project Mgt_ Strategy Planning Delivery &amp; Reporting_Senior Professional</v>
          </cell>
          <cell r="Z1366" t="str">
            <v>Senior Professional</v>
          </cell>
          <cell r="AA1366" t="str">
            <v>3C</v>
          </cell>
        </row>
        <row r="1367">
          <cell r="A1367">
            <v>2000639</v>
          </cell>
          <cell r="B1367">
            <v>2000639</v>
          </cell>
          <cell r="C1367" t="str">
            <v>A</v>
          </cell>
          <cell r="D1367" t="str">
            <v>Fouda Taha ElSayed</v>
          </cell>
          <cell r="E1367" t="str">
            <v>فوده طه السيد</v>
          </cell>
          <cell r="F1367">
            <v>44557</v>
          </cell>
          <cell r="G1367" t="str">
            <v>10012014</v>
          </cell>
          <cell r="H1367" t="str">
            <v>Business Analytics Unit Head</v>
          </cell>
          <cell r="I1367" t="str">
            <v>رئيس وحدة تحليلات الأعمال</v>
          </cell>
          <cell r="J1367" t="str">
            <v>On-Chart</v>
          </cell>
          <cell r="K1367" t="str">
            <v>Sundus</v>
          </cell>
          <cell r="L1367" t="str">
            <v>SU</v>
          </cell>
          <cell r="M1367" t="str">
            <v>Department of Culture and Tourism</v>
          </cell>
          <cell r="N1367" t="str">
            <v>Strategic Affairs</v>
          </cell>
          <cell r="O1367" t="str">
            <v>الشؤون الاستراتيجية</v>
          </cell>
          <cell r="P1367" t="str">
            <v>Data &amp; AI Department</v>
          </cell>
          <cell r="Q1367" t="str">
            <v>إدارة البيانات والذكاء الاصطناعي</v>
          </cell>
          <cell r="R1367" t="str">
            <v>Business Intelligence Section</v>
          </cell>
          <cell r="S1367" t="str">
            <v>قسم الاستخبارات التجارية</v>
          </cell>
          <cell r="T1367" t="str">
            <v>Business Analytics</v>
          </cell>
          <cell r="U1367" t="str">
            <v>تحليلات الأعمال</v>
          </cell>
          <cell r="V1367" t="str">
            <v>Abu Dhabi</v>
          </cell>
          <cell r="W1367" t="str">
            <v/>
          </cell>
          <cell r="X1367" t="str">
            <v>4512200</v>
          </cell>
          <cell r="Y1367" t="str">
            <v>Strategy, Planning, Project Mgt_Business &amp; Market Intelligence  Analysis &amp; Planning_Unit Head</v>
          </cell>
          <cell r="Z1367" t="str">
            <v>Unit Head</v>
          </cell>
          <cell r="AA1367" t="str">
            <v>3A</v>
          </cell>
        </row>
        <row r="1368">
          <cell r="A1368">
            <v>2000643</v>
          </cell>
          <cell r="B1368">
            <v>2000643</v>
          </cell>
          <cell r="C1368" t="str">
            <v>A</v>
          </cell>
          <cell r="D1368" t="str">
            <v>Alejandro Antonio Pen Santos</v>
          </cell>
          <cell r="E1368" t="str">
            <v>اليجاندرو انتونيو  بينا سانتوس</v>
          </cell>
          <cell r="F1368">
            <v>44578</v>
          </cell>
          <cell r="G1368" t="str">
            <v>50002170</v>
          </cell>
          <cell r="H1368" t="str">
            <v>Innovation Senior Analyst</v>
          </cell>
          <cell r="I1368" t="str">
            <v>محلل أول الابتكار</v>
          </cell>
          <cell r="J1368" t="str">
            <v>On-Chart</v>
          </cell>
          <cell r="K1368" t="str">
            <v>Al Nahiya</v>
          </cell>
          <cell r="L1368" t="str">
            <v>N0</v>
          </cell>
          <cell r="M1368" t="str">
            <v>Department of Culture and Tourism</v>
          </cell>
          <cell r="N1368" t="str">
            <v>Strategic Affairs</v>
          </cell>
          <cell r="O1368" t="str">
            <v>الشؤون الاستراتيجية</v>
          </cell>
          <cell r="P1368" t="str">
            <v>Business Excellence &amp; Continuity</v>
          </cell>
          <cell r="Q1368" t="str">
            <v>التميز المؤسسي واستمرارية الأعمال</v>
          </cell>
          <cell r="R1368" t="str">
            <v>Corporate Excellence &amp; Foresight Planning</v>
          </cell>
          <cell r="S1368" t="str">
            <v>التميز المؤسسي واستشراف المستقبل</v>
          </cell>
          <cell r="T1368" t="str">
            <v>Foresight Planning and Innovation</v>
          </cell>
          <cell r="U1368" t="str">
            <v>استشراف المستقبل والابتكار</v>
          </cell>
          <cell r="V1368" t="str">
            <v>Abu Dhabi</v>
          </cell>
          <cell r="W1368" t="str">
            <v/>
          </cell>
          <cell r="X1368" t="str">
            <v>4512300</v>
          </cell>
          <cell r="Y1368" t="str">
            <v>Strategy, Planning, Project Mgt_Business Excellence &amp; Foresight Planning _Senior Professional</v>
          </cell>
          <cell r="Z1368" t="str">
            <v>Senior Professional</v>
          </cell>
          <cell r="AA1368" t="str">
            <v>3A</v>
          </cell>
        </row>
        <row r="1369">
          <cell r="A1369">
            <v>2000644</v>
          </cell>
          <cell r="B1369">
            <v>2000644</v>
          </cell>
          <cell r="C1369" t="str">
            <v>A</v>
          </cell>
          <cell r="D1369" t="str">
            <v>Kseniya Mahileuskaya Mahileuskaya</v>
          </cell>
          <cell r="E1369" t="str">
            <v>كسيناء ماهيليوسكايا ماهيليوسكايا</v>
          </cell>
          <cell r="F1369">
            <v>44579</v>
          </cell>
          <cell r="G1369" t="str">
            <v>50001411</v>
          </cell>
          <cell r="H1369" t="str">
            <v>Social Media Specialist</v>
          </cell>
          <cell r="I1369" t="str">
            <v>أخصائي وسائل التواصل الاجتماعي</v>
          </cell>
          <cell r="J1369" t="str">
            <v>On-Chart</v>
          </cell>
          <cell r="K1369" t="str">
            <v>Sundus</v>
          </cell>
          <cell r="L1369" t="str">
            <v>SU</v>
          </cell>
          <cell r="M1369" t="str">
            <v>Department of Culture and Tourism</v>
          </cell>
          <cell r="N1369" t="str">
            <v>Strategic Marketing &amp; Communication</v>
          </cell>
          <cell r="O1369" t="str">
            <v>التسويق والاتصال الاستراتيجي</v>
          </cell>
          <cell r="P1369" t="str">
            <v>Creative &amp; Production</v>
          </cell>
          <cell r="Q1369" t="str">
            <v>الإبداع والإنتاج</v>
          </cell>
          <cell r="R1369" t="str">
            <v>Digital &amp; Social Media</v>
          </cell>
          <cell r="S1369" t="str">
            <v>الإعلام الرقمي</v>
          </cell>
          <cell r="T1369" t="str">
            <v>Social Media</v>
          </cell>
          <cell r="U1369" t="str">
            <v>وسائل التواصل الاجتماعي</v>
          </cell>
          <cell r="V1369" t="str">
            <v>Abu Dhabi</v>
          </cell>
          <cell r="W1369" t="str">
            <v/>
          </cell>
          <cell r="X1369" t="str">
            <v>4513110</v>
          </cell>
          <cell r="Y1369" t="str">
            <v>Senior Specialization Marketing &amp; Communications</v>
          </cell>
          <cell r="Z1369" t="str">
            <v>Senior Professional</v>
          </cell>
          <cell r="AA1369" t="str">
            <v>3A</v>
          </cell>
        </row>
        <row r="1370">
          <cell r="A1370">
            <v>2000647</v>
          </cell>
          <cell r="B1370">
            <v>2000647</v>
          </cell>
          <cell r="C1370" t="str">
            <v>A</v>
          </cell>
          <cell r="D1370" t="str">
            <v>Nabil Yammine</v>
          </cell>
          <cell r="E1370" t="str">
            <v>نبيل  ياميني</v>
          </cell>
          <cell r="F1370">
            <v>44594</v>
          </cell>
          <cell r="G1370" t="str">
            <v>50000918</v>
          </cell>
          <cell r="H1370" t="str">
            <v>Internal Communication Unit Head</v>
          </cell>
          <cell r="I1370" t="str">
            <v>رئيس وحدة الاتصال الداخلي</v>
          </cell>
          <cell r="J1370" t="str">
            <v>On-Chart</v>
          </cell>
          <cell r="K1370" t="str">
            <v>Al Nahiya</v>
          </cell>
          <cell r="L1370" t="str">
            <v>N0</v>
          </cell>
          <cell r="M1370" t="str">
            <v>Department of Culture and Tourism</v>
          </cell>
          <cell r="N1370" t="str">
            <v>Support Services</v>
          </cell>
          <cell r="O1370" t="str">
            <v>الخدمات المساندة</v>
          </cell>
          <cell r="P1370" t="str">
            <v>People &amp; Performance</v>
          </cell>
          <cell r="Q1370" t="str">
            <v>إدارة الكوادر البشرية والأداء</v>
          </cell>
          <cell r="R1370" t="str">
            <v>Internal Communications</v>
          </cell>
          <cell r="S1370" t="str">
            <v>الاتصال الداخلي</v>
          </cell>
          <cell r="T1370" t="str">
            <v>Internal Communications</v>
          </cell>
          <cell r="U1370" t="str">
            <v>الاتصال الداخلي</v>
          </cell>
          <cell r="V1370" t="str">
            <v>Abu Dhabi</v>
          </cell>
          <cell r="W1370" t="str">
            <v/>
          </cell>
          <cell r="X1370" t="str">
            <v>4510220</v>
          </cell>
          <cell r="Y1370" t="str">
            <v>Comms &amp; Marketing _Communications (All Areas)_Unit Head</v>
          </cell>
          <cell r="Z1370" t="str">
            <v>Unit Head</v>
          </cell>
          <cell r="AA1370" t="str">
            <v>3A</v>
          </cell>
        </row>
        <row r="1371">
          <cell r="A1371">
            <v>2000648</v>
          </cell>
          <cell r="B1371">
            <v>2000648</v>
          </cell>
          <cell r="C1371" t="str">
            <v>A</v>
          </cell>
          <cell r="D1371" t="str">
            <v>Junaid Shaikhdare</v>
          </cell>
          <cell r="E1371" t="str">
            <v>جنيد عبدالستار شيكهادرى</v>
          </cell>
          <cell r="F1371">
            <v>44594</v>
          </cell>
          <cell r="G1371" t="str">
            <v>50001225</v>
          </cell>
          <cell r="H1371" t="str">
            <v>Category Management Specialist</v>
          </cell>
          <cell r="I1371" t="str">
            <v>أخصائي إدارة فئة المشتريات​</v>
          </cell>
          <cell r="J1371" t="str">
            <v>On-Chart</v>
          </cell>
          <cell r="K1371" t="str">
            <v>Al Nahiya</v>
          </cell>
          <cell r="L1371" t="str">
            <v>N0</v>
          </cell>
          <cell r="M1371" t="str">
            <v>Department of Culture and Tourism</v>
          </cell>
          <cell r="N1371" t="str">
            <v>Support Services</v>
          </cell>
          <cell r="O1371" t="str">
            <v>الخدمات المساندة</v>
          </cell>
          <cell r="P1371" t="str">
            <v>Supply Management</v>
          </cell>
          <cell r="Q1371" t="str">
            <v>إدارة الإمداد</v>
          </cell>
          <cell r="R1371" t="str">
            <v>Sourcing</v>
          </cell>
          <cell r="S1371" t="str">
            <v>التوريد</v>
          </cell>
          <cell r="T1371" t="str">
            <v>Sourcing</v>
          </cell>
          <cell r="U1371" t="str">
            <v>توريد المشتريات</v>
          </cell>
          <cell r="V1371" t="str">
            <v>Abu Dhabi</v>
          </cell>
          <cell r="W1371" t="str">
            <v/>
          </cell>
          <cell r="X1371" t="str">
            <v>4510240</v>
          </cell>
          <cell r="Y1371" t="str">
            <v>Procurement_Procurement General_Professional</v>
          </cell>
          <cell r="Z1371" t="str">
            <v>Professional</v>
          </cell>
          <cell r="AA1371" t="str">
            <v>4A</v>
          </cell>
        </row>
        <row r="1372">
          <cell r="A1372">
            <v>2000649</v>
          </cell>
          <cell r="B1372">
            <v>2000649</v>
          </cell>
          <cell r="C1372" t="str">
            <v>A</v>
          </cell>
          <cell r="D1372" t="str">
            <v>Grainne Treise Murphy</v>
          </cell>
          <cell r="E1372" t="str">
            <v>جراين تريسي مورفي</v>
          </cell>
          <cell r="F1372">
            <v>44594</v>
          </cell>
          <cell r="G1372" t="str">
            <v>50002906</v>
          </cell>
          <cell r="H1372" t="str">
            <v>Celebrities &amp; VIPs Management Unit Head</v>
          </cell>
          <cell r="I1372" t="str">
            <v>رئيس وحدة ادارة المشاهير وكبار الشخصيات</v>
          </cell>
          <cell r="J1372" t="str">
            <v>On-Chart</v>
          </cell>
          <cell r="K1372" t="str">
            <v>Al Nahiya</v>
          </cell>
          <cell r="L1372" t="str">
            <v>N0</v>
          </cell>
          <cell r="M1372" t="str">
            <v>Department of Culture and Tourism</v>
          </cell>
          <cell r="N1372" t="str">
            <v>Strategic Marketing &amp; Communication</v>
          </cell>
          <cell r="O1372" t="str">
            <v>التسويق والاتصال الاستراتيجي</v>
          </cell>
          <cell r="P1372" t="str">
            <v>Planning, Strategy &amp; Operations</v>
          </cell>
          <cell r="Q1372" t="str">
            <v>التخطيط والاستراتيجية والعمليات</v>
          </cell>
          <cell r="R1372" t="str">
            <v>Media &amp; Partnerships</v>
          </cell>
          <cell r="S1372" t="str">
            <v>الإعلام والشراكات</v>
          </cell>
          <cell r="T1372" t="str">
            <v>Celebrities &amp; VIPs Management</v>
          </cell>
          <cell r="U1372" t="str">
            <v>المشاهير وكبار الشخصيات</v>
          </cell>
          <cell r="V1372" t="str">
            <v>Abu Dhabi</v>
          </cell>
          <cell r="W1372" t="str">
            <v/>
          </cell>
          <cell r="X1372" t="str">
            <v>4513130</v>
          </cell>
          <cell r="Y1372" t="str">
            <v>Strategy, Planning, Project Mgt_Operational Planning &amp; Project Management_Unit Head</v>
          </cell>
          <cell r="Z1372" t="str">
            <v>Unit Head</v>
          </cell>
          <cell r="AA1372" t="str">
            <v>3A</v>
          </cell>
        </row>
        <row r="1373">
          <cell r="A1373">
            <v>2000650</v>
          </cell>
          <cell r="B1373">
            <v>2000650</v>
          </cell>
          <cell r="C1373" t="str">
            <v>A</v>
          </cell>
          <cell r="D1373" t="str">
            <v>Asiff Sahabudeen</v>
          </cell>
          <cell r="E1373" t="str">
            <v>اصف  شهاب الدين</v>
          </cell>
          <cell r="F1373">
            <v>44595</v>
          </cell>
          <cell r="G1373" t="str">
            <v>50001121</v>
          </cell>
          <cell r="H1373" t="str">
            <v>Senior Business Analyst</v>
          </cell>
          <cell r="I1373" t="str">
            <v>محلل أعمال أول</v>
          </cell>
          <cell r="J1373" t="str">
            <v>On-Chart</v>
          </cell>
          <cell r="K1373" t="str">
            <v>Al Nahiya</v>
          </cell>
          <cell r="L1373" t="str">
            <v>N0</v>
          </cell>
          <cell r="M1373" t="str">
            <v>Department of Culture and Tourism</v>
          </cell>
          <cell r="N1373" t="str">
            <v>Support Services</v>
          </cell>
          <cell r="O1373" t="str">
            <v>الخدمات المساندة</v>
          </cell>
          <cell r="P1373" t="str">
            <v>Technology</v>
          </cell>
          <cell r="Q1373" t="str">
            <v>التكنولوجيا</v>
          </cell>
          <cell r="R1373" t="str">
            <v>Business Partnership</v>
          </cell>
          <cell r="S1373" t="str">
            <v>شراكات الأعمال</v>
          </cell>
          <cell r="T1373" t="str">
            <v>Solutions Design</v>
          </cell>
          <cell r="U1373" t="str">
            <v>تصميم الحلول</v>
          </cell>
          <cell r="V1373" t="str">
            <v>Abu Dhabi</v>
          </cell>
          <cell r="W1373" t="str">
            <v/>
          </cell>
          <cell r="X1373" t="str">
            <v>4510250</v>
          </cell>
          <cell r="Y1373" t="str">
            <v>Information Technology_Technical Support  _Senior Professional</v>
          </cell>
          <cell r="Z1373" t="str">
            <v>Senior Professional</v>
          </cell>
          <cell r="AA1373" t="str">
            <v>3A</v>
          </cell>
        </row>
        <row r="1374">
          <cell r="A1374">
            <v>2000651</v>
          </cell>
          <cell r="B1374">
            <v>2000651</v>
          </cell>
          <cell r="C1374" t="str">
            <v>A</v>
          </cell>
          <cell r="D1374" t="str">
            <v>Wasim Ali Ali</v>
          </cell>
          <cell r="E1374" t="str">
            <v>وسيم علي علي</v>
          </cell>
          <cell r="F1374">
            <v>44606</v>
          </cell>
          <cell r="G1374" t="str">
            <v>50000343</v>
          </cell>
          <cell r="H1374" t="str">
            <v>Procurement Business Partner</v>
          </cell>
          <cell r="I1374" t="str">
            <v>شريك أعمال المشتريات</v>
          </cell>
          <cell r="J1374" t="str">
            <v>On-Chart</v>
          </cell>
          <cell r="K1374" t="str">
            <v>Sundus</v>
          </cell>
          <cell r="L1374" t="str">
            <v>SU</v>
          </cell>
          <cell r="M1374" t="str">
            <v>Department of Culture and Tourism</v>
          </cell>
          <cell r="N1374" t="str">
            <v>Support Services</v>
          </cell>
          <cell r="O1374" t="str">
            <v>الخدمات المساندة</v>
          </cell>
          <cell r="P1374" t="str">
            <v>Supply Management</v>
          </cell>
          <cell r="Q1374" t="str">
            <v>إدارة الإمداد</v>
          </cell>
          <cell r="R1374" t="str">
            <v>Business Partners</v>
          </cell>
          <cell r="S1374" t="str">
            <v>شركاء أعمال</v>
          </cell>
          <cell r="T1374" t="str">
            <v>Procurement Business Partners</v>
          </cell>
          <cell r="U1374" t="str">
            <v>شركاء أعمال المشتريات</v>
          </cell>
          <cell r="V1374" t="str">
            <v>Abu Dhabi</v>
          </cell>
          <cell r="W1374" t="str">
            <v/>
          </cell>
          <cell r="X1374" t="str">
            <v>4510240</v>
          </cell>
          <cell r="Y1374" t="str">
            <v>Procurement_Procurement Business Partner _Senior Professional</v>
          </cell>
          <cell r="Z1374" t="str">
            <v>Professional</v>
          </cell>
          <cell r="AA1374" t="str">
            <v>3A</v>
          </cell>
        </row>
        <row r="1375">
          <cell r="A1375">
            <v>2000655</v>
          </cell>
          <cell r="B1375">
            <v>2000655</v>
          </cell>
          <cell r="C1375" t="str">
            <v>A</v>
          </cell>
          <cell r="D1375" t="str">
            <v>Ghadeer El Khub</v>
          </cell>
          <cell r="E1375" t="str">
            <v>غدير  الخب</v>
          </cell>
          <cell r="F1375">
            <v>44609</v>
          </cell>
          <cell r="G1375" t="str">
            <v>50001484</v>
          </cell>
          <cell r="H1375" t="str">
            <v>Creative &amp; Production Department Director</v>
          </cell>
          <cell r="I1375" t="str">
            <v>مدير إدارة الإبداع والإنتاج</v>
          </cell>
          <cell r="J1375" t="str">
            <v>On-Chart</v>
          </cell>
          <cell r="K1375" t="str">
            <v>Sundus</v>
          </cell>
          <cell r="L1375" t="str">
            <v>SU</v>
          </cell>
          <cell r="M1375" t="str">
            <v>Department of Culture and Tourism</v>
          </cell>
          <cell r="N1375" t="str">
            <v>Strategic Marketing &amp; Communication</v>
          </cell>
          <cell r="O1375" t="str">
            <v>التسويق والاتصال الاستراتيجي</v>
          </cell>
          <cell r="P1375" t="str">
            <v>Creative &amp; Production</v>
          </cell>
          <cell r="Q1375" t="str">
            <v>الإبداع والإنتاج</v>
          </cell>
          <cell r="R1375" t="str">
            <v/>
          </cell>
          <cell r="S1375" t="str">
            <v/>
          </cell>
          <cell r="T1375" t="str">
            <v/>
          </cell>
          <cell r="U1375" t="str">
            <v/>
          </cell>
          <cell r="V1375" t="str">
            <v>Abu Dhabi</v>
          </cell>
          <cell r="W1375" t="str">
            <v/>
          </cell>
          <cell r="X1375" t="str">
            <v>4513110</v>
          </cell>
          <cell r="Y1375" t="str">
            <v>Middle Management Marketing &amp; Communications</v>
          </cell>
          <cell r="Z1375" t="str">
            <v>Director</v>
          </cell>
          <cell r="AA1375" t="str">
            <v>2B</v>
          </cell>
        </row>
        <row r="1376">
          <cell r="A1376">
            <v>2000660</v>
          </cell>
          <cell r="B1376">
            <v>2000660</v>
          </cell>
          <cell r="C1376" t="str">
            <v>A</v>
          </cell>
          <cell r="D1376" t="str">
            <v>Mohammed Hafez Abdelrahman</v>
          </cell>
          <cell r="E1376" t="str">
            <v>محمد حافظ عبد الرحمن</v>
          </cell>
          <cell r="F1376">
            <v>44621</v>
          </cell>
          <cell r="G1376" t="str">
            <v>50001486</v>
          </cell>
          <cell r="H1376" t="str">
            <v>Accounts Receivables Accountant</v>
          </cell>
          <cell r="I1376" t="str">
            <v>محاسب الحسابات المستحقة</v>
          </cell>
          <cell r="J1376" t="str">
            <v>On-Chart</v>
          </cell>
          <cell r="K1376" t="str">
            <v>Al Nahiya</v>
          </cell>
          <cell r="L1376" t="str">
            <v>N0</v>
          </cell>
          <cell r="M1376" t="str">
            <v>Department of Culture and Tourism</v>
          </cell>
          <cell r="N1376" t="str">
            <v>Support Services</v>
          </cell>
          <cell r="O1376" t="str">
            <v>الخدمات المساندة</v>
          </cell>
          <cell r="P1376" t="str">
            <v>Finance</v>
          </cell>
          <cell r="Q1376" t="str">
            <v>إدارة المالية</v>
          </cell>
          <cell r="R1376" t="str">
            <v>Receivables Operations</v>
          </cell>
          <cell r="S1376" t="str">
            <v>عمليات الحسابات المستحقة</v>
          </cell>
          <cell r="T1376" t="str">
            <v>Accounts Receivables</v>
          </cell>
          <cell r="U1376" t="str">
            <v>حسابات مستحقة</v>
          </cell>
          <cell r="V1376" t="str">
            <v>Abu Dhabi</v>
          </cell>
          <cell r="W1376" t="str">
            <v/>
          </cell>
          <cell r="X1376" t="str">
            <v>4510210</v>
          </cell>
          <cell r="Y1376" t="str">
            <v>Finance_Accountant _Professional Assistant</v>
          </cell>
          <cell r="Z1376" t="str">
            <v>Professional</v>
          </cell>
          <cell r="AA1376" t="str">
            <v>4A</v>
          </cell>
        </row>
        <row r="1377">
          <cell r="A1377">
            <v>2000661</v>
          </cell>
          <cell r="B1377">
            <v>2000661</v>
          </cell>
          <cell r="C1377" t="str">
            <v>A</v>
          </cell>
          <cell r="D1377" t="str">
            <v>Uday Kumar Reddy Leburu</v>
          </cell>
          <cell r="E1377" t="str">
            <v>اوداى كومار ريدى  ليبورو</v>
          </cell>
          <cell r="F1377">
            <v>44627</v>
          </cell>
          <cell r="G1377" t="str">
            <v>50000609</v>
          </cell>
          <cell r="H1377" t="str">
            <v>Data Reporting Specialist</v>
          </cell>
          <cell r="I1377" t="str">
            <v>أخصائي تقارير البيانات</v>
          </cell>
          <cell r="J1377" t="str">
            <v>On-Chart</v>
          </cell>
          <cell r="K1377" t="str">
            <v>Al Nahiya</v>
          </cell>
          <cell r="L1377" t="str">
            <v>N0</v>
          </cell>
          <cell r="M1377" t="str">
            <v>Department of Culture and Tourism</v>
          </cell>
          <cell r="N1377" t="str">
            <v>Strategic Affairs</v>
          </cell>
          <cell r="O1377" t="str">
            <v>الشؤون الاستراتيجية</v>
          </cell>
          <cell r="P1377" t="str">
            <v>Data &amp; AI Department</v>
          </cell>
          <cell r="Q1377" t="str">
            <v>إدارة البيانات والذكاء الاصطناعي</v>
          </cell>
          <cell r="R1377" t="str">
            <v>Business Intelligence Section</v>
          </cell>
          <cell r="S1377" t="str">
            <v>قسم الاستخبارات التجارية</v>
          </cell>
          <cell r="T1377" t="str">
            <v>Business Analytics</v>
          </cell>
          <cell r="U1377" t="str">
            <v>تحليلات الأعمال</v>
          </cell>
          <cell r="V1377" t="str">
            <v>Abu Dhabi</v>
          </cell>
          <cell r="W1377" t="str">
            <v/>
          </cell>
          <cell r="X1377" t="str">
            <v>4512200</v>
          </cell>
          <cell r="Y1377" t="str">
            <v>Strategy, Planning, Project Mgt_Business &amp; Market Intelligence  Analysis &amp; Planning_Professional</v>
          </cell>
          <cell r="Z1377" t="str">
            <v>Professional</v>
          </cell>
          <cell r="AA1377" t="str">
            <v>4A</v>
          </cell>
        </row>
        <row r="1378">
          <cell r="A1378">
            <v>2000669</v>
          </cell>
          <cell r="B1378">
            <v>2000669</v>
          </cell>
          <cell r="C1378" t="str">
            <v>A</v>
          </cell>
          <cell r="D1378" t="str">
            <v>Yassar Mehmood Khan</v>
          </cell>
          <cell r="E1378" t="str">
            <v>ياسر محمود خان</v>
          </cell>
          <cell r="F1378">
            <v>44652</v>
          </cell>
          <cell r="G1378" t="str">
            <v>10010764</v>
          </cell>
          <cell r="H1378" t="str">
            <v>Compensation Senior Specialist</v>
          </cell>
          <cell r="I1378" t="str">
            <v>أخصائي أول المستحقات</v>
          </cell>
          <cell r="J1378" t="str">
            <v>On-Chart</v>
          </cell>
          <cell r="K1378" t="str">
            <v>Al Nahiya</v>
          </cell>
          <cell r="L1378" t="str">
            <v>N0</v>
          </cell>
          <cell r="M1378" t="str">
            <v>Department of Culture and Tourism</v>
          </cell>
          <cell r="N1378" t="str">
            <v>Support Services</v>
          </cell>
          <cell r="O1378" t="str">
            <v>الخدمات المساندة</v>
          </cell>
          <cell r="P1378" t="str">
            <v>People &amp; Performance</v>
          </cell>
          <cell r="Q1378" t="str">
            <v>إدارة الكوادر البشرية والأداء</v>
          </cell>
          <cell r="R1378" t="str">
            <v>Rewards &amp; Policy</v>
          </cell>
          <cell r="S1378" t="str">
            <v>المكافآت والسياسات</v>
          </cell>
          <cell r="T1378" t="str">
            <v>Compensation &amp; Policy</v>
          </cell>
          <cell r="U1378" t="str">
            <v>المستحقات والسياسات</v>
          </cell>
          <cell r="V1378" t="str">
            <v>Abu Dhabi</v>
          </cell>
          <cell r="W1378" t="str">
            <v>Nation Tower, 5th Floor</v>
          </cell>
          <cell r="X1378" t="str">
            <v>4510220</v>
          </cell>
          <cell r="Y1378" t="str">
            <v>People &amp; Performance _Rewards Policy &amp; Recognition _Senior Professional</v>
          </cell>
          <cell r="Z1378" t="str">
            <v>Senior Professional</v>
          </cell>
          <cell r="AA1378" t="str">
            <v>3A</v>
          </cell>
        </row>
        <row r="1379">
          <cell r="A1379">
            <v>2000670</v>
          </cell>
          <cell r="B1379">
            <v>2000670</v>
          </cell>
          <cell r="C1379" t="str">
            <v>A</v>
          </cell>
          <cell r="D1379" t="str">
            <v>Faisal Nasir Aziz Khan</v>
          </cell>
          <cell r="E1379" t="str">
            <v>فيصل ناصر عزيز  خان</v>
          </cell>
          <cell r="F1379">
            <v>44700</v>
          </cell>
          <cell r="G1379" t="str">
            <v>50001535</v>
          </cell>
          <cell r="H1379" t="str">
            <v>Tourism Sector Management Office Director</v>
          </cell>
          <cell r="I1379" t="str">
            <v>مدير مكتب إدارة شؤون قطاع السياحة</v>
          </cell>
          <cell r="J1379" t="str">
            <v>On-Chart</v>
          </cell>
          <cell r="K1379" t="str">
            <v>Al Nahiya</v>
          </cell>
          <cell r="L1379" t="str">
            <v>N0</v>
          </cell>
          <cell r="M1379" t="str">
            <v>Department of Culture and Tourism</v>
          </cell>
          <cell r="N1379" t="str">
            <v>Tourism</v>
          </cell>
          <cell r="O1379" t="str">
            <v>السياحة</v>
          </cell>
          <cell r="P1379" t="str">
            <v>Tourism Sector Management Office</v>
          </cell>
          <cell r="Q1379" t="str">
            <v>مكتب إدارة شؤون قطاع السياحة</v>
          </cell>
          <cell r="R1379" t="str">
            <v/>
          </cell>
          <cell r="S1379" t="str">
            <v/>
          </cell>
          <cell r="T1379" t="str">
            <v/>
          </cell>
          <cell r="U1379" t="str">
            <v/>
          </cell>
          <cell r="V1379" t="str">
            <v>Abu Dhabi</v>
          </cell>
          <cell r="W1379" t="str">
            <v/>
          </cell>
          <cell r="X1379" t="str">
            <v>4515010</v>
          </cell>
          <cell r="Y1379" t="str">
            <v>Compliance,Governance&amp;Protocol_Policy (Culture &amp;Tourism)_Director</v>
          </cell>
          <cell r="Z1379" t="str">
            <v>Director</v>
          </cell>
          <cell r="AA1379" t="str">
            <v>1A</v>
          </cell>
        </row>
        <row r="1380">
          <cell r="A1380">
            <v>2000671</v>
          </cell>
          <cell r="B1380">
            <v>2000671</v>
          </cell>
          <cell r="C1380" t="str">
            <v>A</v>
          </cell>
          <cell r="D1380" t="str">
            <v>Chloe Annabelle Margot Hilaire</v>
          </cell>
          <cell r="E1380" t="str">
            <v>شلوى انابيلى مارجوت  هيليرى</v>
          </cell>
          <cell r="F1380">
            <v>44662</v>
          </cell>
          <cell r="G1380" t="str">
            <v>50001097</v>
          </cell>
          <cell r="H1380" t="str">
            <v>Culture Strategy &amp; Performance Management Unit Head</v>
          </cell>
          <cell r="I1380" t="str">
            <v>رئيس وحدة استراتيجية الثقافة وإدارة الأداء</v>
          </cell>
          <cell r="J1380" t="str">
            <v>On-Chart</v>
          </cell>
          <cell r="K1380" t="str">
            <v>Al Nahiya</v>
          </cell>
          <cell r="L1380" t="str">
            <v>N0</v>
          </cell>
          <cell r="M1380" t="str">
            <v>Department of Culture and Tourism</v>
          </cell>
          <cell r="N1380" t="str">
            <v>Culture</v>
          </cell>
          <cell r="O1380" t="str">
            <v>الثقافة</v>
          </cell>
          <cell r="P1380" t="str">
            <v>Culture Sector Policy and Development Office</v>
          </cell>
          <cell r="Q1380" t="str">
            <v>مكتب إدارة سياسة وتطوير قطاع الثقافة</v>
          </cell>
          <cell r="R1380" t="str">
            <v/>
          </cell>
          <cell r="S1380" t="str">
            <v/>
          </cell>
          <cell r="T1380" t="str">
            <v/>
          </cell>
          <cell r="U1380" t="str">
            <v/>
          </cell>
          <cell r="V1380" t="str">
            <v>Abu Dhabi</v>
          </cell>
          <cell r="W1380" t="str">
            <v/>
          </cell>
          <cell r="X1380" t="str">
            <v>4511010</v>
          </cell>
          <cell r="Y1380" t="str">
            <v>Compliance,Governance&amp;Protocol_Policy  (Culture &amp; Tourism)_Unit Head</v>
          </cell>
          <cell r="Z1380" t="str">
            <v>Unit Head</v>
          </cell>
          <cell r="AA1380" t="str">
            <v>3A</v>
          </cell>
        </row>
        <row r="1381">
          <cell r="A1381">
            <v>2000675</v>
          </cell>
          <cell r="B1381">
            <v>2000675</v>
          </cell>
          <cell r="C1381" t="str">
            <v>A</v>
          </cell>
          <cell r="D1381" t="str">
            <v>Monique Reed</v>
          </cell>
          <cell r="E1381" t="str">
            <v>مونيك  ريد</v>
          </cell>
          <cell r="F1381">
            <v>45200</v>
          </cell>
          <cell r="G1381" t="str">
            <v>50002677</v>
          </cell>
          <cell r="H1381" t="str">
            <v>Museum Education Lead</v>
          </cell>
          <cell r="I1381" t="str">
            <v>أخصائي رئيسي تعليم المتحف</v>
          </cell>
          <cell r="J1381" t="str">
            <v>On-Chart</v>
          </cell>
          <cell r="K1381" t="str">
            <v>MSS Al Nahiya</v>
          </cell>
          <cell r="L1381" t="str">
            <v>M2</v>
          </cell>
          <cell r="M1381" t="str">
            <v>Department of Culture and Tourism</v>
          </cell>
          <cell r="N1381" t="str">
            <v>Zayed National Museum</v>
          </cell>
          <cell r="O1381" t="str">
            <v>متحف زايد الوطني</v>
          </cell>
          <cell r="P1381" t="str">
            <v>Learning &amp; Public Engagement</v>
          </cell>
          <cell r="Q1381" t="str">
            <v>التعليم والمشاركة المجتمعية</v>
          </cell>
          <cell r="R1381" t="str">
            <v>Learning &amp; Audience Engagement</v>
          </cell>
          <cell r="S1381" t="str">
            <v>التعليم وإشراك الجمهور</v>
          </cell>
          <cell r="T1381" t="str">
            <v/>
          </cell>
          <cell r="U1381" t="str">
            <v/>
          </cell>
          <cell r="V1381" t="str">
            <v>Abu Dhabi</v>
          </cell>
          <cell r="W1381" t="str">
            <v/>
          </cell>
          <cell r="X1381" t="str">
            <v>4510182</v>
          </cell>
          <cell r="Y1381" t="str">
            <v>Interpretation &amp; Engagement_Education &amp; Learning Development &amp;   Engagement(All)_Unit Head</v>
          </cell>
          <cell r="Z1381" t="str">
            <v>Unit Head</v>
          </cell>
          <cell r="AA1381" t="str">
            <v>3B</v>
          </cell>
        </row>
        <row r="1382">
          <cell r="A1382">
            <v>2000679</v>
          </cell>
          <cell r="B1382">
            <v>2000679</v>
          </cell>
          <cell r="C1382" t="str">
            <v>A</v>
          </cell>
          <cell r="D1382" t="str">
            <v>Amruddin Shajahan</v>
          </cell>
          <cell r="E1382" t="str">
            <v>عمرو الدين  شاجاهان</v>
          </cell>
          <cell r="F1382">
            <v>44678</v>
          </cell>
          <cell r="G1382" t="str">
            <v>10007085</v>
          </cell>
          <cell r="H1382" t="str">
            <v>Finance Business Partner</v>
          </cell>
          <cell r="I1382" t="str">
            <v>شريك الأعمال المالية</v>
          </cell>
          <cell r="J1382" t="str">
            <v>On-Chart</v>
          </cell>
          <cell r="K1382" t="str">
            <v>Al Nahiya</v>
          </cell>
          <cell r="L1382" t="str">
            <v>N0</v>
          </cell>
          <cell r="M1382" t="str">
            <v>Department of Culture and Tourism</v>
          </cell>
          <cell r="N1382" t="str">
            <v>Support Services</v>
          </cell>
          <cell r="O1382" t="str">
            <v>الخدمات المساندة</v>
          </cell>
          <cell r="P1382" t="str">
            <v>Finance</v>
          </cell>
          <cell r="Q1382" t="str">
            <v>إدارة المالية</v>
          </cell>
          <cell r="R1382" t="str">
            <v>Finance Business Partners</v>
          </cell>
          <cell r="S1382" t="str">
            <v>شركاء الأعمال المالية</v>
          </cell>
          <cell r="T1382" t="str">
            <v>Finance Business Partners</v>
          </cell>
          <cell r="U1382" t="str">
            <v>شركاء الأعمال المالية</v>
          </cell>
          <cell r="V1382" t="str">
            <v>Abu Dhabi</v>
          </cell>
          <cell r="W1382" t="str">
            <v/>
          </cell>
          <cell r="X1382" t="str">
            <v>4510210</v>
          </cell>
          <cell r="Y1382" t="str">
            <v>Finance_Financial Business Partners _Senior Professional</v>
          </cell>
          <cell r="Z1382" t="str">
            <v>Senior Professional</v>
          </cell>
          <cell r="AA1382" t="str">
            <v>3A</v>
          </cell>
        </row>
        <row r="1383">
          <cell r="A1383">
            <v>2000680</v>
          </cell>
          <cell r="B1383">
            <v>2000680</v>
          </cell>
          <cell r="C1383" t="str">
            <v>A</v>
          </cell>
          <cell r="D1383" t="str">
            <v>Ahmad Magdy ElShahat</v>
          </cell>
          <cell r="E1383" t="str">
            <v>أحمد مجدى الشحات</v>
          </cell>
          <cell r="F1383">
            <v>44690</v>
          </cell>
          <cell r="G1383" t="str">
            <v>50001498</v>
          </cell>
          <cell r="H1383" t="str">
            <v>Analytics &amp; Transformation Unit Head</v>
          </cell>
          <cell r="I1383" t="str">
            <v>رئيس وحدة التحول والتحليل</v>
          </cell>
          <cell r="J1383" t="str">
            <v>On-Chart</v>
          </cell>
          <cell r="K1383" t="str">
            <v>Al Nahiya</v>
          </cell>
          <cell r="L1383" t="str">
            <v>N0</v>
          </cell>
          <cell r="M1383" t="str">
            <v>Department of Culture and Tourism</v>
          </cell>
          <cell r="N1383" t="str">
            <v>Support Services</v>
          </cell>
          <cell r="O1383" t="str">
            <v>الخدمات المساندة</v>
          </cell>
          <cell r="P1383" t="str">
            <v>Office of the Support Services Executive Director</v>
          </cell>
          <cell r="Q1383" t="str">
            <v>مكتب المدير التنفيذي لقطاع الخدمات المساندة</v>
          </cell>
          <cell r="R1383" t="str">
            <v>Support Services Transformation</v>
          </cell>
          <cell r="S1383" t="str">
            <v>تحول الخدمات المساندة</v>
          </cell>
          <cell r="T1383" t="str">
            <v>Analytics &amp; Transformation</v>
          </cell>
          <cell r="U1383" t="str">
            <v>التحول والتحليل</v>
          </cell>
          <cell r="V1383" t="str">
            <v>Abu Dhabi</v>
          </cell>
          <cell r="W1383" t="str">
            <v/>
          </cell>
          <cell r="X1383" t="str">
            <v>4510201</v>
          </cell>
          <cell r="Y1383" t="str">
            <v>Strategy, Planning, Project Mgt_Strategic Business Partnership_Unit Head</v>
          </cell>
          <cell r="Z1383" t="str">
            <v>Unit Head</v>
          </cell>
          <cell r="AA1383" t="str">
            <v>3A</v>
          </cell>
        </row>
        <row r="1384">
          <cell r="A1384">
            <v>2000681</v>
          </cell>
          <cell r="B1384">
            <v>2000681</v>
          </cell>
          <cell r="C1384" t="str">
            <v>A</v>
          </cell>
          <cell r="D1384" t="str">
            <v>Fahd Favio El-Mounaged</v>
          </cell>
          <cell r="E1384" t="str">
            <v>فهد فافيو  المنجد</v>
          </cell>
          <cell r="F1384">
            <v>44690</v>
          </cell>
          <cell r="G1384" t="str">
            <v>50001050</v>
          </cell>
          <cell r="H1384" t="str">
            <v>Market Research  Unit Head</v>
          </cell>
          <cell r="I1384" t="str">
            <v>رئيس وحدة أبحاث السوق</v>
          </cell>
          <cell r="J1384" t="str">
            <v>On-Chart</v>
          </cell>
          <cell r="K1384" t="str">
            <v>ALC Al Nahiya</v>
          </cell>
          <cell r="L1384" t="str">
            <v>AL2</v>
          </cell>
          <cell r="M1384" t="str">
            <v>Abu Dhabi Arabic Language Centre</v>
          </cell>
          <cell r="N1384" t="str">
            <v>Abu Dhabi Arabic Language Centre</v>
          </cell>
          <cell r="O1384" t="str">
            <v>مركز أبوظبي للغة العربية</v>
          </cell>
          <cell r="P1384" t="str">
            <v>Strategic Planning Office - ALC</v>
          </cell>
          <cell r="Q1384" t="str">
            <v>مكتب التخطيط الاستراتيجي</v>
          </cell>
          <cell r="R1384" t="str">
            <v>Strategic Planning &amp; Market Intelligence</v>
          </cell>
          <cell r="S1384" t="str">
            <v>التخطيط الاستراتيجي وتحليل السوق</v>
          </cell>
          <cell r="T1384" t="str">
            <v>Market Intelligence &amp; Research</v>
          </cell>
          <cell r="U1384" t="str">
            <v>البحوث وتحليل السوق</v>
          </cell>
          <cell r="V1384" t="str">
            <v>Abu Dhabi</v>
          </cell>
          <cell r="W1384" t="str">
            <v/>
          </cell>
          <cell r="X1384" t="str">
            <v>4519203</v>
          </cell>
          <cell r="Y1384" t="str">
            <v>Interpretation &amp; Engagement_Arabic Language Research &amp; Studies _Unit Head</v>
          </cell>
          <cell r="Z1384" t="str">
            <v>Unit Head</v>
          </cell>
          <cell r="AA1384" t="str">
            <v>3A</v>
          </cell>
        </row>
        <row r="1385">
          <cell r="A1385">
            <v>2000685</v>
          </cell>
          <cell r="B1385">
            <v>2000685</v>
          </cell>
          <cell r="C1385" t="str">
            <v>A</v>
          </cell>
          <cell r="D1385" t="str">
            <v>Mohamed Rafiudeen Samsudeen</v>
          </cell>
          <cell r="E1385" t="str">
            <v>محمد رافيالدين شمس الدين</v>
          </cell>
          <cell r="F1385">
            <v>45111</v>
          </cell>
          <cell r="G1385" t="str">
            <v>50001587</v>
          </cell>
          <cell r="H1385" t="str">
            <v>Events Performance, Analysis, &amp; Reporting  Senior Specialist</v>
          </cell>
          <cell r="I1385" t="str">
            <v>تنفيذي أول استراتيجية وتخطيط الفعاليات</v>
          </cell>
          <cell r="J1385" t="str">
            <v>On-Chart</v>
          </cell>
          <cell r="K1385" t="str">
            <v>Al Nahiya</v>
          </cell>
          <cell r="L1385" t="str">
            <v>N0</v>
          </cell>
          <cell r="M1385" t="str">
            <v>Department of Culture and Tourism</v>
          </cell>
          <cell r="N1385" t="str">
            <v>Tourism</v>
          </cell>
          <cell r="O1385" t="str">
            <v>السياحة</v>
          </cell>
          <cell r="P1385" t="str">
            <v>Abu Dhabi Events Bureau</v>
          </cell>
          <cell r="Q1385" t="str">
            <v>مكتب أبوظبي للفعاليات</v>
          </cell>
          <cell r="R1385" t="str">
            <v>Events Strategy &amp; Planning</v>
          </cell>
          <cell r="S1385" t="str">
            <v>استراتيجية وتخطيط الفعاليات</v>
          </cell>
          <cell r="T1385" t="str">
            <v>Events Performance, Analysis, &amp; Reporting</v>
          </cell>
          <cell r="U1385" t="str">
            <v>وحدة أداء الفعاليات والتحليل والتقارير</v>
          </cell>
          <cell r="V1385" t="str">
            <v>Abu Dhabi</v>
          </cell>
          <cell r="W1385" t="str">
            <v/>
          </cell>
          <cell r="X1385" t="str">
            <v>4515500</v>
          </cell>
          <cell r="Y1385" t="str">
            <v>Commercial _Conventions, Exhibitions, Events,Festivals Development &amp; Sales  _Senior Professional</v>
          </cell>
          <cell r="Z1385" t="str">
            <v>Senior Professional</v>
          </cell>
          <cell r="AA1385" t="str">
            <v>3A</v>
          </cell>
        </row>
        <row r="1386">
          <cell r="A1386">
            <v>2000687</v>
          </cell>
          <cell r="B1386">
            <v>2000687</v>
          </cell>
          <cell r="C1386" t="str">
            <v>A</v>
          </cell>
          <cell r="D1386" t="str">
            <v>Kinan Wajih Al Shohof</v>
          </cell>
          <cell r="E1386" t="str">
            <v>كنان وجيه الشحف</v>
          </cell>
          <cell r="F1386">
            <v>44734</v>
          </cell>
          <cell r="G1386" t="str">
            <v>50000694</v>
          </cell>
          <cell r="H1386" t="str">
            <v>Senior Editor (Arabic)</v>
          </cell>
          <cell r="I1386" t="str">
            <v>محرر أول (اللغة العربية)</v>
          </cell>
          <cell r="J1386" t="str">
            <v>On-Chart</v>
          </cell>
          <cell r="K1386" t="str">
            <v>MSS Al Nahiya</v>
          </cell>
          <cell r="L1386" t="str">
            <v>M2</v>
          </cell>
          <cell r="M1386" t="str">
            <v>Department of Culture and Tourism</v>
          </cell>
          <cell r="N1386" t="str">
            <v>Zayed National Museum</v>
          </cell>
          <cell r="O1386" t="str">
            <v>متحف زايد الوطني</v>
          </cell>
          <cell r="P1386" t="str">
            <v>Learning &amp; Public Engagement</v>
          </cell>
          <cell r="Q1386" t="str">
            <v>التعليم والمشاركة المجتمعية</v>
          </cell>
          <cell r="R1386" t="str">
            <v>Publications</v>
          </cell>
          <cell r="S1386" t="str">
            <v>النشر</v>
          </cell>
          <cell r="T1386" t="str">
            <v/>
          </cell>
          <cell r="U1386" t="str">
            <v/>
          </cell>
          <cell r="V1386" t="str">
            <v>Abu Dhabi</v>
          </cell>
          <cell r="W1386" t="str">
            <v/>
          </cell>
          <cell r="X1386" t="str">
            <v>4510182</v>
          </cell>
          <cell r="Y1386" t="str">
            <v>Interpretation &amp; Engagement_Education &amp; Learning Development &amp;   Engagement(All)_Unit Head</v>
          </cell>
          <cell r="Z1386" t="str">
            <v>Senior Professional</v>
          </cell>
          <cell r="AA1386" t="str">
            <v>3A</v>
          </cell>
        </row>
        <row r="1387">
          <cell r="A1387">
            <v>2000688</v>
          </cell>
          <cell r="B1387">
            <v>2000688</v>
          </cell>
          <cell r="C1387" t="str">
            <v>A</v>
          </cell>
          <cell r="D1387" t="str">
            <v>Suzan Ahmad Refaie</v>
          </cell>
          <cell r="E1387" t="str">
            <v>سوزان أحمد رفاعي</v>
          </cell>
          <cell r="F1387">
            <v>45231</v>
          </cell>
          <cell r="G1387" t="str">
            <v>50001480</v>
          </cell>
          <cell r="H1387" t="str">
            <v>Administrative Assistant</v>
          </cell>
          <cell r="I1387" t="str">
            <v>مساعد إداري</v>
          </cell>
          <cell r="J1387" t="str">
            <v>On-Chart</v>
          </cell>
          <cell r="K1387" t="str">
            <v>MSS Sundus</v>
          </cell>
          <cell r="L1387" t="str">
            <v>M3</v>
          </cell>
          <cell r="M1387" t="str">
            <v>Department of Culture and Tourism</v>
          </cell>
          <cell r="N1387" t="str">
            <v>Culture</v>
          </cell>
          <cell r="O1387" t="str">
            <v>الثقافة</v>
          </cell>
          <cell r="P1387" t="str">
            <v>Guggenheim Abu Dhabi Museum</v>
          </cell>
          <cell r="Q1387" t="str">
            <v>متحف جوجينهايم أبوظبي</v>
          </cell>
          <cell r="R1387" t="str">
            <v/>
          </cell>
          <cell r="S1387" t="str">
            <v/>
          </cell>
          <cell r="T1387" t="str">
            <v/>
          </cell>
          <cell r="U1387" t="str">
            <v/>
          </cell>
          <cell r="V1387" t="str">
            <v>Abu Dhabi</v>
          </cell>
          <cell r="W1387" t="str">
            <v/>
          </cell>
          <cell r="X1387" t="str">
            <v>4510410</v>
          </cell>
          <cell r="Y1387" t="str">
            <v>Compliance,Governance&amp;Protocol_Policy (Culture/Tourism) _Professional</v>
          </cell>
          <cell r="Z1387" t="str">
            <v>Professional Assistant</v>
          </cell>
          <cell r="AA1387" t="str">
            <v>4B</v>
          </cell>
        </row>
        <row r="1388">
          <cell r="A1388">
            <v>2000690</v>
          </cell>
          <cell r="B1388">
            <v>2000690</v>
          </cell>
          <cell r="C1388" t="str">
            <v>A</v>
          </cell>
          <cell r="D1388" t="str">
            <v>Abdulla Yousuf Mohamed</v>
          </cell>
          <cell r="E1388" t="str">
            <v>عبدالله محمد يوسف</v>
          </cell>
          <cell r="F1388">
            <v>44713</v>
          </cell>
          <cell r="G1388" t="str">
            <v>10011371</v>
          </cell>
          <cell r="H1388" t="str">
            <v>International Operations Department Director</v>
          </cell>
          <cell r="I1388" t="str">
            <v>مدير إدارة العمليات الدولية</v>
          </cell>
          <cell r="J1388" t="str">
            <v>On-Chart</v>
          </cell>
          <cell r="K1388" t="str">
            <v>Al Nahiya</v>
          </cell>
          <cell r="L1388" t="str">
            <v>N0</v>
          </cell>
          <cell r="M1388" t="str">
            <v>Department of Culture and Tourism</v>
          </cell>
          <cell r="N1388" t="str">
            <v>Tourism</v>
          </cell>
          <cell r="O1388" t="str">
            <v>السياحة</v>
          </cell>
          <cell r="P1388" t="str">
            <v>International Operations</v>
          </cell>
          <cell r="Q1388" t="str">
            <v>العمليات الدولية</v>
          </cell>
          <cell r="R1388" t="str">
            <v/>
          </cell>
          <cell r="S1388" t="str">
            <v/>
          </cell>
          <cell r="T1388" t="str">
            <v/>
          </cell>
          <cell r="U1388" t="str">
            <v/>
          </cell>
          <cell r="V1388" t="str">
            <v>Abu Dhabi</v>
          </cell>
          <cell r="W1388" t="str">
            <v/>
          </cell>
          <cell r="X1388" t="str">
            <v>4515100</v>
          </cell>
          <cell r="Y1388" t="str">
            <v>Commercial _Tourism Products Development _Director</v>
          </cell>
          <cell r="Z1388" t="str">
            <v>Director</v>
          </cell>
          <cell r="AA1388" t="str">
            <v>1A</v>
          </cell>
        </row>
        <row r="1389">
          <cell r="A1389">
            <v>2000695</v>
          </cell>
          <cell r="B1389">
            <v>2000695</v>
          </cell>
          <cell r="C1389" t="str">
            <v>A</v>
          </cell>
          <cell r="D1389" t="str">
            <v>Teddy Katusiime</v>
          </cell>
          <cell r="E1389" t="str">
            <v>تيدي  كانوسيمي</v>
          </cell>
          <cell r="F1389">
            <v>44721</v>
          </cell>
          <cell r="G1389" t="str">
            <v>10005090</v>
          </cell>
          <cell r="H1389" t="str">
            <v>Supplier Relationship Management Senior Specialist</v>
          </cell>
          <cell r="I1389" t="str">
            <v>أخصائي أول إدارة علاقات الموردين</v>
          </cell>
          <cell r="J1389" t="str">
            <v>On-Chart</v>
          </cell>
          <cell r="K1389" t="str">
            <v>Al Nahiya</v>
          </cell>
          <cell r="L1389" t="str">
            <v>N0</v>
          </cell>
          <cell r="M1389" t="str">
            <v>Department of Culture and Tourism</v>
          </cell>
          <cell r="N1389" t="str">
            <v>Support Services</v>
          </cell>
          <cell r="O1389" t="str">
            <v>الخدمات المساندة</v>
          </cell>
          <cell r="P1389" t="str">
            <v>Supply Management</v>
          </cell>
          <cell r="Q1389" t="str">
            <v>إدارة الإمداد</v>
          </cell>
          <cell r="R1389" t="str">
            <v>Contracts, System &amp; Reporting</v>
          </cell>
          <cell r="S1389" t="str">
            <v>العقود والأنظمة والتقارير</v>
          </cell>
          <cell r="T1389" t="str">
            <v>Supplier Performance</v>
          </cell>
          <cell r="U1389" t="str">
            <v>أداء الموردين</v>
          </cell>
          <cell r="V1389" t="str">
            <v>Abu Dhabi</v>
          </cell>
          <cell r="W1389" t="str">
            <v/>
          </cell>
          <cell r="X1389" t="str">
            <v>4510240</v>
          </cell>
          <cell r="Y1389" t="str">
            <v>Procurement_Procurement General_Senior Professional</v>
          </cell>
          <cell r="Z1389" t="str">
            <v>Senior Professional</v>
          </cell>
          <cell r="AA1389" t="str">
            <v>3A</v>
          </cell>
        </row>
        <row r="1390">
          <cell r="A1390">
            <v>2000696</v>
          </cell>
          <cell r="B1390">
            <v>2000696</v>
          </cell>
          <cell r="C1390" t="str">
            <v>A</v>
          </cell>
          <cell r="D1390" t="str">
            <v>Mahmoud Ismail Nashabat</v>
          </cell>
          <cell r="E1390" t="str">
            <v>محمود إسماعيل نشبت</v>
          </cell>
          <cell r="F1390">
            <v>44725</v>
          </cell>
          <cell r="G1390" t="str">
            <v>50003798</v>
          </cell>
          <cell r="H1390" t="str">
            <v>Talent Attraction Specialist</v>
          </cell>
          <cell r="I1390" t="str">
            <v>أخصائي استقطاب المواهب</v>
          </cell>
          <cell r="J1390" t="str">
            <v>On-Chart</v>
          </cell>
          <cell r="K1390" t="str">
            <v>Al Nahiya</v>
          </cell>
          <cell r="L1390" t="str">
            <v>N0</v>
          </cell>
          <cell r="M1390" t="str">
            <v>Department of Culture and Tourism</v>
          </cell>
          <cell r="N1390" t="str">
            <v>Support Services</v>
          </cell>
          <cell r="O1390" t="str">
            <v>الخدمات المساندة</v>
          </cell>
          <cell r="P1390" t="str">
            <v>People &amp; Performance</v>
          </cell>
          <cell r="Q1390" t="str">
            <v>إدارة الكوادر البشرية والأداء</v>
          </cell>
          <cell r="R1390" t="str">
            <v>Talent Acquisition</v>
          </cell>
          <cell r="S1390" t="str">
            <v>قسم استقطاب المواهب</v>
          </cell>
          <cell r="T1390" t="str">
            <v>Talent Acquisition</v>
          </cell>
          <cell r="U1390" t="str">
            <v>استقطاب المواهب</v>
          </cell>
          <cell r="V1390" t="str">
            <v>Abu Dhabi</v>
          </cell>
          <cell r="W1390" t="str">
            <v/>
          </cell>
          <cell r="X1390" t="str">
            <v>4510220</v>
          </cell>
          <cell r="Y1390" t="str">
            <v>People &amp; Performance _Talent Acquisition_Professional</v>
          </cell>
          <cell r="Z1390" t="str">
            <v>Professional</v>
          </cell>
          <cell r="AA1390" t="str">
            <v>4B</v>
          </cell>
        </row>
        <row r="1391">
          <cell r="A1391">
            <v>2000701</v>
          </cell>
          <cell r="B1391">
            <v>2000701</v>
          </cell>
          <cell r="C1391" t="str">
            <v>A</v>
          </cell>
          <cell r="D1391" t="str">
            <v>Hana Yasser Rabah</v>
          </cell>
          <cell r="E1391" t="str">
            <v>هناء ياسر رباح</v>
          </cell>
          <cell r="F1391">
            <v>44734</v>
          </cell>
          <cell r="G1391" t="str">
            <v>50000649</v>
          </cell>
          <cell r="H1391" t="str">
            <v>People &amp; Performance Officer</v>
          </cell>
          <cell r="I1391" t="str">
            <v>ضابط، الكوادر البشرية والأداء</v>
          </cell>
          <cell r="J1391" t="str">
            <v>Temporary</v>
          </cell>
          <cell r="K1391" t="str">
            <v>Al Nahiya</v>
          </cell>
          <cell r="L1391" t="str">
            <v>N0</v>
          </cell>
          <cell r="M1391" t="str">
            <v>Department of Culture and Tourism</v>
          </cell>
          <cell r="N1391" t="str">
            <v>Support Services</v>
          </cell>
          <cell r="O1391" t="str">
            <v>الخدمات المساندة</v>
          </cell>
          <cell r="P1391" t="str">
            <v>People &amp; Performance</v>
          </cell>
          <cell r="Q1391" t="str">
            <v>إدارة الكوادر البشرية والأداء</v>
          </cell>
          <cell r="R1391" t="str">
            <v/>
          </cell>
          <cell r="S1391" t="str">
            <v/>
          </cell>
          <cell r="T1391" t="str">
            <v/>
          </cell>
          <cell r="U1391" t="str">
            <v/>
          </cell>
          <cell r="V1391" t="str">
            <v>Abu Dhabi</v>
          </cell>
          <cell r="W1391" t="str">
            <v/>
          </cell>
          <cell r="X1391" t="str">
            <v>4510220</v>
          </cell>
          <cell r="Y1391" t="str">
            <v>People &amp; Performance _HR
Advisor_Section Head</v>
          </cell>
          <cell r="Z1391" t="str">
            <v>Professional</v>
          </cell>
          <cell r="AA1391" t="str">
            <v>4A</v>
          </cell>
        </row>
        <row r="1392">
          <cell r="A1392">
            <v>2000702</v>
          </cell>
          <cell r="B1392">
            <v>2000702</v>
          </cell>
          <cell r="C1392" t="str">
            <v>A</v>
          </cell>
          <cell r="D1392" t="str">
            <v>Mira Al Abdulla</v>
          </cell>
          <cell r="E1392" t="str">
            <v>ميرا  العبدلله</v>
          </cell>
          <cell r="F1392">
            <v>44754</v>
          </cell>
          <cell r="G1392" t="str">
            <v>50003486</v>
          </cell>
          <cell r="H1392" t="str">
            <v>Brand Collaborations &amp; Sponsorships  Unit Head</v>
          </cell>
          <cell r="I1392" t="str">
            <v>رئيس وحدة شراكات الهوية المؤسسية والرعاية</v>
          </cell>
          <cell r="J1392" t="str">
            <v>On-Chart</v>
          </cell>
          <cell r="K1392" t="str">
            <v>Al Nahiya</v>
          </cell>
          <cell r="L1392" t="str">
            <v>N0</v>
          </cell>
          <cell r="M1392" t="str">
            <v>Department of Culture and Tourism</v>
          </cell>
          <cell r="N1392" t="str">
            <v>Strategic Marketing &amp; Communication</v>
          </cell>
          <cell r="O1392" t="str">
            <v>التسويق والاتصال الاستراتيجي</v>
          </cell>
          <cell r="P1392" t="str">
            <v>Planning, Strategy &amp; Operations</v>
          </cell>
          <cell r="Q1392" t="str">
            <v>التخطيط والاستراتيجية والعمليات</v>
          </cell>
          <cell r="R1392" t="str">
            <v>Media &amp; Partnerships</v>
          </cell>
          <cell r="S1392" t="str">
            <v>الإعلام والشراكات</v>
          </cell>
          <cell r="T1392" t="str">
            <v/>
          </cell>
          <cell r="U1392" t="str">
            <v/>
          </cell>
          <cell r="V1392" t="str">
            <v>Abu Dhabi</v>
          </cell>
          <cell r="W1392" t="str">
            <v/>
          </cell>
          <cell r="X1392" t="str">
            <v>4513130</v>
          </cell>
          <cell r="Y1392" t="str">
            <v>Strategy, Planning, Project Mgt_Operational Planning &amp; Project Management_Unit Head</v>
          </cell>
          <cell r="Z1392" t="str">
            <v>Unit Head</v>
          </cell>
          <cell r="AA1392" t="str">
            <v>3B</v>
          </cell>
        </row>
        <row r="1393">
          <cell r="A1393">
            <v>2000706</v>
          </cell>
          <cell r="B1393">
            <v>2000706</v>
          </cell>
          <cell r="C1393" t="str">
            <v>A</v>
          </cell>
          <cell r="D1393" t="str">
            <v>Belhassen Kinbi</v>
          </cell>
          <cell r="E1393" t="str">
            <v>بلحسن  القنبي</v>
          </cell>
          <cell r="F1393">
            <v>44739</v>
          </cell>
          <cell r="G1393" t="str">
            <v>50000866</v>
          </cell>
          <cell r="H1393" t="str">
            <v>Senior Heritage Planner</v>
          </cell>
          <cell r="I1393" t="str">
            <v>أخصائي أول تخطيط تراث</v>
          </cell>
          <cell r="J1393" t="str">
            <v>On-Chart</v>
          </cell>
          <cell r="K1393" t="str">
            <v>Al Nahiya</v>
          </cell>
          <cell r="L1393" t="str">
            <v>N0</v>
          </cell>
          <cell r="M1393" t="str">
            <v>Department of Culture and Tourism</v>
          </cell>
          <cell r="N1393" t="str">
            <v>Culture</v>
          </cell>
          <cell r="O1393" t="str">
            <v>الثقافة</v>
          </cell>
          <cell r="P1393" t="str">
            <v>Historic Environment</v>
          </cell>
          <cell r="Q1393" t="str">
            <v>البيئة التاريخية</v>
          </cell>
          <cell r="R1393" t="str">
            <v>World Heritage Sites Management</v>
          </cell>
          <cell r="S1393" t="str">
            <v>إدارة مواقع التراث العالمي</v>
          </cell>
          <cell r="T1393" t="str">
            <v>World Heritage Planning</v>
          </cell>
          <cell r="U1393" t="str">
            <v>تخطيط التراث العالمي</v>
          </cell>
          <cell r="V1393" t="str">
            <v>Al Ain</v>
          </cell>
          <cell r="W1393" t="str">
            <v/>
          </cell>
          <cell r="X1393" t="str">
            <v>4511300</v>
          </cell>
          <cell r="Y1393" t="str">
            <v>Compliance,Governance&amp;Protocol_Policy (Culture/Tourism _Senior Professional</v>
          </cell>
          <cell r="Z1393" t="str">
            <v>Senior Professional</v>
          </cell>
          <cell r="AA1393" t="str">
            <v>3A</v>
          </cell>
        </row>
        <row r="1394">
          <cell r="A1394">
            <v>2000707</v>
          </cell>
          <cell r="B1394">
            <v>2000707</v>
          </cell>
          <cell r="C1394" t="str">
            <v>A</v>
          </cell>
          <cell r="D1394" t="str">
            <v>Claudia Manuela Frei</v>
          </cell>
          <cell r="E1394" t="str">
            <v>كلاوديا مانويلا  فري</v>
          </cell>
          <cell r="F1394">
            <v>44743</v>
          </cell>
          <cell r="G1394" t="str">
            <v>50004238</v>
          </cell>
          <cell r="H1394" t="str">
            <v>Project Manager</v>
          </cell>
          <cell r="I1394" t="str">
            <v>مدير مشاريع</v>
          </cell>
          <cell r="J1394" t="str">
            <v>On-Chart</v>
          </cell>
          <cell r="K1394" t="str">
            <v>Al Nahiya</v>
          </cell>
          <cell r="L1394" t="str">
            <v>N0</v>
          </cell>
          <cell r="M1394" t="str">
            <v>Department of Culture and Tourism</v>
          </cell>
          <cell r="N1394" t="str">
            <v>Tourism</v>
          </cell>
          <cell r="O1394" t="str">
            <v>السياحة</v>
          </cell>
          <cell r="P1394" t="str">
            <v>Abu Dhabi Events Bureau</v>
          </cell>
          <cell r="Q1394" t="str">
            <v>مكتب أبوظبي للفعاليات</v>
          </cell>
          <cell r="R1394" t="str">
            <v/>
          </cell>
          <cell r="S1394" t="str">
            <v/>
          </cell>
          <cell r="T1394" t="str">
            <v/>
          </cell>
          <cell r="U1394" t="str">
            <v/>
          </cell>
          <cell r="V1394" t="str">
            <v>Abu Dhabi</v>
          </cell>
          <cell r="W1394" t="str">
            <v/>
          </cell>
          <cell r="X1394" t="str">
            <v>4515500</v>
          </cell>
          <cell r="Y1394" t="str">
            <v>Commercial _Conventions, Exhibitions, Events,Festivals Development &amp; Sales  _Unit Head</v>
          </cell>
          <cell r="Z1394" t="str">
            <v>Unit Head</v>
          </cell>
          <cell r="AA1394" t="str">
            <v>3B</v>
          </cell>
        </row>
        <row r="1395">
          <cell r="A1395">
            <v>2000713</v>
          </cell>
          <cell r="B1395">
            <v>2000713</v>
          </cell>
          <cell r="C1395" t="str">
            <v>A</v>
          </cell>
          <cell r="D1395" t="str">
            <v>Laura Maree Coll</v>
          </cell>
          <cell r="E1395" t="str">
            <v>لاورا ماري كول</v>
          </cell>
          <cell r="F1395">
            <v>44750</v>
          </cell>
          <cell r="G1395" t="str">
            <v>50001718</v>
          </cell>
          <cell r="H1395" t="str">
            <v>Events Section Head</v>
          </cell>
          <cell r="I1395" t="str">
            <v>رئيس قسم الفعاليات</v>
          </cell>
          <cell r="J1395" t="str">
            <v>On-Chart</v>
          </cell>
          <cell r="K1395" t="str">
            <v>MSS Al Nahiya</v>
          </cell>
          <cell r="L1395" t="str">
            <v>M2</v>
          </cell>
          <cell r="M1395" t="str">
            <v>Louvre Abu Dhabi</v>
          </cell>
          <cell r="N1395" t="str">
            <v>Louvre Abu Dhabi</v>
          </cell>
          <cell r="O1395" t="str">
            <v>متحف اللوفر أبوظبي</v>
          </cell>
          <cell r="P1395" t="str">
            <v>Visitor Experience &amp; Sales</v>
          </cell>
          <cell r="Q1395" t="str">
            <v>إدارة تجربة الزوار و المبيعات</v>
          </cell>
          <cell r="R1395" t="str">
            <v>Event Operations</v>
          </cell>
          <cell r="S1395" t="str">
            <v/>
          </cell>
          <cell r="T1395" t="str">
            <v/>
          </cell>
          <cell r="U1395" t="str">
            <v/>
          </cell>
          <cell r="V1395" t="str">
            <v>Abu Dhabi</v>
          </cell>
          <cell r="W1395" t="str">
            <v/>
          </cell>
          <cell r="X1395" t="str">
            <v>4510125</v>
          </cell>
          <cell r="Y1395" t="str">
            <v>Design_Visitor Experience Design_Section Head</v>
          </cell>
          <cell r="Z1395" t="str">
            <v>Section Manager</v>
          </cell>
          <cell r="AA1395" t="str">
            <v>2A</v>
          </cell>
        </row>
        <row r="1396">
          <cell r="A1396">
            <v>2000716</v>
          </cell>
          <cell r="B1396">
            <v>2000716</v>
          </cell>
          <cell r="C1396" t="str">
            <v>A</v>
          </cell>
          <cell r="D1396" t="str">
            <v>Shaima Ayman Allan</v>
          </cell>
          <cell r="E1396" t="str">
            <v>شيماء أيمن علان</v>
          </cell>
          <cell r="F1396">
            <v>44754</v>
          </cell>
          <cell r="G1396" t="str">
            <v>50001713</v>
          </cell>
          <cell r="H1396" t="str">
            <v>Executive Assistant</v>
          </cell>
          <cell r="I1396" t="str">
            <v>مساعد تنفيذي</v>
          </cell>
          <cell r="J1396" t="str">
            <v>On-Chart</v>
          </cell>
          <cell r="K1396" t="str">
            <v>Al Nahiya</v>
          </cell>
          <cell r="L1396" t="str">
            <v>N0</v>
          </cell>
          <cell r="M1396" t="str">
            <v>Department of Culture and Tourism</v>
          </cell>
          <cell r="N1396" t="str">
            <v>Tourism</v>
          </cell>
          <cell r="O1396" t="str">
            <v>السياحة</v>
          </cell>
          <cell r="P1396" t="str">
            <v>Visitors Experience</v>
          </cell>
          <cell r="Q1396" t="str">
            <v>تجربة الزوار</v>
          </cell>
          <cell r="R1396" t="str">
            <v/>
          </cell>
          <cell r="S1396" t="str">
            <v/>
          </cell>
          <cell r="T1396" t="str">
            <v/>
          </cell>
          <cell r="U1396" t="str">
            <v/>
          </cell>
          <cell r="V1396" t="str">
            <v>Abu Dhabi</v>
          </cell>
          <cell r="W1396" t="str">
            <v/>
          </cell>
          <cell r="X1396" t="str">
            <v>4515300</v>
          </cell>
          <cell r="Y1396" t="str">
            <v>Design_Visitor Experience Design_Professional Assistant</v>
          </cell>
          <cell r="Z1396" t="str">
            <v>Professional Assistant</v>
          </cell>
          <cell r="AA1396" t="str">
            <v>6B</v>
          </cell>
        </row>
        <row r="1397">
          <cell r="A1397">
            <v>2000718</v>
          </cell>
          <cell r="B1397">
            <v>2000718</v>
          </cell>
          <cell r="C1397" t="str">
            <v>A</v>
          </cell>
          <cell r="D1397" t="str">
            <v>Mai Husni Alsaffarini</v>
          </cell>
          <cell r="E1397" t="str">
            <v>مي أحمد السفاريني</v>
          </cell>
          <cell r="F1397">
            <v>44748</v>
          </cell>
          <cell r="G1397" t="str">
            <v>47700156</v>
          </cell>
          <cell r="H1397" t="str">
            <v>Library Assistant</v>
          </cell>
          <cell r="I1397" t="str">
            <v>مساعد شؤون المكتبة</v>
          </cell>
          <cell r="J1397" t="str">
            <v>On-Chart</v>
          </cell>
          <cell r="K1397" t="str">
            <v>Al Nahiya</v>
          </cell>
          <cell r="L1397" t="str">
            <v>N0</v>
          </cell>
          <cell r="M1397" t="str">
            <v>Department of Culture and Tourism</v>
          </cell>
          <cell r="N1397" t="str">
            <v>Culture</v>
          </cell>
          <cell r="O1397" t="str">
            <v>الثقافة</v>
          </cell>
          <cell r="P1397" t="str">
            <v>Library Management</v>
          </cell>
          <cell r="Q1397" t="str">
            <v>إدارة المكتبات</v>
          </cell>
          <cell r="R1397" t="str">
            <v>Branches Library</v>
          </cell>
          <cell r="S1397" t="str">
            <v>فروع المكتبات</v>
          </cell>
          <cell r="T1397" t="str">
            <v>Sheikh Khalifa Library</v>
          </cell>
          <cell r="U1397" t="str">
            <v>مكتبة الشيخ خليفة</v>
          </cell>
          <cell r="V1397" t="str">
            <v>Abu Dhabi</v>
          </cell>
          <cell r="W1397" t="str">
            <v/>
          </cell>
          <cell r="X1397" t="str">
            <v>4516100</v>
          </cell>
          <cell r="Y1397" t="str">
            <v>Operations_Library Operational  Management _Professional Assistant</v>
          </cell>
          <cell r="Z1397" t="str">
            <v>Professional Assistant</v>
          </cell>
          <cell r="AA1397" t="str">
            <v>6A</v>
          </cell>
        </row>
        <row r="1398">
          <cell r="A1398">
            <v>2000719</v>
          </cell>
          <cell r="B1398">
            <v>2000719</v>
          </cell>
          <cell r="C1398" t="str">
            <v>A</v>
          </cell>
          <cell r="D1398" t="str">
            <v>Jamil Wajih Al Atrash</v>
          </cell>
          <cell r="E1398" t="str">
            <v>جميل وجيه الأطرش</v>
          </cell>
          <cell r="F1398">
            <v>44755</v>
          </cell>
          <cell r="G1398" t="str">
            <v>10007331</v>
          </cell>
          <cell r="H1398" t="str">
            <v>General Ledger Unit Head</v>
          </cell>
          <cell r="I1398" t="str">
            <v>رئيس وحدة سجل الحسابات العامة</v>
          </cell>
          <cell r="J1398" t="str">
            <v>On-Chart</v>
          </cell>
          <cell r="K1398" t="str">
            <v>Al Nahiya</v>
          </cell>
          <cell r="L1398" t="str">
            <v>N0</v>
          </cell>
          <cell r="M1398" t="str">
            <v>Department of Culture and Tourism</v>
          </cell>
          <cell r="N1398" t="str">
            <v>Support Services</v>
          </cell>
          <cell r="O1398" t="str">
            <v>الخدمات المساندة</v>
          </cell>
          <cell r="P1398" t="str">
            <v>Finance</v>
          </cell>
          <cell r="Q1398" t="str">
            <v>إدارة المالية</v>
          </cell>
          <cell r="R1398" t="str">
            <v>Finance Operations</v>
          </cell>
          <cell r="S1398" t="str">
            <v>العمليات المالية</v>
          </cell>
          <cell r="T1398" t="str">
            <v>General Ledger</v>
          </cell>
          <cell r="U1398" t="str">
            <v/>
          </cell>
          <cell r="V1398" t="str">
            <v>Abu Dhabi</v>
          </cell>
          <cell r="W1398" t="str">
            <v/>
          </cell>
          <cell r="X1398" t="str">
            <v>4510210</v>
          </cell>
          <cell r="Y1398" t="str">
            <v>Finance_Finance Operations _Unit Head</v>
          </cell>
          <cell r="Z1398" t="str">
            <v>Unit Head</v>
          </cell>
          <cell r="AA1398" t="str">
            <v>3B</v>
          </cell>
        </row>
        <row r="1399">
          <cell r="A1399">
            <v>2000721</v>
          </cell>
          <cell r="B1399">
            <v>2000721</v>
          </cell>
          <cell r="C1399" t="str">
            <v>A</v>
          </cell>
          <cell r="D1399" t="str">
            <v>Maria Matta</v>
          </cell>
          <cell r="E1399" t="str">
            <v>ماريا ميناس متى</v>
          </cell>
          <cell r="F1399">
            <v>44767</v>
          </cell>
          <cell r="G1399" t="str">
            <v>50000551</v>
          </cell>
          <cell r="H1399" t="str">
            <v>Collection Management &amp; Conservation Section Head</v>
          </cell>
          <cell r="I1399" t="str">
            <v>رئيس قسم إدارة وحفظ المقتنيات</v>
          </cell>
          <cell r="J1399" t="str">
            <v>On-Chart</v>
          </cell>
          <cell r="K1399" t="str">
            <v>MSS Al Nahiya</v>
          </cell>
          <cell r="L1399" t="str">
            <v>M2</v>
          </cell>
          <cell r="M1399" t="str">
            <v>Department of Culture and Tourism</v>
          </cell>
          <cell r="N1399" t="str">
            <v>Zayed National Museum</v>
          </cell>
          <cell r="O1399" t="str">
            <v>متحف زايد الوطني</v>
          </cell>
          <cell r="P1399" t="str">
            <v>Curatorial &amp; Collection Management</v>
          </cell>
          <cell r="Q1399" t="str">
            <v>أمناء المتحف وإدارة المقتنيات</v>
          </cell>
          <cell r="R1399" t="str">
            <v>Collections Managment &amp; Conservation</v>
          </cell>
          <cell r="S1399" t="str">
            <v>إدارة وحفظ المقتنيات</v>
          </cell>
          <cell r="T1399" t="str">
            <v/>
          </cell>
          <cell r="U1399" t="str">
            <v/>
          </cell>
          <cell r="V1399" t="str">
            <v>Abu Dhabi</v>
          </cell>
          <cell r="W1399" t="str">
            <v/>
          </cell>
          <cell r="X1399" t="str">
            <v>4510181</v>
          </cell>
          <cell r="Y1399" t="str">
            <v>Content &amp; Care_Curatorial   Management (All areas)_Section Head</v>
          </cell>
          <cell r="Z1399" t="str">
            <v>Section Manager</v>
          </cell>
          <cell r="AA1399" t="str">
            <v>2B</v>
          </cell>
        </row>
        <row r="1400">
          <cell r="A1400">
            <v>2000722</v>
          </cell>
          <cell r="B1400">
            <v>2000722</v>
          </cell>
          <cell r="C1400" t="str">
            <v>A</v>
          </cell>
          <cell r="D1400" t="str">
            <v>IOANNIS SPANOS</v>
          </cell>
          <cell r="E1400" t="str">
            <v>ايوانيس  سبانوس</v>
          </cell>
          <cell r="F1400">
            <v>44767</v>
          </cell>
          <cell r="G1400" t="str">
            <v>10011480</v>
          </cell>
          <cell r="H1400" t="str">
            <v>Objects Conservator</v>
          </cell>
          <cell r="I1400" t="str">
            <v>أخصائي حفظ التحف</v>
          </cell>
          <cell r="J1400" t="str">
            <v>On-Chart</v>
          </cell>
          <cell r="K1400" t="str">
            <v>Al Nahiya</v>
          </cell>
          <cell r="L1400" t="str">
            <v>N0</v>
          </cell>
          <cell r="M1400" t="str">
            <v>Department of Culture and Tourism</v>
          </cell>
          <cell r="N1400" t="str">
            <v>Culture</v>
          </cell>
          <cell r="O1400" t="str">
            <v>الثقافة</v>
          </cell>
          <cell r="P1400" t="str">
            <v>Scientific, Curatorial and Collection Department</v>
          </cell>
          <cell r="Q1400" t="str">
            <v>إدارة البحث العلمي والمقتنيات</v>
          </cell>
          <cell r="R1400" t="str">
            <v>Collections</v>
          </cell>
          <cell r="S1400" t="str">
            <v>إدارة المقتنيات</v>
          </cell>
          <cell r="T1400" t="str">
            <v>Collections Conservation</v>
          </cell>
          <cell r="U1400" t="str">
            <v>حفظ المقتنيات</v>
          </cell>
          <cell r="V1400" t="str">
            <v>Abu Dhabi</v>
          </cell>
          <cell r="W1400" t="str">
            <v/>
          </cell>
          <cell r="X1400" t="str">
            <v>4511150</v>
          </cell>
          <cell r="Y1400" t="str">
            <v>Compliance,Governance&amp;Protocol_Policy (Culture/Tourism _Senior Professional</v>
          </cell>
          <cell r="Z1400" t="str">
            <v>Senior Professional</v>
          </cell>
          <cell r="AA1400" t="str">
            <v>3B</v>
          </cell>
        </row>
        <row r="1401">
          <cell r="A1401">
            <v>2000724</v>
          </cell>
          <cell r="B1401">
            <v>2000724</v>
          </cell>
          <cell r="C1401" t="str">
            <v>A</v>
          </cell>
          <cell r="D1401" t="str">
            <v>Marijana Mihajlovic</v>
          </cell>
          <cell r="E1401" t="str">
            <v>ماريجانا  ميهاجلوفيك</v>
          </cell>
          <cell r="F1401">
            <v>44774</v>
          </cell>
          <cell r="G1401" t="str">
            <v>50001726</v>
          </cell>
          <cell r="H1401" t="str">
            <v>Niche Markets, Sports, &amp; Holiday Homes Section Head</v>
          </cell>
          <cell r="I1401" t="str">
            <v>رئيس قسم الأسواق المتخصصة والرياضة والمنازل السياحية</v>
          </cell>
          <cell r="J1401" t="str">
            <v>On-Chart</v>
          </cell>
          <cell r="K1401" t="str">
            <v>Al Nahiya</v>
          </cell>
          <cell r="L1401" t="str">
            <v>N0</v>
          </cell>
          <cell r="M1401" t="str">
            <v>Department of Culture and Tourism</v>
          </cell>
          <cell r="N1401" t="str">
            <v>Tourism</v>
          </cell>
          <cell r="O1401" t="str">
            <v>السياحة</v>
          </cell>
          <cell r="P1401" t="str">
            <v>Tourism Products Development</v>
          </cell>
          <cell r="Q1401" t="str">
            <v>تطوير المنتجات السياحية</v>
          </cell>
          <cell r="R1401" t="str">
            <v>Niche Markets, Sports, &amp; Holiday Homes</v>
          </cell>
          <cell r="S1401" t="str">
            <v>قسم الأسواق المتخصصة والرياضة والمنازل السياحية</v>
          </cell>
          <cell r="T1401" t="str">
            <v/>
          </cell>
          <cell r="U1401" t="str">
            <v/>
          </cell>
          <cell r="V1401" t="str">
            <v>Abu Dhabi</v>
          </cell>
          <cell r="W1401" t="str">
            <v/>
          </cell>
          <cell r="X1401" t="str">
            <v>4515900</v>
          </cell>
          <cell r="Y1401" t="str">
            <v>Commercial _Tourism Products Development _Section Head</v>
          </cell>
          <cell r="Z1401" t="str">
            <v>Section Manager</v>
          </cell>
          <cell r="AA1401" t="str">
            <v>2B</v>
          </cell>
        </row>
        <row r="1402">
          <cell r="A1402">
            <v>2000725</v>
          </cell>
          <cell r="B1402">
            <v>2000725</v>
          </cell>
          <cell r="C1402" t="str">
            <v>A</v>
          </cell>
          <cell r="D1402" t="str">
            <v>Bahaa Redwan Al Am Eddine</v>
          </cell>
          <cell r="E1402" t="str">
            <v>بهاء رضوان علم الدين</v>
          </cell>
          <cell r="F1402">
            <v>44774</v>
          </cell>
          <cell r="G1402" t="str">
            <v>50001590</v>
          </cell>
          <cell r="H1402" t="str">
            <v>Performance Management Unit Head</v>
          </cell>
          <cell r="I1402" t="str">
            <v>رئيس وحدة إدارة الأداء</v>
          </cell>
          <cell r="J1402" t="str">
            <v>On-Chart</v>
          </cell>
          <cell r="K1402" t="str">
            <v>Al Nahiya</v>
          </cell>
          <cell r="L1402" t="str">
            <v>N0</v>
          </cell>
          <cell r="M1402" t="str">
            <v>Department of Culture and Tourism</v>
          </cell>
          <cell r="N1402" t="str">
            <v>Tourism</v>
          </cell>
          <cell r="O1402" t="str">
            <v>السياحة</v>
          </cell>
          <cell r="P1402" t="str">
            <v>Tourism Sector Management Office</v>
          </cell>
          <cell r="Q1402" t="str">
            <v>مكتب إدارة شؤون قطاع السياحة</v>
          </cell>
          <cell r="R1402" t="str">
            <v>Tourism PMO Section</v>
          </cell>
          <cell r="S1402" t="str">
            <v>قسم  مكتب إدارة مشاريع السياحة</v>
          </cell>
          <cell r="T1402" t="str">
            <v>Performance Management Unit</v>
          </cell>
          <cell r="U1402" t="str">
            <v>وحدة إدارة الأداء</v>
          </cell>
          <cell r="V1402" t="str">
            <v>Abu Dhabi</v>
          </cell>
          <cell r="W1402" t="str">
            <v/>
          </cell>
          <cell r="X1402" t="str">
            <v>4515010</v>
          </cell>
          <cell r="Y1402" t="str">
            <v>Middle Management Operations</v>
          </cell>
          <cell r="Z1402" t="str">
            <v>Unit Head</v>
          </cell>
          <cell r="AA1402" t="str">
            <v>3B</v>
          </cell>
        </row>
        <row r="1403">
          <cell r="A1403">
            <v>2000726</v>
          </cell>
          <cell r="B1403">
            <v>2000726</v>
          </cell>
          <cell r="C1403" t="str">
            <v>A</v>
          </cell>
          <cell r="D1403" t="str">
            <v>Charlotte Elizabeth Rowberry</v>
          </cell>
          <cell r="E1403" t="str">
            <v>شارلوت  روبيري</v>
          </cell>
          <cell r="F1403">
            <v>44788</v>
          </cell>
          <cell r="G1403" t="str">
            <v>50000709</v>
          </cell>
          <cell r="H1403" t="str">
            <v>F&amp;B Manager</v>
          </cell>
          <cell r="I1403" t="str">
            <v>مدير المأكولات والمشروبات</v>
          </cell>
          <cell r="J1403" t="str">
            <v>On-Chart</v>
          </cell>
          <cell r="K1403" t="str">
            <v>MSS Al Nahiya</v>
          </cell>
          <cell r="L1403" t="str">
            <v>M2</v>
          </cell>
          <cell r="M1403" t="str">
            <v>Department of Culture and Tourism</v>
          </cell>
          <cell r="N1403" t="str">
            <v>Zayed National Museum</v>
          </cell>
          <cell r="O1403" t="str">
            <v>متحف زايد الوطني</v>
          </cell>
          <cell r="P1403" t="str">
            <v>Development &amp; Commercial Services</v>
          </cell>
          <cell r="Q1403" t="str">
            <v>التطوير والخدمات التجارية</v>
          </cell>
          <cell r="R1403" t="str">
            <v/>
          </cell>
          <cell r="S1403" t="str">
            <v/>
          </cell>
          <cell r="T1403" t="str">
            <v/>
          </cell>
          <cell r="U1403" t="str">
            <v/>
          </cell>
          <cell r="V1403" t="str">
            <v>Abu Dhabi</v>
          </cell>
          <cell r="W1403" t="str">
            <v/>
          </cell>
          <cell r="X1403" t="str">
            <v>4510183</v>
          </cell>
          <cell r="Y1403" t="str">
            <v>Commercial _Commercial, Sales &amp; Industry  Development _Section Head</v>
          </cell>
          <cell r="Z1403" t="str">
            <v>Section Manager</v>
          </cell>
          <cell r="AA1403" t="str">
            <v>2B</v>
          </cell>
        </row>
        <row r="1404">
          <cell r="A1404">
            <v>2000731</v>
          </cell>
          <cell r="B1404">
            <v>2000731</v>
          </cell>
          <cell r="C1404" t="str">
            <v>A</v>
          </cell>
          <cell r="D1404" t="str">
            <v>Afaf Murched Abu Elasal</v>
          </cell>
          <cell r="E1404" t="str">
            <v>عفاف مرشد أبو العسل</v>
          </cell>
          <cell r="F1404">
            <v>44778</v>
          </cell>
          <cell r="G1404" t="str">
            <v>50001728</v>
          </cell>
          <cell r="H1404" t="str">
            <v>Project Management Officer</v>
          </cell>
          <cell r="I1404" t="str">
            <v>ضابط إدارة المشاريع</v>
          </cell>
          <cell r="J1404" t="str">
            <v>On-Chart</v>
          </cell>
          <cell r="K1404" t="str">
            <v>MSS Al Nahiya</v>
          </cell>
          <cell r="L1404" t="str">
            <v>M2</v>
          </cell>
          <cell r="M1404" t="str">
            <v>Department of Culture and Tourism</v>
          </cell>
          <cell r="N1404" t="str">
            <v>Abrahamic Family House Center</v>
          </cell>
          <cell r="O1404" t="str">
            <v>مركز بيت العائلة الإبراهيمية</v>
          </cell>
          <cell r="P1404" t="str">
            <v>Office of Executive Director</v>
          </cell>
          <cell r="Q1404" t="str">
            <v>مكتب المدير التنفيذي</v>
          </cell>
          <cell r="R1404" t="str">
            <v/>
          </cell>
          <cell r="S1404" t="str">
            <v/>
          </cell>
          <cell r="T1404" t="str">
            <v/>
          </cell>
          <cell r="U1404" t="str">
            <v/>
          </cell>
          <cell r="V1404" t="str">
            <v>Abu Dhabi</v>
          </cell>
          <cell r="W1404" t="str">
            <v/>
          </cell>
          <cell r="X1404" t="str">
            <v>4514121</v>
          </cell>
          <cell r="Y1404" t="str">
            <v>Admin &amp; Support_Office Manager_Senior Professional</v>
          </cell>
          <cell r="Z1404" t="str">
            <v>Professional</v>
          </cell>
          <cell r="AA1404" t="str">
            <v>4B</v>
          </cell>
        </row>
        <row r="1405">
          <cell r="A1405">
            <v>2000732</v>
          </cell>
          <cell r="B1405">
            <v>2000732</v>
          </cell>
          <cell r="C1405" t="str">
            <v>A</v>
          </cell>
          <cell r="D1405" t="str">
            <v>Khalil Al Mukhalati</v>
          </cell>
          <cell r="E1405" t="str">
            <v>خليل  المخلالاتي</v>
          </cell>
          <cell r="F1405">
            <v>44774</v>
          </cell>
          <cell r="G1405" t="str">
            <v>10010916</v>
          </cell>
          <cell r="H1405" t="str">
            <v>Information Security Section Head</v>
          </cell>
          <cell r="I1405" t="str">
            <v>رئيس قسم أمن المعلومات</v>
          </cell>
          <cell r="J1405" t="str">
            <v>On-Chart</v>
          </cell>
          <cell r="K1405" t="str">
            <v>Al Nahiya</v>
          </cell>
          <cell r="L1405" t="str">
            <v>N0</v>
          </cell>
          <cell r="M1405" t="str">
            <v>Department of Culture and Tourism</v>
          </cell>
          <cell r="N1405" t="str">
            <v>Office Of Undersecretary</v>
          </cell>
          <cell r="O1405" t="str">
            <v>مكتب وكيل الدائرة</v>
          </cell>
          <cell r="P1405" t="str">
            <v>Office Of Undersecretary</v>
          </cell>
          <cell r="Q1405" t="str">
            <v>مكتب وكيل الدائرة</v>
          </cell>
          <cell r="R1405" t="str">
            <v>Information Security</v>
          </cell>
          <cell r="S1405" t="str">
            <v>أمن المعلومات</v>
          </cell>
          <cell r="T1405" t="str">
            <v/>
          </cell>
          <cell r="U1405" t="str">
            <v/>
          </cell>
          <cell r="V1405" t="str">
            <v>Abu Dhabi</v>
          </cell>
          <cell r="W1405" t="str">
            <v/>
          </cell>
          <cell r="X1405" t="str">
            <v>4510250</v>
          </cell>
          <cell r="Y1405" t="str">
            <v>Middle Management IT &amp; Digital Services</v>
          </cell>
          <cell r="Z1405" t="str">
            <v>Section Manager</v>
          </cell>
          <cell r="AA1405" t="str">
            <v>2C</v>
          </cell>
        </row>
        <row r="1406">
          <cell r="A1406">
            <v>2000735</v>
          </cell>
          <cell r="B1406">
            <v>2000735</v>
          </cell>
          <cell r="C1406" t="str">
            <v>A</v>
          </cell>
          <cell r="D1406" t="str">
            <v>Khulood Ahmad Al Thani</v>
          </cell>
          <cell r="E1406" t="str">
            <v>خلود أحمد آل ثاني</v>
          </cell>
          <cell r="F1406">
            <v>44795</v>
          </cell>
          <cell r="G1406" t="str">
            <v>50001725</v>
          </cell>
          <cell r="H1406" t="str">
            <v>Senior Project Manager</v>
          </cell>
          <cell r="I1406" t="str">
            <v>مدير مشروع أول</v>
          </cell>
          <cell r="J1406" t="str">
            <v>On-Chart</v>
          </cell>
          <cell r="K1406" t="str">
            <v>Al Nahiya</v>
          </cell>
          <cell r="L1406" t="str">
            <v>N0</v>
          </cell>
          <cell r="M1406" t="str">
            <v>Department of Culture and Tourism</v>
          </cell>
          <cell r="N1406" t="str">
            <v>Tourism</v>
          </cell>
          <cell r="O1406" t="str">
            <v>السياحة</v>
          </cell>
          <cell r="P1406" t="str">
            <v>Director General Office</v>
          </cell>
          <cell r="Q1406" t="str">
            <v>مكتب المدير العام للسياحة</v>
          </cell>
          <cell r="R1406" t="str">
            <v/>
          </cell>
          <cell r="S1406" t="str">
            <v/>
          </cell>
          <cell r="T1406" t="str">
            <v/>
          </cell>
          <cell r="U1406" t="str">
            <v/>
          </cell>
          <cell r="V1406" t="str">
            <v>Abu Dhabi</v>
          </cell>
          <cell r="W1406" t="str">
            <v/>
          </cell>
          <cell r="X1406" t="str">
            <v>4515001</v>
          </cell>
          <cell r="Y1406" t="str">
            <v>Executive Management _Tourism &amp; Marketing _Section Manager</v>
          </cell>
          <cell r="Z1406" t="str">
            <v>Section Manager</v>
          </cell>
          <cell r="AA1406" t="str">
            <v>2B</v>
          </cell>
        </row>
        <row r="1407">
          <cell r="A1407">
            <v>2000736</v>
          </cell>
          <cell r="B1407">
            <v>2000736</v>
          </cell>
          <cell r="C1407" t="str">
            <v>A</v>
          </cell>
          <cell r="D1407" t="str">
            <v>Mark william Butler</v>
          </cell>
          <cell r="E1407" t="str">
            <v>مارك ويليام بوتلر</v>
          </cell>
          <cell r="F1407">
            <v>44795</v>
          </cell>
          <cell r="G1407" t="str">
            <v>50001513</v>
          </cell>
          <cell r="H1407" t="str">
            <v>Visitor Services Section Head</v>
          </cell>
          <cell r="I1407" t="str">
            <v>رئيس قسم خدمات الزوار</v>
          </cell>
          <cell r="J1407" t="str">
            <v>On-Chart</v>
          </cell>
          <cell r="K1407" t="str">
            <v>MSS Al Nahiya</v>
          </cell>
          <cell r="L1407" t="str">
            <v>M2</v>
          </cell>
          <cell r="M1407" t="str">
            <v>Department of Culture and Tourism</v>
          </cell>
          <cell r="N1407" t="str">
            <v>Zayed National Museum</v>
          </cell>
          <cell r="O1407" t="str">
            <v>متحف زايد الوطني</v>
          </cell>
          <cell r="P1407" t="str">
            <v>Marketing &amp; Communication</v>
          </cell>
          <cell r="Q1407" t="str">
            <v>التسويق والاتصال</v>
          </cell>
          <cell r="R1407" t="str">
            <v/>
          </cell>
          <cell r="S1407" t="str">
            <v/>
          </cell>
          <cell r="T1407" t="str">
            <v/>
          </cell>
          <cell r="U1407" t="str">
            <v/>
          </cell>
          <cell r="V1407" t="str">
            <v>Abu Dhabi</v>
          </cell>
          <cell r="W1407" t="str">
            <v/>
          </cell>
          <cell r="X1407" t="str">
            <v>4510185</v>
          </cell>
          <cell r="Y1407" t="str">
            <v>Comms &amp; Marketing _Marketing &amp; Communications (All Areas)_Section Head</v>
          </cell>
          <cell r="Z1407" t="str">
            <v>Section Manager</v>
          </cell>
          <cell r="AA1407" t="str">
            <v>2B</v>
          </cell>
        </row>
        <row r="1408">
          <cell r="A1408">
            <v>2000737</v>
          </cell>
          <cell r="B1408">
            <v>2000737</v>
          </cell>
          <cell r="C1408" t="str">
            <v>A</v>
          </cell>
          <cell r="D1408" t="str">
            <v>Maureen Ann Gannon</v>
          </cell>
          <cell r="E1408" t="str">
            <v>ماورين  جانون</v>
          </cell>
          <cell r="F1408">
            <v>44802</v>
          </cell>
          <cell r="G1408" t="str">
            <v>50000693</v>
          </cell>
          <cell r="H1408" t="str">
            <v>Senior Editor (English)</v>
          </cell>
          <cell r="I1408" t="str">
            <v>محرر أول (اللغة الإنجليزية)</v>
          </cell>
          <cell r="J1408" t="str">
            <v>On-Chart</v>
          </cell>
          <cell r="K1408" t="str">
            <v>MSS Al Nahiya</v>
          </cell>
          <cell r="L1408" t="str">
            <v>M2</v>
          </cell>
          <cell r="M1408" t="str">
            <v>Department of Culture and Tourism</v>
          </cell>
          <cell r="N1408" t="str">
            <v>Zayed National Museum</v>
          </cell>
          <cell r="O1408" t="str">
            <v>متحف زايد الوطني</v>
          </cell>
          <cell r="P1408" t="str">
            <v>Learning &amp; Public Engagement</v>
          </cell>
          <cell r="Q1408" t="str">
            <v>التعليم والمشاركة المجتمعية</v>
          </cell>
          <cell r="R1408" t="str">
            <v>Publications</v>
          </cell>
          <cell r="S1408" t="str">
            <v>النشر</v>
          </cell>
          <cell r="T1408" t="str">
            <v/>
          </cell>
          <cell r="U1408" t="str">
            <v/>
          </cell>
          <cell r="V1408" t="str">
            <v>Abu Dhabi</v>
          </cell>
          <cell r="W1408" t="str">
            <v/>
          </cell>
          <cell r="X1408" t="str">
            <v>4510182</v>
          </cell>
          <cell r="Y1408" t="str">
            <v>Interpretation &amp; Engagement_Education &amp; Learning Development &amp;   Engagement(All)_Unit Head</v>
          </cell>
          <cell r="Z1408" t="str">
            <v>Senior Professional</v>
          </cell>
          <cell r="AA1408" t="str">
            <v>3B</v>
          </cell>
        </row>
        <row r="1409">
          <cell r="A1409">
            <v>2000739</v>
          </cell>
          <cell r="B1409">
            <v>2000739</v>
          </cell>
          <cell r="C1409" t="str">
            <v>A</v>
          </cell>
          <cell r="D1409" t="str">
            <v>Zain Variawa</v>
          </cell>
          <cell r="E1409" t="str">
            <v>زين  فارياوا</v>
          </cell>
          <cell r="F1409">
            <v>44804</v>
          </cell>
          <cell r="G1409" t="str">
            <v>50000544</v>
          </cell>
          <cell r="H1409" t="str">
            <v>Media Planning Specialist</v>
          </cell>
          <cell r="I1409" t="str">
            <v>أخصائي تخطيط وسائل الإعلام</v>
          </cell>
          <cell r="J1409" t="str">
            <v>On-Chart</v>
          </cell>
          <cell r="K1409" t="str">
            <v>Al Nahiya</v>
          </cell>
          <cell r="L1409" t="str">
            <v>N0</v>
          </cell>
          <cell r="M1409" t="str">
            <v>Department of Culture and Tourism</v>
          </cell>
          <cell r="N1409" t="str">
            <v>Strategic Marketing &amp; Communication</v>
          </cell>
          <cell r="O1409" t="str">
            <v>التسويق والاتصال الاستراتيجي</v>
          </cell>
          <cell r="P1409" t="str">
            <v>Planning, Strategy &amp; Operations</v>
          </cell>
          <cell r="Q1409" t="str">
            <v>التخطيط والاستراتيجية والعمليات</v>
          </cell>
          <cell r="R1409" t="str">
            <v>Media &amp; Partnerships</v>
          </cell>
          <cell r="S1409" t="str">
            <v>الإعلام والشراكات</v>
          </cell>
          <cell r="T1409" t="str">
            <v>Media Planning</v>
          </cell>
          <cell r="U1409" t="str">
            <v>التخطيط الإعلامي</v>
          </cell>
          <cell r="V1409" t="str">
            <v>Abu Dhabi</v>
          </cell>
          <cell r="W1409" t="str">
            <v/>
          </cell>
          <cell r="X1409" t="str">
            <v>4513130</v>
          </cell>
          <cell r="Y1409" t="str">
            <v>Strategy, Planning, Project Mgt_Operational Planning &amp; Project Management_Unit Head</v>
          </cell>
          <cell r="Z1409" t="str">
            <v>Unit Head</v>
          </cell>
          <cell r="AA1409" t="str">
            <v>3B</v>
          </cell>
        </row>
        <row r="1410">
          <cell r="A1410">
            <v>2000740</v>
          </cell>
          <cell r="B1410">
            <v>2000740</v>
          </cell>
          <cell r="C1410" t="str">
            <v>A</v>
          </cell>
          <cell r="D1410" t="str">
            <v>Nurul Iman Rusli</v>
          </cell>
          <cell r="E1410" t="str">
            <v>نورالإيمان  روسلي</v>
          </cell>
          <cell r="F1410">
            <v>44851</v>
          </cell>
          <cell r="G1410" t="str">
            <v>50000948</v>
          </cell>
          <cell r="H1410" t="str">
            <v>Curator</v>
          </cell>
          <cell r="I1410" t="str">
            <v>أمين متحف</v>
          </cell>
          <cell r="J1410" t="str">
            <v>On-Chart</v>
          </cell>
          <cell r="K1410" t="str">
            <v>MSS Al Nahiya</v>
          </cell>
          <cell r="L1410" t="str">
            <v>M2</v>
          </cell>
          <cell r="M1410" t="str">
            <v>Department of Culture and Tourism</v>
          </cell>
          <cell r="N1410" t="str">
            <v>Zayed National Museum</v>
          </cell>
          <cell r="O1410" t="str">
            <v>متحف زايد الوطني</v>
          </cell>
          <cell r="P1410" t="str">
            <v>Curatorial &amp; Collection Management</v>
          </cell>
          <cell r="Q1410" t="str">
            <v>أمناء المتحف وإدارة المقتنيات</v>
          </cell>
          <cell r="R1410" t="str">
            <v>Curatorial</v>
          </cell>
          <cell r="S1410" t="str">
            <v>أمناء المتحف</v>
          </cell>
          <cell r="T1410" t="str">
            <v/>
          </cell>
          <cell r="U1410" t="str">
            <v/>
          </cell>
          <cell r="V1410" t="str">
            <v>Abu Dhabi</v>
          </cell>
          <cell r="W1410" t="str">
            <v/>
          </cell>
          <cell r="X1410" t="str">
            <v>4510181</v>
          </cell>
          <cell r="Y1410" t="str">
            <v>Content &amp; Care_Curatorial  Management_Senior Professional</v>
          </cell>
          <cell r="Z1410" t="str">
            <v>Senior Professional</v>
          </cell>
          <cell r="AA1410" t="str">
            <v>3B</v>
          </cell>
        </row>
        <row r="1411">
          <cell r="A1411">
            <v>2000741</v>
          </cell>
          <cell r="B1411">
            <v>2000741</v>
          </cell>
          <cell r="C1411" t="str">
            <v>A</v>
          </cell>
          <cell r="D1411" t="str">
            <v>Berta Manas AlCaidi</v>
          </cell>
          <cell r="E1411" t="str">
            <v>بيرتا ماناس اليكادي</v>
          </cell>
          <cell r="F1411">
            <v>44802</v>
          </cell>
          <cell r="G1411" t="str">
            <v>50001568</v>
          </cell>
          <cell r="H1411" t="str">
            <v>Collections Conservation Unit Head</v>
          </cell>
          <cell r="I1411" t="str">
            <v>رئيس وحدة حفظ المقتنيات</v>
          </cell>
          <cell r="J1411" t="str">
            <v>On-Chart</v>
          </cell>
          <cell r="K1411" t="str">
            <v>Al Nahiya</v>
          </cell>
          <cell r="L1411" t="str">
            <v>N0</v>
          </cell>
          <cell r="M1411" t="str">
            <v>Department of Culture and Tourism</v>
          </cell>
          <cell r="N1411" t="str">
            <v>Culture</v>
          </cell>
          <cell r="O1411" t="str">
            <v>الثقافة</v>
          </cell>
          <cell r="P1411" t="str">
            <v>Scientific, Curatorial and Collection Department</v>
          </cell>
          <cell r="Q1411" t="str">
            <v>إدارة البحث العلمي والمقتنيات</v>
          </cell>
          <cell r="R1411" t="str">
            <v>Collections</v>
          </cell>
          <cell r="S1411" t="str">
            <v>إدارة المقتنيات</v>
          </cell>
          <cell r="T1411" t="str">
            <v>Collections Conservation</v>
          </cell>
          <cell r="U1411" t="str">
            <v>حفظ المقتنيات</v>
          </cell>
          <cell r="V1411" t="str">
            <v>Abu Dhabi</v>
          </cell>
          <cell r="W1411" t="str">
            <v/>
          </cell>
          <cell r="X1411" t="str">
            <v>4511150</v>
          </cell>
          <cell r="Y1411" t="str">
            <v>Compliance,Governance&amp;Protocol_Policy  (Culture &amp; Tourism)_Unit Head</v>
          </cell>
          <cell r="Z1411" t="str">
            <v>Unit Head</v>
          </cell>
          <cell r="AA1411" t="str">
            <v>3B</v>
          </cell>
        </row>
        <row r="1412">
          <cell r="A1412">
            <v>2000742</v>
          </cell>
          <cell r="B1412">
            <v>2000742</v>
          </cell>
          <cell r="C1412" t="str">
            <v>A</v>
          </cell>
          <cell r="D1412" t="str">
            <v>Mokhtar Maher Aboelela</v>
          </cell>
          <cell r="E1412" t="str">
            <v>مختار ماهر أبو العلا</v>
          </cell>
          <cell r="F1412">
            <v>44809</v>
          </cell>
          <cell r="G1412" t="str">
            <v>50001523</v>
          </cell>
          <cell r="H1412" t="str">
            <v>Tourism Research Senior Specialist</v>
          </cell>
          <cell r="I1412" t="str">
            <v>أخصائي أول بحوث السياحة</v>
          </cell>
          <cell r="J1412" t="str">
            <v>On-Chart</v>
          </cell>
          <cell r="K1412" t="str">
            <v>Al Nahiya</v>
          </cell>
          <cell r="L1412" t="str">
            <v>N0</v>
          </cell>
          <cell r="M1412" t="str">
            <v>Department of Culture and Tourism</v>
          </cell>
          <cell r="N1412" t="str">
            <v>Strategic Affairs</v>
          </cell>
          <cell r="O1412" t="str">
            <v>الشؤون الاستراتيجية</v>
          </cell>
          <cell r="P1412" t="str">
            <v>Data &amp; AI Department</v>
          </cell>
          <cell r="Q1412" t="str">
            <v>إدارة البيانات والذكاء الاصطناعي</v>
          </cell>
          <cell r="R1412" t="str">
            <v>Research</v>
          </cell>
          <cell r="S1412" t="str">
            <v>البحوث</v>
          </cell>
          <cell r="T1412" t="str">
            <v>Tourism Analysis &amp; Reporting</v>
          </cell>
          <cell r="U1412" t="str">
            <v>التحليل والتقارير للسياحة</v>
          </cell>
          <cell r="V1412" t="str">
            <v>Abu Dhabi</v>
          </cell>
          <cell r="W1412" t="str">
            <v/>
          </cell>
          <cell r="X1412" t="str">
            <v>4512200</v>
          </cell>
          <cell r="Y1412" t="str">
            <v>Strategy, Planning, Project Mgt_Business &amp; Market Intelligence  Analysis &amp; Planning_Senior Professional</v>
          </cell>
          <cell r="Z1412" t="str">
            <v>Senior Professional</v>
          </cell>
          <cell r="AA1412" t="str">
            <v>3B</v>
          </cell>
        </row>
        <row r="1413">
          <cell r="A1413">
            <v>2000745</v>
          </cell>
          <cell r="B1413">
            <v>2000745</v>
          </cell>
          <cell r="C1413" t="str">
            <v>A</v>
          </cell>
          <cell r="D1413" t="str">
            <v>Khaled Hussein Dalky</v>
          </cell>
          <cell r="E1413" t="str">
            <v>خالد حسين دلكي</v>
          </cell>
          <cell r="F1413">
            <v>44806</v>
          </cell>
          <cell r="G1413" t="str">
            <v>50001040</v>
          </cell>
          <cell r="H1413" t="str">
            <v>Arabic Language Examination Unit Head</v>
          </cell>
          <cell r="I1413" t="str">
            <v>رئيس وحدة اختبارات إتقان اللغة العربية</v>
          </cell>
          <cell r="J1413" t="str">
            <v>On-Chart</v>
          </cell>
          <cell r="K1413" t="str">
            <v>ALC Al Nahiya</v>
          </cell>
          <cell r="L1413" t="str">
            <v>AL2</v>
          </cell>
          <cell r="M1413" t="str">
            <v>Abu Dhabi Arabic Language Centre</v>
          </cell>
          <cell r="N1413" t="str">
            <v>Abu Dhabi Arabic Language Centre</v>
          </cell>
          <cell r="O1413" t="str">
            <v>مركز أبوظبي للغة العربية</v>
          </cell>
          <cell r="P1413" t="str">
            <v>Arabic Language Education &amp; Research</v>
          </cell>
          <cell r="Q1413" t="str">
            <v>التعليم وبحوث اللغة العربية</v>
          </cell>
          <cell r="R1413" t="str">
            <v>Arabic Language Learning &amp; Specialized Programmes</v>
          </cell>
          <cell r="S1413" t="str">
            <v>تعليم اللغة العربية والبرامج المخصصة</v>
          </cell>
          <cell r="T1413" t="str">
            <v>Arabic Language Examination</v>
          </cell>
          <cell r="U1413" t="str">
            <v>اختبارات إتقان اللغة العربية</v>
          </cell>
          <cell r="V1413" t="str">
            <v>Abu Dhabi</v>
          </cell>
          <cell r="W1413" t="str">
            <v/>
          </cell>
          <cell r="X1413" t="str">
            <v>4519197</v>
          </cell>
          <cell r="Y1413" t="str">
            <v>Interpretation &amp; Engagement_Arabic Language Examination _Unit Head</v>
          </cell>
          <cell r="Z1413" t="str">
            <v>Unit Head</v>
          </cell>
          <cell r="AA1413" t="str">
            <v>3B</v>
          </cell>
        </row>
        <row r="1414">
          <cell r="A1414">
            <v>2000749</v>
          </cell>
          <cell r="B1414">
            <v>2000749</v>
          </cell>
          <cell r="C1414" t="str">
            <v>A</v>
          </cell>
          <cell r="D1414" t="str">
            <v>Claudio Giuseppe Cravero</v>
          </cell>
          <cell r="E1414" t="str">
            <v>كلاوديو جيسيب كرافيرو</v>
          </cell>
          <cell r="F1414">
            <v>44809</v>
          </cell>
          <cell r="G1414" t="str">
            <v>50000660</v>
          </cell>
          <cell r="H1414" t="str">
            <v>Chief Curator</v>
          </cell>
          <cell r="I1414" t="str">
            <v>أمين متحف رئيسي</v>
          </cell>
          <cell r="J1414" t="str">
            <v>On-Chart</v>
          </cell>
          <cell r="K1414" t="str">
            <v>MSS Al Nahiya</v>
          </cell>
          <cell r="L1414" t="str">
            <v>M2</v>
          </cell>
          <cell r="M1414" t="str">
            <v>Department of Culture and Tourism</v>
          </cell>
          <cell r="N1414" t="str">
            <v>Zayed National Museum</v>
          </cell>
          <cell r="O1414" t="str">
            <v>متحف زايد الوطني</v>
          </cell>
          <cell r="P1414" t="str">
            <v>Curatorial &amp; Collection Management</v>
          </cell>
          <cell r="Q1414" t="str">
            <v>أمناء المتحف وإدارة المقتنيات</v>
          </cell>
          <cell r="R1414" t="str">
            <v>Curatorial</v>
          </cell>
          <cell r="S1414" t="str">
            <v>أمناء المتحف</v>
          </cell>
          <cell r="T1414" t="str">
            <v/>
          </cell>
          <cell r="U1414" t="str">
            <v/>
          </cell>
          <cell r="V1414" t="str">
            <v>Abu Dhabi</v>
          </cell>
          <cell r="W1414" t="str">
            <v/>
          </cell>
          <cell r="X1414" t="str">
            <v>4510181</v>
          </cell>
          <cell r="Y1414" t="str">
            <v>Content &amp; Care_Curatorial   Management (All areas)_Section Head</v>
          </cell>
          <cell r="Z1414" t="str">
            <v>Section Manager</v>
          </cell>
          <cell r="AA1414" t="str">
            <v>2B</v>
          </cell>
        </row>
        <row r="1415">
          <cell r="A1415">
            <v>2000751</v>
          </cell>
          <cell r="B1415">
            <v>2000751</v>
          </cell>
          <cell r="C1415" t="str">
            <v>A</v>
          </cell>
          <cell r="D1415" t="str">
            <v>Mohammed Siyad Nalakath</v>
          </cell>
          <cell r="E1415" t="str">
            <v>محمد سياد نالاكاث</v>
          </cell>
          <cell r="F1415">
            <v>44806</v>
          </cell>
          <cell r="G1415" t="str">
            <v>10009742</v>
          </cell>
          <cell r="H1415" t="str">
            <v>Accounts Payables Accountant</v>
          </cell>
          <cell r="I1415" t="str">
            <v>محاسب الحسابات الدائنة</v>
          </cell>
          <cell r="J1415" t="str">
            <v>On-Chart</v>
          </cell>
          <cell r="K1415" t="str">
            <v>Al Nahiya</v>
          </cell>
          <cell r="L1415" t="str">
            <v>N0</v>
          </cell>
          <cell r="M1415" t="str">
            <v>Department of Culture and Tourism</v>
          </cell>
          <cell r="N1415" t="str">
            <v>Support Services</v>
          </cell>
          <cell r="O1415" t="str">
            <v>الخدمات المساندة</v>
          </cell>
          <cell r="P1415" t="str">
            <v>Finance</v>
          </cell>
          <cell r="Q1415" t="str">
            <v>إدارة المالية</v>
          </cell>
          <cell r="R1415" t="str">
            <v>Payables Operations</v>
          </cell>
          <cell r="S1415" t="str">
            <v>عمليات الحسابات الدائنة</v>
          </cell>
          <cell r="T1415" t="str">
            <v>Accounts Payables</v>
          </cell>
          <cell r="U1415" t="str">
            <v>حسابات دائنة</v>
          </cell>
          <cell r="V1415" t="str">
            <v>Abu Dhabi</v>
          </cell>
          <cell r="W1415" t="str">
            <v/>
          </cell>
          <cell r="X1415" t="str">
            <v>4510210</v>
          </cell>
          <cell r="Y1415" t="str">
            <v>Finance_Accountant _Professional Assistant</v>
          </cell>
          <cell r="Z1415" t="str">
            <v>Professional</v>
          </cell>
          <cell r="AA1415" t="str">
            <v>4B</v>
          </cell>
        </row>
        <row r="1416">
          <cell r="A1416">
            <v>2000755</v>
          </cell>
          <cell r="B1416">
            <v>2000755</v>
          </cell>
          <cell r="C1416" t="str">
            <v>A</v>
          </cell>
          <cell r="D1416" t="str">
            <v>Nada Mher Al Saadi</v>
          </cell>
          <cell r="E1416" t="str">
            <v>ندى مهير السعدي</v>
          </cell>
          <cell r="F1416">
            <v>44852</v>
          </cell>
          <cell r="G1416" t="str">
            <v>50002044</v>
          </cell>
          <cell r="H1416" t="str">
            <v>Senior Business Development and Sales Specialists</v>
          </cell>
          <cell r="I1416" t="str">
            <v>أخصائي أول تطوير الأعمال والمبيعات</v>
          </cell>
          <cell r="J1416" t="str">
            <v>On-Chart</v>
          </cell>
          <cell r="K1416" t="str">
            <v>MSS Al Nahiya</v>
          </cell>
          <cell r="L1416" t="str">
            <v>M2</v>
          </cell>
          <cell r="M1416" t="str">
            <v>Louvre Abu Dhabi</v>
          </cell>
          <cell r="N1416" t="str">
            <v>Louvre Abu Dhabi</v>
          </cell>
          <cell r="O1416" t="str">
            <v>متحف اللوفر أبوظبي</v>
          </cell>
          <cell r="P1416" t="str">
            <v>Visitor Experience &amp; Sales</v>
          </cell>
          <cell r="Q1416" t="str">
            <v>إدارة تجربة الزوار و المبيعات</v>
          </cell>
          <cell r="R1416" t="str">
            <v>Sales</v>
          </cell>
          <cell r="S1416" t="str">
            <v>المبيعات</v>
          </cell>
          <cell r="T1416" t="str">
            <v/>
          </cell>
          <cell r="U1416" t="str">
            <v/>
          </cell>
          <cell r="V1416" t="str">
            <v>Abu Dhabi</v>
          </cell>
          <cell r="W1416" t="str">
            <v/>
          </cell>
          <cell r="X1416" t="str">
            <v>4510125</v>
          </cell>
          <cell r="Y1416" t="str">
            <v>Design_Visitor Experience Design_Senior Professional</v>
          </cell>
          <cell r="Z1416" t="str">
            <v>Senior Professional</v>
          </cell>
          <cell r="AA1416" t="str">
            <v>3B</v>
          </cell>
        </row>
        <row r="1417">
          <cell r="A1417">
            <v>2000756</v>
          </cell>
          <cell r="B1417">
            <v>2000756</v>
          </cell>
          <cell r="C1417" t="str">
            <v>A</v>
          </cell>
          <cell r="D1417" t="str">
            <v>Marine Botton</v>
          </cell>
          <cell r="E1417" t="str">
            <v>مارين  بوتون</v>
          </cell>
          <cell r="F1417">
            <v>44824</v>
          </cell>
          <cell r="G1417" t="str">
            <v>50001992</v>
          </cell>
          <cell r="H1417" t="str">
            <v>Senior Interpretation &amp; Creative Content Officer</v>
          </cell>
          <cell r="I1417" t="str">
            <v>ضابط أول التفسير و المحتوى الإبداعي</v>
          </cell>
          <cell r="J1417" t="str">
            <v>On-Chart</v>
          </cell>
          <cell r="K1417" t="str">
            <v>MSS Al Nahiya</v>
          </cell>
          <cell r="L1417" t="str">
            <v>M2</v>
          </cell>
          <cell r="M1417" t="str">
            <v>Louvre Abu Dhabi</v>
          </cell>
          <cell r="N1417" t="str">
            <v>Louvre Abu Dhabi</v>
          </cell>
          <cell r="O1417" t="str">
            <v>متحف اللوفر أبوظبي</v>
          </cell>
          <cell r="P1417" t="str">
            <v>External Affairs, Outreach and Cultural Engagement</v>
          </cell>
          <cell r="Q1417" t="str">
            <v>إدارة الشؤون الخارجية والتواصل، المشاركة الثقافية</v>
          </cell>
          <cell r="R1417" t="str">
            <v/>
          </cell>
          <cell r="S1417" t="str">
            <v/>
          </cell>
          <cell r="T1417" t="str">
            <v/>
          </cell>
          <cell r="U1417" t="str">
            <v/>
          </cell>
          <cell r="V1417" t="str">
            <v>Abu Dhabi</v>
          </cell>
          <cell r="W1417" t="str">
            <v/>
          </cell>
          <cell r="X1417" t="str">
            <v>4510123</v>
          </cell>
          <cell r="Y1417" t="str">
            <v>Interpretation &amp; Engagement_Outreach &amp; Cultural Engagement _Senior Professional</v>
          </cell>
          <cell r="Z1417" t="str">
            <v>Senior Professional</v>
          </cell>
          <cell r="AA1417" t="str">
            <v>3B</v>
          </cell>
        </row>
        <row r="1418">
          <cell r="A1418">
            <v>2000757</v>
          </cell>
          <cell r="B1418">
            <v>2000757</v>
          </cell>
          <cell r="C1418" t="str">
            <v>A</v>
          </cell>
          <cell r="D1418" t="str">
            <v>Muhammed Arshad Edakkadan</v>
          </cell>
          <cell r="E1418" t="str">
            <v>محمد ارشد ادكاران</v>
          </cell>
          <cell r="F1418">
            <v>44852</v>
          </cell>
          <cell r="G1418" t="str">
            <v>50002045</v>
          </cell>
          <cell r="H1418" t="str">
            <v>Senior Digital Specialist</v>
          </cell>
          <cell r="I1418" t="str">
            <v>اخصائي تسويق رقمي اول</v>
          </cell>
          <cell r="J1418" t="str">
            <v>On-Chart</v>
          </cell>
          <cell r="K1418" t="str">
            <v>MSS Al Nahiya</v>
          </cell>
          <cell r="L1418" t="str">
            <v>M2</v>
          </cell>
          <cell r="M1418" t="str">
            <v>Louvre Abu Dhabi</v>
          </cell>
          <cell r="N1418" t="str">
            <v>Louvre Abu Dhabi</v>
          </cell>
          <cell r="O1418" t="str">
            <v>متحف اللوفر أبوظبي</v>
          </cell>
          <cell r="P1418" t="str">
            <v>Development, Marketing &amp; Communications</v>
          </cell>
          <cell r="Q1418" t="str">
            <v>إدارة التطوير،التسويق والاتصال</v>
          </cell>
          <cell r="R1418" t="str">
            <v>Digital Marketing</v>
          </cell>
          <cell r="S1418" t="str">
            <v/>
          </cell>
          <cell r="T1418" t="str">
            <v/>
          </cell>
          <cell r="U1418" t="str">
            <v/>
          </cell>
          <cell r="V1418" t="str">
            <v>Abu Dhabi</v>
          </cell>
          <cell r="W1418" t="str">
            <v/>
          </cell>
          <cell r="X1418" t="str">
            <v>4510124</v>
          </cell>
          <cell r="Y1418" t="str">
            <v>Comms &amp; Marketing _Marketing &amp; Communications (All areas)_Senior Professional</v>
          </cell>
          <cell r="Z1418" t="str">
            <v>Senior Professional</v>
          </cell>
          <cell r="AA1418" t="str">
            <v>3B</v>
          </cell>
        </row>
        <row r="1419">
          <cell r="A1419">
            <v>2000758</v>
          </cell>
          <cell r="B1419">
            <v>2000758</v>
          </cell>
          <cell r="C1419" t="str">
            <v>A</v>
          </cell>
          <cell r="D1419" t="str">
            <v>Andre Francois Gerschel</v>
          </cell>
          <cell r="E1419" t="str">
            <v>أندري فرانويس جيرشيل</v>
          </cell>
          <cell r="F1419">
            <v>44816</v>
          </cell>
          <cell r="G1419" t="str">
            <v>50001985</v>
          </cell>
          <cell r="H1419" t="str">
            <v>Culinary Development Section Head</v>
          </cell>
          <cell r="I1419" t="str">
            <v>رئيس قسم تطوير الطهي</v>
          </cell>
          <cell r="J1419" t="str">
            <v>On-Chart</v>
          </cell>
          <cell r="K1419" t="str">
            <v>Al Nahiya</v>
          </cell>
          <cell r="L1419" t="str">
            <v>N0</v>
          </cell>
          <cell r="M1419" t="str">
            <v>Department of Culture and Tourism</v>
          </cell>
          <cell r="N1419" t="str">
            <v>Tourism</v>
          </cell>
          <cell r="O1419" t="str">
            <v>السياحة</v>
          </cell>
          <cell r="P1419" t="str">
            <v>Abu Dhabi Events Bureau</v>
          </cell>
          <cell r="Q1419" t="str">
            <v>مكتب أبوظبي للفعاليات</v>
          </cell>
          <cell r="R1419" t="str">
            <v>Culinary Development</v>
          </cell>
          <cell r="S1419" t="str">
            <v>تطوير فنون الطهي</v>
          </cell>
          <cell r="T1419" t="str">
            <v/>
          </cell>
          <cell r="U1419" t="str">
            <v/>
          </cell>
          <cell r="V1419" t="str">
            <v>Abu Dhabi</v>
          </cell>
          <cell r="W1419" t="str">
            <v/>
          </cell>
          <cell r="X1419" t="str">
            <v>4515500</v>
          </cell>
          <cell r="Y1419" t="str">
            <v>Commercial _Conventions, Exhibitions, Events,Festivals Development &amp; Sales  _Section Head</v>
          </cell>
          <cell r="Z1419" t="str">
            <v>Section Manager</v>
          </cell>
          <cell r="AA1419" t="str">
            <v>2B</v>
          </cell>
        </row>
        <row r="1420">
          <cell r="A1420">
            <v>2000759</v>
          </cell>
          <cell r="B1420">
            <v>2000759</v>
          </cell>
          <cell r="C1420" t="str">
            <v>A</v>
          </cell>
          <cell r="D1420" t="str">
            <v>Steven John Bond</v>
          </cell>
          <cell r="E1420" t="str">
            <v>ستيفين جون بوند</v>
          </cell>
          <cell r="F1420">
            <v>44816</v>
          </cell>
          <cell r="G1420" t="str">
            <v>50001987</v>
          </cell>
          <cell r="H1420" t="str">
            <v>Editorial Unit Head</v>
          </cell>
          <cell r="I1420" t="str">
            <v>رئيس وحدة التحرير</v>
          </cell>
          <cell r="J1420" t="str">
            <v>On-Chart</v>
          </cell>
          <cell r="K1420" t="str">
            <v>Al Nahiya</v>
          </cell>
          <cell r="L1420" t="str">
            <v>N0</v>
          </cell>
          <cell r="M1420" t="str">
            <v>Department of Culture and Tourism</v>
          </cell>
          <cell r="N1420" t="str">
            <v>Strategic Marketing &amp; Communication</v>
          </cell>
          <cell r="O1420" t="str">
            <v>التسويق والاتصال الاستراتيجي</v>
          </cell>
          <cell r="P1420" t="str">
            <v>Creative &amp; Production</v>
          </cell>
          <cell r="Q1420" t="str">
            <v>الإبداع والإنتاج</v>
          </cell>
          <cell r="R1420" t="str">
            <v>Creative Content</v>
          </cell>
          <cell r="S1420" t="str">
            <v>المحتوى الإبداعي</v>
          </cell>
          <cell r="T1420" t="str">
            <v>Editorial</v>
          </cell>
          <cell r="U1420" t="str">
            <v>التحرير</v>
          </cell>
          <cell r="V1420" t="str">
            <v>Abu Dhabi</v>
          </cell>
          <cell r="W1420" t="str">
            <v/>
          </cell>
          <cell r="X1420" t="str">
            <v>4513110</v>
          </cell>
          <cell r="Y1420" t="str">
            <v>Senior Specialization Marketing &amp; Communications</v>
          </cell>
          <cell r="Z1420" t="str">
            <v>Unit Head</v>
          </cell>
          <cell r="AA1420" t="str">
            <v>3B</v>
          </cell>
        </row>
        <row r="1421">
          <cell r="A1421">
            <v>2000760</v>
          </cell>
          <cell r="B1421">
            <v>2000760</v>
          </cell>
          <cell r="C1421" t="str">
            <v>A</v>
          </cell>
          <cell r="D1421" t="str">
            <v>Ibrahim Osama Khalil</v>
          </cell>
          <cell r="E1421" t="str">
            <v>أبراهيم أسامه خليل</v>
          </cell>
          <cell r="F1421">
            <v>44817</v>
          </cell>
          <cell r="G1421" t="str">
            <v>10008801</v>
          </cell>
          <cell r="H1421" t="str">
            <v>Technical Support Engineer</v>
          </cell>
          <cell r="I1421" t="str">
            <v>مهندس الدعم التقني</v>
          </cell>
          <cell r="J1421" t="str">
            <v>On-Chart</v>
          </cell>
          <cell r="K1421" t="str">
            <v>Al Nahiya</v>
          </cell>
          <cell r="L1421" t="str">
            <v>N0</v>
          </cell>
          <cell r="M1421" t="str">
            <v>Department of Culture and Tourism</v>
          </cell>
          <cell r="N1421" t="str">
            <v>Support Services</v>
          </cell>
          <cell r="O1421" t="str">
            <v>الخدمات المساندة</v>
          </cell>
          <cell r="P1421" t="str">
            <v>Technology</v>
          </cell>
          <cell r="Q1421" t="str">
            <v>التكنولوجيا</v>
          </cell>
          <cell r="R1421" t="str">
            <v>Technology Infrastructure</v>
          </cell>
          <cell r="S1421" t="str">
            <v>البنية التحتية للتكنولوجيا</v>
          </cell>
          <cell r="T1421" t="str">
            <v>E Support</v>
          </cell>
          <cell r="U1421" t="str">
            <v>الدعم الإلكتروني</v>
          </cell>
          <cell r="V1421" t="str">
            <v>Abu Dhabi</v>
          </cell>
          <cell r="W1421" t="str">
            <v/>
          </cell>
          <cell r="X1421" t="str">
            <v>4510250</v>
          </cell>
          <cell r="Y1421" t="str">
            <v>Information Technology_Technical Support Engineer_Professional</v>
          </cell>
          <cell r="Z1421" t="str">
            <v>Professional</v>
          </cell>
          <cell r="AA1421" t="str">
            <v>4B</v>
          </cell>
        </row>
        <row r="1422">
          <cell r="A1422">
            <v>2000762</v>
          </cell>
          <cell r="B1422">
            <v>2000762</v>
          </cell>
          <cell r="C1422" t="str">
            <v>A</v>
          </cell>
          <cell r="D1422" t="str">
            <v>Astred Zeena Roche</v>
          </cell>
          <cell r="E1422" t="str">
            <v>أستريد زينا روتش</v>
          </cell>
          <cell r="F1422">
            <v>44824</v>
          </cell>
          <cell r="G1422" t="str">
            <v>50001988</v>
          </cell>
          <cell r="H1422" t="str">
            <v>Senior Registrar (GAD Project)</v>
          </cell>
          <cell r="I1422" t="str">
            <v>مسجل أول (مشروع جوجنهايم أبو ظبي)</v>
          </cell>
          <cell r="J1422" t="str">
            <v>On-Chart</v>
          </cell>
          <cell r="K1422" t="str">
            <v>MSS Al Nahiya</v>
          </cell>
          <cell r="L1422" t="str">
            <v>M2</v>
          </cell>
          <cell r="M1422" t="str">
            <v>Department of Culture and Tourism</v>
          </cell>
          <cell r="N1422" t="str">
            <v>Culture</v>
          </cell>
          <cell r="O1422" t="str">
            <v>الثقافة</v>
          </cell>
          <cell r="P1422" t="str">
            <v>Guggenheim Abu Dhabi Museum</v>
          </cell>
          <cell r="Q1422" t="str">
            <v>متحف جوجينهايم أبوظبي</v>
          </cell>
          <cell r="R1422" t="str">
            <v>Guggenheim Abu Dhabi</v>
          </cell>
          <cell r="S1422" t="str">
            <v>جوجينهايم أبوظبي</v>
          </cell>
          <cell r="T1422" t="str">
            <v/>
          </cell>
          <cell r="U1422" t="str">
            <v/>
          </cell>
          <cell r="V1422" t="str">
            <v>Abu Dhabi</v>
          </cell>
          <cell r="W1422" t="str">
            <v/>
          </cell>
          <cell r="X1422" t="str">
            <v>4510410</v>
          </cell>
          <cell r="Y1422" t="str">
            <v>Senior Specialization Content &amp; Care</v>
          </cell>
          <cell r="Z1422" t="str">
            <v>Unit Head</v>
          </cell>
          <cell r="AA1422" t="str">
            <v>3B</v>
          </cell>
        </row>
        <row r="1423">
          <cell r="A1423">
            <v>2000763</v>
          </cell>
          <cell r="B1423">
            <v>2000763</v>
          </cell>
          <cell r="C1423" t="str">
            <v>A</v>
          </cell>
          <cell r="D1423" t="str">
            <v>Niharika Soni</v>
          </cell>
          <cell r="E1423" t="str">
            <v>نيهاريكا  سوني</v>
          </cell>
          <cell r="F1423">
            <v>44826</v>
          </cell>
          <cell r="G1423" t="str">
            <v>10011773</v>
          </cell>
          <cell r="H1423" t="str">
            <v>Primary Research Specialist</v>
          </cell>
          <cell r="I1423" t="str">
            <v>أخصائي البحوث الأولية</v>
          </cell>
          <cell r="J1423" t="str">
            <v>On-Chart</v>
          </cell>
          <cell r="K1423" t="str">
            <v>Al Nahiya</v>
          </cell>
          <cell r="L1423" t="str">
            <v>N0</v>
          </cell>
          <cell r="M1423" t="str">
            <v>Department of Culture and Tourism</v>
          </cell>
          <cell r="N1423" t="str">
            <v>Strategic Affairs</v>
          </cell>
          <cell r="O1423" t="str">
            <v>الشؤون الاستراتيجية</v>
          </cell>
          <cell r="P1423" t="str">
            <v>Data &amp; AI Department</v>
          </cell>
          <cell r="Q1423" t="str">
            <v>إدارة البيانات والذكاء الاصطناعي</v>
          </cell>
          <cell r="R1423" t="str">
            <v>Research</v>
          </cell>
          <cell r="S1423" t="str">
            <v>البحوث</v>
          </cell>
          <cell r="T1423" t="str">
            <v>Primary Research</v>
          </cell>
          <cell r="U1423" t="str">
            <v>البحوث الأولية</v>
          </cell>
          <cell r="V1423" t="str">
            <v>Abu Dhabi</v>
          </cell>
          <cell r="W1423" t="str">
            <v/>
          </cell>
          <cell r="X1423" t="str">
            <v>4512200</v>
          </cell>
          <cell r="Y1423" t="str">
            <v>Strategy, Planning, Project Mgt_Business &amp; Market Intelligence  Analysis &amp; Planning_Professional</v>
          </cell>
          <cell r="Z1423" t="str">
            <v>Professional</v>
          </cell>
          <cell r="AA1423" t="str">
            <v>4B</v>
          </cell>
        </row>
        <row r="1424">
          <cell r="A1424">
            <v>2000766</v>
          </cell>
          <cell r="B1424">
            <v>2000766</v>
          </cell>
          <cell r="C1424" t="str">
            <v>A</v>
          </cell>
          <cell r="D1424" t="str">
            <v>May Elsayed Ezzeldin</v>
          </cell>
          <cell r="E1424" t="str">
            <v>مي السيد عزالدين</v>
          </cell>
          <cell r="F1424">
            <v>44841</v>
          </cell>
          <cell r="G1424" t="str">
            <v>50002036</v>
          </cell>
          <cell r="H1424" t="str">
            <v>Advisor</v>
          </cell>
          <cell r="I1424" t="str">
            <v>مستشار</v>
          </cell>
          <cell r="J1424" t="str">
            <v>On-Chart</v>
          </cell>
          <cell r="K1424" t="str">
            <v>Al Nahiya</v>
          </cell>
          <cell r="L1424" t="str">
            <v>N0</v>
          </cell>
          <cell r="M1424" t="str">
            <v>Department of Culture and Tourism</v>
          </cell>
          <cell r="N1424" t="str">
            <v>Tourism</v>
          </cell>
          <cell r="O1424" t="str">
            <v>السياحة</v>
          </cell>
          <cell r="P1424" t="str">
            <v>Director General Office</v>
          </cell>
          <cell r="Q1424" t="str">
            <v>مكتب المدير العام للسياحة</v>
          </cell>
          <cell r="R1424" t="str">
            <v/>
          </cell>
          <cell r="S1424" t="str">
            <v/>
          </cell>
          <cell r="T1424" t="str">
            <v/>
          </cell>
          <cell r="U1424" t="str">
            <v/>
          </cell>
          <cell r="V1424" t="str">
            <v>Abu Dhabi</v>
          </cell>
          <cell r="W1424" t="str">
            <v/>
          </cell>
          <cell r="X1424" t="str">
            <v>4515001</v>
          </cell>
          <cell r="Y1424" t="str">
            <v>Executive Management _Tourism &amp; Marketing _Section Manager</v>
          </cell>
          <cell r="Z1424" t="str">
            <v>Section Manager</v>
          </cell>
          <cell r="AA1424" t="str">
            <v>2B</v>
          </cell>
        </row>
        <row r="1425">
          <cell r="A1425">
            <v>2000767</v>
          </cell>
          <cell r="B1425">
            <v>2000767</v>
          </cell>
          <cell r="C1425" t="str">
            <v>A</v>
          </cell>
          <cell r="D1425" t="str">
            <v>Amna Abdalla Al Harmoodi</v>
          </cell>
          <cell r="E1425" t="str">
            <v>امنه عبدالله الهرمودي</v>
          </cell>
          <cell r="F1425">
            <v>44837</v>
          </cell>
          <cell r="G1425" t="str">
            <v>50002110</v>
          </cell>
          <cell r="H1425" t="str">
            <v>Publishing Copyrights &amp; Agreements Officer</v>
          </cell>
          <cell r="I1425" t="str">
            <v>ضابط حقوق النشر والاتفاقيات</v>
          </cell>
          <cell r="J1425" t="str">
            <v>On-Chart</v>
          </cell>
          <cell r="K1425" t="str">
            <v>ALC Al Nahiya</v>
          </cell>
          <cell r="L1425" t="str">
            <v>AL2</v>
          </cell>
          <cell r="M1425" t="str">
            <v>Abu Dhabi Arabic Language Centre</v>
          </cell>
          <cell r="N1425" t="str">
            <v>Abu Dhabi Arabic Language Centre</v>
          </cell>
          <cell r="O1425" t="str">
            <v>مركز أبوظبي للغة العربية</v>
          </cell>
          <cell r="P1425" t="str">
            <v>Creative Content</v>
          </cell>
          <cell r="Q1425" t="str">
            <v>المحتوى الإبداعي</v>
          </cell>
          <cell r="R1425" t="str">
            <v/>
          </cell>
          <cell r="S1425" t="str">
            <v/>
          </cell>
          <cell r="T1425" t="str">
            <v/>
          </cell>
          <cell r="U1425" t="str">
            <v/>
          </cell>
          <cell r="V1425" t="str">
            <v>Abu Dhabi</v>
          </cell>
          <cell r="W1425" t="str">
            <v/>
          </cell>
          <cell r="X1425" t="str">
            <v>4519199</v>
          </cell>
          <cell r="Y1425" t="str">
            <v>Interpretation &amp; Engagement_Arabic Language Research &amp; Studies_Professional</v>
          </cell>
          <cell r="Z1425" t="str">
            <v>Professional</v>
          </cell>
          <cell r="AA1425" t="str">
            <v>4B</v>
          </cell>
        </row>
        <row r="1426">
          <cell r="A1426">
            <v>2000770</v>
          </cell>
          <cell r="B1426">
            <v>2000770</v>
          </cell>
          <cell r="C1426" t="str">
            <v>A</v>
          </cell>
          <cell r="D1426" t="str">
            <v>Farres Mohamad Kailany</v>
          </cell>
          <cell r="E1426" t="str">
            <v>فارس محمد كيلاني</v>
          </cell>
          <cell r="F1426">
            <v>44837</v>
          </cell>
          <cell r="G1426" t="str">
            <v>50001452</v>
          </cell>
          <cell r="H1426" t="str">
            <v>Media Planning Officer</v>
          </cell>
          <cell r="I1426" t="str">
            <v>ضابط تخطيط وسائل الإعلام</v>
          </cell>
          <cell r="J1426" t="str">
            <v>On-Chart</v>
          </cell>
          <cell r="K1426" t="str">
            <v>Al Nahiya</v>
          </cell>
          <cell r="L1426" t="str">
            <v>N0</v>
          </cell>
          <cell r="M1426" t="str">
            <v>Department of Culture and Tourism</v>
          </cell>
          <cell r="N1426" t="str">
            <v>Strategic Marketing &amp; Communication</v>
          </cell>
          <cell r="O1426" t="str">
            <v>التسويق والاتصال الاستراتيجي</v>
          </cell>
          <cell r="P1426" t="str">
            <v>Planning, Strategy &amp; Operations</v>
          </cell>
          <cell r="Q1426" t="str">
            <v>التخطيط والاستراتيجية والعمليات</v>
          </cell>
          <cell r="R1426" t="str">
            <v>Media &amp; Partnerships</v>
          </cell>
          <cell r="S1426" t="str">
            <v>الإعلام والشراكات</v>
          </cell>
          <cell r="T1426" t="str">
            <v>Media Planning</v>
          </cell>
          <cell r="U1426" t="str">
            <v>التخطيط الإعلامي</v>
          </cell>
          <cell r="V1426" t="str">
            <v>Abu Dhabi</v>
          </cell>
          <cell r="W1426" t="str">
            <v/>
          </cell>
          <cell r="X1426" t="str">
            <v>4513130</v>
          </cell>
          <cell r="Y1426" t="str">
            <v>Strategy, Planning, Project Mgt_ Strategy Planning Delivery &amp; Reporting_Senior Professional</v>
          </cell>
          <cell r="Z1426" t="str">
            <v>Professional</v>
          </cell>
          <cell r="AA1426" t="str">
            <v>4B</v>
          </cell>
        </row>
        <row r="1427">
          <cell r="A1427">
            <v>2000771</v>
          </cell>
          <cell r="B1427">
            <v>2000771</v>
          </cell>
          <cell r="C1427" t="str">
            <v>A</v>
          </cell>
          <cell r="D1427" t="str">
            <v>Tze Yan Tang</v>
          </cell>
          <cell r="E1427" t="str">
            <v>تزي  تانغ</v>
          </cell>
          <cell r="F1427">
            <v>44846</v>
          </cell>
          <cell r="G1427" t="str">
            <v>50001880</v>
          </cell>
          <cell r="H1427" t="str">
            <v>Assistant Curator</v>
          </cell>
          <cell r="I1427" t="str">
            <v>مساعد أمين متحف</v>
          </cell>
          <cell r="J1427" t="str">
            <v>On-Chart</v>
          </cell>
          <cell r="K1427" t="str">
            <v>MSS Al Nahiya</v>
          </cell>
          <cell r="L1427" t="str">
            <v>M2</v>
          </cell>
          <cell r="M1427" t="str">
            <v>Department of Culture and Tourism</v>
          </cell>
          <cell r="N1427" t="str">
            <v>Culture</v>
          </cell>
          <cell r="O1427" t="str">
            <v>الثقافة</v>
          </cell>
          <cell r="P1427" t="str">
            <v>Guggenheim Abu Dhabi Museum</v>
          </cell>
          <cell r="Q1427" t="str">
            <v>متحف جوجينهايم أبوظبي</v>
          </cell>
          <cell r="R1427" t="str">
            <v>Guggenheim Abu Dhabi</v>
          </cell>
          <cell r="S1427" t="str">
            <v>جوجينهايم أبوظبي</v>
          </cell>
          <cell r="T1427" t="str">
            <v/>
          </cell>
          <cell r="U1427" t="str">
            <v/>
          </cell>
          <cell r="V1427" t="str">
            <v>Abu Dhabi</v>
          </cell>
          <cell r="W1427" t="str">
            <v/>
          </cell>
          <cell r="X1427" t="str">
            <v>4510410</v>
          </cell>
          <cell r="Y1427" t="str">
            <v>Specialization Content &amp; Care</v>
          </cell>
          <cell r="Z1427" t="str">
            <v>Professional</v>
          </cell>
          <cell r="AA1427" t="str">
            <v>4B</v>
          </cell>
        </row>
        <row r="1428">
          <cell r="A1428">
            <v>2000773</v>
          </cell>
          <cell r="B1428">
            <v>2000773</v>
          </cell>
          <cell r="C1428" t="str">
            <v>A</v>
          </cell>
          <cell r="D1428" t="str">
            <v>Hijas Puthalath Aniyaparavan</v>
          </cell>
          <cell r="E1428" t="str">
            <v>حجاز  بوتالات انيابارافان</v>
          </cell>
          <cell r="F1428">
            <v>44839</v>
          </cell>
          <cell r="G1428" t="str">
            <v>10011569</v>
          </cell>
          <cell r="H1428" t="str">
            <v>Senior Graphic Designer</v>
          </cell>
          <cell r="I1428" t="str">
            <v>مصمم جرافيك أول</v>
          </cell>
          <cell r="J1428" t="str">
            <v>On-Chart</v>
          </cell>
          <cell r="K1428" t="str">
            <v>Al Nahiya</v>
          </cell>
          <cell r="L1428" t="str">
            <v>N0</v>
          </cell>
          <cell r="M1428" t="str">
            <v>Department of Culture and Tourism</v>
          </cell>
          <cell r="N1428" t="str">
            <v>Support Services</v>
          </cell>
          <cell r="O1428" t="str">
            <v>الخدمات المساندة</v>
          </cell>
          <cell r="P1428" t="str">
            <v>People &amp; Performance</v>
          </cell>
          <cell r="Q1428" t="str">
            <v>إدارة الكوادر البشرية والأداء</v>
          </cell>
          <cell r="R1428" t="str">
            <v>Internal Communications</v>
          </cell>
          <cell r="S1428" t="str">
            <v>الاتصال الداخلي</v>
          </cell>
          <cell r="T1428" t="str">
            <v>Internal Communications</v>
          </cell>
          <cell r="U1428" t="str">
            <v>الاتصال الداخلي</v>
          </cell>
          <cell r="V1428" t="str">
            <v>Abu Dhabi</v>
          </cell>
          <cell r="W1428" t="str">
            <v/>
          </cell>
          <cell r="X1428" t="str">
            <v>4510220</v>
          </cell>
          <cell r="Y1428" t="str">
            <v>Comms &amp; Marketing _Marketing &amp; Communications (All areas)_Senior Professional</v>
          </cell>
          <cell r="Z1428" t="str">
            <v>Senior Professional</v>
          </cell>
          <cell r="AA1428" t="str">
            <v>3B</v>
          </cell>
        </row>
        <row r="1429">
          <cell r="A1429">
            <v>2000774</v>
          </cell>
          <cell r="B1429">
            <v>2000774</v>
          </cell>
          <cell r="C1429" t="str">
            <v>A</v>
          </cell>
          <cell r="D1429" t="str">
            <v>Prima Sheena Celeste</v>
          </cell>
          <cell r="E1429" t="str">
            <v>بريما شينا سيليستى</v>
          </cell>
          <cell r="F1429">
            <v>44839</v>
          </cell>
          <cell r="G1429" t="str">
            <v>10008322</v>
          </cell>
          <cell r="H1429" t="str">
            <v>Category Management Specialist</v>
          </cell>
          <cell r="I1429" t="str">
            <v>أخصائي إدارة فئة المشتريات​</v>
          </cell>
          <cell r="J1429" t="str">
            <v>On-Chart</v>
          </cell>
          <cell r="K1429" t="str">
            <v>Al Nahiya</v>
          </cell>
          <cell r="L1429" t="str">
            <v>N0</v>
          </cell>
          <cell r="M1429" t="str">
            <v>Department of Culture and Tourism</v>
          </cell>
          <cell r="N1429" t="str">
            <v>Support Services</v>
          </cell>
          <cell r="O1429" t="str">
            <v>الخدمات المساندة</v>
          </cell>
          <cell r="P1429" t="str">
            <v>Supply Management</v>
          </cell>
          <cell r="Q1429" t="str">
            <v>إدارة الإمداد</v>
          </cell>
          <cell r="R1429" t="str">
            <v>Sourcing</v>
          </cell>
          <cell r="S1429" t="str">
            <v>التوريد</v>
          </cell>
          <cell r="T1429" t="str">
            <v>Sourcing</v>
          </cell>
          <cell r="U1429" t="str">
            <v>توريد المشتريات</v>
          </cell>
          <cell r="V1429" t="str">
            <v>Abu Dhabi</v>
          </cell>
          <cell r="W1429" t="str">
            <v/>
          </cell>
          <cell r="X1429" t="str">
            <v>4510240</v>
          </cell>
          <cell r="Y1429" t="str">
            <v>Procurement_Procurement General_Professional</v>
          </cell>
          <cell r="Z1429" t="str">
            <v>Professional</v>
          </cell>
          <cell r="AA1429" t="str">
            <v>4A</v>
          </cell>
        </row>
        <row r="1430">
          <cell r="A1430">
            <v>2000776</v>
          </cell>
          <cell r="B1430">
            <v>2000776</v>
          </cell>
          <cell r="C1430" t="str">
            <v>A</v>
          </cell>
          <cell r="D1430" t="str">
            <v>Marwan Taiseer Kayyali</v>
          </cell>
          <cell r="E1430" t="str">
            <v>مروان تيسير الكيالي</v>
          </cell>
          <cell r="F1430">
            <v>44838</v>
          </cell>
          <cell r="G1430" t="str">
            <v>50002037</v>
          </cell>
          <cell r="H1430" t="str">
            <v>Tourism &amp; Marketing Strategic Planning Section Head</v>
          </cell>
          <cell r="I1430" t="str">
            <v>رئيس قسم التخطيط الاستراتيجي لقطاعي السياحة والتسويق</v>
          </cell>
          <cell r="J1430" t="str">
            <v>On-Chart</v>
          </cell>
          <cell r="K1430" t="str">
            <v>Al Nahiya</v>
          </cell>
          <cell r="L1430" t="str">
            <v>N0</v>
          </cell>
          <cell r="M1430" t="str">
            <v>Department of Culture and Tourism</v>
          </cell>
          <cell r="N1430" t="str">
            <v>Strategic Affairs</v>
          </cell>
          <cell r="O1430" t="str">
            <v>الشؤون الاستراتيجية</v>
          </cell>
          <cell r="P1430" t="str">
            <v>Strategic Planning</v>
          </cell>
          <cell r="Q1430" t="str">
            <v>التخطيط الاستراتيجي</v>
          </cell>
          <cell r="R1430" t="str">
            <v>Tourism &amp; Marketing Strategic Planning</v>
          </cell>
          <cell r="S1430" t="str">
            <v>التخطيط الاستراتيجي لقطاعي السياحة والتسويق</v>
          </cell>
          <cell r="T1430" t="str">
            <v/>
          </cell>
          <cell r="U1430" t="str">
            <v/>
          </cell>
          <cell r="V1430" t="str">
            <v>Abu Dhabi</v>
          </cell>
          <cell r="W1430" t="str">
            <v/>
          </cell>
          <cell r="X1430" t="str">
            <v>4512100</v>
          </cell>
          <cell r="Y1430" t="str">
            <v>Strategy, Planning, Project Mgt_Strategic Planning  delivery &amp; Reporting_Section Head</v>
          </cell>
          <cell r="Z1430" t="str">
            <v>Section Manager</v>
          </cell>
          <cell r="AA1430" t="str">
            <v>2B</v>
          </cell>
        </row>
        <row r="1431">
          <cell r="A1431">
            <v>2000777</v>
          </cell>
          <cell r="B1431">
            <v>2000777</v>
          </cell>
          <cell r="C1431" t="str">
            <v>A</v>
          </cell>
          <cell r="D1431" t="str">
            <v>Mohamed Hesham Mohamed</v>
          </cell>
          <cell r="E1431" t="str">
            <v>محمد هشام محمد</v>
          </cell>
          <cell r="F1431">
            <v>44839</v>
          </cell>
          <cell r="G1431" t="str">
            <v>10011474</v>
          </cell>
          <cell r="H1431" t="str">
            <v>Strategic Planning Unit Head (Museums &amp; Affiliated Entities)</v>
          </cell>
          <cell r="I1431" t="str">
            <v>رئيس وحدة التخطيط الاستراتيجي (المتاحف والجهات التابعة)</v>
          </cell>
          <cell r="J1431" t="str">
            <v>On-Chart</v>
          </cell>
          <cell r="K1431" t="str">
            <v>Al Nahiya</v>
          </cell>
          <cell r="L1431" t="str">
            <v>N0</v>
          </cell>
          <cell r="M1431" t="str">
            <v>Department of Culture and Tourism</v>
          </cell>
          <cell r="N1431" t="str">
            <v>Strategic Affairs</v>
          </cell>
          <cell r="O1431" t="str">
            <v>الشؤون الاستراتيجية</v>
          </cell>
          <cell r="P1431" t="str">
            <v>Strategic Planning</v>
          </cell>
          <cell r="Q1431" t="str">
            <v>التخطيط الاستراتيجي</v>
          </cell>
          <cell r="R1431" t="str">
            <v>Culture, Museums &amp; Affiliated Entities Strategic Planning</v>
          </cell>
          <cell r="S1431" t="str">
            <v>التخطيط الاستراتيجي لقطاع الثقافة والمتاحف والجهات التابعة</v>
          </cell>
          <cell r="T1431" t="str">
            <v>Strategic Planning (Museums &amp; Affiliated Entities)</v>
          </cell>
          <cell r="U1431" t="str">
            <v>التحليل الاستراتيجي</v>
          </cell>
          <cell r="V1431" t="str">
            <v>Abu Dhabi</v>
          </cell>
          <cell r="W1431" t="str">
            <v/>
          </cell>
          <cell r="X1431" t="str">
            <v>4512100</v>
          </cell>
          <cell r="Y1431" t="str">
            <v>Strategy, Planning, Project Mgt_Visitor Experience Monitoring _Section Head</v>
          </cell>
          <cell r="Z1431" t="str">
            <v>Unit Head</v>
          </cell>
          <cell r="AA1431" t="str">
            <v>3B</v>
          </cell>
        </row>
        <row r="1432">
          <cell r="A1432">
            <v>2000778</v>
          </cell>
          <cell r="B1432">
            <v>2000778</v>
          </cell>
          <cell r="C1432" t="str">
            <v>A</v>
          </cell>
          <cell r="D1432" t="str">
            <v>Amal Mohamad El Hajj</v>
          </cell>
          <cell r="E1432" t="str">
            <v>أمل محمد الحاج</v>
          </cell>
          <cell r="F1432">
            <v>44844</v>
          </cell>
          <cell r="G1432" t="str">
            <v>50001952</v>
          </cell>
          <cell r="H1432" t="str">
            <v>Project Manager</v>
          </cell>
          <cell r="I1432" t="str">
            <v>مدير مشاريع</v>
          </cell>
          <cell r="J1432" t="str">
            <v>On-Chart</v>
          </cell>
          <cell r="K1432" t="str">
            <v>Al Nahiya</v>
          </cell>
          <cell r="L1432" t="str">
            <v>N0</v>
          </cell>
          <cell r="M1432" t="str">
            <v>Department of Culture and Tourism</v>
          </cell>
          <cell r="N1432" t="str">
            <v>Office Of Undersecretary</v>
          </cell>
          <cell r="O1432" t="str">
            <v>مكتب وكيل الدائرة</v>
          </cell>
          <cell r="P1432" t="str">
            <v>Office Of Undersecretary</v>
          </cell>
          <cell r="Q1432" t="str">
            <v>مكتب وكيل الدائرة</v>
          </cell>
          <cell r="R1432" t="str">
            <v/>
          </cell>
          <cell r="S1432" t="str">
            <v/>
          </cell>
          <cell r="T1432" t="str">
            <v/>
          </cell>
          <cell r="U1432" t="str">
            <v/>
          </cell>
          <cell r="V1432" t="str">
            <v>Abu Dhabi</v>
          </cell>
          <cell r="W1432" t="str">
            <v/>
          </cell>
          <cell r="X1432" t="str">
            <v>4510110</v>
          </cell>
          <cell r="Y1432" t="str">
            <v>Admin &amp; Support_Advisor
Executive Office _Director</v>
          </cell>
          <cell r="Z1432" t="str">
            <v>Unit Head</v>
          </cell>
          <cell r="AA1432" t="str">
            <v>3B</v>
          </cell>
        </row>
        <row r="1433">
          <cell r="A1433">
            <v>2000784</v>
          </cell>
          <cell r="B1433">
            <v>2000784</v>
          </cell>
          <cell r="C1433" t="str">
            <v>A</v>
          </cell>
          <cell r="D1433" t="str">
            <v>Orkeeda Alshobaki</v>
          </cell>
          <cell r="E1433" t="str">
            <v>اوركيدا خميس الشوبكي</v>
          </cell>
          <cell r="F1433">
            <v>45240</v>
          </cell>
          <cell r="G1433" t="str">
            <v>50002435</v>
          </cell>
          <cell r="H1433" t="str">
            <v>Organization Development Specialist</v>
          </cell>
          <cell r="I1433" t="str">
            <v>أخصائي التطوير المؤسسي</v>
          </cell>
          <cell r="J1433" t="str">
            <v>On-Chart</v>
          </cell>
          <cell r="K1433" t="str">
            <v>Sundus</v>
          </cell>
          <cell r="L1433" t="str">
            <v>SU</v>
          </cell>
          <cell r="M1433" t="str">
            <v>Department of Culture and Tourism</v>
          </cell>
          <cell r="N1433" t="str">
            <v>Strategic Affairs</v>
          </cell>
          <cell r="O1433" t="str">
            <v>الشؤون الاستراتيجية</v>
          </cell>
          <cell r="P1433" t="str">
            <v>Organization Strategy &amp; Transformation Department</v>
          </cell>
          <cell r="Q1433" t="str">
            <v/>
          </cell>
          <cell r="R1433" t="str">
            <v>Organization Development  &amp; Workforce Planning Section</v>
          </cell>
          <cell r="S1433" t="str">
            <v>رئيس قسم التطوير المؤسسي وتحليل وتخطيط القوى العاملة</v>
          </cell>
          <cell r="T1433" t="str">
            <v>Organization Development</v>
          </cell>
          <cell r="U1433" t="str">
            <v>التطوير المؤسسي</v>
          </cell>
          <cell r="V1433" t="str">
            <v>Abu Dhabi</v>
          </cell>
          <cell r="W1433" t="str">
            <v/>
          </cell>
          <cell r="X1433" t="str">
            <v>4512300</v>
          </cell>
          <cell r="Y1433" t="str">
            <v>Specialization Strategy &amp; Planning</v>
          </cell>
          <cell r="Z1433" t="str">
            <v>Professional</v>
          </cell>
          <cell r="AA1433" t="str">
            <v>4B</v>
          </cell>
        </row>
        <row r="1434">
          <cell r="A1434">
            <v>2000786</v>
          </cell>
          <cell r="B1434">
            <v>2000786</v>
          </cell>
          <cell r="C1434" t="str">
            <v>A</v>
          </cell>
          <cell r="D1434" t="str">
            <v>Tamer Ahmad Al-Issa</v>
          </cell>
          <cell r="E1434" t="str">
            <v>تامر احمد العيسى</v>
          </cell>
          <cell r="F1434">
            <v>44866</v>
          </cell>
          <cell r="G1434" t="str">
            <v>50001926</v>
          </cell>
          <cell r="H1434" t="str">
            <v>Senior Technical Maintenance Officer</v>
          </cell>
          <cell r="I1434" t="str">
            <v>ضابط صيانة تقنية اول</v>
          </cell>
          <cell r="J1434" t="str">
            <v>On-Chart</v>
          </cell>
          <cell r="K1434" t="str">
            <v>MSS Al Nahiya</v>
          </cell>
          <cell r="L1434" t="str">
            <v>M2</v>
          </cell>
          <cell r="M1434" t="str">
            <v>Louvre Abu Dhabi</v>
          </cell>
          <cell r="N1434" t="str">
            <v>Louvre Abu Dhabi</v>
          </cell>
          <cell r="O1434" t="str">
            <v>متحف اللوفر أبوظبي</v>
          </cell>
          <cell r="P1434" t="str">
            <v>Technical Operations</v>
          </cell>
          <cell r="Q1434" t="str">
            <v>العمليات الفنية</v>
          </cell>
          <cell r="R1434" t="str">
            <v>Technical Maintenance &amp; Facilities Management</v>
          </cell>
          <cell r="S1434" t="str">
            <v>الصيانة الفنية وإدارة المرافق</v>
          </cell>
          <cell r="T1434" t="str">
            <v/>
          </cell>
          <cell r="U1434" t="str">
            <v/>
          </cell>
          <cell r="V1434" t="str">
            <v>Abu Dhabi</v>
          </cell>
          <cell r="W1434" t="str">
            <v/>
          </cell>
          <cell r="X1434" t="str">
            <v>4510127</v>
          </cell>
          <cell r="Y1434" t="str">
            <v>Information Technology_Data  Engineer_Senior Professional</v>
          </cell>
          <cell r="Z1434" t="str">
            <v>Senior Professional</v>
          </cell>
          <cell r="AA1434" t="str">
            <v>3B</v>
          </cell>
        </row>
        <row r="1435">
          <cell r="A1435">
            <v>2000788</v>
          </cell>
          <cell r="B1435">
            <v>2000788</v>
          </cell>
          <cell r="C1435" t="str">
            <v>A</v>
          </cell>
          <cell r="D1435" t="str">
            <v>Varun Rajan</v>
          </cell>
          <cell r="E1435" t="str">
            <v>فارون  راجان</v>
          </cell>
          <cell r="F1435">
            <v>44950</v>
          </cell>
          <cell r="G1435" t="str">
            <v>50002810</v>
          </cell>
          <cell r="H1435" t="str">
            <v>Contracts &amp; Performance Senior Specialist</v>
          </cell>
          <cell r="I1435" t="str">
            <v>أخصائي أول العقود والأداء</v>
          </cell>
          <cell r="J1435" t="str">
            <v>On-Chart</v>
          </cell>
          <cell r="K1435" t="str">
            <v>MSS Al Nahiya</v>
          </cell>
          <cell r="L1435" t="str">
            <v>M2</v>
          </cell>
          <cell r="M1435" t="str">
            <v>Department of Culture and Tourism</v>
          </cell>
          <cell r="N1435" t="str">
            <v>Museums Shared Services</v>
          </cell>
          <cell r="O1435" t="str">
            <v>الخدمات المشتركة للمتاحف</v>
          </cell>
          <cell r="P1435" t="str">
            <v>Supply Management - MSS</v>
          </cell>
          <cell r="Q1435" t="str">
            <v>إدارة الإمداد - الخدمات المشتركة للمتاحف</v>
          </cell>
          <cell r="R1435" t="str">
            <v>Contracts System &amp; Reporting Section</v>
          </cell>
          <cell r="S1435" t="str">
            <v>قسم العقود والأنظمة والتقارير</v>
          </cell>
          <cell r="T1435" t="str">
            <v>Contracts &amp; Performance Unit</v>
          </cell>
          <cell r="U1435" t="str">
            <v>وحدة العقود والاداء</v>
          </cell>
          <cell r="V1435" t="str">
            <v>Abu Dhabi</v>
          </cell>
          <cell r="W1435" t="str">
            <v/>
          </cell>
          <cell r="X1435" t="str">
            <v>4514160</v>
          </cell>
          <cell r="Y1435" t="str">
            <v>Procurement_Contracts  _Senior Professional</v>
          </cell>
          <cell r="Z1435" t="str">
            <v>Senior Professional</v>
          </cell>
          <cell r="AA1435" t="str">
            <v>3B</v>
          </cell>
        </row>
        <row r="1436">
          <cell r="A1436">
            <v>2000789</v>
          </cell>
          <cell r="B1436">
            <v>2000789</v>
          </cell>
          <cell r="C1436" t="str">
            <v>A</v>
          </cell>
          <cell r="D1436" t="str">
            <v>Hajanajmudeen Abdul Alim</v>
          </cell>
          <cell r="E1436" t="str">
            <v>حاجا نجم الدين  عبدالعليم</v>
          </cell>
          <cell r="F1436">
            <v>44910</v>
          </cell>
          <cell r="G1436" t="str">
            <v>50002563</v>
          </cell>
          <cell r="H1436" t="str">
            <v>Executive Assistant</v>
          </cell>
          <cell r="I1436" t="str">
            <v>مساعد تنفيذي</v>
          </cell>
          <cell r="J1436" t="str">
            <v>On-Chart</v>
          </cell>
          <cell r="K1436" t="str">
            <v>MSS Al Nahiya</v>
          </cell>
          <cell r="L1436" t="str">
            <v>M2</v>
          </cell>
          <cell r="M1436" t="str">
            <v>Department of Culture and Tourism</v>
          </cell>
          <cell r="N1436" t="str">
            <v>Museums Shared Services</v>
          </cell>
          <cell r="O1436" t="str">
            <v>الخدمات المشتركة للمتاحف</v>
          </cell>
          <cell r="P1436" t="str">
            <v>Museums Shared Services</v>
          </cell>
          <cell r="Q1436" t="str">
            <v>إدارة الخدمات المشتركة للمتاحف</v>
          </cell>
          <cell r="R1436" t="str">
            <v/>
          </cell>
          <cell r="S1436" t="str">
            <v/>
          </cell>
          <cell r="T1436" t="str">
            <v/>
          </cell>
          <cell r="U1436" t="str">
            <v/>
          </cell>
          <cell r="V1436" t="str">
            <v>Abu Dhabi</v>
          </cell>
          <cell r="W1436" t="str">
            <v/>
          </cell>
          <cell r="X1436" t="str">
            <v>4514000</v>
          </cell>
          <cell r="Y1436" t="str">
            <v>Admin &amp; Support_Administration &amp; Support
Services _Section Head</v>
          </cell>
          <cell r="Z1436" t="str">
            <v>Professional Assistant</v>
          </cell>
          <cell r="AA1436" t="str">
            <v>5B</v>
          </cell>
        </row>
        <row r="1437">
          <cell r="A1437">
            <v>2000790</v>
          </cell>
          <cell r="B1437">
            <v>2000790</v>
          </cell>
          <cell r="C1437" t="str">
            <v>A</v>
          </cell>
          <cell r="D1437" t="str">
            <v>Thamer Thamer AlHorani</v>
          </cell>
          <cell r="E1437" t="str">
            <v>ثامر محمد الحوراني</v>
          </cell>
          <cell r="F1437">
            <v>44972</v>
          </cell>
          <cell r="G1437" t="str">
            <v>50002617</v>
          </cell>
          <cell r="H1437" t="str">
            <v>Learning and Development Senior Specialist</v>
          </cell>
          <cell r="I1437" t="str">
            <v>أخصائي أول التعليم والتطوير</v>
          </cell>
          <cell r="J1437" t="str">
            <v>On-Chart</v>
          </cell>
          <cell r="K1437" t="str">
            <v>MSS Al Nahiya</v>
          </cell>
          <cell r="L1437" t="str">
            <v>M2</v>
          </cell>
          <cell r="M1437" t="str">
            <v>Department of Culture and Tourism</v>
          </cell>
          <cell r="N1437" t="str">
            <v>Museums Shared Services</v>
          </cell>
          <cell r="O1437" t="str">
            <v>الخدمات المشتركة للمتاحف</v>
          </cell>
          <cell r="P1437" t="str">
            <v>People and Performance - MSS</v>
          </cell>
          <cell r="Q1437" t="str">
            <v>إدارة الكوادر البشرية والأداء - الخدمات المشتركة للمتاحف</v>
          </cell>
          <cell r="R1437" t="str">
            <v>Talent Development Section - MSS</v>
          </cell>
          <cell r="S1437" t="str">
            <v>قسم تطوير المواهب</v>
          </cell>
          <cell r="T1437" t="str">
            <v>Learning and Career Development Unit - MSS</v>
          </cell>
          <cell r="U1437" t="str">
            <v>وحدة التعليم والتطوير الوظيفي</v>
          </cell>
          <cell r="V1437" t="str">
            <v>Abu Dhabi</v>
          </cell>
          <cell r="W1437" t="str">
            <v/>
          </cell>
          <cell r="X1437" t="str">
            <v>4514140</v>
          </cell>
          <cell r="Y1437" t="str">
            <v>People &amp; Performance _Learning, Talent &amp; Capability Development _Senior Professional</v>
          </cell>
          <cell r="Z1437" t="str">
            <v>Senior Professional</v>
          </cell>
          <cell r="AA1437" t="str">
            <v>3B</v>
          </cell>
        </row>
        <row r="1438">
          <cell r="A1438">
            <v>2000792</v>
          </cell>
          <cell r="B1438">
            <v>2000792</v>
          </cell>
          <cell r="C1438" t="str">
            <v>A</v>
          </cell>
          <cell r="D1438" t="str">
            <v>Nuha Radi Salman</v>
          </cell>
          <cell r="E1438" t="str">
            <v>نهى راضي سلمان</v>
          </cell>
          <cell r="F1438">
            <v>44917</v>
          </cell>
          <cell r="G1438" t="str">
            <v>50002141</v>
          </cell>
          <cell r="H1438" t="str">
            <v>Museum Affairs Coordinator</v>
          </cell>
          <cell r="I1438" t="str">
            <v>منسق شؤون المتحف</v>
          </cell>
          <cell r="J1438" t="str">
            <v>On-Chart</v>
          </cell>
          <cell r="K1438" t="str">
            <v>MSS Al Nahiya</v>
          </cell>
          <cell r="L1438" t="str">
            <v>M2</v>
          </cell>
          <cell r="M1438" t="str">
            <v>Louvre Abu Dhabi</v>
          </cell>
          <cell r="N1438" t="str">
            <v>Louvre Abu Dhabi</v>
          </cell>
          <cell r="O1438" t="str">
            <v>متحف اللوفر أبوظبي</v>
          </cell>
          <cell r="P1438" t="str">
            <v>Museum’s Director Office</v>
          </cell>
          <cell r="Q1438" t="str">
            <v>مكتب مدير المتحف</v>
          </cell>
          <cell r="R1438" t="str">
            <v/>
          </cell>
          <cell r="S1438" t="str">
            <v/>
          </cell>
          <cell r="T1438" t="str">
            <v/>
          </cell>
          <cell r="U1438" t="str">
            <v/>
          </cell>
          <cell r="V1438" t="str">
            <v>Abu Dhabi</v>
          </cell>
          <cell r="W1438" t="str">
            <v/>
          </cell>
          <cell r="X1438" t="str">
            <v>4510121</v>
          </cell>
          <cell r="Y1438" t="str">
            <v>Strategy, Planning, Project Mgt_Business Performance Management  &amp; Reporting _Professional</v>
          </cell>
          <cell r="Z1438" t="str">
            <v>Professional Assistant</v>
          </cell>
          <cell r="AA1438" t="str">
            <v>5B</v>
          </cell>
        </row>
        <row r="1439">
          <cell r="A1439">
            <v>2000801</v>
          </cell>
          <cell r="B1439">
            <v>2000801</v>
          </cell>
          <cell r="C1439" t="str">
            <v>A</v>
          </cell>
          <cell r="D1439" t="str">
            <v>Muhammad Farook</v>
          </cell>
          <cell r="E1439" t="str">
            <v>محمد  فاروق</v>
          </cell>
          <cell r="F1439">
            <v>44859</v>
          </cell>
          <cell r="G1439" t="str">
            <v>50002052</v>
          </cell>
          <cell r="H1439" t="str">
            <v>Sourcing Senior Specialist</v>
          </cell>
          <cell r="I1439" t="str">
            <v>أخصائي أول التوريد</v>
          </cell>
          <cell r="J1439" t="str">
            <v>On-Chart</v>
          </cell>
          <cell r="K1439" t="str">
            <v>Al Nahiya</v>
          </cell>
          <cell r="L1439" t="str">
            <v>N0</v>
          </cell>
          <cell r="M1439" t="str">
            <v>Department of Culture and Tourism</v>
          </cell>
          <cell r="N1439" t="str">
            <v>Support Services</v>
          </cell>
          <cell r="O1439" t="str">
            <v>الخدمات المساندة</v>
          </cell>
          <cell r="P1439" t="str">
            <v>Supply Management</v>
          </cell>
          <cell r="Q1439" t="str">
            <v>إدارة الإمداد</v>
          </cell>
          <cell r="R1439" t="str">
            <v>Sourcing</v>
          </cell>
          <cell r="S1439" t="str">
            <v>التوريد</v>
          </cell>
          <cell r="T1439" t="str">
            <v>Sourcing</v>
          </cell>
          <cell r="U1439" t="str">
            <v>توريد المشتريات</v>
          </cell>
          <cell r="V1439" t="str">
            <v>Abu Dhabi</v>
          </cell>
          <cell r="W1439" t="str">
            <v/>
          </cell>
          <cell r="X1439" t="str">
            <v>4510240</v>
          </cell>
          <cell r="Y1439" t="str">
            <v>Procurement_Procurement General_Senior Professional</v>
          </cell>
          <cell r="Z1439" t="str">
            <v>Senior Professional</v>
          </cell>
          <cell r="AA1439" t="str">
            <v>3B</v>
          </cell>
        </row>
        <row r="1440">
          <cell r="A1440">
            <v>2000802</v>
          </cell>
          <cell r="B1440">
            <v>2000802</v>
          </cell>
          <cell r="C1440" t="str">
            <v>A</v>
          </cell>
          <cell r="D1440" t="str">
            <v>Basil Ali Ismail</v>
          </cell>
          <cell r="E1440" t="str">
            <v>باسل علي أسماعيل</v>
          </cell>
          <cell r="F1440">
            <v>44859</v>
          </cell>
          <cell r="G1440" t="str">
            <v>47700160</v>
          </cell>
          <cell r="H1440" t="str">
            <v>Facilities Management Specialist</v>
          </cell>
          <cell r="I1440" t="str">
            <v>أخصائي إدارة المرافق</v>
          </cell>
          <cell r="J1440" t="str">
            <v>On-Chart</v>
          </cell>
          <cell r="K1440" t="str">
            <v>Al Nahiya</v>
          </cell>
          <cell r="L1440" t="str">
            <v>N0</v>
          </cell>
          <cell r="M1440" t="str">
            <v>Department of Culture and Tourism</v>
          </cell>
          <cell r="N1440" t="str">
            <v>Support Services</v>
          </cell>
          <cell r="O1440" t="str">
            <v>الخدمات المساندة</v>
          </cell>
          <cell r="P1440" t="str">
            <v>Supply Management</v>
          </cell>
          <cell r="Q1440" t="str">
            <v>إدارة الإمداد</v>
          </cell>
          <cell r="R1440" t="str">
            <v>Facilities Management</v>
          </cell>
          <cell r="S1440" t="str">
            <v>إدارة المرافق</v>
          </cell>
          <cell r="T1440" t="str">
            <v>Facilities Management (Abu Dhabi)</v>
          </cell>
          <cell r="U1440" t="str">
            <v>إدارة المرافق - أبوظبي</v>
          </cell>
          <cell r="V1440" t="str">
            <v>Abu Dhabi</v>
          </cell>
          <cell r="W1440" t="str">
            <v/>
          </cell>
          <cell r="X1440" t="str">
            <v>4510240</v>
          </cell>
          <cell r="Y1440" t="str">
            <v>Procurement_Procurement General_Professional</v>
          </cell>
          <cell r="Z1440" t="str">
            <v>Professional</v>
          </cell>
          <cell r="AA1440" t="str">
            <v>4B</v>
          </cell>
        </row>
        <row r="1441">
          <cell r="A1441">
            <v>2000803</v>
          </cell>
          <cell r="B1441">
            <v>2000803</v>
          </cell>
          <cell r="C1441" t="str">
            <v>A</v>
          </cell>
          <cell r="D1441" t="str">
            <v>Tim Alastair Smith</v>
          </cell>
          <cell r="E1441" t="str">
            <v>تيم الاستاير سميث</v>
          </cell>
          <cell r="F1441">
            <v>44928</v>
          </cell>
          <cell r="G1441" t="str">
            <v>50002228</v>
          </cell>
          <cell r="H1441" t="str">
            <v>Category Management Unit Head</v>
          </cell>
          <cell r="I1441" t="str">
            <v>رئيس وحدة إدارة فئة المشتريات​</v>
          </cell>
          <cell r="J1441" t="str">
            <v>On-Chart</v>
          </cell>
          <cell r="K1441" t="str">
            <v>Al Nahiya</v>
          </cell>
          <cell r="L1441" t="str">
            <v>N0</v>
          </cell>
          <cell r="M1441" t="str">
            <v>Department of Culture and Tourism</v>
          </cell>
          <cell r="N1441" t="str">
            <v>Support Services</v>
          </cell>
          <cell r="O1441" t="str">
            <v>الخدمات المساندة</v>
          </cell>
          <cell r="P1441" t="str">
            <v>Supply Management</v>
          </cell>
          <cell r="Q1441" t="str">
            <v>إدارة الإمداد</v>
          </cell>
          <cell r="R1441" t="str">
            <v>Business Partners</v>
          </cell>
          <cell r="S1441" t="str">
            <v>شركاء أعمال</v>
          </cell>
          <cell r="T1441" t="str">
            <v>Category Analyst</v>
          </cell>
          <cell r="U1441" t="str">
            <v/>
          </cell>
          <cell r="V1441" t="str">
            <v>Abu Dhabi</v>
          </cell>
          <cell r="W1441" t="str">
            <v/>
          </cell>
          <cell r="X1441" t="str">
            <v>4510240</v>
          </cell>
          <cell r="Y1441" t="str">
            <v>Procurement_Procurement General _Unit Head</v>
          </cell>
          <cell r="Z1441" t="str">
            <v>Unit Head</v>
          </cell>
          <cell r="AA1441" t="str">
            <v>3B</v>
          </cell>
        </row>
        <row r="1442">
          <cell r="A1442">
            <v>2000804</v>
          </cell>
          <cell r="B1442">
            <v>2000804</v>
          </cell>
          <cell r="C1442" t="str">
            <v>A</v>
          </cell>
          <cell r="D1442" t="str">
            <v>Danielle Robinson</v>
          </cell>
          <cell r="E1442" t="str">
            <v>دانييلي  روبينسون</v>
          </cell>
          <cell r="F1442">
            <v>44873</v>
          </cell>
          <cell r="G1442" t="str">
            <v>50001892</v>
          </cell>
          <cell r="H1442" t="str">
            <v>Classes &amp; Workshops Senior Specialist</v>
          </cell>
          <cell r="I1442" t="str">
            <v>أخصائي أول فصول وورش العمل</v>
          </cell>
          <cell r="J1442" t="str">
            <v>On-Chart</v>
          </cell>
          <cell r="K1442" t="str">
            <v>Sundus</v>
          </cell>
          <cell r="L1442" t="str">
            <v>SU</v>
          </cell>
          <cell r="M1442" t="str">
            <v>Department of Culture and Tourism</v>
          </cell>
          <cell r="N1442" t="str">
            <v>Culture</v>
          </cell>
          <cell r="O1442" t="str">
            <v>الثقافة</v>
          </cell>
          <cell r="P1442" t="str">
            <v>Education &amp; Outreach</v>
          </cell>
          <cell r="Q1442" t="str">
            <v>التعليم والتوعية الثقافية</v>
          </cell>
          <cell r="R1442" t="str">
            <v>Outreach</v>
          </cell>
          <cell r="S1442" t="str">
            <v>التوعية الثقافية</v>
          </cell>
          <cell r="T1442" t="str">
            <v>Talent Development Programmes</v>
          </cell>
          <cell r="U1442" t="str">
            <v>برامج تطوير المواهب</v>
          </cell>
          <cell r="V1442" t="str">
            <v>Abu Dhabi</v>
          </cell>
          <cell r="W1442" t="str">
            <v/>
          </cell>
          <cell r="X1442" t="str">
            <v>4511800</v>
          </cell>
          <cell r="Y1442" t="str">
            <v>Interpretation &amp; Engagement_Outreach &amp; Cultural Engagement _Senior Professional</v>
          </cell>
          <cell r="Z1442" t="str">
            <v>Senior Professional</v>
          </cell>
          <cell r="AA1442" t="str">
            <v>3B</v>
          </cell>
        </row>
        <row r="1443">
          <cell r="A1443">
            <v>2000805</v>
          </cell>
          <cell r="B1443">
            <v>2000805</v>
          </cell>
          <cell r="C1443" t="str">
            <v>A</v>
          </cell>
          <cell r="D1443" t="str">
            <v>Maryam Abdulkarim Balfageih</v>
          </cell>
          <cell r="E1443" t="str">
            <v>مريم عبدالكريم بلفقية</v>
          </cell>
          <cell r="F1443">
            <v>44865</v>
          </cell>
          <cell r="G1443" t="str">
            <v>50001744</v>
          </cell>
          <cell r="H1443" t="str">
            <v>Programme Management  Specialist</v>
          </cell>
          <cell r="I1443" t="str">
            <v>أخصائي إدارة البرامج</v>
          </cell>
          <cell r="J1443" t="str">
            <v>On-Chart</v>
          </cell>
          <cell r="K1443" t="str">
            <v>ALC Al Nahiya</v>
          </cell>
          <cell r="L1443" t="str">
            <v>AL2</v>
          </cell>
          <cell r="M1443" t="str">
            <v>Abu Dhabi Arabic Language Centre</v>
          </cell>
          <cell r="N1443" t="str">
            <v>Abu Dhabi Arabic Language Centre</v>
          </cell>
          <cell r="O1443" t="str">
            <v>مركز أبوظبي للغة العربية</v>
          </cell>
          <cell r="P1443" t="str">
            <v>Book Fairs &amp; Events</v>
          </cell>
          <cell r="Q1443" t="str">
            <v>الفعاليات ومعارض الكتب</v>
          </cell>
          <cell r="R1443" t="str">
            <v>Programmes</v>
          </cell>
          <cell r="S1443" t="str">
            <v>الفعاليات ومعارض الكتاب</v>
          </cell>
          <cell r="T1443" t="str">
            <v/>
          </cell>
          <cell r="U1443" t="str">
            <v/>
          </cell>
          <cell r="V1443" t="str">
            <v>Abu Dhabi</v>
          </cell>
          <cell r="W1443" t="str">
            <v/>
          </cell>
          <cell r="X1443" t="str">
            <v>4519200</v>
          </cell>
          <cell r="Y1443" t="str">
            <v>Interpretation &amp; Engagement_Arabic Language Examination _Professional</v>
          </cell>
          <cell r="Z1443" t="str">
            <v>Senior Professional</v>
          </cell>
          <cell r="AA1443" t="str">
            <v>3B</v>
          </cell>
        </row>
        <row r="1444">
          <cell r="A1444">
            <v>2000807</v>
          </cell>
          <cell r="B1444">
            <v>2000807</v>
          </cell>
          <cell r="C1444" t="str">
            <v>A</v>
          </cell>
          <cell r="D1444" t="str">
            <v>Deniz Ghazal</v>
          </cell>
          <cell r="E1444" t="str">
            <v>دينيز  غزال</v>
          </cell>
          <cell r="F1444">
            <v>44866</v>
          </cell>
          <cell r="G1444" t="str">
            <v>10010595</v>
          </cell>
          <cell r="H1444" t="str">
            <v>Legal Counsel</v>
          </cell>
          <cell r="I1444" t="str">
            <v>مستشار قانوني</v>
          </cell>
          <cell r="J1444" t="str">
            <v>On-Chart</v>
          </cell>
          <cell r="K1444" t="str">
            <v>Al Nahiya</v>
          </cell>
          <cell r="L1444" t="str">
            <v>N0</v>
          </cell>
          <cell r="M1444" t="str">
            <v>Department of Culture and Tourism</v>
          </cell>
          <cell r="N1444" t="str">
            <v>Legal &amp; Government Affairs</v>
          </cell>
          <cell r="O1444" t="str">
            <v>مكتب وكيل الدائرة</v>
          </cell>
          <cell r="P1444" t="str">
            <v>Legal &amp; Government Affairs</v>
          </cell>
          <cell r="Q1444" t="str">
            <v>الشؤون القانونية والحكومية</v>
          </cell>
          <cell r="R1444" t="str">
            <v>DCT Museums &amp; Affiliates Contracts Advisory</v>
          </cell>
          <cell r="S1444" t="str">
            <v>الاستشارات القانونية لعقود المتاحف والجهات التابعة</v>
          </cell>
          <cell r="T1444" t="str">
            <v/>
          </cell>
          <cell r="U1444" t="str">
            <v/>
          </cell>
          <cell r="V1444" t="str">
            <v>Abu Dhabi</v>
          </cell>
          <cell r="W1444" t="str">
            <v/>
          </cell>
          <cell r="X1444" t="str">
            <v>4510160</v>
          </cell>
          <cell r="Y1444" t="str">
            <v>Legal _Legal Counsel_Unit Head</v>
          </cell>
          <cell r="Z1444" t="str">
            <v>Unit Head</v>
          </cell>
          <cell r="AA1444" t="str">
            <v>3B</v>
          </cell>
        </row>
        <row r="1445">
          <cell r="A1445">
            <v>2000808</v>
          </cell>
          <cell r="B1445">
            <v>2000808</v>
          </cell>
          <cell r="C1445" t="str">
            <v>A</v>
          </cell>
          <cell r="D1445" t="str">
            <v>Mansurudeen Ishola</v>
          </cell>
          <cell r="E1445" t="str">
            <v>منصور الدين  العاصي</v>
          </cell>
          <cell r="F1445">
            <v>44867</v>
          </cell>
          <cell r="G1445" t="str">
            <v>50002006</v>
          </cell>
          <cell r="H1445" t="str">
            <v>Research Unit Head</v>
          </cell>
          <cell r="I1445" t="str">
            <v>رئيس وحدة البحوث</v>
          </cell>
          <cell r="J1445" t="str">
            <v>On-Chart</v>
          </cell>
          <cell r="K1445" t="str">
            <v>Al Nahiya</v>
          </cell>
          <cell r="L1445" t="str">
            <v>N0</v>
          </cell>
          <cell r="M1445" t="str">
            <v>Department of Culture and Tourism</v>
          </cell>
          <cell r="N1445" t="str">
            <v>Tourism</v>
          </cell>
          <cell r="O1445" t="str">
            <v>السياحة</v>
          </cell>
          <cell r="P1445" t="str">
            <v>Tourism Sector Management Office</v>
          </cell>
          <cell r="Q1445" t="str">
            <v>مكتب إدارة شؤون قطاع السياحة</v>
          </cell>
          <cell r="R1445" t="str">
            <v>Strategy Development</v>
          </cell>
          <cell r="S1445" t="str">
            <v>قسم تطوير الاستراتيجية</v>
          </cell>
          <cell r="T1445" t="str">
            <v>Research Unit</v>
          </cell>
          <cell r="U1445" t="str">
            <v>رئيس وحدة البحوث</v>
          </cell>
          <cell r="V1445" t="str">
            <v>Abu Dhabi</v>
          </cell>
          <cell r="W1445" t="str">
            <v/>
          </cell>
          <cell r="X1445" t="str">
            <v>4515010</v>
          </cell>
          <cell r="Y1445" t="str">
            <v>Compliance,Governance&amp;Protocol_Policy  (Culture &amp; Tourism)_Unit Head</v>
          </cell>
          <cell r="Z1445" t="str">
            <v>Unit Head</v>
          </cell>
          <cell r="AA1445" t="str">
            <v>3C</v>
          </cell>
        </row>
        <row r="1446">
          <cell r="A1446">
            <v>2000810</v>
          </cell>
          <cell r="B1446">
            <v>2000810</v>
          </cell>
          <cell r="C1446" t="str">
            <v>A</v>
          </cell>
          <cell r="D1446" t="str">
            <v>Dr. Santhosh Koyadan Veettil</v>
          </cell>
          <cell r="E1446" t="str">
            <v>سانثوش  كويادان فيتيل</v>
          </cell>
          <cell r="F1446">
            <v>44879</v>
          </cell>
          <cell r="G1446" t="str">
            <v>50002069</v>
          </cell>
          <cell r="H1446" t="str">
            <v>Succession Planning &amp; Leadership Unit Head</v>
          </cell>
          <cell r="I1446" t="str">
            <v>رئيس وحدة تخطيط التعاقب الوظيفي والقيادة</v>
          </cell>
          <cell r="J1446" t="str">
            <v>On-Chart</v>
          </cell>
          <cell r="K1446" t="str">
            <v>Al Nahiya</v>
          </cell>
          <cell r="L1446" t="str">
            <v>N0</v>
          </cell>
          <cell r="M1446" t="str">
            <v>Department of Culture and Tourism</v>
          </cell>
          <cell r="N1446" t="str">
            <v>Support Services</v>
          </cell>
          <cell r="O1446" t="str">
            <v>الخدمات المساندة</v>
          </cell>
          <cell r="P1446" t="str">
            <v>People &amp; Performance</v>
          </cell>
          <cell r="Q1446" t="str">
            <v>إدارة الكوادر البشرية والأداء</v>
          </cell>
          <cell r="R1446" t="str">
            <v>Talent Development</v>
          </cell>
          <cell r="S1446" t="str">
            <v>تطوير المواهب</v>
          </cell>
          <cell r="T1446" t="str">
            <v>Succession Planning &amp; Leadership</v>
          </cell>
          <cell r="U1446" t="str">
            <v>تخطيط التعاقب الوظيفي والقيادة</v>
          </cell>
          <cell r="V1446" t="str">
            <v>Abu Dhabi</v>
          </cell>
          <cell r="W1446" t="str">
            <v/>
          </cell>
          <cell r="X1446" t="str">
            <v>4510220</v>
          </cell>
          <cell r="Y1446" t="str">
            <v>People &amp; Performance _Learning, Talent &amp; Capability Development _Unit Head</v>
          </cell>
          <cell r="Z1446" t="str">
            <v>Unit Head</v>
          </cell>
          <cell r="AA1446" t="str">
            <v>3B</v>
          </cell>
        </row>
        <row r="1447">
          <cell r="A1447">
            <v>2000811</v>
          </cell>
          <cell r="B1447">
            <v>2000811</v>
          </cell>
          <cell r="C1447" t="str">
            <v>A</v>
          </cell>
          <cell r="D1447" t="str">
            <v>Amira Chabbah</v>
          </cell>
          <cell r="E1447" t="str">
            <v>أميرة  تشابه</v>
          </cell>
          <cell r="F1447">
            <v>44881</v>
          </cell>
          <cell r="G1447" t="str">
            <v>50002298</v>
          </cell>
          <cell r="H1447" t="str">
            <v>Planning &amp; Operations (Middle East &amp; Africa) Executive</v>
          </cell>
          <cell r="I1447" t="str">
            <v>تنفيذي التخطيط والعمليات (منطقة الشرق الأوسط وأفريقيا)</v>
          </cell>
          <cell r="J1447" t="str">
            <v>On-Chart</v>
          </cell>
          <cell r="K1447" t="str">
            <v>Al Nahiya</v>
          </cell>
          <cell r="L1447" t="str">
            <v>N0</v>
          </cell>
          <cell r="M1447" t="str">
            <v>Department of Culture and Tourism</v>
          </cell>
          <cell r="N1447" t="str">
            <v>Tourism</v>
          </cell>
          <cell r="O1447" t="str">
            <v>السياحة</v>
          </cell>
          <cell r="P1447" t="str">
            <v>International Operations</v>
          </cell>
          <cell r="Q1447" t="str">
            <v>العمليات الدولية</v>
          </cell>
          <cell r="R1447" t="str">
            <v>Middle East &amp; Proximity Markets</v>
          </cell>
          <cell r="S1447" t="str">
            <v>منطقة الشرق الأوسط والأسواق المجاورة</v>
          </cell>
          <cell r="T1447" t="str">
            <v>Middle East &amp; Africa</v>
          </cell>
          <cell r="U1447" t="str">
            <v>سوق السفر - الشرق الأوسط وافريقيا</v>
          </cell>
          <cell r="V1447" t="str">
            <v>Abu Dhabi</v>
          </cell>
          <cell r="W1447" t="str">
            <v/>
          </cell>
          <cell r="X1447" t="str">
            <v>4515100</v>
          </cell>
          <cell r="Y1447" t="str">
            <v>Senior Specialization Marketing &amp; Communications</v>
          </cell>
          <cell r="Z1447" t="str">
            <v>Professional</v>
          </cell>
          <cell r="AA1447" t="str">
            <v>4B</v>
          </cell>
        </row>
        <row r="1448">
          <cell r="A1448">
            <v>2000812</v>
          </cell>
          <cell r="B1448">
            <v>2000812</v>
          </cell>
          <cell r="C1448" t="str">
            <v>A</v>
          </cell>
          <cell r="D1448" t="str">
            <v>Jo Fan Huang</v>
          </cell>
          <cell r="E1448" t="str">
            <v>جوفان  هيوانج</v>
          </cell>
          <cell r="F1448">
            <v>44882</v>
          </cell>
          <cell r="G1448" t="str">
            <v>50002075</v>
          </cell>
          <cell r="H1448" t="str">
            <v>Senior Conservator (GAD Project)</v>
          </cell>
          <cell r="I1448" t="str">
            <v>أخصائي أول حفظ المقتنيات (مشروع غوغينهايم أبوظبي)</v>
          </cell>
          <cell r="J1448" t="str">
            <v>On-Chart</v>
          </cell>
          <cell r="K1448" t="str">
            <v>MSS Al Nahiya</v>
          </cell>
          <cell r="L1448" t="str">
            <v>M2</v>
          </cell>
          <cell r="M1448" t="str">
            <v>Department of Culture and Tourism</v>
          </cell>
          <cell r="N1448" t="str">
            <v>Culture</v>
          </cell>
          <cell r="O1448" t="str">
            <v>الثقافة</v>
          </cell>
          <cell r="P1448" t="str">
            <v>Guggenheim Abu Dhabi Museum</v>
          </cell>
          <cell r="Q1448" t="str">
            <v>متحف جوجينهايم أبوظبي</v>
          </cell>
          <cell r="R1448" t="str">
            <v>Guggenheim Abu Dhabi</v>
          </cell>
          <cell r="S1448" t="str">
            <v>جوجينهايم أبوظبي</v>
          </cell>
          <cell r="T1448" t="str">
            <v/>
          </cell>
          <cell r="U1448" t="str">
            <v/>
          </cell>
          <cell r="V1448" t="str">
            <v>Abu Dhabi</v>
          </cell>
          <cell r="W1448" t="str">
            <v/>
          </cell>
          <cell r="X1448" t="str">
            <v>4510410</v>
          </cell>
          <cell r="Y1448" t="str">
            <v>Compliance,Governance&amp;Protocol_Policy (Culture/Tourism) _Professional</v>
          </cell>
          <cell r="Z1448" t="str">
            <v>Senior Professional</v>
          </cell>
          <cell r="AA1448" t="str">
            <v>3B</v>
          </cell>
        </row>
        <row r="1449">
          <cell r="A1449">
            <v>2000813</v>
          </cell>
          <cell r="B1449">
            <v>2000813</v>
          </cell>
          <cell r="C1449" t="str">
            <v>A</v>
          </cell>
          <cell r="D1449" t="str">
            <v>Iman Haidous</v>
          </cell>
          <cell r="E1449" t="str">
            <v>ايمان  هيدوس</v>
          </cell>
          <cell r="F1449">
            <v>44889</v>
          </cell>
          <cell r="G1449" t="str">
            <v>50002076</v>
          </cell>
          <cell r="H1449" t="str">
            <v>People &amp; Performance Business Partner</v>
          </cell>
          <cell r="I1449" t="str">
            <v>شريك أعمال الكوادر البشرية والأداء</v>
          </cell>
          <cell r="J1449" t="str">
            <v>On-Chart</v>
          </cell>
          <cell r="K1449" t="str">
            <v>Al Nahiya</v>
          </cell>
          <cell r="L1449" t="str">
            <v>N0</v>
          </cell>
          <cell r="M1449" t="str">
            <v>Department of Culture and Tourism</v>
          </cell>
          <cell r="N1449" t="str">
            <v>Support Services</v>
          </cell>
          <cell r="O1449" t="str">
            <v>الخدمات المساندة</v>
          </cell>
          <cell r="P1449" t="str">
            <v>People &amp; Performance</v>
          </cell>
          <cell r="Q1449" t="str">
            <v>إدارة الكوادر البشرية والأداء</v>
          </cell>
          <cell r="R1449" t="str">
            <v>People &amp; Performance Business Partners</v>
          </cell>
          <cell r="S1449" t="str">
            <v>شركاء أعمال الكوادر البشرية والأداء</v>
          </cell>
          <cell r="T1449" t="str">
            <v>P&amp;P Business Partners</v>
          </cell>
          <cell r="U1449" t="str">
            <v/>
          </cell>
          <cell r="V1449" t="str">
            <v>Abu Dhabi</v>
          </cell>
          <cell r="W1449" t="str">
            <v/>
          </cell>
          <cell r="X1449" t="str">
            <v>4510220</v>
          </cell>
          <cell r="Y1449" t="str">
            <v>People &amp; Performance _Business Partnership _Senior Professional</v>
          </cell>
          <cell r="Z1449" t="str">
            <v>Professional</v>
          </cell>
          <cell r="AA1449" t="str">
            <v>3B</v>
          </cell>
        </row>
        <row r="1450">
          <cell r="A1450">
            <v>2000815</v>
          </cell>
          <cell r="B1450">
            <v>2000815</v>
          </cell>
          <cell r="C1450" t="str">
            <v>A</v>
          </cell>
          <cell r="D1450" t="str">
            <v>Angelos Petros Seferiades</v>
          </cell>
          <cell r="E1450" t="str">
            <v>انجيلوس بيتروس سيفريادز</v>
          </cell>
          <cell r="F1450">
            <v>44887</v>
          </cell>
          <cell r="G1450" t="str">
            <v>50003534</v>
          </cell>
          <cell r="H1450" t="str">
            <v>Hospitality, Leisure, &amp; Entertainment Development Section Head</v>
          </cell>
          <cell r="I1450" t="str">
            <v>رئيس قسم تطوير الضيافة والترفيه والتسلية</v>
          </cell>
          <cell r="J1450" t="str">
            <v>On-Chart</v>
          </cell>
          <cell r="K1450" t="str">
            <v>Sundus</v>
          </cell>
          <cell r="L1450" t="str">
            <v>SU</v>
          </cell>
          <cell r="M1450" t="str">
            <v>Department of Culture and Tourism</v>
          </cell>
          <cell r="N1450" t="str">
            <v>Tourism</v>
          </cell>
          <cell r="O1450" t="str">
            <v>السياحة</v>
          </cell>
          <cell r="P1450" t="str">
            <v>Tourism Products Development</v>
          </cell>
          <cell r="Q1450" t="str">
            <v>تطوير المنتجات السياحية</v>
          </cell>
          <cell r="R1450" t="str">
            <v>Hospitality, Leisure, &amp; Entertainment Development</v>
          </cell>
          <cell r="S1450" t="str">
            <v>قسم تطوير الضيافة والترفيه والتسلية</v>
          </cell>
          <cell r="T1450" t="str">
            <v/>
          </cell>
          <cell r="U1450" t="str">
            <v/>
          </cell>
          <cell r="V1450" t="str">
            <v>Abu Dhabi</v>
          </cell>
          <cell r="W1450" t="str">
            <v/>
          </cell>
          <cell r="X1450" t="str">
            <v>4515900</v>
          </cell>
          <cell r="Y1450" t="str">
            <v>Commercial _Tourism Products Development _Section Head</v>
          </cell>
          <cell r="Z1450" t="str">
            <v>Section Manager</v>
          </cell>
          <cell r="AA1450" t="str">
            <v>2A</v>
          </cell>
        </row>
        <row r="1451">
          <cell r="A1451">
            <v>2000816</v>
          </cell>
          <cell r="B1451">
            <v>2000816</v>
          </cell>
          <cell r="C1451" t="str">
            <v>A</v>
          </cell>
          <cell r="D1451" t="str">
            <v>Yagob Al Ghadban</v>
          </cell>
          <cell r="E1451" t="str">
            <v>يعقوب  الغضبان</v>
          </cell>
          <cell r="F1451">
            <v>44907</v>
          </cell>
          <cell r="G1451" t="str">
            <v>10011668</v>
          </cell>
          <cell r="H1451" t="str">
            <v>Library Assistant</v>
          </cell>
          <cell r="I1451" t="str">
            <v>مساعد شؤون المكتبة</v>
          </cell>
          <cell r="J1451" t="str">
            <v>On-Chart</v>
          </cell>
          <cell r="K1451" t="str">
            <v>Sundus</v>
          </cell>
          <cell r="L1451" t="str">
            <v>SU</v>
          </cell>
          <cell r="M1451" t="str">
            <v>Department of Culture and Tourism</v>
          </cell>
          <cell r="N1451" t="str">
            <v>Culture</v>
          </cell>
          <cell r="O1451" t="str">
            <v>الثقافة</v>
          </cell>
          <cell r="P1451" t="str">
            <v>Library Management</v>
          </cell>
          <cell r="Q1451" t="str">
            <v>إدارة المكتبات</v>
          </cell>
          <cell r="R1451" t="str">
            <v>Branches Library</v>
          </cell>
          <cell r="S1451" t="str">
            <v>فروع المكتبات</v>
          </cell>
          <cell r="T1451" t="str">
            <v>Sheikh Khalifa Library</v>
          </cell>
          <cell r="U1451" t="str">
            <v>مكتبة الشيخ خليفة</v>
          </cell>
          <cell r="V1451" t="str">
            <v>Abu Dhabi</v>
          </cell>
          <cell r="W1451" t="str">
            <v/>
          </cell>
          <cell r="X1451" t="str">
            <v>4516100</v>
          </cell>
          <cell r="Y1451" t="str">
            <v>Operations_Library Operational  Management _Professional Assistant</v>
          </cell>
          <cell r="Z1451" t="str">
            <v>Professional Assistant</v>
          </cell>
          <cell r="AA1451" t="str">
            <v>6B</v>
          </cell>
        </row>
        <row r="1452">
          <cell r="A1452">
            <v>2000817</v>
          </cell>
          <cell r="B1452">
            <v>2000817</v>
          </cell>
          <cell r="C1452" t="str">
            <v>A</v>
          </cell>
          <cell r="D1452" t="str">
            <v>Kamal Mahmoud</v>
          </cell>
          <cell r="E1452" t="str">
            <v>كمال  محمود</v>
          </cell>
          <cell r="F1452">
            <v>44907</v>
          </cell>
          <cell r="G1452" t="str">
            <v>10011330</v>
          </cell>
          <cell r="H1452" t="str">
            <v>Gifts &amp; Exchange Specialist</v>
          </cell>
          <cell r="I1452" t="str">
            <v>أخصائي التبادل والهدايا</v>
          </cell>
          <cell r="J1452" t="str">
            <v>On-Chart</v>
          </cell>
          <cell r="K1452" t="str">
            <v>Sundus</v>
          </cell>
          <cell r="L1452" t="str">
            <v>SU</v>
          </cell>
          <cell r="M1452" t="str">
            <v>Department of Culture and Tourism</v>
          </cell>
          <cell r="N1452" t="str">
            <v>Culture</v>
          </cell>
          <cell r="O1452" t="str">
            <v>الثقافة</v>
          </cell>
          <cell r="P1452" t="str">
            <v>Library Management</v>
          </cell>
          <cell r="Q1452" t="str">
            <v>إدارة المكتبات</v>
          </cell>
          <cell r="R1452" t="str">
            <v>Technical Services</v>
          </cell>
          <cell r="S1452" t="str">
            <v>الخدمات الفنية</v>
          </cell>
          <cell r="T1452" t="str">
            <v>Gifts &amp; Exchange</v>
          </cell>
          <cell r="U1452" t="str">
            <v>التبادل والهدايا</v>
          </cell>
          <cell r="V1452" t="str">
            <v>Abu Dhabi</v>
          </cell>
          <cell r="W1452" t="str">
            <v/>
          </cell>
          <cell r="X1452" t="str">
            <v>4516100</v>
          </cell>
          <cell r="Y1452" t="str">
            <v>Interpretation &amp; Engagement_Library Service Delivery (Librarian)_Professional</v>
          </cell>
          <cell r="Z1452" t="str">
            <v>Professional</v>
          </cell>
          <cell r="AA1452" t="str">
            <v>6B</v>
          </cell>
        </row>
        <row r="1453">
          <cell r="A1453">
            <v>2000818</v>
          </cell>
          <cell r="B1453">
            <v>2000818</v>
          </cell>
          <cell r="C1453" t="str">
            <v>A</v>
          </cell>
          <cell r="D1453" t="str">
            <v>Rula Majed Ismail</v>
          </cell>
          <cell r="E1453" t="str">
            <v>رولا ماجد اسماعيل</v>
          </cell>
          <cell r="F1453">
            <v>44900</v>
          </cell>
          <cell r="G1453" t="str">
            <v>47700538</v>
          </cell>
          <cell r="H1453" t="str">
            <v>Travel &amp; Hospitality Senior Specialist</v>
          </cell>
          <cell r="I1453" t="str">
            <v>أخصائي أول شؤون السفر والضيافة</v>
          </cell>
          <cell r="J1453" t="str">
            <v>On-Chart</v>
          </cell>
          <cell r="K1453" t="str">
            <v>Sundus</v>
          </cell>
          <cell r="L1453" t="str">
            <v>SU</v>
          </cell>
          <cell r="M1453" t="str">
            <v>Department of Culture and Tourism</v>
          </cell>
          <cell r="N1453" t="str">
            <v>Support Services</v>
          </cell>
          <cell r="O1453" t="str">
            <v>الخدمات المساندة</v>
          </cell>
          <cell r="P1453" t="str">
            <v>People &amp; Performance</v>
          </cell>
          <cell r="Q1453" t="str">
            <v>إدارة الكوادر البشرية والأداء</v>
          </cell>
          <cell r="R1453" t="str">
            <v>Rewards &amp; Policy</v>
          </cell>
          <cell r="S1453" t="str">
            <v>المكافآت والسياسات</v>
          </cell>
          <cell r="T1453" t="str">
            <v>Travel &amp; Hospitality</v>
          </cell>
          <cell r="U1453" t="str">
            <v>السفر والضيافة</v>
          </cell>
          <cell r="V1453" t="str">
            <v>Abu Dhabi</v>
          </cell>
          <cell r="W1453" t="str">
            <v/>
          </cell>
          <cell r="X1453" t="str">
            <v>4510220</v>
          </cell>
          <cell r="Y1453" t="str">
            <v>People &amp; Performance _Rewards Policy &amp; Recognition _Senior Professional</v>
          </cell>
          <cell r="Z1453" t="str">
            <v>Senior Professional</v>
          </cell>
          <cell r="AA1453" t="str">
            <v>3C</v>
          </cell>
        </row>
        <row r="1454">
          <cell r="A1454">
            <v>2000819</v>
          </cell>
          <cell r="B1454">
            <v>2000819</v>
          </cell>
          <cell r="C1454" t="str">
            <v>A</v>
          </cell>
          <cell r="D1454" t="str">
            <v>Frederick Robert Howat</v>
          </cell>
          <cell r="E1454" t="str">
            <v>فريدريك روبرت هوات</v>
          </cell>
          <cell r="F1454">
            <v>44907</v>
          </cell>
          <cell r="G1454" t="str">
            <v>50000457</v>
          </cell>
          <cell r="H1454" t="str">
            <v>Interpretation Unit Head (Content)</v>
          </cell>
          <cell r="I1454" t="str">
            <v>رئيس وحدة الإرشاد الثقافي (المحتوى)</v>
          </cell>
          <cell r="J1454" t="str">
            <v>On-Chart</v>
          </cell>
          <cell r="K1454" t="str">
            <v>MSS Al Nahiya</v>
          </cell>
          <cell r="L1454" t="str">
            <v>M2</v>
          </cell>
          <cell r="M1454" t="str">
            <v>Department of Culture and Tourism</v>
          </cell>
          <cell r="N1454" t="str">
            <v>Zayed National Museum</v>
          </cell>
          <cell r="O1454" t="str">
            <v>متحف زايد الوطني</v>
          </cell>
          <cell r="P1454" t="str">
            <v>Learning &amp; Public Engagement</v>
          </cell>
          <cell r="Q1454" t="str">
            <v>التعليم والمشاركة المجتمعية</v>
          </cell>
          <cell r="R1454" t="str">
            <v>Interpretation</v>
          </cell>
          <cell r="S1454" t="str">
            <v>الإرشاد الثقافي</v>
          </cell>
          <cell r="T1454" t="str">
            <v>Interpretation (Content)</v>
          </cell>
          <cell r="U1454" t="str">
            <v>الإرشاد الثقافي</v>
          </cell>
          <cell r="V1454" t="str">
            <v>Abu Dhabi</v>
          </cell>
          <cell r="W1454" t="str">
            <v/>
          </cell>
          <cell r="X1454" t="str">
            <v>4510182</v>
          </cell>
          <cell r="Y1454" t="str">
            <v>Interpretation &amp; Engagement_Education &amp; Learning Development &amp;   Engagement(All)_Unit Head</v>
          </cell>
          <cell r="Z1454" t="str">
            <v>Unit Head</v>
          </cell>
          <cell r="AA1454" t="str">
            <v>3B</v>
          </cell>
        </row>
        <row r="1455">
          <cell r="A1455">
            <v>2000820</v>
          </cell>
          <cell r="B1455">
            <v>2000820</v>
          </cell>
          <cell r="C1455" t="str">
            <v>A</v>
          </cell>
          <cell r="D1455" t="str">
            <v>Dirk Gildenhuys</v>
          </cell>
          <cell r="E1455" t="str">
            <v>ديرك  جلدنهايس</v>
          </cell>
          <cell r="F1455">
            <v>44908</v>
          </cell>
          <cell r="G1455" t="str">
            <v>50002166</v>
          </cell>
          <cell r="H1455" t="str">
            <v>FM Section Head</v>
          </cell>
          <cell r="I1455" t="str">
            <v>رئيس قسم إدارة المرافق</v>
          </cell>
          <cell r="J1455" t="str">
            <v>On-Chart</v>
          </cell>
          <cell r="K1455" t="str">
            <v>MSS Sundus</v>
          </cell>
          <cell r="L1455" t="str">
            <v>M3</v>
          </cell>
          <cell r="M1455" t="str">
            <v>Louvre Abu Dhabi</v>
          </cell>
          <cell r="N1455" t="str">
            <v>Louvre Abu Dhabi</v>
          </cell>
          <cell r="O1455" t="str">
            <v>متحف اللوفر أبوظبي</v>
          </cell>
          <cell r="P1455" t="str">
            <v>Technical Operations</v>
          </cell>
          <cell r="Q1455" t="str">
            <v>العمليات الفنية</v>
          </cell>
          <cell r="R1455" t="str">
            <v>Technical Maintenance &amp; Facilities Management</v>
          </cell>
          <cell r="S1455" t="str">
            <v>الصيانة الفنية وإدارة المرافق</v>
          </cell>
          <cell r="T1455" t="str">
            <v/>
          </cell>
          <cell r="U1455" t="str">
            <v/>
          </cell>
          <cell r="V1455" t="str">
            <v>Abu Dhabi</v>
          </cell>
          <cell r="W1455" t="str">
            <v/>
          </cell>
          <cell r="X1455" t="str">
            <v>4510127</v>
          </cell>
          <cell r="Y1455" t="str">
            <v>Information Technology_Information Technology Section Head (Manager)_Section Head</v>
          </cell>
          <cell r="Z1455" t="str">
            <v>Section Manager</v>
          </cell>
          <cell r="AA1455" t="str">
            <v>2B</v>
          </cell>
        </row>
        <row r="1456">
          <cell r="A1456">
            <v>2000821</v>
          </cell>
          <cell r="B1456">
            <v>2000821</v>
          </cell>
          <cell r="C1456" t="str">
            <v>A</v>
          </cell>
          <cell r="D1456" t="str">
            <v>Abhinav Rajhans</v>
          </cell>
          <cell r="E1456" t="str">
            <v>ابهيناف  راجهانس</v>
          </cell>
          <cell r="F1456">
            <v>44922</v>
          </cell>
          <cell r="G1456" t="str">
            <v>10002066</v>
          </cell>
          <cell r="H1456" t="str">
            <v>P&amp;P Systems Specialist</v>
          </cell>
          <cell r="I1456" t="str">
            <v>أخصائي أنظمة الكوادر البشرية والأداء</v>
          </cell>
          <cell r="J1456" t="str">
            <v>On-Chart</v>
          </cell>
          <cell r="K1456" t="str">
            <v>Al Nahiya</v>
          </cell>
          <cell r="L1456" t="str">
            <v>N0</v>
          </cell>
          <cell r="M1456" t="str">
            <v>Department of Culture and Tourism</v>
          </cell>
          <cell r="N1456" t="str">
            <v>Support Services</v>
          </cell>
          <cell r="O1456" t="str">
            <v>الخدمات المساندة</v>
          </cell>
          <cell r="P1456" t="str">
            <v>People &amp; Performance</v>
          </cell>
          <cell r="Q1456" t="str">
            <v>إدارة الكوادر البشرية والأداء</v>
          </cell>
          <cell r="R1456" t="str">
            <v>-</v>
          </cell>
          <cell r="S1456" t="str">
            <v>-</v>
          </cell>
          <cell r="T1456" t="str">
            <v>P&amp;P Systems</v>
          </cell>
          <cell r="U1456" t="str">
            <v>أنظمة الكوادر البشرية والأداء</v>
          </cell>
          <cell r="V1456" t="str">
            <v>Abu Dhabi</v>
          </cell>
          <cell r="W1456" t="str">
            <v/>
          </cell>
          <cell r="X1456" t="str">
            <v>4510220</v>
          </cell>
          <cell r="Y1456" t="str">
            <v>Information Technology_People &amp; Performance Systems Specialist_Professional</v>
          </cell>
          <cell r="Z1456" t="str">
            <v>Professional</v>
          </cell>
          <cell r="AA1456" t="str">
            <v>4B</v>
          </cell>
        </row>
        <row r="1457">
          <cell r="A1457">
            <v>2000823</v>
          </cell>
          <cell r="B1457">
            <v>2000823</v>
          </cell>
          <cell r="C1457" t="str">
            <v>A</v>
          </cell>
          <cell r="D1457" t="str">
            <v>Imad Deiratany</v>
          </cell>
          <cell r="E1457" t="str">
            <v>عماد  دير عطاني</v>
          </cell>
          <cell r="F1457">
            <v>44929</v>
          </cell>
          <cell r="G1457" t="str">
            <v>50001055</v>
          </cell>
          <cell r="H1457" t="str">
            <v>Strategic Outreach Lead</v>
          </cell>
          <cell r="I1457" t="str">
            <v>أخصائي رئيسي التوعية الاستراتيجية</v>
          </cell>
          <cell r="J1457" t="str">
            <v>On-Chart</v>
          </cell>
          <cell r="K1457" t="str">
            <v>ALC Sundus</v>
          </cell>
          <cell r="L1457" t="str">
            <v>AL3</v>
          </cell>
          <cell r="M1457" t="str">
            <v>Abu Dhabi Arabic Language Centre</v>
          </cell>
          <cell r="N1457" t="str">
            <v>Abu Dhabi Arabic Language Centre</v>
          </cell>
          <cell r="O1457" t="str">
            <v>مركز أبوظبي للغة العربية</v>
          </cell>
          <cell r="P1457" t="str">
            <v>Strategic Planning Office - ALC</v>
          </cell>
          <cell r="Q1457" t="str">
            <v>مكتب التخطيط الاستراتيجي</v>
          </cell>
          <cell r="R1457" t="str">
            <v>Strategic Alliances &amp; Outreach</v>
          </cell>
          <cell r="S1457" t="str">
            <v>الاتفاقيات الاستراتيجية والتوعية</v>
          </cell>
          <cell r="T1457" t="str">
            <v/>
          </cell>
          <cell r="U1457" t="str">
            <v/>
          </cell>
          <cell r="V1457" t="str">
            <v>Abu Dhabi</v>
          </cell>
          <cell r="W1457" t="str">
            <v/>
          </cell>
          <cell r="X1457" t="str">
            <v>4519203</v>
          </cell>
          <cell r="Y1457" t="str">
            <v>Interpretation &amp; Engagement_Arabic Language Research &amp; Studies _Unit Head</v>
          </cell>
          <cell r="Z1457" t="str">
            <v>Unit Head</v>
          </cell>
          <cell r="AA1457" t="str">
            <v>3B</v>
          </cell>
        </row>
        <row r="1458">
          <cell r="A1458">
            <v>2000824</v>
          </cell>
          <cell r="B1458">
            <v>2000824</v>
          </cell>
          <cell r="C1458" t="str">
            <v>A</v>
          </cell>
          <cell r="D1458" t="str">
            <v>Mohammed Hasan Abuassi</v>
          </cell>
          <cell r="E1458" t="str">
            <v>محمد حسن ابوعاصى</v>
          </cell>
          <cell r="F1458">
            <v>45160</v>
          </cell>
          <cell r="G1458" t="str">
            <v>10005280</v>
          </cell>
          <cell r="H1458" t="str">
            <v>Journey Planning Unit Head</v>
          </cell>
          <cell r="I1458" t="str">
            <v>رئيس وحدة تخطيط الرحلات</v>
          </cell>
          <cell r="J1458" t="str">
            <v>On-Chart</v>
          </cell>
          <cell r="K1458" t="str">
            <v>Al Nahiya</v>
          </cell>
          <cell r="L1458" t="str">
            <v>N0</v>
          </cell>
          <cell r="M1458" t="str">
            <v>Department of Culture and Tourism</v>
          </cell>
          <cell r="N1458" t="str">
            <v>Tourism</v>
          </cell>
          <cell r="O1458" t="str">
            <v>السياحة</v>
          </cell>
          <cell r="P1458" t="str">
            <v>Visitors Experience</v>
          </cell>
          <cell r="Q1458" t="str">
            <v>تجربة الزوار</v>
          </cell>
          <cell r="R1458" t="str">
            <v>Journey Design &amp; Development</v>
          </cell>
          <cell r="S1458" t="str">
            <v>تصميم وتطوير الرحلات</v>
          </cell>
          <cell r="T1458" t="str">
            <v>Journey Planning Unit</v>
          </cell>
          <cell r="U1458" t="str">
            <v>وحدة تخطيط الرحلات</v>
          </cell>
          <cell r="V1458" t="str">
            <v>Abu Dhabi</v>
          </cell>
          <cell r="W1458" t="str">
            <v/>
          </cell>
          <cell r="X1458" t="str">
            <v>4515300</v>
          </cell>
          <cell r="Y1458" t="str">
            <v>Design_Visitor Experience Design_Unit Head</v>
          </cell>
          <cell r="Z1458" t="str">
            <v>Unit Head</v>
          </cell>
          <cell r="AA1458" t="str">
            <v>3B</v>
          </cell>
        </row>
        <row r="1459">
          <cell r="A1459">
            <v>2000825</v>
          </cell>
          <cell r="B1459">
            <v>2000825</v>
          </cell>
          <cell r="C1459" t="str">
            <v>A</v>
          </cell>
          <cell r="D1459" t="str">
            <v>Nada Assaf</v>
          </cell>
          <cell r="E1459" t="str">
            <v>ندى  عساف</v>
          </cell>
          <cell r="F1459">
            <v>44910</v>
          </cell>
          <cell r="G1459" t="str">
            <v>50001431</v>
          </cell>
          <cell r="H1459" t="str">
            <v>Campaigns Section Head</v>
          </cell>
          <cell r="I1459" t="str">
            <v>رئيس قسم الحملات</v>
          </cell>
          <cell r="J1459" t="str">
            <v>On-Chart</v>
          </cell>
          <cell r="K1459" t="str">
            <v>Sundus</v>
          </cell>
          <cell r="L1459" t="str">
            <v>SU</v>
          </cell>
          <cell r="M1459" t="str">
            <v>Department of Culture and Tourism</v>
          </cell>
          <cell r="N1459" t="str">
            <v>Strategic Marketing &amp; Communication</v>
          </cell>
          <cell r="O1459" t="str">
            <v>التسويق والاتصال الاستراتيجي</v>
          </cell>
          <cell r="P1459" t="str">
            <v>Creative &amp; Production</v>
          </cell>
          <cell r="Q1459" t="str">
            <v>الإبداع والإنتاج</v>
          </cell>
          <cell r="R1459" t="str">
            <v>Campaigns</v>
          </cell>
          <cell r="S1459" t="str">
            <v>الحملات</v>
          </cell>
          <cell r="T1459" t="str">
            <v/>
          </cell>
          <cell r="U1459" t="str">
            <v/>
          </cell>
          <cell r="V1459" t="str">
            <v>Abu Dhabi</v>
          </cell>
          <cell r="W1459" t="str">
            <v/>
          </cell>
          <cell r="X1459" t="str">
            <v>4513110</v>
          </cell>
          <cell r="Y1459" t="str">
            <v>Middle Management Marketing &amp; Communications</v>
          </cell>
          <cell r="Z1459" t="str">
            <v>Section Manager</v>
          </cell>
          <cell r="AA1459" t="str">
            <v>2B</v>
          </cell>
        </row>
        <row r="1460">
          <cell r="A1460">
            <v>2000827</v>
          </cell>
          <cell r="B1460">
            <v>2000827</v>
          </cell>
          <cell r="C1460" t="str">
            <v>A</v>
          </cell>
          <cell r="D1460" t="str">
            <v>Chadi Alagha</v>
          </cell>
          <cell r="E1460" t="str">
            <v>شادي  ريمون</v>
          </cell>
          <cell r="F1460">
            <v>44918</v>
          </cell>
          <cell r="G1460" t="str">
            <v>50001729</v>
          </cell>
          <cell r="H1460" t="str">
            <v>Projects Director</v>
          </cell>
          <cell r="I1460" t="str">
            <v>مدير مشاريع</v>
          </cell>
          <cell r="J1460" t="str">
            <v>Off-Chart</v>
          </cell>
          <cell r="K1460" t="str">
            <v>Sundus</v>
          </cell>
          <cell r="L1460" t="str">
            <v>SU</v>
          </cell>
          <cell r="M1460" t="str">
            <v>Department of Culture and Tourism</v>
          </cell>
          <cell r="N1460" t="str">
            <v>Project Management &amp; Engineering</v>
          </cell>
          <cell r="O1460" t="str">
            <v>مكتب وكيل الدائرة</v>
          </cell>
          <cell r="P1460" t="str">
            <v>Project Management &amp; Engineering</v>
          </cell>
          <cell r="Q1460" t="str">
            <v>هندسة وإدارة المشاريع</v>
          </cell>
          <cell r="R1460" t="str">
            <v/>
          </cell>
          <cell r="S1460" t="str">
            <v/>
          </cell>
          <cell r="T1460" t="str">
            <v/>
          </cell>
          <cell r="U1460" t="str">
            <v/>
          </cell>
          <cell r="V1460" t="str">
            <v>Abu Dhabi</v>
          </cell>
          <cell r="W1460" t="str">
            <v/>
          </cell>
          <cell r="X1460" t="str">
            <v>4510150</v>
          </cell>
          <cell r="Y1460" t="str">
            <v>Technical Safety &amp; Security_Engineering Project Management  _Section Head</v>
          </cell>
          <cell r="Z1460" t="str">
            <v>Section Manager</v>
          </cell>
          <cell r="AA1460" t="str">
            <v>2B</v>
          </cell>
        </row>
        <row r="1461">
          <cell r="A1461">
            <v>2000828</v>
          </cell>
          <cell r="B1461">
            <v>2000828</v>
          </cell>
          <cell r="C1461" t="str">
            <v>A</v>
          </cell>
          <cell r="D1461" t="str">
            <v>Yuan Wang</v>
          </cell>
          <cell r="E1461" t="str">
            <v>يوان  وانج</v>
          </cell>
          <cell r="F1461">
            <v>44925</v>
          </cell>
          <cell r="G1461" t="str">
            <v>10010775</v>
          </cell>
          <cell r="H1461" t="str">
            <v>Business Development and Sales Specialists</v>
          </cell>
          <cell r="I1461" t="str">
            <v>خصائي تطوير الأعمال والمبيعات</v>
          </cell>
          <cell r="J1461" t="str">
            <v>On-Chart</v>
          </cell>
          <cell r="K1461" t="str">
            <v>MSS Al Nahiya</v>
          </cell>
          <cell r="L1461" t="str">
            <v>M2</v>
          </cell>
          <cell r="M1461" t="str">
            <v>Louvre Abu Dhabi</v>
          </cell>
          <cell r="N1461" t="str">
            <v>Louvre Abu Dhabi</v>
          </cell>
          <cell r="O1461" t="str">
            <v>متحف اللوفر أبوظبي</v>
          </cell>
          <cell r="P1461" t="str">
            <v>Visitor Experience &amp; Sales</v>
          </cell>
          <cell r="Q1461" t="str">
            <v>إدارة تجربة الزوار و المبيعات</v>
          </cell>
          <cell r="R1461" t="str">
            <v>Sales</v>
          </cell>
          <cell r="S1461" t="str">
            <v>المبيعات</v>
          </cell>
          <cell r="T1461" t="str">
            <v/>
          </cell>
          <cell r="U1461" t="str">
            <v/>
          </cell>
          <cell r="V1461" t="str">
            <v>Abu Dhabi</v>
          </cell>
          <cell r="W1461" t="str">
            <v/>
          </cell>
          <cell r="X1461" t="str">
            <v>4510125</v>
          </cell>
          <cell r="Y1461" t="str">
            <v>Design_Visitor Experience Design _Professional</v>
          </cell>
          <cell r="Z1461" t="str">
            <v>Professional</v>
          </cell>
          <cell r="AA1461" t="str">
            <v>4B</v>
          </cell>
        </row>
        <row r="1462">
          <cell r="A1462">
            <v>2000829</v>
          </cell>
          <cell r="B1462">
            <v>2000829</v>
          </cell>
          <cell r="C1462" t="str">
            <v>A</v>
          </cell>
          <cell r="D1462" t="str">
            <v>Vineet Israni</v>
          </cell>
          <cell r="E1462" t="str">
            <v>فينيت  إسراني</v>
          </cell>
          <cell r="F1462">
            <v>44910</v>
          </cell>
          <cell r="G1462" t="str">
            <v>10005113</v>
          </cell>
          <cell r="H1462" t="str">
            <v>Strategic Planning Unit Head (Culture)</v>
          </cell>
          <cell r="I1462" t="str">
            <v>رئيس وحدة التخطيط الاستراتيجي (قطاع الثقافة)</v>
          </cell>
          <cell r="J1462" t="str">
            <v>On-Chart</v>
          </cell>
          <cell r="K1462" t="str">
            <v>Sundus</v>
          </cell>
          <cell r="L1462" t="str">
            <v>SU</v>
          </cell>
          <cell r="M1462" t="str">
            <v>Department of Culture and Tourism</v>
          </cell>
          <cell r="N1462" t="str">
            <v>Strategic Affairs</v>
          </cell>
          <cell r="O1462" t="str">
            <v>الشؤون الاستراتيجية</v>
          </cell>
          <cell r="P1462" t="str">
            <v>Strategic Planning</v>
          </cell>
          <cell r="Q1462" t="str">
            <v>التخطيط الاستراتيجي</v>
          </cell>
          <cell r="R1462" t="str">
            <v>Culture, Museums &amp; Affiliated Entities Strategic Planning</v>
          </cell>
          <cell r="S1462" t="str">
            <v>التخطيط الاستراتيجي لقطاع الثقافة والمتاحف والجهات التابعة</v>
          </cell>
          <cell r="T1462" t="str">
            <v>Strategic Planning (Culture)</v>
          </cell>
          <cell r="U1462" t="str">
            <v>التخطيط الاستراتيجي (قطاع الثقافة)</v>
          </cell>
          <cell r="V1462" t="str">
            <v>Abu Dhabi</v>
          </cell>
          <cell r="W1462" t="str">
            <v/>
          </cell>
          <cell r="X1462" t="str">
            <v>4512100</v>
          </cell>
          <cell r="Y1462" t="str">
            <v>Strategy, Planning, Project Mgt_Visitor Experience Monitoring _Section Head</v>
          </cell>
          <cell r="Z1462" t="str">
            <v>Unit Head</v>
          </cell>
          <cell r="AA1462" t="str">
            <v>3B</v>
          </cell>
        </row>
        <row r="1463">
          <cell r="A1463">
            <v>2000831</v>
          </cell>
          <cell r="B1463">
            <v>2000831</v>
          </cell>
          <cell r="C1463" t="str">
            <v>A</v>
          </cell>
          <cell r="D1463" t="str">
            <v>Hassan Dankar</v>
          </cell>
          <cell r="E1463" t="str">
            <v>حسان  دنكر</v>
          </cell>
          <cell r="F1463">
            <v>44911</v>
          </cell>
          <cell r="G1463" t="str">
            <v>50000851</v>
          </cell>
          <cell r="H1463" t="str">
            <v>Structural Conservation Senior Specialist</v>
          </cell>
          <cell r="I1463" t="str">
            <v>أخصائي إنشائي أول للترميم</v>
          </cell>
          <cell r="J1463" t="str">
            <v>On-Chart</v>
          </cell>
          <cell r="K1463" t="str">
            <v>Sundus</v>
          </cell>
          <cell r="L1463" t="str">
            <v>SU</v>
          </cell>
          <cell r="M1463" t="str">
            <v>Department of Culture and Tourism</v>
          </cell>
          <cell r="N1463" t="str">
            <v>Culture</v>
          </cell>
          <cell r="O1463" t="str">
            <v>الثقافة</v>
          </cell>
          <cell r="P1463" t="str">
            <v>Historic Environment</v>
          </cell>
          <cell r="Q1463" t="str">
            <v>البيئة التاريخية</v>
          </cell>
          <cell r="R1463" t="str">
            <v>Conservation</v>
          </cell>
          <cell r="S1463" t="str">
            <v>الترميم</v>
          </cell>
          <cell r="T1463" t="str">
            <v>Conservation – Historic Buildings</v>
          </cell>
          <cell r="U1463" t="str">
            <v>حماية المباني التاريخية</v>
          </cell>
          <cell r="V1463" t="str">
            <v>Abu Dhabi</v>
          </cell>
          <cell r="W1463" t="str">
            <v/>
          </cell>
          <cell r="X1463" t="str">
            <v>4511300</v>
          </cell>
          <cell r="Y1463" t="str">
            <v>Compliance,Governance&amp;Protocol_Policy (Culture/Tourism _Senior Professional</v>
          </cell>
          <cell r="Z1463" t="str">
            <v>Senior Professional</v>
          </cell>
          <cell r="AA1463" t="str">
            <v>3B</v>
          </cell>
        </row>
        <row r="1464">
          <cell r="A1464">
            <v>2000832</v>
          </cell>
          <cell r="B1464">
            <v>2000832</v>
          </cell>
          <cell r="C1464" t="str">
            <v>A</v>
          </cell>
          <cell r="D1464" t="str">
            <v>Valentina Sanna</v>
          </cell>
          <cell r="E1464" t="str">
            <v>فالينتينا  سانا</v>
          </cell>
          <cell r="F1464">
            <v>44931</v>
          </cell>
          <cell r="G1464" t="str">
            <v>50002015</v>
          </cell>
          <cell r="H1464" t="str">
            <v>International Operations (Proximity Mkts) Regional Head</v>
          </cell>
          <cell r="I1464" t="str">
            <v>رئيس القسم الإقليمي العمليات الدولية (منطقة الشرق الأوسط والأسواق المجاورة)</v>
          </cell>
          <cell r="J1464" t="str">
            <v>On-Chart</v>
          </cell>
          <cell r="K1464" t="str">
            <v>Sundus</v>
          </cell>
          <cell r="L1464" t="str">
            <v>SU</v>
          </cell>
          <cell r="M1464" t="str">
            <v>Department of Culture and Tourism</v>
          </cell>
          <cell r="N1464" t="str">
            <v>Tourism</v>
          </cell>
          <cell r="O1464" t="str">
            <v>السياحة</v>
          </cell>
          <cell r="P1464" t="str">
            <v>International Operations</v>
          </cell>
          <cell r="Q1464" t="str">
            <v>العمليات الدولية</v>
          </cell>
          <cell r="R1464" t="str">
            <v>International Operations (Proximity Mkts)</v>
          </cell>
          <cell r="S1464" t="str">
            <v>قسم الدولية (الأسواق المجاورة)</v>
          </cell>
          <cell r="T1464" t="str">
            <v/>
          </cell>
          <cell r="U1464" t="str">
            <v/>
          </cell>
          <cell r="V1464" t="str">
            <v>Abu Dhabi</v>
          </cell>
          <cell r="W1464" t="str">
            <v/>
          </cell>
          <cell r="X1464" t="str">
            <v>4515100</v>
          </cell>
          <cell r="Y1464" t="str">
            <v>Design_Tourism Journey Design &amp; Development  (Tourism)_Section Head</v>
          </cell>
          <cell r="Z1464" t="str">
            <v>Section Manager</v>
          </cell>
          <cell r="AA1464" t="str">
            <v>2B</v>
          </cell>
        </row>
        <row r="1465">
          <cell r="A1465">
            <v>2000833</v>
          </cell>
          <cell r="B1465">
            <v>2000833</v>
          </cell>
          <cell r="C1465" t="str">
            <v>A</v>
          </cell>
          <cell r="D1465" t="str">
            <v>Ahmed Essameldin Fahmy</v>
          </cell>
          <cell r="E1465" t="str">
            <v>احمد عصام الدين فهمى</v>
          </cell>
          <cell r="F1465">
            <v>44915</v>
          </cell>
          <cell r="G1465" t="str">
            <v>10005651</v>
          </cell>
          <cell r="H1465" t="str">
            <v>Performance Management Senior Specialist</v>
          </cell>
          <cell r="I1465" t="str">
            <v>أخصائي أول إدارة الأداء</v>
          </cell>
          <cell r="J1465" t="str">
            <v>On-Chart</v>
          </cell>
          <cell r="K1465" t="str">
            <v>Sundus</v>
          </cell>
          <cell r="L1465" t="str">
            <v>SU</v>
          </cell>
          <cell r="M1465" t="str">
            <v>Department of Culture and Tourism</v>
          </cell>
          <cell r="N1465" t="str">
            <v>Support Services</v>
          </cell>
          <cell r="O1465" t="str">
            <v>الخدمات المساندة</v>
          </cell>
          <cell r="P1465" t="str">
            <v>People &amp; Performance</v>
          </cell>
          <cell r="Q1465" t="str">
            <v>إدارة الكوادر البشرية والأداء</v>
          </cell>
          <cell r="R1465" t="str">
            <v>Talent Development</v>
          </cell>
          <cell r="S1465" t="str">
            <v>تطوير المواهب</v>
          </cell>
          <cell r="T1465" t="str">
            <v>Performance Management</v>
          </cell>
          <cell r="U1465" t="str">
            <v>إدارة الأداء</v>
          </cell>
          <cell r="V1465" t="str">
            <v>Abu Dhabi</v>
          </cell>
          <cell r="W1465" t="str">
            <v/>
          </cell>
          <cell r="X1465" t="str">
            <v>4510220</v>
          </cell>
          <cell r="Y1465" t="str">
            <v>Senior Specialization HR</v>
          </cell>
          <cell r="Z1465" t="str">
            <v>Senior Professional</v>
          </cell>
          <cell r="AA1465" t="str">
            <v>3B</v>
          </cell>
        </row>
        <row r="1466">
          <cell r="A1466">
            <v>2000834</v>
          </cell>
          <cell r="B1466">
            <v>2000834</v>
          </cell>
          <cell r="C1466" t="str">
            <v>A</v>
          </cell>
          <cell r="D1466" t="str">
            <v>Hanin Mohamed Abu Mur</v>
          </cell>
          <cell r="E1466" t="str">
            <v>حنين محمد أبو مر</v>
          </cell>
          <cell r="F1466">
            <v>44925</v>
          </cell>
          <cell r="G1466" t="str">
            <v>50002618</v>
          </cell>
          <cell r="H1466" t="str">
            <v>Career Development Senior Specialist</v>
          </cell>
          <cell r="I1466" t="str">
            <v>أخصائي أول التطوير الوظيفي</v>
          </cell>
          <cell r="J1466" t="str">
            <v>On-Chart</v>
          </cell>
          <cell r="K1466" t="str">
            <v>MSS Al Nahiya</v>
          </cell>
          <cell r="L1466" t="str">
            <v>M2</v>
          </cell>
          <cell r="M1466" t="str">
            <v>Department of Culture and Tourism</v>
          </cell>
          <cell r="N1466" t="str">
            <v>Museums Shared Services</v>
          </cell>
          <cell r="O1466" t="str">
            <v>الخدمات المشتركة للمتاحف</v>
          </cell>
          <cell r="P1466" t="str">
            <v>People and Performance - MSS</v>
          </cell>
          <cell r="Q1466" t="str">
            <v>إدارة الكوادر البشرية والأداء - الخدمات المشتركة للمتاحف</v>
          </cell>
          <cell r="R1466" t="str">
            <v>Talent Development Section - MSS</v>
          </cell>
          <cell r="S1466" t="str">
            <v>قسم تطوير المواهب</v>
          </cell>
          <cell r="T1466" t="str">
            <v>Learning and Career Development Unit - MSS</v>
          </cell>
          <cell r="U1466" t="str">
            <v>وحدة التعليم والتطوير الوظيفي</v>
          </cell>
          <cell r="V1466" t="str">
            <v>Abu Dhabi</v>
          </cell>
          <cell r="W1466" t="str">
            <v/>
          </cell>
          <cell r="X1466" t="str">
            <v>4514140</v>
          </cell>
          <cell r="Y1466" t="str">
            <v>People &amp; Performance _Learning, Talent &amp; Capability Development _Senior Professional</v>
          </cell>
          <cell r="Z1466" t="str">
            <v>Senior Professional</v>
          </cell>
          <cell r="AA1466" t="str">
            <v>3B</v>
          </cell>
        </row>
        <row r="1467">
          <cell r="A1467">
            <v>2000835</v>
          </cell>
          <cell r="B1467">
            <v>2000835</v>
          </cell>
          <cell r="C1467" t="str">
            <v>A</v>
          </cell>
          <cell r="D1467" t="str">
            <v>Hanaa AbuShawish</v>
          </cell>
          <cell r="E1467" t="str">
            <v>هناء أبو شاويش</v>
          </cell>
          <cell r="F1467">
            <v>44929</v>
          </cell>
          <cell r="G1467" t="str">
            <v>50000605</v>
          </cell>
          <cell r="H1467" t="str">
            <v>Strategic Affairs Specialist</v>
          </cell>
          <cell r="I1467" t="str">
            <v>أخصائي الشؤون الاستراتيجية</v>
          </cell>
          <cell r="J1467" t="str">
            <v>On-Chart</v>
          </cell>
          <cell r="K1467" t="str">
            <v>Sundus</v>
          </cell>
          <cell r="L1467" t="str">
            <v>SU</v>
          </cell>
          <cell r="M1467" t="str">
            <v>Department of Culture and Tourism</v>
          </cell>
          <cell r="N1467" t="str">
            <v>Strategic Affairs</v>
          </cell>
          <cell r="O1467" t="str">
            <v>الشؤون الاستراتيجية</v>
          </cell>
          <cell r="P1467" t="str">
            <v>Office of Strategic Affairs Executive Director</v>
          </cell>
          <cell r="Q1467" t="str">
            <v>مكتب المدير التنفيذي لقطاع الشؤون الاستراتيجية</v>
          </cell>
          <cell r="R1467" t="str">
            <v/>
          </cell>
          <cell r="S1467" t="str">
            <v/>
          </cell>
          <cell r="T1467" t="str">
            <v/>
          </cell>
          <cell r="U1467" t="str">
            <v/>
          </cell>
          <cell r="V1467" t="str">
            <v>Abu Dhabi</v>
          </cell>
          <cell r="W1467" t="str">
            <v/>
          </cell>
          <cell r="X1467" t="str">
            <v>4512300</v>
          </cell>
          <cell r="Y1467" t="str">
            <v>Admin &amp; Support_Office
Supervisor_Professional Assistant</v>
          </cell>
          <cell r="Z1467" t="str">
            <v>Professional</v>
          </cell>
          <cell r="AA1467" t="str">
            <v>4B</v>
          </cell>
        </row>
        <row r="1468">
          <cell r="A1468">
            <v>2000836</v>
          </cell>
          <cell r="B1468">
            <v>2000836</v>
          </cell>
          <cell r="C1468" t="str">
            <v>A</v>
          </cell>
          <cell r="D1468" t="str">
            <v>Mohammed Sunaif Shareef</v>
          </cell>
          <cell r="E1468" t="str">
            <v>محمد سنيف شريف</v>
          </cell>
          <cell r="F1468">
            <v>44929</v>
          </cell>
          <cell r="G1468" t="str">
            <v>50000375</v>
          </cell>
          <cell r="H1468" t="str">
            <v>Tendering Engineer</v>
          </cell>
          <cell r="I1468" t="str">
            <v>مهندس المناقصات</v>
          </cell>
          <cell r="J1468" t="str">
            <v>On-Chart</v>
          </cell>
          <cell r="K1468" t="str">
            <v>Sundus</v>
          </cell>
          <cell r="L1468" t="str">
            <v>SU</v>
          </cell>
          <cell r="M1468" t="str">
            <v>Department of Culture and Tourism</v>
          </cell>
          <cell r="N1468" t="str">
            <v>Tendering &amp; Projects Control</v>
          </cell>
          <cell r="O1468" t="str">
            <v>مكتب وكيل الدائرة</v>
          </cell>
          <cell r="P1468" t="str">
            <v>Tendering &amp; Projects Control</v>
          </cell>
          <cell r="Q1468" t="str">
            <v>المناقصات ومراقبة المشاريع</v>
          </cell>
          <cell r="R1468" t="str">
            <v>Tendering</v>
          </cell>
          <cell r="S1468" t="str">
            <v>المناقصات</v>
          </cell>
          <cell r="T1468" t="str">
            <v/>
          </cell>
          <cell r="U1468" t="str">
            <v/>
          </cell>
          <cell r="V1468" t="str">
            <v>Abu Dhabi</v>
          </cell>
          <cell r="W1468" t="str">
            <v/>
          </cell>
          <cell r="X1468" t="str">
            <v>4510155</v>
          </cell>
          <cell r="Y1468" t="str">
            <v>Procurement_Tendering _Professional</v>
          </cell>
          <cell r="Z1468" t="str">
            <v>Professional</v>
          </cell>
          <cell r="AA1468" t="str">
            <v>4B</v>
          </cell>
        </row>
        <row r="1469">
          <cell r="A1469">
            <v>2000840</v>
          </cell>
          <cell r="B1469">
            <v>2000840</v>
          </cell>
          <cell r="C1469" t="str">
            <v>A</v>
          </cell>
          <cell r="D1469" t="str">
            <v>Abdallah Abushmaes</v>
          </cell>
          <cell r="E1469" t="str">
            <v>عبدالله  أبوشميس</v>
          </cell>
          <cell r="F1469">
            <v>44935</v>
          </cell>
          <cell r="G1469" t="str">
            <v>50001021</v>
          </cell>
          <cell r="H1469" t="str">
            <v>Language Research &amp; Studies Unit Head</v>
          </cell>
          <cell r="I1469" t="str">
            <v>رئيس وحدة بحوث ودراسات اللغة العربية</v>
          </cell>
          <cell r="J1469" t="str">
            <v>On-Chart</v>
          </cell>
          <cell r="K1469" t="str">
            <v>ALC Sundus</v>
          </cell>
          <cell r="L1469" t="str">
            <v>AL3</v>
          </cell>
          <cell r="M1469" t="str">
            <v>Abu Dhabi Arabic Language Centre</v>
          </cell>
          <cell r="N1469" t="str">
            <v>Abu Dhabi Arabic Language Centre</v>
          </cell>
          <cell r="O1469" t="str">
            <v>مركز أبوظبي للغة العربية</v>
          </cell>
          <cell r="P1469" t="str">
            <v>Arabic Language Education &amp; Research</v>
          </cell>
          <cell r="Q1469" t="str">
            <v>التعليم وبحوث اللغة العربية</v>
          </cell>
          <cell r="R1469" t="str">
            <v>Arabic Language Research &amp; Studies</v>
          </cell>
          <cell r="S1469" t="str">
            <v>بحوث ودراسات اللغة العربية</v>
          </cell>
          <cell r="T1469" t="str">
            <v>Language Research &amp; Studies</v>
          </cell>
          <cell r="U1469" t="str">
            <v>بحوث ودراسات اللغة العربية</v>
          </cell>
          <cell r="V1469" t="str">
            <v>Abu Dhabi</v>
          </cell>
          <cell r="W1469" t="str">
            <v/>
          </cell>
          <cell r="X1469" t="str">
            <v>4519197</v>
          </cell>
          <cell r="Y1469" t="str">
            <v>Interpretation &amp; Engagement_Arabic Language Research &amp; Studies _Unit Head</v>
          </cell>
          <cell r="Z1469" t="str">
            <v>Unit Head</v>
          </cell>
          <cell r="AA1469" t="str">
            <v>3B</v>
          </cell>
        </row>
        <row r="1470">
          <cell r="A1470">
            <v>2000841</v>
          </cell>
          <cell r="B1470">
            <v>2000841</v>
          </cell>
          <cell r="C1470" t="str">
            <v>A</v>
          </cell>
          <cell r="D1470" t="str">
            <v>Mohammad Awad</v>
          </cell>
          <cell r="E1470" t="str">
            <v>محمد  عوض</v>
          </cell>
          <cell r="F1470">
            <v>44942</v>
          </cell>
          <cell r="G1470" t="str">
            <v>50002171</v>
          </cell>
          <cell r="H1470" t="str">
            <v>People &amp; Performance Business Partner</v>
          </cell>
          <cell r="I1470" t="str">
            <v>شريك أعمال الكوادر البشرية والأداء</v>
          </cell>
          <cell r="J1470" t="str">
            <v>On-Chart</v>
          </cell>
          <cell r="K1470" t="str">
            <v>Sundus</v>
          </cell>
          <cell r="L1470" t="str">
            <v>SU</v>
          </cell>
          <cell r="M1470" t="str">
            <v>Department of Culture and Tourism</v>
          </cell>
          <cell r="N1470" t="str">
            <v>Support Services</v>
          </cell>
          <cell r="O1470" t="str">
            <v>الخدمات المساندة</v>
          </cell>
          <cell r="P1470" t="str">
            <v>People &amp; Performance</v>
          </cell>
          <cell r="Q1470" t="str">
            <v>إدارة الكوادر البشرية والأداء</v>
          </cell>
          <cell r="R1470" t="str">
            <v>People &amp; Performance Business Partners</v>
          </cell>
          <cell r="S1470" t="str">
            <v>شركاء أعمال الكوادر البشرية والأداء</v>
          </cell>
          <cell r="T1470" t="str">
            <v>P&amp;P Business Partners</v>
          </cell>
          <cell r="U1470" t="str">
            <v/>
          </cell>
          <cell r="V1470" t="str">
            <v>Abu Dhabi</v>
          </cell>
          <cell r="W1470" t="str">
            <v/>
          </cell>
          <cell r="X1470" t="str">
            <v>4510220</v>
          </cell>
          <cell r="Y1470" t="str">
            <v>People &amp; Performance _Business Partnership _Senior Professional</v>
          </cell>
          <cell r="Z1470" t="str">
            <v>Professional</v>
          </cell>
          <cell r="AA1470" t="str">
            <v>3B</v>
          </cell>
        </row>
        <row r="1471">
          <cell r="A1471">
            <v>2000843</v>
          </cell>
          <cell r="B1471">
            <v>2000843</v>
          </cell>
          <cell r="C1471" t="str">
            <v>A</v>
          </cell>
          <cell r="D1471" t="str">
            <v>Mohamd Elgayar</v>
          </cell>
          <cell r="E1471" t="str">
            <v>محمد  الجيار</v>
          </cell>
          <cell r="F1471">
            <v>44935</v>
          </cell>
          <cell r="G1471" t="str">
            <v>50002439</v>
          </cell>
          <cell r="H1471" t="str">
            <v>Finance Business Partner Unit Head</v>
          </cell>
          <cell r="I1471" t="str">
            <v>رئيس وحدة شركاء الأعمال المالية</v>
          </cell>
          <cell r="J1471" t="str">
            <v>On-Chart</v>
          </cell>
          <cell r="K1471" t="str">
            <v>Sundus</v>
          </cell>
          <cell r="L1471" t="str">
            <v>SU</v>
          </cell>
          <cell r="M1471" t="str">
            <v>Department of Culture and Tourism</v>
          </cell>
          <cell r="N1471" t="str">
            <v>Support Services</v>
          </cell>
          <cell r="O1471" t="str">
            <v>الخدمات المساندة</v>
          </cell>
          <cell r="P1471" t="str">
            <v>Finance</v>
          </cell>
          <cell r="Q1471" t="str">
            <v>إدارة المالية</v>
          </cell>
          <cell r="R1471" t="str">
            <v>Finance Business Partners</v>
          </cell>
          <cell r="S1471" t="str">
            <v>شركاء الأعمال المالية</v>
          </cell>
          <cell r="T1471" t="str">
            <v>Finance Business Partners</v>
          </cell>
          <cell r="U1471" t="str">
            <v>شركاء الأعمال المالية</v>
          </cell>
          <cell r="V1471" t="str">
            <v>Abu Dhabi</v>
          </cell>
          <cell r="W1471" t="str">
            <v/>
          </cell>
          <cell r="X1471" t="str">
            <v>4510210</v>
          </cell>
          <cell r="Y1471" t="str">
            <v>Finance_Finance Business Partner_Unit Head</v>
          </cell>
          <cell r="Z1471" t="str">
            <v>Unit Head</v>
          </cell>
          <cell r="AA1471" t="str">
            <v>3B</v>
          </cell>
        </row>
        <row r="1472">
          <cell r="A1472">
            <v>2000844</v>
          </cell>
          <cell r="B1472">
            <v>2000844</v>
          </cell>
          <cell r="C1472" t="str">
            <v>A</v>
          </cell>
          <cell r="D1472" t="str">
            <v>Ehab Hani Haddad</v>
          </cell>
          <cell r="E1472" t="str">
            <v>إيهاب هاني حداد</v>
          </cell>
          <cell r="F1472">
            <v>45020</v>
          </cell>
          <cell r="G1472" t="str">
            <v>50000431</v>
          </cell>
          <cell r="H1472" t="str">
            <v>Marketing &amp; Communications  Unit Head – Culture Projects</v>
          </cell>
          <cell r="I1472" t="str">
            <v>رئيس وحدة التسويق والاتصال - المشاريع الثقافية</v>
          </cell>
          <cell r="J1472" t="str">
            <v>On-Chart</v>
          </cell>
          <cell r="K1472" t="str">
            <v>Sundus</v>
          </cell>
          <cell r="L1472" t="str">
            <v>SU</v>
          </cell>
          <cell r="M1472" t="str">
            <v>Department of Culture and Tourism</v>
          </cell>
          <cell r="N1472" t="str">
            <v>Culture</v>
          </cell>
          <cell r="O1472" t="str">
            <v>الثقافة</v>
          </cell>
          <cell r="P1472" t="str">
            <v>Culture Sector Marketing</v>
          </cell>
          <cell r="Q1472" t="str">
            <v>التسويق لقطاع الثقافة</v>
          </cell>
          <cell r="R1472" t="str">
            <v>-</v>
          </cell>
          <cell r="S1472" t="str">
            <v>-</v>
          </cell>
          <cell r="T1472" t="str">
            <v>Marketing &amp; Communications</v>
          </cell>
          <cell r="U1472" t="str">
            <v>التسويق والاتصال</v>
          </cell>
          <cell r="V1472" t="str">
            <v>Abu Dhabi</v>
          </cell>
          <cell r="W1472" t="str">
            <v/>
          </cell>
          <cell r="X1472" t="str">
            <v>4511550</v>
          </cell>
          <cell r="Y1472" t="str">
            <v>Compliance,Governance&amp;Protocol_Policy  (Culture &amp; Tourism)_Unit Head</v>
          </cell>
          <cell r="Z1472" t="str">
            <v>Unit Head</v>
          </cell>
          <cell r="AA1472" t="str">
            <v>3B</v>
          </cell>
        </row>
        <row r="1473">
          <cell r="A1473">
            <v>2000845</v>
          </cell>
          <cell r="B1473">
            <v>2000845</v>
          </cell>
          <cell r="C1473" t="str">
            <v>A</v>
          </cell>
          <cell r="D1473" t="str">
            <v>Fatima Ibrahim</v>
          </cell>
          <cell r="E1473" t="str">
            <v>فاطمة  إبراهيم</v>
          </cell>
          <cell r="F1473">
            <v>44938</v>
          </cell>
          <cell r="G1473" t="str">
            <v>50002120</v>
          </cell>
          <cell r="H1473" t="str">
            <v>Talent Acquisition Specialist</v>
          </cell>
          <cell r="I1473" t="str">
            <v>أخصائي استقطاب المواهب</v>
          </cell>
          <cell r="J1473" t="str">
            <v>On-Chart</v>
          </cell>
          <cell r="K1473" t="str">
            <v>Dayton</v>
          </cell>
          <cell r="L1473" t="str">
            <v>D1</v>
          </cell>
          <cell r="M1473" t="str">
            <v>Department of Culture and Tourism</v>
          </cell>
          <cell r="N1473" t="str">
            <v>Support Services</v>
          </cell>
          <cell r="O1473" t="str">
            <v>الخدمات المساندة</v>
          </cell>
          <cell r="P1473" t="str">
            <v>People &amp; Performance</v>
          </cell>
          <cell r="Q1473" t="str">
            <v>إدارة الكوادر البشرية والأداء</v>
          </cell>
          <cell r="R1473" t="str">
            <v>Talent Acquisition</v>
          </cell>
          <cell r="S1473" t="str">
            <v>قسم استقطاب المواهب</v>
          </cell>
          <cell r="T1473" t="str">
            <v>Talent Acquisition</v>
          </cell>
          <cell r="U1473" t="str">
            <v>استقطاب المواهب</v>
          </cell>
          <cell r="V1473" t="str">
            <v>Abu Dhabi</v>
          </cell>
          <cell r="W1473" t="str">
            <v/>
          </cell>
          <cell r="X1473" t="str">
            <v>4510220</v>
          </cell>
          <cell r="Y1473" t="str">
            <v>People &amp; Performance _Talent Acquisition_Professional</v>
          </cell>
          <cell r="Z1473" t="str">
            <v>Professional</v>
          </cell>
          <cell r="AA1473" t="str">
            <v>4B</v>
          </cell>
        </row>
        <row r="1474">
          <cell r="A1474">
            <v>2000848</v>
          </cell>
          <cell r="B1474">
            <v>2000848</v>
          </cell>
          <cell r="C1474" t="str">
            <v>A</v>
          </cell>
          <cell r="D1474" t="str">
            <v>Elise Maalouf</v>
          </cell>
          <cell r="E1474" t="str">
            <v>اليز  معلوف</v>
          </cell>
          <cell r="F1474">
            <v>44937</v>
          </cell>
          <cell r="G1474" t="str">
            <v>10011651</v>
          </cell>
          <cell r="H1474" t="str">
            <v>Internal Communications Specialist</v>
          </cell>
          <cell r="I1474" t="str">
            <v>أخصائي اتصال داخلي</v>
          </cell>
          <cell r="J1474" t="str">
            <v>On-Chart</v>
          </cell>
          <cell r="K1474" t="str">
            <v>Sundus</v>
          </cell>
          <cell r="L1474" t="str">
            <v>SU</v>
          </cell>
          <cell r="M1474" t="str">
            <v>Department of Culture and Tourism</v>
          </cell>
          <cell r="N1474" t="str">
            <v>Support Services</v>
          </cell>
          <cell r="O1474" t="str">
            <v>الخدمات المساندة</v>
          </cell>
          <cell r="P1474" t="str">
            <v>People &amp; Performance</v>
          </cell>
          <cell r="Q1474" t="str">
            <v>إدارة الكوادر البشرية والأداء</v>
          </cell>
          <cell r="R1474" t="str">
            <v>Internal Communications</v>
          </cell>
          <cell r="S1474" t="str">
            <v>الاتصال الداخلي</v>
          </cell>
          <cell r="T1474" t="str">
            <v>Internal Communications</v>
          </cell>
          <cell r="U1474" t="str">
            <v>الاتصال الداخلي</v>
          </cell>
          <cell r="V1474" t="str">
            <v>Abu Dhabi</v>
          </cell>
          <cell r="W1474" t="str">
            <v/>
          </cell>
          <cell r="X1474" t="str">
            <v>4510220</v>
          </cell>
          <cell r="Y1474" t="str">
            <v>Comms &amp; Marketing _Marketing &amp; Communications (All)_Professional</v>
          </cell>
          <cell r="Z1474" t="str">
            <v>Professional</v>
          </cell>
          <cell r="AA1474" t="str">
            <v>4A</v>
          </cell>
        </row>
        <row r="1475">
          <cell r="A1475">
            <v>2000849</v>
          </cell>
          <cell r="B1475">
            <v>2000849</v>
          </cell>
          <cell r="C1475" t="str">
            <v>A</v>
          </cell>
          <cell r="D1475" t="str">
            <v>Rexie Donaire Encabo</v>
          </cell>
          <cell r="E1475" t="str">
            <v>ريكسى انتيجو اينكابو</v>
          </cell>
          <cell r="F1475">
            <v>44936</v>
          </cell>
          <cell r="G1475" t="str">
            <v>50002165</v>
          </cell>
          <cell r="H1475" t="str">
            <v>CWIP Specialist</v>
          </cell>
          <cell r="I1475" t="str">
            <v>اخصائي المشاريع الرأسمالية</v>
          </cell>
          <cell r="J1475" t="str">
            <v>On-Chart</v>
          </cell>
          <cell r="K1475" t="str">
            <v>Sundus</v>
          </cell>
          <cell r="L1475" t="str">
            <v>SU</v>
          </cell>
          <cell r="M1475" t="str">
            <v>Department of Culture and Tourism</v>
          </cell>
          <cell r="N1475" t="str">
            <v>Tendering &amp; Projects Control</v>
          </cell>
          <cell r="O1475" t="str">
            <v>مكتب وكيل الدائرة</v>
          </cell>
          <cell r="P1475" t="str">
            <v>Tendering &amp; Projects Control</v>
          </cell>
          <cell r="Q1475" t="str">
            <v>المناقصات ومراقبة المشاريع</v>
          </cell>
          <cell r="R1475" t="str">
            <v>Contracts Administration &amp; Cost Estimation</v>
          </cell>
          <cell r="S1475" t="str">
            <v>إدارة العقود وتقدير التكاليف</v>
          </cell>
          <cell r="T1475" t="str">
            <v/>
          </cell>
          <cell r="U1475" t="str">
            <v/>
          </cell>
          <cell r="V1475" t="str">
            <v>Abu Dhabi</v>
          </cell>
          <cell r="W1475" t="str">
            <v/>
          </cell>
          <cell r="X1475" t="str">
            <v>4510155</v>
          </cell>
          <cell r="Y1475" t="str">
            <v>Procurement_Tendering _Professional</v>
          </cell>
          <cell r="Z1475" t="str">
            <v>Professional</v>
          </cell>
          <cell r="AA1475" t="str">
            <v>4B</v>
          </cell>
        </row>
        <row r="1476">
          <cell r="A1476">
            <v>2000851</v>
          </cell>
          <cell r="B1476">
            <v>2000851</v>
          </cell>
          <cell r="C1476" t="str">
            <v>A</v>
          </cell>
          <cell r="D1476" t="str">
            <v>Lillian Kildani</v>
          </cell>
          <cell r="E1476" t="str">
            <v>ليلان  كلدانى</v>
          </cell>
          <cell r="F1476">
            <v>44945</v>
          </cell>
          <cell r="G1476" t="str">
            <v>50001739</v>
          </cell>
          <cell r="H1476" t="str">
            <v>Journey Design &amp; Development Section Head</v>
          </cell>
          <cell r="I1476" t="str">
            <v>رئيس قسم  تصميم وتطوير الرحلات</v>
          </cell>
          <cell r="J1476" t="str">
            <v>On-Chart</v>
          </cell>
          <cell r="K1476" t="str">
            <v>Sundus</v>
          </cell>
          <cell r="L1476" t="str">
            <v>SU</v>
          </cell>
          <cell r="M1476" t="str">
            <v>Department of Culture and Tourism</v>
          </cell>
          <cell r="N1476" t="str">
            <v>Tourism</v>
          </cell>
          <cell r="O1476" t="str">
            <v>السياحة</v>
          </cell>
          <cell r="P1476" t="str">
            <v>Visitors Experience</v>
          </cell>
          <cell r="Q1476" t="str">
            <v>تجربة الزوار</v>
          </cell>
          <cell r="R1476" t="str">
            <v>Journey Design &amp; Development</v>
          </cell>
          <cell r="S1476" t="str">
            <v>تصميم وتطوير الرحلات</v>
          </cell>
          <cell r="T1476" t="str">
            <v/>
          </cell>
          <cell r="U1476" t="str">
            <v/>
          </cell>
          <cell r="V1476" t="str">
            <v>Abu Dhabi</v>
          </cell>
          <cell r="W1476" t="str">
            <v/>
          </cell>
          <cell r="X1476" t="str">
            <v>4515300</v>
          </cell>
          <cell r="Y1476" t="str">
            <v>Digital_Digital Experience Development (Tourism &amp; Marketing, Visitor Experience)_Section Head</v>
          </cell>
          <cell r="Z1476" t="str">
            <v>Section Manager</v>
          </cell>
          <cell r="AA1476" t="str">
            <v>2B</v>
          </cell>
        </row>
        <row r="1477">
          <cell r="A1477">
            <v>2000852</v>
          </cell>
          <cell r="B1477">
            <v>2000852</v>
          </cell>
          <cell r="C1477" t="str">
            <v>A</v>
          </cell>
          <cell r="D1477" t="str">
            <v>Zeinab Bayoumy</v>
          </cell>
          <cell r="E1477" t="str">
            <v>زينب  بيومي</v>
          </cell>
          <cell r="F1477">
            <v>44945</v>
          </cell>
          <cell r="G1477" t="str">
            <v>10005877</v>
          </cell>
          <cell r="H1477" t="str">
            <v>Internal Communications Senior Specialist</v>
          </cell>
          <cell r="I1477" t="str">
            <v>تنفيذي أول الاتصال الداخلي</v>
          </cell>
          <cell r="J1477" t="str">
            <v>On-Chart</v>
          </cell>
          <cell r="K1477" t="str">
            <v>Sundus</v>
          </cell>
          <cell r="L1477" t="str">
            <v>SU</v>
          </cell>
          <cell r="M1477" t="str">
            <v>Department of Culture and Tourism</v>
          </cell>
          <cell r="N1477" t="str">
            <v>Support Services</v>
          </cell>
          <cell r="O1477" t="str">
            <v>الخدمات المساندة</v>
          </cell>
          <cell r="P1477" t="str">
            <v>People &amp; Performance</v>
          </cell>
          <cell r="Q1477" t="str">
            <v>إدارة الكوادر البشرية والأداء</v>
          </cell>
          <cell r="R1477" t="str">
            <v>Internal Communications</v>
          </cell>
          <cell r="S1477" t="str">
            <v>الاتصال الداخلي</v>
          </cell>
          <cell r="T1477" t="str">
            <v>Internal Communications</v>
          </cell>
          <cell r="U1477" t="str">
            <v>الاتصال الداخلي</v>
          </cell>
          <cell r="V1477" t="str">
            <v>Abu Dhabi</v>
          </cell>
          <cell r="W1477" t="str">
            <v/>
          </cell>
          <cell r="X1477" t="str">
            <v>4510220</v>
          </cell>
          <cell r="Y1477" t="str">
            <v>Comms &amp; Marketing _Marketing &amp; Communications (All areas)_Senior Professional</v>
          </cell>
          <cell r="Z1477" t="str">
            <v>Senior Professional</v>
          </cell>
          <cell r="AA1477" t="str">
            <v>3B</v>
          </cell>
        </row>
        <row r="1478">
          <cell r="A1478">
            <v>2000853</v>
          </cell>
          <cell r="B1478">
            <v>2000853</v>
          </cell>
          <cell r="C1478" t="str">
            <v>A</v>
          </cell>
          <cell r="D1478" t="str">
            <v>Khaled Haitham Alamat</v>
          </cell>
          <cell r="E1478" t="str">
            <v>خالد هيثم العلامات</v>
          </cell>
          <cell r="F1478">
            <v>44938</v>
          </cell>
          <cell r="G1478" t="str">
            <v>10006399</v>
          </cell>
          <cell r="H1478" t="str">
            <v>MEP Director</v>
          </cell>
          <cell r="I1478" t="str">
            <v>مدير الخدمات الالكتروميكانيكية</v>
          </cell>
          <cell r="J1478" t="str">
            <v>On-Chart</v>
          </cell>
          <cell r="K1478" t="str">
            <v>Sundus</v>
          </cell>
          <cell r="L1478" t="str">
            <v>SU</v>
          </cell>
          <cell r="M1478" t="str">
            <v>Department of Culture and Tourism</v>
          </cell>
          <cell r="N1478" t="str">
            <v>Project Management &amp; Engineering</v>
          </cell>
          <cell r="O1478" t="str">
            <v>مكتب وكيل الدائرة</v>
          </cell>
          <cell r="P1478" t="str">
            <v>Project Management &amp; Engineering</v>
          </cell>
          <cell r="Q1478" t="str">
            <v>هندسة وإدارة المشاريع</v>
          </cell>
          <cell r="R1478" t="str">
            <v/>
          </cell>
          <cell r="S1478" t="str">
            <v/>
          </cell>
          <cell r="T1478" t="str">
            <v/>
          </cell>
          <cell r="U1478" t="str">
            <v/>
          </cell>
          <cell r="V1478" t="str">
            <v>Abu Dhabi</v>
          </cell>
          <cell r="W1478" t="str">
            <v/>
          </cell>
          <cell r="X1478" t="str">
            <v>4510150</v>
          </cell>
          <cell r="Y1478" t="str">
            <v>Technical Safety &amp; Security_Engineering Project Management  _Section Head</v>
          </cell>
          <cell r="Z1478" t="str">
            <v>Section Manager</v>
          </cell>
          <cell r="AA1478" t="str">
            <v>2B</v>
          </cell>
        </row>
        <row r="1479">
          <cell r="A1479">
            <v>2000855</v>
          </cell>
          <cell r="B1479">
            <v>2000855</v>
          </cell>
          <cell r="C1479" t="str">
            <v>A</v>
          </cell>
          <cell r="D1479" t="str">
            <v>Isha Parmar</v>
          </cell>
          <cell r="E1479" t="str">
            <v>ايشا  بارمار</v>
          </cell>
          <cell r="F1479">
            <v>44973</v>
          </cell>
          <cell r="G1479" t="str">
            <v>50002312</v>
          </cell>
          <cell r="H1479" t="str">
            <v>Assistant Conservator</v>
          </cell>
          <cell r="I1479" t="str">
            <v>مساعد حفظ الآثار</v>
          </cell>
          <cell r="J1479" t="str">
            <v>On-Chart</v>
          </cell>
          <cell r="K1479" t="str">
            <v>MSS Al Nahiya</v>
          </cell>
          <cell r="L1479" t="str">
            <v>M2</v>
          </cell>
          <cell r="M1479" t="str">
            <v>Louvre Abu Dhabi</v>
          </cell>
          <cell r="N1479" t="str">
            <v>Louvre Abu Dhabi</v>
          </cell>
          <cell r="O1479" t="str">
            <v>متحف اللوفر أبوظبي</v>
          </cell>
          <cell r="P1479" t="str">
            <v>Scientific, Curatorial &amp; Collection Management</v>
          </cell>
          <cell r="Q1479" t="str">
            <v>إدارة المقتنيات العلمية والتنظيمية</v>
          </cell>
          <cell r="R1479" t="str">
            <v>Museography &amp; Collection Management</v>
          </cell>
          <cell r="S1479" t="str">
            <v>إدارة المجموعات</v>
          </cell>
          <cell r="T1479" t="str">
            <v>Preventive Conservation Unit</v>
          </cell>
          <cell r="U1479" t="str">
            <v/>
          </cell>
          <cell r="V1479" t="str">
            <v>Abu Dhabi</v>
          </cell>
          <cell r="W1479" t="str">
            <v/>
          </cell>
          <cell r="X1479" t="str">
            <v>4510122</v>
          </cell>
          <cell r="Y1479" t="str">
            <v>Content &amp; Care_Collections  Conservation  Management_Professional Assistant</v>
          </cell>
          <cell r="Z1479" t="str">
            <v>Professional</v>
          </cell>
          <cell r="AA1479" t="str">
            <v>4B</v>
          </cell>
        </row>
        <row r="1480">
          <cell r="A1480">
            <v>2000856</v>
          </cell>
          <cell r="B1480">
            <v>2000856</v>
          </cell>
          <cell r="C1480" t="str">
            <v>A</v>
          </cell>
          <cell r="D1480" t="str">
            <v>Andrea Rozsavolgyi</v>
          </cell>
          <cell r="E1480" t="str">
            <v>اندريا  روزافولجي</v>
          </cell>
          <cell r="F1480">
            <v>44971</v>
          </cell>
          <cell r="G1480" t="str">
            <v>50002361</v>
          </cell>
          <cell r="H1480" t="str">
            <v>Senior Curatorial Assistant</v>
          </cell>
          <cell r="I1480" t="str">
            <v>مساعد اول امين متحف</v>
          </cell>
          <cell r="J1480" t="str">
            <v>On-Chart</v>
          </cell>
          <cell r="K1480" t="str">
            <v>MSS Al Nahiya</v>
          </cell>
          <cell r="L1480" t="str">
            <v>M2</v>
          </cell>
          <cell r="M1480" t="str">
            <v>Louvre Abu Dhabi</v>
          </cell>
          <cell r="N1480" t="str">
            <v>Louvre Abu Dhabi</v>
          </cell>
          <cell r="O1480" t="str">
            <v>متحف اللوفر أبوظبي</v>
          </cell>
          <cell r="P1480" t="str">
            <v>Scientific, Curatorial &amp; Collection Management</v>
          </cell>
          <cell r="Q1480" t="str">
            <v>إدارة المقتنيات العلمية والتنظيمية</v>
          </cell>
          <cell r="R1480" t="str">
            <v/>
          </cell>
          <cell r="S1480" t="str">
            <v/>
          </cell>
          <cell r="T1480" t="str">
            <v/>
          </cell>
          <cell r="U1480" t="str">
            <v/>
          </cell>
          <cell r="V1480" t="str">
            <v>Abu Dhabi</v>
          </cell>
          <cell r="W1480" t="str">
            <v/>
          </cell>
          <cell r="X1480" t="str">
            <v>4510122</v>
          </cell>
          <cell r="Y1480" t="str">
            <v>Content &amp; Care_Curatorial  Management_Senior Professional</v>
          </cell>
          <cell r="Z1480" t="str">
            <v>Senior Professional</v>
          </cell>
          <cell r="AA1480" t="str">
            <v>3B</v>
          </cell>
        </row>
        <row r="1481">
          <cell r="A1481">
            <v>2000858</v>
          </cell>
          <cell r="B1481">
            <v>2000858</v>
          </cell>
          <cell r="C1481" t="str">
            <v>A</v>
          </cell>
          <cell r="D1481" t="str">
            <v>Ahmed Mohamed Zakout</v>
          </cell>
          <cell r="E1481" t="str">
            <v>احمد محمد قوت</v>
          </cell>
          <cell r="F1481">
            <v>44958</v>
          </cell>
          <cell r="G1481" t="str">
            <v>50000473</v>
          </cell>
          <cell r="H1481" t="str">
            <v>Facilities Management  Unit Head - Abu Dhabi</v>
          </cell>
          <cell r="I1481" t="str">
            <v>رئيس وحدة إدارة المرافق  - أبوظبي</v>
          </cell>
          <cell r="J1481" t="str">
            <v>On-Chart</v>
          </cell>
          <cell r="K1481" t="str">
            <v>Sundus</v>
          </cell>
          <cell r="L1481" t="str">
            <v>SU</v>
          </cell>
          <cell r="M1481" t="str">
            <v>Department of Culture and Tourism</v>
          </cell>
          <cell r="N1481" t="str">
            <v>Support Services</v>
          </cell>
          <cell r="O1481" t="str">
            <v>الخدمات المساندة</v>
          </cell>
          <cell r="P1481" t="str">
            <v>Supply Management</v>
          </cell>
          <cell r="Q1481" t="str">
            <v>إدارة الإمداد</v>
          </cell>
          <cell r="R1481" t="str">
            <v>Facilities Management</v>
          </cell>
          <cell r="S1481" t="str">
            <v>إدارة المرافق</v>
          </cell>
          <cell r="T1481" t="str">
            <v/>
          </cell>
          <cell r="U1481" t="str">
            <v/>
          </cell>
          <cell r="V1481" t="str">
            <v>Abu Dhabi</v>
          </cell>
          <cell r="W1481" t="str">
            <v/>
          </cell>
          <cell r="X1481" t="str">
            <v>4510240</v>
          </cell>
          <cell r="Y1481" t="str">
            <v>Procurement_Procurement General _Unit Head</v>
          </cell>
          <cell r="Z1481" t="str">
            <v>Unit Head</v>
          </cell>
          <cell r="AA1481" t="str">
            <v>3A</v>
          </cell>
        </row>
        <row r="1482">
          <cell r="A1482">
            <v>2000859</v>
          </cell>
          <cell r="B1482">
            <v>2000859</v>
          </cell>
          <cell r="C1482" t="str">
            <v>A</v>
          </cell>
          <cell r="D1482" t="str">
            <v>Anoop Joseph</v>
          </cell>
          <cell r="E1482" t="str">
            <v>أنوب  جوزيف</v>
          </cell>
          <cell r="F1482">
            <v>44950</v>
          </cell>
          <cell r="G1482" t="str">
            <v>50002117</v>
          </cell>
          <cell r="H1482" t="str">
            <v>Succession Planning &amp; Leadership Senior Specialist</v>
          </cell>
          <cell r="I1482" t="str">
            <v>أخصائي أول تخطيط التعاقب الوظيفي والقيادة</v>
          </cell>
          <cell r="J1482" t="str">
            <v>On-Chart</v>
          </cell>
          <cell r="K1482" t="str">
            <v>Sundus</v>
          </cell>
          <cell r="L1482" t="str">
            <v>SU</v>
          </cell>
          <cell r="M1482" t="str">
            <v>Department of Culture and Tourism</v>
          </cell>
          <cell r="N1482" t="str">
            <v>Support Services</v>
          </cell>
          <cell r="O1482" t="str">
            <v>الخدمات المساندة</v>
          </cell>
          <cell r="P1482" t="str">
            <v>People &amp; Performance</v>
          </cell>
          <cell r="Q1482" t="str">
            <v>إدارة الكوادر البشرية والأداء</v>
          </cell>
          <cell r="R1482" t="str">
            <v>Talent Development</v>
          </cell>
          <cell r="S1482" t="str">
            <v>تطوير المواهب</v>
          </cell>
          <cell r="T1482" t="str">
            <v>Succession Planning &amp; Leadership</v>
          </cell>
          <cell r="U1482" t="str">
            <v>تخطيط التعاقب الوظيفي والقيادة</v>
          </cell>
          <cell r="V1482" t="str">
            <v>Abu Dhabi</v>
          </cell>
          <cell r="W1482" t="str">
            <v/>
          </cell>
          <cell r="X1482" t="str">
            <v>4510220</v>
          </cell>
          <cell r="Y1482" t="str">
            <v>People &amp; Performance _Learning, Talent &amp; Capability Development _Senior Professional</v>
          </cell>
          <cell r="Z1482" t="str">
            <v>Senior Professional</v>
          </cell>
          <cell r="AA1482" t="str">
            <v>3B</v>
          </cell>
        </row>
        <row r="1483">
          <cell r="A1483">
            <v>2000861</v>
          </cell>
          <cell r="B1483">
            <v>2000861</v>
          </cell>
          <cell r="C1483" t="str">
            <v>A</v>
          </cell>
          <cell r="D1483" t="str">
            <v>Hunaida Ali</v>
          </cell>
          <cell r="E1483" t="str">
            <v>هونيدا  علي</v>
          </cell>
          <cell r="F1483">
            <v>44965</v>
          </cell>
          <cell r="G1483" t="str">
            <v>50002121</v>
          </cell>
          <cell r="H1483" t="str">
            <v>Talent Acquisition Specialist</v>
          </cell>
          <cell r="I1483" t="str">
            <v>أخصائي استقطاب المواهب</v>
          </cell>
          <cell r="J1483" t="str">
            <v>On-Chart</v>
          </cell>
          <cell r="K1483" t="str">
            <v>Sundus</v>
          </cell>
          <cell r="L1483" t="str">
            <v>SU</v>
          </cell>
          <cell r="M1483" t="str">
            <v>Department of Culture and Tourism</v>
          </cell>
          <cell r="N1483" t="str">
            <v>Support Services</v>
          </cell>
          <cell r="O1483" t="str">
            <v>الخدمات المساندة</v>
          </cell>
          <cell r="P1483" t="str">
            <v>People &amp; Performance</v>
          </cell>
          <cell r="Q1483" t="str">
            <v>إدارة الكوادر البشرية والأداء</v>
          </cell>
          <cell r="R1483" t="str">
            <v>Talent Acquisition</v>
          </cell>
          <cell r="S1483" t="str">
            <v>قسم استقطاب المواهب</v>
          </cell>
          <cell r="T1483" t="str">
            <v>Talent Acquisition</v>
          </cell>
          <cell r="U1483" t="str">
            <v>استقطاب المواهب</v>
          </cell>
          <cell r="V1483" t="str">
            <v>Abu Dhabi</v>
          </cell>
          <cell r="W1483" t="str">
            <v/>
          </cell>
          <cell r="X1483" t="str">
            <v>4510220</v>
          </cell>
          <cell r="Y1483" t="str">
            <v>People &amp; Performance _Talent Acquisition_Professional</v>
          </cell>
          <cell r="Z1483" t="str">
            <v>Professional</v>
          </cell>
          <cell r="AA1483" t="str">
            <v>4B</v>
          </cell>
        </row>
        <row r="1484">
          <cell r="A1484">
            <v>2000862</v>
          </cell>
          <cell r="B1484">
            <v>2000862</v>
          </cell>
          <cell r="C1484" t="str">
            <v>A</v>
          </cell>
          <cell r="D1484" t="str">
            <v>Charlyn Apdan</v>
          </cell>
          <cell r="E1484" t="str">
            <v>شارلين  ابدان</v>
          </cell>
          <cell r="F1484">
            <v>44973</v>
          </cell>
          <cell r="G1484" t="str">
            <v>50002200</v>
          </cell>
          <cell r="H1484" t="str">
            <v>Talent Attraction Specialist</v>
          </cell>
          <cell r="I1484" t="str">
            <v>أخصائي استقطاب المواهب</v>
          </cell>
          <cell r="J1484" t="str">
            <v>On-Chart</v>
          </cell>
          <cell r="K1484" t="str">
            <v>Al Nahiya</v>
          </cell>
          <cell r="L1484" t="str">
            <v>N0</v>
          </cell>
          <cell r="M1484" t="str">
            <v>Department of Culture and Tourism</v>
          </cell>
          <cell r="N1484" t="str">
            <v>Support Services</v>
          </cell>
          <cell r="O1484" t="str">
            <v>الخدمات المساندة</v>
          </cell>
          <cell r="P1484" t="str">
            <v>People &amp; Performance</v>
          </cell>
          <cell r="Q1484" t="str">
            <v>إدارة الكوادر البشرية والأداء</v>
          </cell>
          <cell r="R1484" t="str">
            <v>Talent Acquisition</v>
          </cell>
          <cell r="S1484" t="str">
            <v>قسم استقطاب المواهب</v>
          </cell>
          <cell r="T1484" t="str">
            <v/>
          </cell>
          <cell r="U1484" t="str">
            <v/>
          </cell>
          <cell r="V1484" t="str">
            <v>Abu Dhabi</v>
          </cell>
          <cell r="W1484" t="str">
            <v/>
          </cell>
          <cell r="X1484" t="str">
            <v>4510220</v>
          </cell>
          <cell r="Y1484" t="str">
            <v>People &amp; Performance _Talent Acquisition_Professional</v>
          </cell>
          <cell r="Z1484" t="str">
            <v>Professional</v>
          </cell>
          <cell r="AA1484" t="str">
            <v>4B</v>
          </cell>
        </row>
        <row r="1485">
          <cell r="A1485">
            <v>2000863</v>
          </cell>
          <cell r="B1485">
            <v>2000863</v>
          </cell>
          <cell r="C1485" t="str">
            <v>A</v>
          </cell>
          <cell r="D1485" t="str">
            <v>Lucia Pizzinato</v>
          </cell>
          <cell r="E1485" t="str">
            <v>لوكيا  بيزيناتو</v>
          </cell>
          <cell r="F1485">
            <v>44957</v>
          </cell>
          <cell r="G1485" t="str">
            <v>50001909</v>
          </cell>
          <cell r="H1485" t="str">
            <v>Senior Collections Researcher</v>
          </cell>
          <cell r="I1485" t="str">
            <v>باحث أول - المقتنيات</v>
          </cell>
          <cell r="J1485" t="str">
            <v>On-Chart</v>
          </cell>
          <cell r="K1485" t="str">
            <v>Sundus</v>
          </cell>
          <cell r="L1485" t="str">
            <v>SU</v>
          </cell>
          <cell r="M1485" t="str">
            <v>Department of Culture and Tourism</v>
          </cell>
          <cell r="N1485" t="str">
            <v>Culture</v>
          </cell>
          <cell r="O1485" t="str">
            <v>الثقافة</v>
          </cell>
          <cell r="P1485" t="str">
            <v>Scientific, Curatorial and Collection Department</v>
          </cell>
          <cell r="Q1485" t="str">
            <v>إدارة البحث العلمي والمقتنيات</v>
          </cell>
          <cell r="R1485" t="str">
            <v>Collections</v>
          </cell>
          <cell r="S1485" t="str">
            <v>إدارة المقتنيات</v>
          </cell>
          <cell r="T1485" t="str">
            <v>Collections Research &amp; Development</v>
          </cell>
          <cell r="U1485" t="str">
            <v>بحث وتطوير المقتنيات</v>
          </cell>
          <cell r="V1485" t="str">
            <v>Abu Dhabi</v>
          </cell>
          <cell r="W1485" t="str">
            <v/>
          </cell>
          <cell r="X1485" t="str">
            <v>4511150</v>
          </cell>
          <cell r="Y1485" t="str">
            <v>Compliance,Governance&amp;Protocol_Policy (Culture/Tourism _Senior Professional</v>
          </cell>
          <cell r="Z1485" t="str">
            <v>Senior Professional</v>
          </cell>
          <cell r="AA1485" t="str">
            <v>3B</v>
          </cell>
        </row>
        <row r="1486">
          <cell r="A1486">
            <v>2000864</v>
          </cell>
          <cell r="B1486">
            <v>2000864</v>
          </cell>
          <cell r="C1486" t="str">
            <v>A</v>
          </cell>
          <cell r="D1486" t="str">
            <v>Ehab Adel ElBeal</v>
          </cell>
          <cell r="E1486" t="str">
            <v>إيهاب عادل البعل</v>
          </cell>
          <cell r="F1486">
            <v>44966</v>
          </cell>
          <cell r="G1486" t="str">
            <v>50002071</v>
          </cell>
          <cell r="H1486" t="str">
            <v>Senior BI Developer</v>
          </cell>
          <cell r="I1486" t="str">
            <v>أخصائي أول تطوير أدوات ذكاء الأعمال</v>
          </cell>
          <cell r="J1486" t="str">
            <v>On-Chart</v>
          </cell>
          <cell r="K1486" t="str">
            <v>Sundus</v>
          </cell>
          <cell r="L1486" t="str">
            <v>SU</v>
          </cell>
          <cell r="M1486" t="str">
            <v>Department of Culture and Tourism</v>
          </cell>
          <cell r="N1486" t="str">
            <v>Strategic Affairs</v>
          </cell>
          <cell r="O1486" t="str">
            <v>الشؤون الاستراتيجية</v>
          </cell>
          <cell r="P1486" t="str">
            <v>Data &amp; AI Department</v>
          </cell>
          <cell r="Q1486" t="str">
            <v>إدارة البيانات والذكاء الاصطناعي</v>
          </cell>
          <cell r="R1486" t="str">
            <v>Business Intelligence Section</v>
          </cell>
          <cell r="S1486" t="str">
            <v>قسم الاستخبارات التجارية</v>
          </cell>
          <cell r="T1486" t="str">
            <v>Business Analytics</v>
          </cell>
          <cell r="U1486" t="str">
            <v>تحليلات الأعمال</v>
          </cell>
          <cell r="V1486" t="str">
            <v>Abu Dhabi</v>
          </cell>
          <cell r="W1486" t="str">
            <v/>
          </cell>
          <cell r="X1486" t="str">
            <v>4512200</v>
          </cell>
          <cell r="Y1486" t="str">
            <v>Strategy, Planning, Project Mgt_Business &amp; Market Intelligence  Analysis &amp; Planning_Senior Professional</v>
          </cell>
          <cell r="Z1486" t="str">
            <v>Senior Professional</v>
          </cell>
          <cell r="AA1486" t="str">
            <v>3B</v>
          </cell>
        </row>
        <row r="1487">
          <cell r="A1487">
            <v>2000865</v>
          </cell>
          <cell r="B1487">
            <v>2000865</v>
          </cell>
          <cell r="C1487" t="str">
            <v>A</v>
          </cell>
          <cell r="D1487" t="str">
            <v>Faheem Uddin Mohammed</v>
          </cell>
          <cell r="E1487" t="str">
            <v>فهيم الدين محمد</v>
          </cell>
          <cell r="F1487">
            <v>44964</v>
          </cell>
          <cell r="G1487" t="str">
            <v>50002123</v>
          </cell>
          <cell r="H1487" t="str">
            <v>Digital Experience Development Lead</v>
          </cell>
          <cell r="I1487" t="str">
            <v>أخصائي رئيسي تطوير التجربة الرقمية</v>
          </cell>
          <cell r="J1487" t="str">
            <v>On-Chart</v>
          </cell>
          <cell r="K1487" t="str">
            <v>Sundus</v>
          </cell>
          <cell r="L1487" t="str">
            <v>SU</v>
          </cell>
          <cell r="M1487" t="str">
            <v>Department of Culture and Tourism</v>
          </cell>
          <cell r="N1487" t="str">
            <v>Tourism</v>
          </cell>
          <cell r="O1487" t="str">
            <v>السياحة</v>
          </cell>
          <cell r="P1487" t="str">
            <v>Visitors Experience</v>
          </cell>
          <cell r="Q1487" t="str">
            <v>تجربة الزوار</v>
          </cell>
          <cell r="R1487" t="str">
            <v>Digital Experience Development</v>
          </cell>
          <cell r="S1487" t="str">
            <v>تطوير التجربة الرقمية</v>
          </cell>
          <cell r="T1487" t="str">
            <v/>
          </cell>
          <cell r="U1487" t="str">
            <v/>
          </cell>
          <cell r="V1487" t="str">
            <v>Abu Dhabi</v>
          </cell>
          <cell r="W1487" t="str">
            <v/>
          </cell>
          <cell r="X1487" t="str">
            <v>4515300</v>
          </cell>
          <cell r="Y1487" t="str">
            <v>Design_Visitor Experience Design_Unit Head</v>
          </cell>
          <cell r="Z1487" t="str">
            <v>Unit Head</v>
          </cell>
          <cell r="AA1487" t="str">
            <v>3B</v>
          </cell>
        </row>
        <row r="1488">
          <cell r="A1488">
            <v>2000866</v>
          </cell>
          <cell r="B1488">
            <v>2000866</v>
          </cell>
          <cell r="C1488" t="str">
            <v>A</v>
          </cell>
          <cell r="D1488" t="str">
            <v>Heitham Kaddoura</v>
          </cell>
          <cell r="E1488" t="str">
            <v>هيثم  قدورة</v>
          </cell>
          <cell r="F1488">
            <v>44958</v>
          </cell>
          <cell r="G1488" t="str">
            <v>50002103</v>
          </cell>
          <cell r="H1488" t="str">
            <v>Financial Planning Specialist</v>
          </cell>
          <cell r="I1488" t="str">
            <v>أخصائي التخطيط المالي</v>
          </cell>
          <cell r="J1488" t="str">
            <v>On-Chart</v>
          </cell>
          <cell r="K1488" t="str">
            <v>Sundus</v>
          </cell>
          <cell r="L1488" t="str">
            <v>SU</v>
          </cell>
          <cell r="M1488" t="str">
            <v>Department of Culture and Tourism</v>
          </cell>
          <cell r="N1488" t="str">
            <v>Support Services</v>
          </cell>
          <cell r="O1488" t="str">
            <v>الخدمات المساندة</v>
          </cell>
          <cell r="P1488" t="str">
            <v>Finance</v>
          </cell>
          <cell r="Q1488" t="str">
            <v>إدارة المالية</v>
          </cell>
          <cell r="R1488" t="str">
            <v>Finance Business Partners</v>
          </cell>
          <cell r="S1488" t="str">
            <v>شركاء الأعمال المالية</v>
          </cell>
          <cell r="T1488" t="str">
            <v>Finance Business Partners</v>
          </cell>
          <cell r="U1488" t="str">
            <v>شركاء الأعمال المالية</v>
          </cell>
          <cell r="V1488" t="str">
            <v>Abu Dhabi</v>
          </cell>
          <cell r="W1488" t="str">
            <v/>
          </cell>
          <cell r="X1488" t="str">
            <v>4510210</v>
          </cell>
          <cell r="Y1488" t="str">
            <v>Finance_Finance Planning  Forecasting &amp; Reporting_Professional</v>
          </cell>
          <cell r="Z1488" t="str">
            <v>Professional</v>
          </cell>
          <cell r="AA1488" t="str">
            <v>4B</v>
          </cell>
        </row>
        <row r="1489">
          <cell r="A1489">
            <v>2000867</v>
          </cell>
          <cell r="B1489">
            <v>2000867</v>
          </cell>
          <cell r="C1489" t="str">
            <v>A</v>
          </cell>
          <cell r="D1489" t="str">
            <v>Georgios Zervas</v>
          </cell>
          <cell r="E1489" t="str">
            <v>جورجيوس  زيرفاس</v>
          </cell>
          <cell r="F1489">
            <v>44958</v>
          </cell>
          <cell r="G1489" t="str">
            <v>10009377</v>
          </cell>
          <cell r="H1489" t="str">
            <v>Projects Director</v>
          </cell>
          <cell r="I1489" t="str">
            <v>مدير مشاريع</v>
          </cell>
          <cell r="J1489" t="str">
            <v>On-Chart</v>
          </cell>
          <cell r="K1489" t="str">
            <v>Sundus</v>
          </cell>
          <cell r="L1489" t="str">
            <v>SU</v>
          </cell>
          <cell r="M1489" t="str">
            <v>Department of Culture and Tourism</v>
          </cell>
          <cell r="N1489" t="str">
            <v>Project Management &amp; Engineering</v>
          </cell>
          <cell r="O1489" t="str">
            <v>مكتب وكيل الدائرة</v>
          </cell>
          <cell r="P1489" t="str">
            <v>Project Management &amp; Engineering</v>
          </cell>
          <cell r="Q1489" t="str">
            <v>هندسة وإدارة المشاريع</v>
          </cell>
          <cell r="R1489" t="str">
            <v/>
          </cell>
          <cell r="S1489" t="str">
            <v/>
          </cell>
          <cell r="T1489" t="str">
            <v/>
          </cell>
          <cell r="U1489" t="str">
            <v/>
          </cell>
          <cell r="V1489" t="str">
            <v>Abu Dhabi</v>
          </cell>
          <cell r="W1489" t="str">
            <v/>
          </cell>
          <cell r="X1489" t="str">
            <v>4510150</v>
          </cell>
          <cell r="Y1489" t="str">
            <v>Technical Safety &amp; Security_Engineering Project Management  _Section Head</v>
          </cell>
          <cell r="Z1489" t="str">
            <v>Section Manager</v>
          </cell>
          <cell r="AA1489" t="str">
            <v>2B</v>
          </cell>
        </row>
        <row r="1490">
          <cell r="A1490">
            <v>2000868</v>
          </cell>
          <cell r="B1490">
            <v>2000868</v>
          </cell>
          <cell r="C1490" t="str">
            <v>A</v>
          </cell>
          <cell r="D1490" t="str">
            <v>Yazeed Kloub</v>
          </cell>
          <cell r="E1490" t="str">
            <v>يزيد  كلوب</v>
          </cell>
          <cell r="F1490">
            <v>44958</v>
          </cell>
          <cell r="G1490" t="str">
            <v>50001874</v>
          </cell>
          <cell r="H1490" t="str">
            <v>Digital Library Senior Specialist</v>
          </cell>
          <cell r="I1490" t="str">
            <v>أخصائي أول المكتبة الرقمية</v>
          </cell>
          <cell r="J1490" t="str">
            <v>On-Chart</v>
          </cell>
          <cell r="K1490" t="str">
            <v>Sundus</v>
          </cell>
          <cell r="L1490" t="str">
            <v>SU</v>
          </cell>
          <cell r="M1490" t="str">
            <v>Department of Culture and Tourism</v>
          </cell>
          <cell r="N1490" t="str">
            <v>Culture</v>
          </cell>
          <cell r="O1490" t="str">
            <v>الثقافة</v>
          </cell>
          <cell r="P1490" t="str">
            <v>Library Management</v>
          </cell>
          <cell r="Q1490" t="str">
            <v>إدارة المكتبات</v>
          </cell>
          <cell r="R1490" t="str">
            <v>Technical Services</v>
          </cell>
          <cell r="S1490" t="str">
            <v>الخدمات الفنية</v>
          </cell>
          <cell r="T1490" t="str">
            <v>Acquisition</v>
          </cell>
          <cell r="U1490" t="str">
            <v>التزويد</v>
          </cell>
          <cell r="V1490" t="str">
            <v>Abu Dhabi</v>
          </cell>
          <cell r="W1490" t="str">
            <v/>
          </cell>
          <cell r="X1490" t="str">
            <v>4516100</v>
          </cell>
          <cell r="Y1490" t="str">
            <v>Operations_Library Operational Management_Senior Professional</v>
          </cell>
          <cell r="Z1490" t="str">
            <v>Senior Professional</v>
          </cell>
          <cell r="AA1490" t="str">
            <v>3B</v>
          </cell>
        </row>
        <row r="1491">
          <cell r="A1491">
            <v>2000869</v>
          </cell>
          <cell r="B1491">
            <v>2000869</v>
          </cell>
          <cell r="C1491" t="str">
            <v>A</v>
          </cell>
          <cell r="D1491" t="str">
            <v>Saji Joseph</v>
          </cell>
          <cell r="E1491" t="str">
            <v>سازى  ثيريامبورات</v>
          </cell>
          <cell r="F1491">
            <v>44958</v>
          </cell>
          <cell r="G1491" t="str">
            <v>10004554</v>
          </cell>
          <cell r="H1491" t="str">
            <v>Category Management Senior Specialist</v>
          </cell>
          <cell r="I1491" t="str">
            <v>أخصائي أول إدارة فئة المشتريات​</v>
          </cell>
          <cell r="J1491" t="str">
            <v>On-Chart</v>
          </cell>
          <cell r="K1491" t="str">
            <v>Sundus</v>
          </cell>
          <cell r="L1491" t="str">
            <v>SU</v>
          </cell>
          <cell r="M1491" t="str">
            <v>Department of Culture and Tourism</v>
          </cell>
          <cell r="N1491" t="str">
            <v>Support Services</v>
          </cell>
          <cell r="O1491" t="str">
            <v>الخدمات المساندة</v>
          </cell>
          <cell r="P1491" t="str">
            <v>Supply Management</v>
          </cell>
          <cell r="Q1491" t="str">
            <v>إدارة الإمداد</v>
          </cell>
          <cell r="R1491" t="str">
            <v>Sourcing</v>
          </cell>
          <cell r="S1491" t="str">
            <v>التوريد</v>
          </cell>
          <cell r="T1491" t="str">
            <v>Sourcing</v>
          </cell>
          <cell r="U1491" t="str">
            <v>توريد المشتريات</v>
          </cell>
          <cell r="V1491" t="str">
            <v>Abu Dhabi</v>
          </cell>
          <cell r="W1491" t="str">
            <v/>
          </cell>
          <cell r="X1491" t="str">
            <v>4510240</v>
          </cell>
          <cell r="Y1491" t="str">
            <v>Procurement_Supplier  Management_Senior Professional</v>
          </cell>
          <cell r="Z1491" t="str">
            <v>Senior Professional</v>
          </cell>
          <cell r="AA1491" t="str">
            <v>3B</v>
          </cell>
        </row>
        <row r="1492">
          <cell r="A1492">
            <v>2000871</v>
          </cell>
          <cell r="B1492">
            <v>2000871</v>
          </cell>
          <cell r="C1492" t="str">
            <v>A</v>
          </cell>
          <cell r="D1492" t="str">
            <v>Marivie Sangalang Pascua</v>
          </cell>
          <cell r="E1492" t="str">
            <v>ماريفى سانجالانج باسكاوا</v>
          </cell>
          <cell r="F1492">
            <v>44965</v>
          </cell>
          <cell r="G1492" t="str">
            <v>50001916</v>
          </cell>
          <cell r="H1492" t="str">
            <v>CMS Specialist</v>
          </cell>
          <cell r="I1492" t="str">
            <v>أخصائي  نظام إدارة المحتوى الثقافي</v>
          </cell>
          <cell r="J1492" t="str">
            <v>On-Chart</v>
          </cell>
          <cell r="K1492" t="str">
            <v>Sundus</v>
          </cell>
          <cell r="L1492" t="str">
            <v>SU</v>
          </cell>
          <cell r="M1492" t="str">
            <v>Department of Culture and Tourism</v>
          </cell>
          <cell r="N1492" t="str">
            <v>Culture</v>
          </cell>
          <cell r="O1492" t="str">
            <v>الثقافة</v>
          </cell>
          <cell r="P1492" t="str">
            <v>Scientific, Curatorial and Collection Department</v>
          </cell>
          <cell r="Q1492" t="str">
            <v>إدارة البحث العلمي والمقتنيات</v>
          </cell>
          <cell r="R1492" t="str">
            <v>Collections</v>
          </cell>
          <cell r="S1492" t="str">
            <v>إدارة المقتنيات</v>
          </cell>
          <cell r="T1492" t="str">
            <v>Collections Registration</v>
          </cell>
          <cell r="U1492" t="str">
            <v>تسجيل المقتنيات</v>
          </cell>
          <cell r="V1492" t="str">
            <v>Abu Dhabi</v>
          </cell>
          <cell r="W1492" t="str">
            <v/>
          </cell>
          <cell r="X1492" t="str">
            <v>4511150</v>
          </cell>
          <cell r="Y1492" t="str">
            <v>Compliance,Governance&amp;Protocol_Policy (Culture/Tourism) _Professional</v>
          </cell>
          <cell r="Z1492" t="str">
            <v>Professional</v>
          </cell>
          <cell r="AA1492" t="str">
            <v>4B</v>
          </cell>
        </row>
        <row r="1493">
          <cell r="A1493">
            <v>2000872</v>
          </cell>
          <cell r="B1493">
            <v>2000872</v>
          </cell>
          <cell r="C1493" t="str">
            <v>A</v>
          </cell>
          <cell r="D1493" t="str">
            <v>Maria Fatima Buensalido</v>
          </cell>
          <cell r="E1493" t="str">
            <v>ماريا فاطمة بوينساليدو</v>
          </cell>
          <cell r="F1493">
            <v>44965</v>
          </cell>
          <cell r="G1493" t="str">
            <v>50001749</v>
          </cell>
          <cell r="H1493" t="str">
            <v>Abu Dhabi Art Programme Coordinator</v>
          </cell>
          <cell r="I1493" t="str">
            <v>منسق برنامج فن أبوظبي</v>
          </cell>
          <cell r="J1493" t="str">
            <v>On-Chart</v>
          </cell>
          <cell r="K1493" t="str">
            <v>Sundus</v>
          </cell>
          <cell r="L1493" t="str">
            <v>SU</v>
          </cell>
          <cell r="M1493" t="str">
            <v>Department of Culture and Tourism</v>
          </cell>
          <cell r="N1493" t="str">
            <v>Culture</v>
          </cell>
          <cell r="O1493" t="str">
            <v>الثقافة</v>
          </cell>
          <cell r="P1493" t="str">
            <v>Culture Programming</v>
          </cell>
          <cell r="Q1493" t="str">
            <v>البرامج الثقافية</v>
          </cell>
          <cell r="R1493" t="str">
            <v>Abu Dhabi Art</v>
          </cell>
          <cell r="S1493" t="str">
            <v>فن أبوظبي</v>
          </cell>
          <cell r="T1493" t="str">
            <v>Abu Dhabi Art Programme</v>
          </cell>
          <cell r="U1493" t="str">
            <v>برنامج فن أبوظبي</v>
          </cell>
          <cell r="V1493" t="str">
            <v>Abu Dhabi</v>
          </cell>
          <cell r="W1493" t="str">
            <v/>
          </cell>
          <cell r="X1493" t="str">
            <v>4511700</v>
          </cell>
          <cell r="Y1493" t="str">
            <v>Compliance,Governance&amp;Protocol_Policy (Culture/Tourism) _Professional</v>
          </cell>
          <cell r="Z1493" t="str">
            <v>Professional Assistant</v>
          </cell>
          <cell r="AA1493" t="str">
            <v>5B</v>
          </cell>
        </row>
        <row r="1494">
          <cell r="A1494">
            <v>2000873</v>
          </cell>
          <cell r="B1494">
            <v>2000873</v>
          </cell>
          <cell r="C1494" t="str">
            <v>A</v>
          </cell>
          <cell r="D1494" t="str">
            <v>Lea-Ann H. Randall</v>
          </cell>
          <cell r="E1494" t="str">
            <v>ليا ان هالى راندال</v>
          </cell>
          <cell r="F1494">
            <v>44994</v>
          </cell>
          <cell r="G1494" t="str">
            <v>50001942</v>
          </cell>
          <cell r="H1494" t="str">
            <v>Events Unit Head</v>
          </cell>
          <cell r="I1494" t="str">
            <v>رئيس وحدة الفعاليات</v>
          </cell>
          <cell r="J1494" t="str">
            <v>On-Chart</v>
          </cell>
          <cell r="K1494" t="str">
            <v>MSS Al Nahiya</v>
          </cell>
          <cell r="L1494" t="str">
            <v>M2</v>
          </cell>
          <cell r="M1494" t="str">
            <v>Department of Culture and Tourism</v>
          </cell>
          <cell r="N1494" t="str">
            <v>Abrahamic Family House Center</v>
          </cell>
          <cell r="O1494" t="str">
            <v>مركز بيت العائلة الإبراهيمية</v>
          </cell>
          <cell r="P1494" t="str">
            <v>-</v>
          </cell>
          <cell r="Q1494" t="str">
            <v>-</v>
          </cell>
          <cell r="R1494" t="str">
            <v>Sales &amp; Events</v>
          </cell>
          <cell r="S1494" t="str">
            <v>الفعاليات والمبيعات</v>
          </cell>
          <cell r="T1494" t="str">
            <v>Events</v>
          </cell>
          <cell r="U1494" t="str">
            <v>الفعاليات</v>
          </cell>
          <cell r="V1494" t="str">
            <v>Abu Dhabi</v>
          </cell>
          <cell r="W1494" t="str">
            <v/>
          </cell>
          <cell r="X1494" t="str">
            <v>4514121</v>
          </cell>
          <cell r="Y1494" t="str">
            <v>Senior Specialization Festivals &amp; Events</v>
          </cell>
          <cell r="Z1494" t="str">
            <v>Unit Head</v>
          </cell>
          <cell r="AA1494" t="str">
            <v>3B</v>
          </cell>
        </row>
        <row r="1495">
          <cell r="A1495">
            <v>2000874</v>
          </cell>
          <cell r="B1495">
            <v>2000874</v>
          </cell>
          <cell r="C1495" t="str">
            <v>A</v>
          </cell>
          <cell r="D1495" t="str">
            <v>Cicek Norris</v>
          </cell>
          <cell r="E1495" t="str">
            <v>سيسك  نوريس</v>
          </cell>
          <cell r="F1495">
            <v>44980</v>
          </cell>
          <cell r="G1495" t="str">
            <v>50001948</v>
          </cell>
          <cell r="H1495" t="str">
            <v>Sales Unit Head</v>
          </cell>
          <cell r="I1495" t="str">
            <v>رئيس وحدة المبيعات</v>
          </cell>
          <cell r="J1495" t="str">
            <v>On-Chart</v>
          </cell>
          <cell r="K1495" t="str">
            <v>MSS Al Nahiya</v>
          </cell>
          <cell r="L1495" t="str">
            <v>M2</v>
          </cell>
          <cell r="M1495" t="str">
            <v>Department of Culture and Tourism</v>
          </cell>
          <cell r="N1495" t="str">
            <v>Abrahamic Family House Center</v>
          </cell>
          <cell r="O1495" t="str">
            <v>مركز بيت العائلة الإبراهيمية</v>
          </cell>
          <cell r="P1495" t="str">
            <v>-</v>
          </cell>
          <cell r="Q1495" t="str">
            <v>-</v>
          </cell>
          <cell r="R1495" t="str">
            <v>Sales &amp; Events</v>
          </cell>
          <cell r="S1495" t="str">
            <v>الفعاليات والمبيعات</v>
          </cell>
          <cell r="T1495" t="str">
            <v>Sales</v>
          </cell>
          <cell r="U1495" t="str">
            <v>المبيعات</v>
          </cell>
          <cell r="V1495" t="str">
            <v>Abu Dhabi</v>
          </cell>
          <cell r="W1495" t="str">
            <v/>
          </cell>
          <cell r="X1495" t="str">
            <v>4514121</v>
          </cell>
          <cell r="Y1495" t="str">
            <v>Senior Specialization Strategy &amp; Planning</v>
          </cell>
          <cell r="Z1495" t="str">
            <v>Unit Head</v>
          </cell>
          <cell r="AA1495" t="str">
            <v>3B</v>
          </cell>
        </row>
        <row r="1496">
          <cell r="A1496">
            <v>2000878</v>
          </cell>
          <cell r="B1496">
            <v>2000878</v>
          </cell>
          <cell r="C1496" t="str">
            <v>A</v>
          </cell>
          <cell r="D1496" t="str">
            <v>Ahmad Mamdouh</v>
          </cell>
          <cell r="E1496" t="str">
            <v>أحمد  ممدوح</v>
          </cell>
          <cell r="F1496">
            <v>44970</v>
          </cell>
          <cell r="G1496" t="str">
            <v>10011312</v>
          </cell>
          <cell r="H1496" t="str">
            <v>Technical Support Engineer</v>
          </cell>
          <cell r="I1496" t="str">
            <v>مهندس الدعم التقني</v>
          </cell>
          <cell r="J1496" t="str">
            <v>On-Chart</v>
          </cell>
          <cell r="K1496" t="str">
            <v>Sundus</v>
          </cell>
          <cell r="L1496" t="str">
            <v>SU</v>
          </cell>
          <cell r="M1496" t="str">
            <v>Department of Culture and Tourism</v>
          </cell>
          <cell r="N1496" t="str">
            <v>Support Services</v>
          </cell>
          <cell r="O1496" t="str">
            <v>الخدمات المساندة</v>
          </cell>
          <cell r="P1496" t="str">
            <v>Technology</v>
          </cell>
          <cell r="Q1496" t="str">
            <v>التكنولوجيا</v>
          </cell>
          <cell r="R1496" t="str">
            <v>Technology Infrastructure</v>
          </cell>
          <cell r="S1496" t="str">
            <v>البنية التحتية للتكنولوجيا</v>
          </cell>
          <cell r="T1496" t="str">
            <v>E Support</v>
          </cell>
          <cell r="U1496" t="str">
            <v>الدعم الإلكتروني</v>
          </cell>
          <cell r="V1496" t="str">
            <v>Abu Dhabi</v>
          </cell>
          <cell r="W1496" t="str">
            <v/>
          </cell>
          <cell r="X1496" t="str">
            <v>4510250</v>
          </cell>
          <cell r="Y1496" t="str">
            <v>Information Technology_Technical Support Engineer_Professional</v>
          </cell>
          <cell r="Z1496" t="str">
            <v>Professional</v>
          </cell>
          <cell r="AA1496" t="str">
            <v>4C</v>
          </cell>
        </row>
        <row r="1497">
          <cell r="A1497">
            <v>2000879</v>
          </cell>
          <cell r="B1497">
            <v>2000879</v>
          </cell>
          <cell r="C1497" t="str">
            <v>A</v>
          </cell>
          <cell r="D1497" t="str">
            <v>Sara Moustafa Kamal</v>
          </cell>
          <cell r="E1497" t="str">
            <v>سارة مصطفى كمال</v>
          </cell>
          <cell r="F1497">
            <v>44972</v>
          </cell>
          <cell r="G1497" t="str">
            <v>50002167</v>
          </cell>
          <cell r="H1497" t="str">
            <v>Strategic Integration &amp; Planning Section Head</v>
          </cell>
          <cell r="I1497" t="str">
            <v>رئيس قسم  دمج الاستراتيجية والتخطيط</v>
          </cell>
          <cell r="J1497" t="str">
            <v>On-Chart</v>
          </cell>
          <cell r="K1497" t="str">
            <v>Sundus</v>
          </cell>
          <cell r="L1497" t="str">
            <v>SU</v>
          </cell>
          <cell r="M1497" t="str">
            <v>Department of Culture and Tourism</v>
          </cell>
          <cell r="N1497" t="str">
            <v>Tourism</v>
          </cell>
          <cell r="O1497" t="str">
            <v>السياحة</v>
          </cell>
          <cell r="P1497" t="str">
            <v>Visitors Experience</v>
          </cell>
          <cell r="Q1497" t="str">
            <v>تجربة الزوار</v>
          </cell>
          <cell r="R1497" t="str">
            <v>Strategic Integration &amp; Planning</v>
          </cell>
          <cell r="S1497" t="str">
            <v>دمج الاستراتيجية والتخطيط</v>
          </cell>
          <cell r="T1497" t="str">
            <v/>
          </cell>
          <cell r="U1497" t="str">
            <v/>
          </cell>
          <cell r="V1497" t="str">
            <v>Abu Dhabi</v>
          </cell>
          <cell r="W1497" t="str">
            <v/>
          </cell>
          <cell r="X1497" t="str">
            <v>4515300</v>
          </cell>
          <cell r="Y1497" t="str">
            <v>Digital_Digital Experience Development (Tourism &amp; Marketing, Visitor Experience)_Section Head</v>
          </cell>
          <cell r="Z1497" t="str">
            <v>Section Manager</v>
          </cell>
          <cell r="AA1497" t="str">
            <v>2B</v>
          </cell>
        </row>
        <row r="1498">
          <cell r="A1498">
            <v>2000880</v>
          </cell>
          <cell r="B1498">
            <v>2000880</v>
          </cell>
          <cell r="C1498" t="str">
            <v>A</v>
          </cell>
          <cell r="D1498" t="str">
            <v>Hilmi Abdul Hadi</v>
          </cell>
          <cell r="E1498" t="str">
            <v>حلمى عبد الهادى</v>
          </cell>
          <cell r="F1498">
            <v>44985</v>
          </cell>
          <cell r="G1498" t="str">
            <v>50002039</v>
          </cell>
          <cell r="H1498" t="str">
            <v>PMO Lead</v>
          </cell>
          <cell r="I1498" t="str">
            <v>أخصائي رئيسي التحليل المالي</v>
          </cell>
          <cell r="J1498" t="str">
            <v>On-Chart</v>
          </cell>
          <cell r="K1498" t="str">
            <v>Sundus</v>
          </cell>
          <cell r="L1498" t="str">
            <v>SU</v>
          </cell>
          <cell r="M1498" t="str">
            <v>Department of Culture and Tourism</v>
          </cell>
          <cell r="N1498" t="str">
            <v>Tourism</v>
          </cell>
          <cell r="O1498" t="str">
            <v>السياحة</v>
          </cell>
          <cell r="P1498" t="str">
            <v>Destinations Management Department</v>
          </cell>
          <cell r="Q1498" t="str">
            <v>إدارة الوجهات</v>
          </cell>
          <cell r="R1498" t="str">
            <v/>
          </cell>
          <cell r="S1498" t="str">
            <v/>
          </cell>
          <cell r="T1498" t="str">
            <v/>
          </cell>
          <cell r="U1498" t="str">
            <v/>
          </cell>
          <cell r="V1498" t="str">
            <v>Abu Dhabi</v>
          </cell>
          <cell r="W1498" t="str">
            <v/>
          </cell>
          <cell r="X1498" t="str">
            <v>4515700</v>
          </cell>
          <cell r="Y1498" t="str">
            <v>Commercial _Travel Trade &amp; Tourism  Market Development _Unit Head</v>
          </cell>
          <cell r="Z1498" t="str">
            <v>Unit Head</v>
          </cell>
          <cell r="AA1498" t="str">
            <v>3B</v>
          </cell>
        </row>
        <row r="1499">
          <cell r="A1499">
            <v>2000881</v>
          </cell>
          <cell r="B1499">
            <v>2000881</v>
          </cell>
          <cell r="C1499" t="str">
            <v>A</v>
          </cell>
          <cell r="D1499" t="str">
            <v>Mohamed Alkhuja</v>
          </cell>
          <cell r="E1499" t="str">
            <v>محمد  الخوجة</v>
          </cell>
          <cell r="F1499">
            <v>45005</v>
          </cell>
          <cell r="G1499" t="str">
            <v>50004075</v>
          </cell>
          <cell r="H1499" t="str">
            <v>Organization Development Unit Head</v>
          </cell>
          <cell r="I1499" t="str">
            <v>رئيس وحدة التطوير المؤسسي</v>
          </cell>
          <cell r="J1499" t="str">
            <v>On-Chart</v>
          </cell>
          <cell r="K1499" t="str">
            <v>Sundus</v>
          </cell>
          <cell r="L1499" t="str">
            <v>SU</v>
          </cell>
          <cell r="M1499" t="str">
            <v>Department of Culture and Tourism</v>
          </cell>
          <cell r="N1499" t="str">
            <v>Strategic Affairs</v>
          </cell>
          <cell r="O1499" t="str">
            <v>الشؤون الاستراتيجية</v>
          </cell>
          <cell r="P1499" t="str">
            <v>Organization Strategy &amp; Transformation Department</v>
          </cell>
          <cell r="Q1499" t="str">
            <v/>
          </cell>
          <cell r="R1499" t="str">
            <v>Organization Development  &amp; Workforce Planning Section</v>
          </cell>
          <cell r="S1499" t="str">
            <v>رئيس قسم التطوير المؤسسي وتحليل وتخطيط القوى العاملة</v>
          </cell>
          <cell r="T1499" t="str">
            <v/>
          </cell>
          <cell r="U1499" t="str">
            <v/>
          </cell>
          <cell r="V1499" t="str">
            <v>Abu Dhabi</v>
          </cell>
          <cell r="W1499" t="str">
            <v/>
          </cell>
          <cell r="X1499" t="str">
            <v>4512300</v>
          </cell>
          <cell r="Y1499" t="str">
            <v>Senior Specialization Strategy &amp; Planning</v>
          </cell>
          <cell r="Z1499" t="str">
            <v>Unit Head</v>
          </cell>
          <cell r="AA1499" t="str">
            <v>3B</v>
          </cell>
        </row>
        <row r="1500">
          <cell r="A1500">
            <v>2000884</v>
          </cell>
          <cell r="B1500">
            <v>2000884</v>
          </cell>
          <cell r="C1500" t="str">
            <v>A</v>
          </cell>
          <cell r="D1500" t="str">
            <v>Nader Monir</v>
          </cell>
          <cell r="E1500" t="str">
            <v>نادر  منير</v>
          </cell>
          <cell r="F1500">
            <v>44985</v>
          </cell>
          <cell r="G1500" t="str">
            <v>10009679</v>
          </cell>
          <cell r="H1500" t="str">
            <v>Patrons &amp; Development Manager</v>
          </cell>
          <cell r="I1500" t="str">
            <v>مدير الرعاة والتطوير</v>
          </cell>
          <cell r="J1500" t="str">
            <v>On-Chart</v>
          </cell>
          <cell r="K1500" t="str">
            <v>Al Nahiya</v>
          </cell>
          <cell r="L1500" t="str">
            <v>N0</v>
          </cell>
          <cell r="M1500" t="str">
            <v>Department of Culture and Tourism</v>
          </cell>
          <cell r="N1500" t="str">
            <v>Culture</v>
          </cell>
          <cell r="O1500" t="str">
            <v>الثقافة</v>
          </cell>
          <cell r="P1500" t="str">
            <v>Culture Programming</v>
          </cell>
          <cell r="Q1500" t="str">
            <v>البرامج الثقافية</v>
          </cell>
          <cell r="R1500" t="str">
            <v>Abu Dhabi Art</v>
          </cell>
          <cell r="S1500" t="str">
            <v>فن أبوظبي</v>
          </cell>
          <cell r="T1500" t="str">
            <v/>
          </cell>
          <cell r="U1500" t="str">
            <v/>
          </cell>
          <cell r="V1500" t="str">
            <v>Abu Dhabi</v>
          </cell>
          <cell r="W1500" t="str">
            <v/>
          </cell>
          <cell r="X1500" t="str">
            <v>4511700</v>
          </cell>
          <cell r="Y1500" t="str">
            <v>Compliance,Governance&amp;Protocol_Policy  (Culture &amp; Tourism)_Unit Head</v>
          </cell>
          <cell r="Z1500" t="str">
            <v>Unit Head</v>
          </cell>
          <cell r="AA1500" t="str">
            <v>3B</v>
          </cell>
        </row>
        <row r="1501">
          <cell r="A1501">
            <v>2000886</v>
          </cell>
          <cell r="B1501">
            <v>2000886</v>
          </cell>
          <cell r="C1501" t="str">
            <v>A</v>
          </cell>
          <cell r="D1501" t="str">
            <v>Aghyad Sati</v>
          </cell>
          <cell r="E1501" t="str">
            <v>اغياد  ساتى</v>
          </cell>
          <cell r="F1501">
            <v>44991</v>
          </cell>
          <cell r="G1501" t="str">
            <v>50002051</v>
          </cell>
          <cell r="H1501" t="str">
            <v>International Operations (DACH, Belgium &amp; Netherlands) Unit Head</v>
          </cell>
          <cell r="I1501" t="str">
            <v>رئيس وحدة العمليات الدولية (ألمانيا وأستراليا وسويسرا وبلجيكا وهولندا)</v>
          </cell>
          <cell r="J1501" t="str">
            <v>On-Chart</v>
          </cell>
          <cell r="K1501" t="str">
            <v>Al Nahiya</v>
          </cell>
          <cell r="L1501" t="str">
            <v>N0</v>
          </cell>
          <cell r="M1501" t="str">
            <v>Department of Culture and Tourism</v>
          </cell>
          <cell r="N1501" t="str">
            <v>Tourism</v>
          </cell>
          <cell r="O1501" t="str">
            <v>السياحة</v>
          </cell>
          <cell r="P1501" t="str">
            <v>International Operations</v>
          </cell>
          <cell r="Q1501" t="str">
            <v>العمليات الدولية</v>
          </cell>
          <cell r="R1501" t="str">
            <v>Europe</v>
          </cell>
          <cell r="S1501" t="str">
            <v>منطقة أوروبا</v>
          </cell>
          <cell r="T1501" t="str">
            <v>DACH, Belgium &amp; Netherlands</v>
          </cell>
          <cell r="U1501" t="str">
            <v/>
          </cell>
          <cell r="V1501" t="str">
            <v>Abu Dhabi</v>
          </cell>
          <cell r="W1501" t="str">
            <v/>
          </cell>
          <cell r="X1501" t="str">
            <v>4515100</v>
          </cell>
          <cell r="Y1501" t="str">
            <v>Compliance,Governance&amp;Protocol_Policy  (Culture &amp; Tourism)_Unit Head</v>
          </cell>
          <cell r="Z1501" t="str">
            <v>Unit Head</v>
          </cell>
          <cell r="AA1501" t="str">
            <v>3B</v>
          </cell>
        </row>
        <row r="1502">
          <cell r="A1502">
            <v>2000887</v>
          </cell>
          <cell r="B1502">
            <v>2000887</v>
          </cell>
          <cell r="C1502" t="str">
            <v>A</v>
          </cell>
          <cell r="D1502" t="str">
            <v>Swati Singla</v>
          </cell>
          <cell r="E1502" t="str">
            <v>سواتى  سينجلا</v>
          </cell>
          <cell r="F1502">
            <v>44986</v>
          </cell>
          <cell r="G1502" t="str">
            <v>50002012</v>
          </cell>
          <cell r="H1502" t="str">
            <v>Category Management Senior Specialist</v>
          </cell>
          <cell r="I1502" t="str">
            <v>أخصائي أول إدارة فئة المشتريات​</v>
          </cell>
          <cell r="J1502" t="str">
            <v>On-Chart</v>
          </cell>
          <cell r="K1502" t="str">
            <v>Al Nahiya</v>
          </cell>
          <cell r="L1502" t="str">
            <v>N0</v>
          </cell>
          <cell r="M1502" t="str">
            <v>Department of Culture and Tourism</v>
          </cell>
          <cell r="N1502" t="str">
            <v>Support Services</v>
          </cell>
          <cell r="O1502" t="str">
            <v>الخدمات المساندة</v>
          </cell>
          <cell r="P1502" t="str">
            <v>Supply Management</v>
          </cell>
          <cell r="Q1502" t="str">
            <v>إدارة الإمداد</v>
          </cell>
          <cell r="R1502" t="str">
            <v>Business Partners</v>
          </cell>
          <cell r="S1502" t="str">
            <v>شركاء أعمال</v>
          </cell>
          <cell r="T1502" t="str">
            <v>Category Analyst</v>
          </cell>
          <cell r="U1502" t="str">
            <v/>
          </cell>
          <cell r="V1502" t="str">
            <v>Abu Dhabi</v>
          </cell>
          <cell r="W1502" t="str">
            <v/>
          </cell>
          <cell r="X1502" t="str">
            <v>4510240</v>
          </cell>
          <cell r="Y1502" t="str">
            <v>Procurement_Supplier  Management_Senior Professional</v>
          </cell>
          <cell r="Z1502" t="str">
            <v>Senior Professional</v>
          </cell>
          <cell r="AA1502" t="str">
            <v>3B</v>
          </cell>
        </row>
        <row r="1503">
          <cell r="A1503">
            <v>2000888</v>
          </cell>
          <cell r="B1503">
            <v>2000888</v>
          </cell>
          <cell r="C1503" t="str">
            <v>A</v>
          </cell>
          <cell r="D1503" t="str">
            <v>Diego Carrera</v>
          </cell>
          <cell r="E1503" t="str">
            <v>ديجو  كاريرا</v>
          </cell>
          <cell r="F1503">
            <v>44991</v>
          </cell>
          <cell r="G1503" t="str">
            <v>10011543</v>
          </cell>
          <cell r="H1503" t="str">
            <v>Senior Archaeology Conservator</v>
          </cell>
          <cell r="I1503" t="str">
            <v>أخصائي أول حفظ الآثار</v>
          </cell>
          <cell r="J1503" t="str">
            <v>On-Chart</v>
          </cell>
          <cell r="K1503" t="str">
            <v>Sundus</v>
          </cell>
          <cell r="L1503" t="str">
            <v>SU</v>
          </cell>
          <cell r="M1503" t="str">
            <v>Department of Culture and Tourism</v>
          </cell>
          <cell r="N1503" t="str">
            <v>Culture</v>
          </cell>
          <cell r="O1503" t="str">
            <v>الثقافة</v>
          </cell>
          <cell r="P1503" t="str">
            <v>Scientific, Curatorial and Collection Department</v>
          </cell>
          <cell r="Q1503" t="str">
            <v>إدارة البحث العلمي والمقتنيات</v>
          </cell>
          <cell r="R1503" t="str">
            <v>Collections</v>
          </cell>
          <cell r="S1503" t="str">
            <v>إدارة المقتنيات</v>
          </cell>
          <cell r="T1503" t="str">
            <v>Collections Conservation</v>
          </cell>
          <cell r="U1503" t="str">
            <v>حفظ المقتنيات</v>
          </cell>
          <cell r="V1503" t="str">
            <v>Abu Dhabi</v>
          </cell>
          <cell r="W1503" t="str">
            <v/>
          </cell>
          <cell r="X1503" t="str">
            <v>4511150</v>
          </cell>
          <cell r="Y1503" t="str">
            <v>Compliance,Governance&amp;Protocol_Policy (Culture/Tourism _Senior Professional</v>
          </cell>
          <cell r="Z1503" t="str">
            <v>Senior Professional</v>
          </cell>
          <cell r="AA1503" t="str">
            <v>3B</v>
          </cell>
        </row>
        <row r="1504">
          <cell r="A1504">
            <v>2000889</v>
          </cell>
          <cell r="B1504">
            <v>2000889</v>
          </cell>
          <cell r="C1504" t="str">
            <v>A</v>
          </cell>
          <cell r="D1504" t="str">
            <v>Sara Abdulla Almarzooqi</v>
          </cell>
          <cell r="E1504" t="str">
            <v>ساره عبدالله المرزوقي</v>
          </cell>
          <cell r="F1504">
            <v>44993</v>
          </cell>
          <cell r="G1504" t="str">
            <v>50001965</v>
          </cell>
          <cell r="H1504" t="str">
            <v>Assistant Curator</v>
          </cell>
          <cell r="I1504" t="str">
            <v>مساعد أمين متحف</v>
          </cell>
          <cell r="J1504" t="str">
            <v>On-Chart</v>
          </cell>
          <cell r="K1504" t="str">
            <v>MSS Sundus</v>
          </cell>
          <cell r="L1504" t="str">
            <v>M3</v>
          </cell>
          <cell r="M1504" t="str">
            <v>Department of Culture and Tourism</v>
          </cell>
          <cell r="N1504" t="str">
            <v>Culture</v>
          </cell>
          <cell r="O1504" t="str">
            <v>الثقافة</v>
          </cell>
          <cell r="P1504" t="str">
            <v>Natural History Museum Abu Dhabi</v>
          </cell>
          <cell r="Q1504" t="str">
            <v>متحف التاريخ الطبيعي - أبوظبي</v>
          </cell>
          <cell r="R1504" t="str">
            <v>Scientific, Curatorial, &amp; Collections Management</v>
          </cell>
          <cell r="S1504" t="str">
            <v>أمناء المتحف وإدارة المقتنيات</v>
          </cell>
          <cell r="T1504" t="str">
            <v/>
          </cell>
          <cell r="U1504" t="str">
            <v/>
          </cell>
          <cell r="V1504" t="str">
            <v>Abu Dhabi</v>
          </cell>
          <cell r="W1504" t="str">
            <v/>
          </cell>
          <cell r="X1504" t="str">
            <v>4510310</v>
          </cell>
          <cell r="Y1504" t="str">
            <v>Compliance,Governance&amp;Protocol_Policy (Culture/Tourism) _Professional</v>
          </cell>
          <cell r="Z1504" t="str">
            <v>Professional</v>
          </cell>
          <cell r="AA1504" t="str">
            <v>4B</v>
          </cell>
        </row>
        <row r="1505">
          <cell r="A1505">
            <v>2000893</v>
          </cell>
          <cell r="B1505">
            <v>2000893</v>
          </cell>
          <cell r="C1505" t="str">
            <v>A</v>
          </cell>
          <cell r="D1505" t="str">
            <v>Emmanouil Tzannes</v>
          </cell>
          <cell r="E1505" t="str">
            <v>ايمانويل  زانيس</v>
          </cell>
          <cell r="F1505">
            <v>45078</v>
          </cell>
          <cell r="G1505" t="str">
            <v>10008283</v>
          </cell>
          <cell r="H1505" t="str">
            <v>Development &amp; Partnerships Manager</v>
          </cell>
          <cell r="I1505" t="str">
            <v>مدير قسم التطوير و الشراكات</v>
          </cell>
          <cell r="J1505" t="str">
            <v>On-Chart</v>
          </cell>
          <cell r="K1505" t="str">
            <v>MSS Al Nahiya</v>
          </cell>
          <cell r="L1505" t="str">
            <v>M2</v>
          </cell>
          <cell r="M1505" t="str">
            <v>Louvre Abu Dhabi</v>
          </cell>
          <cell r="N1505" t="str">
            <v>Louvre Abu Dhabi</v>
          </cell>
          <cell r="O1505" t="str">
            <v>متحف اللوفر أبوظبي</v>
          </cell>
          <cell r="P1505" t="str">
            <v>Development, Marketing &amp; Communications</v>
          </cell>
          <cell r="Q1505" t="str">
            <v>إدارة التطوير،التسويق والاتصال</v>
          </cell>
          <cell r="R1505" t="str">
            <v>Development and Partnerships</v>
          </cell>
          <cell r="S1505" t="str">
            <v>قسم خدمات الزوار وتنمية الجمهور</v>
          </cell>
          <cell r="T1505" t="str">
            <v/>
          </cell>
          <cell r="U1505" t="str">
            <v/>
          </cell>
          <cell r="V1505" t="str">
            <v>Abu Dhabi</v>
          </cell>
          <cell r="W1505" t="str">
            <v/>
          </cell>
          <cell r="X1505" t="str">
            <v>4510124</v>
          </cell>
          <cell r="Y1505" t="str">
            <v>Comms &amp; Marketing _Marketing &amp; Communications (All Areas)_Section Head</v>
          </cell>
          <cell r="Z1505" t="str">
            <v>Section Manager</v>
          </cell>
          <cell r="AA1505" t="str">
            <v>2B</v>
          </cell>
        </row>
        <row r="1506">
          <cell r="A1506">
            <v>2000895</v>
          </cell>
          <cell r="B1506">
            <v>2000895</v>
          </cell>
          <cell r="C1506" t="str">
            <v>A</v>
          </cell>
          <cell r="D1506" t="str">
            <v>Jerome Farigoule</v>
          </cell>
          <cell r="E1506" t="str">
            <v>جيروم  فاريجول</v>
          </cell>
          <cell r="F1506">
            <v>45012</v>
          </cell>
          <cell r="G1506" t="str">
            <v>50002430</v>
          </cell>
          <cell r="H1506" t="str">
            <v>Chief Curator</v>
          </cell>
          <cell r="I1506" t="str">
            <v>أمين متحف رئيسي</v>
          </cell>
          <cell r="J1506" t="str">
            <v>On-Chart</v>
          </cell>
          <cell r="K1506" t="str">
            <v>MSS Al Nahiya</v>
          </cell>
          <cell r="L1506" t="str">
            <v>M2</v>
          </cell>
          <cell r="M1506" t="str">
            <v>Louvre Abu Dhabi</v>
          </cell>
          <cell r="N1506" t="str">
            <v>Louvre Abu Dhabi</v>
          </cell>
          <cell r="O1506" t="str">
            <v>متحف اللوفر أبوظبي</v>
          </cell>
          <cell r="P1506" t="str">
            <v>Scientific, Curatorial &amp; Collection Management</v>
          </cell>
          <cell r="Q1506" t="str">
            <v>إدارة المقتنيات العلمية والتنظيمية</v>
          </cell>
          <cell r="R1506" t="str">
            <v/>
          </cell>
          <cell r="S1506" t="str">
            <v/>
          </cell>
          <cell r="T1506" t="str">
            <v/>
          </cell>
          <cell r="U1506" t="str">
            <v/>
          </cell>
          <cell r="V1506" t="str">
            <v>Abu Dhabi</v>
          </cell>
          <cell r="W1506" t="str">
            <v/>
          </cell>
          <cell r="X1506" t="str">
            <v>4510122</v>
          </cell>
          <cell r="Y1506" t="str">
            <v>Content &amp; Care_Curatorial   Management (All areas)_Section Head</v>
          </cell>
          <cell r="Z1506" t="str">
            <v>Section Manager</v>
          </cell>
          <cell r="AA1506" t="str">
            <v>2B</v>
          </cell>
        </row>
        <row r="1507">
          <cell r="A1507">
            <v>2000896</v>
          </cell>
          <cell r="B1507">
            <v>2000896</v>
          </cell>
          <cell r="C1507" t="str">
            <v>A</v>
          </cell>
          <cell r="D1507" t="str">
            <v>Aiham Ahmad Masoud</v>
          </cell>
          <cell r="E1507" t="str">
            <v>ايهم احمد مسعود</v>
          </cell>
          <cell r="F1507">
            <v>45000</v>
          </cell>
          <cell r="G1507" t="str">
            <v>10007463</v>
          </cell>
          <cell r="H1507" t="str">
            <v>Financial Planning &amp; Business Partnership Section Head</v>
          </cell>
          <cell r="I1507" t="str">
            <v>رئيس قسم التخطيط المالي وشركاء الأعمال المالية</v>
          </cell>
          <cell r="J1507" t="str">
            <v>On-Chart</v>
          </cell>
          <cell r="K1507" t="str">
            <v>Al Nahiya</v>
          </cell>
          <cell r="L1507" t="str">
            <v>N0</v>
          </cell>
          <cell r="M1507" t="str">
            <v>Department of Culture and Tourism</v>
          </cell>
          <cell r="N1507" t="str">
            <v>Support Services</v>
          </cell>
          <cell r="O1507" t="str">
            <v>الخدمات المساندة</v>
          </cell>
          <cell r="P1507" t="str">
            <v>Finance</v>
          </cell>
          <cell r="Q1507" t="str">
            <v>إدارة المالية</v>
          </cell>
          <cell r="R1507" t="str">
            <v>Finance Planning &amp; Reporting</v>
          </cell>
          <cell r="S1507" t="str">
            <v>التخطيط والتقرير المالي</v>
          </cell>
          <cell r="T1507" t="str">
            <v/>
          </cell>
          <cell r="U1507" t="str">
            <v/>
          </cell>
          <cell r="V1507" t="str">
            <v>Abu Dhabi</v>
          </cell>
          <cell r="W1507" t="str">
            <v/>
          </cell>
          <cell r="X1507" t="str">
            <v>4510210</v>
          </cell>
          <cell r="Y1507" t="str">
            <v>Finance_Finance Business Partner _Section Head</v>
          </cell>
          <cell r="Z1507" t="str">
            <v>Section Manager</v>
          </cell>
          <cell r="AA1507" t="str">
            <v>2B</v>
          </cell>
        </row>
        <row r="1508">
          <cell r="A1508">
            <v>2000897</v>
          </cell>
          <cell r="B1508">
            <v>2000897</v>
          </cell>
          <cell r="C1508" t="str">
            <v>A</v>
          </cell>
          <cell r="D1508" t="str">
            <v>Koyuki Engelhardt</v>
          </cell>
          <cell r="E1508" t="str">
            <v>كويوكى  انجلهاردت</v>
          </cell>
          <cell r="F1508">
            <v>45040</v>
          </cell>
          <cell r="G1508" t="str">
            <v>50001738</v>
          </cell>
          <cell r="H1508" t="str">
            <v>Experience Monitoring Section Head</v>
          </cell>
          <cell r="I1508" t="str">
            <v>رئيس قسم مراقبة تجربة الزوار</v>
          </cell>
          <cell r="J1508" t="str">
            <v>On-Chart</v>
          </cell>
          <cell r="K1508" t="str">
            <v>Al Nahiya</v>
          </cell>
          <cell r="L1508" t="str">
            <v>N0</v>
          </cell>
          <cell r="M1508" t="str">
            <v>Department of Culture and Tourism</v>
          </cell>
          <cell r="N1508" t="str">
            <v>Tourism</v>
          </cell>
          <cell r="O1508" t="str">
            <v>السياحة</v>
          </cell>
          <cell r="P1508" t="str">
            <v>Visitors Experience</v>
          </cell>
          <cell r="Q1508" t="str">
            <v>تجربة الزوار</v>
          </cell>
          <cell r="R1508" t="str">
            <v>Experience Monitoring</v>
          </cell>
          <cell r="S1508" t="str">
            <v>مراقبة تجربة الزوار</v>
          </cell>
          <cell r="T1508" t="str">
            <v/>
          </cell>
          <cell r="U1508" t="str">
            <v/>
          </cell>
          <cell r="V1508" t="str">
            <v>Abu Dhabi</v>
          </cell>
          <cell r="W1508" t="str">
            <v/>
          </cell>
          <cell r="X1508" t="str">
            <v>4515300</v>
          </cell>
          <cell r="Y1508" t="str">
            <v>Digital_Digital Experience Development (Tourism &amp; Marketing, Visitor Experience)_Section Head</v>
          </cell>
          <cell r="Z1508" t="str">
            <v>Section Manager</v>
          </cell>
          <cell r="AA1508" t="str">
            <v>2B</v>
          </cell>
        </row>
        <row r="1509">
          <cell r="A1509">
            <v>2000898</v>
          </cell>
          <cell r="B1509">
            <v>2000898</v>
          </cell>
          <cell r="C1509" t="str">
            <v>A</v>
          </cell>
          <cell r="D1509" t="str">
            <v>Muhammad Mubeen</v>
          </cell>
          <cell r="E1509" t="str">
            <v>محمد  مبين</v>
          </cell>
          <cell r="F1509">
            <v>45012</v>
          </cell>
          <cell r="G1509" t="str">
            <v>47700370</v>
          </cell>
          <cell r="H1509" t="str">
            <v>Data &amp; Systems Unit Head</v>
          </cell>
          <cell r="I1509" t="str">
            <v>رئيس وحدة الأنظمة والتقارير</v>
          </cell>
          <cell r="J1509" t="str">
            <v>On-Chart</v>
          </cell>
          <cell r="K1509" t="str">
            <v>Al Nahiya</v>
          </cell>
          <cell r="L1509" t="str">
            <v>N0</v>
          </cell>
          <cell r="M1509" t="str">
            <v>Department of Culture and Tourism</v>
          </cell>
          <cell r="N1509" t="str">
            <v>Support Services</v>
          </cell>
          <cell r="O1509" t="str">
            <v>الخدمات المساندة</v>
          </cell>
          <cell r="P1509" t="str">
            <v>Supply Management</v>
          </cell>
          <cell r="Q1509" t="str">
            <v>إدارة الإمداد</v>
          </cell>
          <cell r="R1509" t="str">
            <v>Contracts, System &amp; Reporting</v>
          </cell>
          <cell r="S1509" t="str">
            <v>العقود والأنظمة والتقارير</v>
          </cell>
          <cell r="T1509" t="str">
            <v>Data &amp; Systems</v>
          </cell>
          <cell r="U1509" t="str">
            <v>البيانات والأنظمة</v>
          </cell>
          <cell r="V1509" t="str">
            <v>Abu Dhabi</v>
          </cell>
          <cell r="W1509" t="str">
            <v/>
          </cell>
          <cell r="X1509" t="str">
            <v>4510240</v>
          </cell>
          <cell r="Y1509" t="str">
            <v>Procurement_Procurement General _Unit Head</v>
          </cell>
          <cell r="Z1509" t="str">
            <v>Unit Head</v>
          </cell>
          <cell r="AA1509" t="str">
            <v>3A</v>
          </cell>
        </row>
        <row r="1510">
          <cell r="A1510">
            <v>2000899</v>
          </cell>
          <cell r="B1510">
            <v>2000899</v>
          </cell>
          <cell r="C1510" t="str">
            <v>A</v>
          </cell>
          <cell r="D1510" t="str">
            <v>Ezzat Al Hamwi</v>
          </cell>
          <cell r="E1510" t="str">
            <v>عزت  الحموي</v>
          </cell>
          <cell r="F1510">
            <v>45016</v>
          </cell>
          <cell r="G1510" t="str">
            <v>50002154</v>
          </cell>
          <cell r="H1510" t="str">
            <v>Production Senior Specialist</v>
          </cell>
          <cell r="I1510" t="str">
            <v>أخصائي أول إنتاج</v>
          </cell>
          <cell r="J1510" t="str">
            <v>On-Chart</v>
          </cell>
          <cell r="K1510" t="str">
            <v>Al Nahiya</v>
          </cell>
          <cell r="L1510" t="str">
            <v>N0</v>
          </cell>
          <cell r="M1510" t="str">
            <v>Department of Culture and Tourism</v>
          </cell>
          <cell r="N1510" t="str">
            <v>Culture</v>
          </cell>
          <cell r="O1510" t="str">
            <v>الثقافة</v>
          </cell>
          <cell r="P1510" t="str">
            <v>Culture Sites Management</v>
          </cell>
          <cell r="Q1510" t="str">
            <v>إدارة المواقع الثقافية</v>
          </cell>
          <cell r="R1510" t="str">
            <v>Cultural Foundation</v>
          </cell>
          <cell r="S1510" t="str">
            <v>المجمع الثقافي</v>
          </cell>
          <cell r="T1510" t="str">
            <v>Performing Arts</v>
          </cell>
          <cell r="U1510" t="str">
            <v>فنون الأداء</v>
          </cell>
          <cell r="V1510" t="str">
            <v>Abu Dhabi</v>
          </cell>
          <cell r="W1510" t="str">
            <v/>
          </cell>
          <cell r="X1510" t="str">
            <v>4511250</v>
          </cell>
          <cell r="Y1510" t="str">
            <v>Compliance,Governance&amp;Protocol_Policy (Culture/Tourism _Senior Professional</v>
          </cell>
          <cell r="Z1510" t="str">
            <v>Senior Professional</v>
          </cell>
          <cell r="AA1510" t="str">
            <v>3B</v>
          </cell>
        </row>
        <row r="1511">
          <cell r="A1511">
            <v>2000900</v>
          </cell>
          <cell r="B1511">
            <v>2000900</v>
          </cell>
          <cell r="C1511" t="str">
            <v>A</v>
          </cell>
          <cell r="D1511" t="str">
            <v>Xavier Mellet</v>
          </cell>
          <cell r="E1511" t="str">
            <v>أكسافير  ميليت</v>
          </cell>
          <cell r="F1511">
            <v>45012</v>
          </cell>
          <cell r="G1511" t="str">
            <v>50002169</v>
          </cell>
          <cell r="H1511" t="str">
            <v>Culinary Project Delivery Management Senior Specialist</v>
          </cell>
          <cell r="I1511" t="str">
            <v>أخصائي أول إدارة تسليم مشاريع فنون الطهي</v>
          </cell>
          <cell r="J1511" t="str">
            <v>On-Chart</v>
          </cell>
          <cell r="K1511" t="str">
            <v>Al Nahiya</v>
          </cell>
          <cell r="L1511" t="str">
            <v>N0</v>
          </cell>
          <cell r="M1511" t="str">
            <v>Department of Culture and Tourism</v>
          </cell>
          <cell r="N1511" t="str">
            <v>Tourism</v>
          </cell>
          <cell r="O1511" t="str">
            <v>السياحة</v>
          </cell>
          <cell r="P1511" t="str">
            <v>Abu Dhabi Events Bureau</v>
          </cell>
          <cell r="Q1511" t="str">
            <v>مكتب أبوظبي للفعاليات</v>
          </cell>
          <cell r="R1511" t="str">
            <v>Culinary Development</v>
          </cell>
          <cell r="S1511" t="str">
            <v>تطوير فنون الطهي</v>
          </cell>
          <cell r="T1511" t="str">
            <v>Culinary Project Delivery Management</v>
          </cell>
          <cell r="U1511" t="str">
            <v>إدارة تسليم مشاريع فنون الطهي</v>
          </cell>
          <cell r="V1511" t="str">
            <v>Abu Dhabi</v>
          </cell>
          <cell r="W1511" t="str">
            <v/>
          </cell>
          <cell r="X1511" t="str">
            <v>4515500</v>
          </cell>
          <cell r="Y1511" t="str">
            <v>Commercial _Conventions, Exhibitions, Events &amp; Festivals Development &amp; Sales  _Professional</v>
          </cell>
          <cell r="Z1511" t="str">
            <v>Professional</v>
          </cell>
          <cell r="AA1511" t="str">
            <v>3B</v>
          </cell>
        </row>
        <row r="1512">
          <cell r="A1512">
            <v>2000901</v>
          </cell>
          <cell r="B1512">
            <v>2000901</v>
          </cell>
          <cell r="C1512" t="str">
            <v>A</v>
          </cell>
          <cell r="D1512" t="str">
            <v>Katia Muro</v>
          </cell>
          <cell r="E1512" t="str">
            <v>قطيه  مورو</v>
          </cell>
          <cell r="F1512">
            <v>45020</v>
          </cell>
          <cell r="G1512" t="str">
            <v>47700590</v>
          </cell>
          <cell r="H1512" t="str">
            <v>Research Section Head</v>
          </cell>
          <cell r="I1512" t="str">
            <v>رئيس قسم البحوث</v>
          </cell>
          <cell r="J1512" t="str">
            <v>On-Chart</v>
          </cell>
          <cell r="K1512" t="str">
            <v>Al Nahiya</v>
          </cell>
          <cell r="L1512" t="str">
            <v>N0</v>
          </cell>
          <cell r="M1512" t="str">
            <v>Department of Culture and Tourism</v>
          </cell>
          <cell r="N1512" t="str">
            <v>Strategic Affairs</v>
          </cell>
          <cell r="O1512" t="str">
            <v>الشؤون الاستراتيجية</v>
          </cell>
          <cell r="P1512" t="str">
            <v>Data &amp; AI Department</v>
          </cell>
          <cell r="Q1512" t="str">
            <v>إدارة البيانات والذكاء الاصطناعي</v>
          </cell>
          <cell r="R1512" t="str">
            <v>Research</v>
          </cell>
          <cell r="S1512" t="str">
            <v>البحوث</v>
          </cell>
          <cell r="T1512" t="str">
            <v/>
          </cell>
          <cell r="U1512" t="str">
            <v/>
          </cell>
          <cell r="V1512" t="str">
            <v>Abu Dhabi</v>
          </cell>
          <cell r="W1512" t="str">
            <v/>
          </cell>
          <cell r="X1512" t="str">
            <v>4512200</v>
          </cell>
          <cell r="Y1512" t="str">
            <v>Strategy, Planning, Project Mgt_Business/Market Intelligence  Analysis &amp; Planning _Section Head</v>
          </cell>
          <cell r="Z1512" t="str">
            <v>Section Manager</v>
          </cell>
          <cell r="AA1512" t="str">
            <v>2B</v>
          </cell>
        </row>
        <row r="1513">
          <cell r="A1513">
            <v>2000902</v>
          </cell>
          <cell r="B1513">
            <v>2000902</v>
          </cell>
          <cell r="C1513" t="str">
            <v>A</v>
          </cell>
          <cell r="D1513" t="str">
            <v>Zoran Ninic</v>
          </cell>
          <cell r="E1513" t="str">
            <v>زوران  نينيك</v>
          </cell>
          <cell r="F1513">
            <v>45019</v>
          </cell>
          <cell r="G1513" t="str">
            <v>50001914</v>
          </cell>
          <cell r="H1513" t="str">
            <v>Financial Analysis Lead</v>
          </cell>
          <cell r="I1513" t="str">
            <v>أخصائي رئيسي التحليل المالي</v>
          </cell>
          <cell r="J1513" t="str">
            <v>On-Chart</v>
          </cell>
          <cell r="K1513" t="str">
            <v>Al Nahiya</v>
          </cell>
          <cell r="L1513" t="str">
            <v>N0</v>
          </cell>
          <cell r="M1513" t="str">
            <v>Department of Culture and Tourism</v>
          </cell>
          <cell r="N1513" t="str">
            <v>Tourism</v>
          </cell>
          <cell r="O1513" t="str">
            <v>السياحة</v>
          </cell>
          <cell r="P1513" t="str">
            <v>Destinations Management Department</v>
          </cell>
          <cell r="Q1513" t="str">
            <v>إدارة الوجهات</v>
          </cell>
          <cell r="R1513" t="str">
            <v/>
          </cell>
          <cell r="S1513" t="str">
            <v/>
          </cell>
          <cell r="T1513" t="str">
            <v/>
          </cell>
          <cell r="U1513" t="str">
            <v/>
          </cell>
          <cell r="V1513" t="str">
            <v>Abu Dhabi</v>
          </cell>
          <cell r="W1513" t="str">
            <v/>
          </cell>
          <cell r="X1513" t="str">
            <v>4515700</v>
          </cell>
          <cell r="Y1513" t="str">
            <v>Commercial _Travel Trade &amp; Tourism  Market Development _Unit Head</v>
          </cell>
          <cell r="Z1513" t="str">
            <v>Unit Head</v>
          </cell>
          <cell r="AA1513" t="str">
            <v>3B</v>
          </cell>
        </row>
        <row r="1514">
          <cell r="A1514">
            <v>2000905</v>
          </cell>
          <cell r="B1514">
            <v>2000905</v>
          </cell>
          <cell r="C1514" t="str">
            <v>A</v>
          </cell>
          <cell r="D1514" t="str">
            <v>Rene von Müllen</v>
          </cell>
          <cell r="E1514" t="str">
            <v>رونيه  فون سكافتى</v>
          </cell>
          <cell r="F1514">
            <v>45020</v>
          </cell>
          <cell r="G1514" t="str">
            <v>10004138</v>
          </cell>
          <cell r="H1514" t="str">
            <v>Projects Director</v>
          </cell>
          <cell r="I1514" t="str">
            <v>مدير مشاريع</v>
          </cell>
          <cell r="J1514" t="str">
            <v>On-Chart</v>
          </cell>
          <cell r="K1514" t="str">
            <v>Al Nahiya</v>
          </cell>
          <cell r="L1514" t="str">
            <v>N0</v>
          </cell>
          <cell r="M1514" t="str">
            <v>Department of Culture and Tourism</v>
          </cell>
          <cell r="N1514" t="str">
            <v>Project Management &amp; Engineering</v>
          </cell>
          <cell r="O1514" t="str">
            <v>مكتب وكيل الدائرة</v>
          </cell>
          <cell r="P1514" t="str">
            <v>Project Management &amp; Engineering</v>
          </cell>
          <cell r="Q1514" t="str">
            <v>هندسة وإدارة المشاريع</v>
          </cell>
          <cell r="R1514" t="str">
            <v/>
          </cell>
          <cell r="S1514" t="str">
            <v/>
          </cell>
          <cell r="T1514" t="str">
            <v/>
          </cell>
          <cell r="U1514" t="str">
            <v/>
          </cell>
          <cell r="V1514" t="str">
            <v>Abu Dhabi</v>
          </cell>
          <cell r="W1514" t="str">
            <v/>
          </cell>
          <cell r="X1514" t="str">
            <v>4510150</v>
          </cell>
          <cell r="Y1514" t="str">
            <v>Technical Safety &amp; Security_Engineering Project Management  _Section Head</v>
          </cell>
          <cell r="Z1514" t="str">
            <v>Section Manager</v>
          </cell>
          <cell r="AA1514" t="str">
            <v>2B</v>
          </cell>
        </row>
        <row r="1515">
          <cell r="A1515">
            <v>2000909</v>
          </cell>
          <cell r="B1515">
            <v>2000909</v>
          </cell>
          <cell r="C1515" t="str">
            <v>A</v>
          </cell>
          <cell r="D1515" t="str">
            <v>Yasemin Kaya</v>
          </cell>
          <cell r="E1515" t="str">
            <v>ياسمين  كايا</v>
          </cell>
          <cell r="F1515">
            <v>45056</v>
          </cell>
          <cell r="G1515" t="str">
            <v>50002467</v>
          </cell>
          <cell r="H1515" t="str">
            <v>Business Development and Sales Specialists</v>
          </cell>
          <cell r="I1515" t="str">
            <v>خصائي تطوير الأعمال والمبيعات</v>
          </cell>
          <cell r="J1515" t="str">
            <v>On-Chart</v>
          </cell>
          <cell r="K1515" t="str">
            <v>MSS Al Nahiya</v>
          </cell>
          <cell r="L1515" t="str">
            <v>M2</v>
          </cell>
          <cell r="M1515" t="str">
            <v>Louvre Abu Dhabi</v>
          </cell>
          <cell r="N1515" t="str">
            <v>Louvre Abu Dhabi</v>
          </cell>
          <cell r="O1515" t="str">
            <v>متحف اللوفر أبوظبي</v>
          </cell>
          <cell r="P1515" t="str">
            <v>Visitor Experience &amp; Sales</v>
          </cell>
          <cell r="Q1515" t="str">
            <v>إدارة تجربة الزوار و المبيعات</v>
          </cell>
          <cell r="R1515" t="str">
            <v>Sales</v>
          </cell>
          <cell r="S1515" t="str">
            <v>المبيعات</v>
          </cell>
          <cell r="T1515" t="str">
            <v/>
          </cell>
          <cell r="U1515" t="str">
            <v/>
          </cell>
          <cell r="V1515" t="str">
            <v>Abu Dhabi</v>
          </cell>
          <cell r="W1515" t="str">
            <v/>
          </cell>
          <cell r="X1515" t="str">
            <v>4510125</v>
          </cell>
          <cell r="Y1515" t="str">
            <v>Design_Visitor Experience Design _Professional</v>
          </cell>
          <cell r="Z1515" t="str">
            <v>Professional</v>
          </cell>
          <cell r="AA1515" t="str">
            <v>4B</v>
          </cell>
        </row>
        <row r="1516">
          <cell r="A1516">
            <v>2000912</v>
          </cell>
          <cell r="B1516">
            <v>2000912</v>
          </cell>
          <cell r="C1516" t="str">
            <v>A</v>
          </cell>
          <cell r="D1516" t="str">
            <v>Ahmed Gamal Hemida</v>
          </cell>
          <cell r="E1516" t="str">
            <v>أحمد جمال حميده</v>
          </cell>
          <cell r="F1516">
            <v>45064</v>
          </cell>
          <cell r="G1516" t="str">
            <v>50000534</v>
          </cell>
          <cell r="H1516" t="str">
            <v>Data &amp; Platforms Engineer</v>
          </cell>
          <cell r="I1516" t="str">
            <v>مهندس البيانات والمنصات</v>
          </cell>
          <cell r="J1516" t="str">
            <v>On-Chart</v>
          </cell>
          <cell r="K1516" t="str">
            <v>Al Nahiya</v>
          </cell>
          <cell r="L1516" t="str">
            <v>N0</v>
          </cell>
          <cell r="M1516" t="str">
            <v>Department of Culture and Tourism</v>
          </cell>
          <cell r="N1516" t="str">
            <v>Strategic Affairs</v>
          </cell>
          <cell r="O1516" t="str">
            <v>الشؤون الاستراتيجية</v>
          </cell>
          <cell r="P1516" t="str">
            <v>Data &amp; AI Department</v>
          </cell>
          <cell r="Q1516" t="str">
            <v>إدارة البيانات والذكاء الاصطناعي</v>
          </cell>
          <cell r="R1516" t="str">
            <v>Enterprise Data Management</v>
          </cell>
          <cell r="S1516" t="str">
            <v>قسم إدارة البيانات المؤسسية</v>
          </cell>
          <cell r="T1516" t="str">
            <v>Data Management</v>
          </cell>
          <cell r="U1516" t="str">
            <v>إدارة البيانات</v>
          </cell>
          <cell r="V1516" t="str">
            <v>Abu Dhabi</v>
          </cell>
          <cell r="W1516" t="str">
            <v/>
          </cell>
          <cell r="X1516" t="str">
            <v>4512200</v>
          </cell>
          <cell r="Y1516" t="str">
            <v>Strategy, Planning, Project Mgt_Business &amp; Market Intelligence  Analysis &amp; Planning_Professional</v>
          </cell>
          <cell r="Z1516" t="str">
            <v>Professional</v>
          </cell>
          <cell r="AA1516" t="str">
            <v>4B</v>
          </cell>
        </row>
        <row r="1517">
          <cell r="A1517">
            <v>2000913</v>
          </cell>
          <cell r="B1517">
            <v>2000913</v>
          </cell>
          <cell r="C1517" t="str">
            <v>A</v>
          </cell>
          <cell r="D1517" t="str">
            <v>Karim Tarek Kabil</v>
          </cell>
          <cell r="E1517" t="str">
            <v>كريم طارق قابيل</v>
          </cell>
          <cell r="F1517">
            <v>45033</v>
          </cell>
          <cell r="G1517" t="str">
            <v>50003502</v>
          </cell>
          <cell r="H1517" t="str">
            <v>Events Strategy &amp; Planning Section Head</v>
          </cell>
          <cell r="I1517" t="str">
            <v>رئيس قسم استراتيجية وتخطيط الفعاليات</v>
          </cell>
          <cell r="J1517" t="str">
            <v>On-Chart</v>
          </cell>
          <cell r="K1517" t="str">
            <v>Al Nahiya</v>
          </cell>
          <cell r="L1517" t="str">
            <v>N0</v>
          </cell>
          <cell r="M1517" t="str">
            <v>Department of Culture and Tourism</v>
          </cell>
          <cell r="N1517" t="str">
            <v>Tourism</v>
          </cell>
          <cell r="O1517" t="str">
            <v>السياحة</v>
          </cell>
          <cell r="P1517" t="str">
            <v>Abu Dhabi Events Bureau</v>
          </cell>
          <cell r="Q1517" t="str">
            <v>مكتب أبوظبي للفعاليات</v>
          </cell>
          <cell r="R1517" t="str">
            <v>Events Strategy &amp; Planning</v>
          </cell>
          <cell r="S1517" t="str">
            <v>استراتيجية وتخطيط الفعاليات</v>
          </cell>
          <cell r="T1517" t="str">
            <v/>
          </cell>
          <cell r="U1517" t="str">
            <v/>
          </cell>
          <cell r="V1517" t="str">
            <v>Abu Dhabi</v>
          </cell>
          <cell r="W1517" t="str">
            <v/>
          </cell>
          <cell r="X1517" t="str">
            <v>4515500</v>
          </cell>
          <cell r="Y1517" t="str">
            <v/>
          </cell>
          <cell r="Z1517" t="str">
            <v>Section Manager</v>
          </cell>
          <cell r="AA1517" t="str">
            <v>2C</v>
          </cell>
        </row>
        <row r="1518">
          <cell r="A1518">
            <v>2000914</v>
          </cell>
          <cell r="B1518">
            <v>2000914</v>
          </cell>
          <cell r="C1518" t="str">
            <v>A</v>
          </cell>
          <cell r="D1518" t="str">
            <v>Melroy Peter Vaz</v>
          </cell>
          <cell r="E1518" t="str">
            <v>ميلروى بيتر فاز</v>
          </cell>
          <cell r="F1518">
            <v>45055</v>
          </cell>
          <cell r="G1518" t="str">
            <v>50002216</v>
          </cell>
          <cell r="H1518" t="str">
            <v>Cruise Unit Head</v>
          </cell>
          <cell r="I1518" t="str">
            <v>رئيس وحدة الرحلات البحرية</v>
          </cell>
          <cell r="J1518" t="str">
            <v>On-Chart</v>
          </cell>
          <cell r="K1518" t="str">
            <v>Al Nahiya</v>
          </cell>
          <cell r="L1518" t="str">
            <v>N0</v>
          </cell>
          <cell r="M1518" t="str">
            <v>Department of Culture and Tourism</v>
          </cell>
          <cell r="N1518" t="str">
            <v>Tourism</v>
          </cell>
          <cell r="O1518" t="str">
            <v>السياحة</v>
          </cell>
          <cell r="P1518" t="str">
            <v>Tourism Products Development</v>
          </cell>
          <cell r="Q1518" t="str">
            <v>تطوير المنتجات السياحية</v>
          </cell>
          <cell r="R1518" t="str">
            <v>Aviation, Cruise, &amp; Global Partnerships</v>
          </cell>
          <cell r="S1518" t="str">
            <v>الطيران والرحلات البحرية والشراكات العالمية</v>
          </cell>
          <cell r="T1518" t="str">
            <v>Cruise</v>
          </cell>
          <cell r="U1518" t="str">
            <v>الرحلات البحرية</v>
          </cell>
          <cell r="V1518" t="str">
            <v>Abu Dhabi</v>
          </cell>
          <cell r="W1518" t="str">
            <v/>
          </cell>
          <cell r="X1518" t="str">
            <v>4515100</v>
          </cell>
          <cell r="Y1518" t="str">
            <v>Compliance,Governance&amp;Protocol_Policy  (Culture &amp; Tourism)_Unit Head</v>
          </cell>
          <cell r="Z1518" t="str">
            <v>Unit Head</v>
          </cell>
          <cell r="AA1518" t="str">
            <v>3B</v>
          </cell>
        </row>
        <row r="1519">
          <cell r="A1519">
            <v>2000915</v>
          </cell>
          <cell r="B1519">
            <v>2000915</v>
          </cell>
          <cell r="C1519" t="str">
            <v>A</v>
          </cell>
          <cell r="D1519" t="str">
            <v>Shameer Cheeroth</v>
          </cell>
          <cell r="E1519" t="str">
            <v>شامير  شيروث</v>
          </cell>
          <cell r="F1519">
            <v>45027</v>
          </cell>
          <cell r="G1519" t="str">
            <v>50002290</v>
          </cell>
          <cell r="H1519" t="str">
            <v>Category Management Senior Specialist</v>
          </cell>
          <cell r="I1519" t="str">
            <v>أخصائي أول إدارة فئة المشتريات​</v>
          </cell>
          <cell r="J1519" t="str">
            <v>On-Chart</v>
          </cell>
          <cell r="K1519" t="str">
            <v>Al Nahiya</v>
          </cell>
          <cell r="L1519" t="str">
            <v>N0</v>
          </cell>
          <cell r="M1519" t="str">
            <v>Department of Culture and Tourism</v>
          </cell>
          <cell r="N1519" t="str">
            <v>Support Services</v>
          </cell>
          <cell r="O1519" t="str">
            <v>الخدمات المساندة</v>
          </cell>
          <cell r="P1519" t="str">
            <v>Supply Management</v>
          </cell>
          <cell r="Q1519" t="str">
            <v>إدارة الإمداد</v>
          </cell>
          <cell r="R1519" t="str">
            <v>Sourcing</v>
          </cell>
          <cell r="S1519" t="str">
            <v>التوريد</v>
          </cell>
          <cell r="T1519" t="str">
            <v>Sourcing</v>
          </cell>
          <cell r="U1519" t="str">
            <v>توريد المشتريات</v>
          </cell>
          <cell r="V1519" t="str">
            <v>Abu Dhabi</v>
          </cell>
          <cell r="W1519" t="str">
            <v/>
          </cell>
          <cell r="X1519" t="str">
            <v>4510240</v>
          </cell>
          <cell r="Y1519" t="str">
            <v>Procurement_Supplier  Management_Senior Professional</v>
          </cell>
          <cell r="Z1519" t="str">
            <v>Senior Professional</v>
          </cell>
          <cell r="AA1519" t="str">
            <v>3B</v>
          </cell>
        </row>
        <row r="1520">
          <cell r="A1520">
            <v>2000916</v>
          </cell>
          <cell r="B1520">
            <v>2000916</v>
          </cell>
          <cell r="C1520" t="str">
            <v>A</v>
          </cell>
          <cell r="D1520" t="str">
            <v>Lars Heesbeen</v>
          </cell>
          <cell r="E1520" t="str">
            <v>لارس  هيسبين</v>
          </cell>
          <cell r="F1520">
            <v>45033</v>
          </cell>
          <cell r="G1520" t="str">
            <v>50003135</v>
          </cell>
          <cell r="H1520" t="str">
            <v>Sales Unit Head</v>
          </cell>
          <cell r="I1520" t="str">
            <v>رئيس وحدة المبيعات</v>
          </cell>
          <cell r="J1520" t="str">
            <v>On-Chart</v>
          </cell>
          <cell r="K1520" t="str">
            <v>MSS Al Nahiya</v>
          </cell>
          <cell r="L1520" t="str">
            <v>M2</v>
          </cell>
          <cell r="M1520" t="str">
            <v>Louvre Abu Dhabi</v>
          </cell>
          <cell r="N1520" t="str">
            <v>Louvre Abu Dhabi</v>
          </cell>
          <cell r="O1520" t="str">
            <v>متحف اللوفر أبوظبي</v>
          </cell>
          <cell r="P1520" t="str">
            <v>Visitor Experience &amp; Sales</v>
          </cell>
          <cell r="Q1520" t="str">
            <v>إدارة تجربة الزوار و المبيعات</v>
          </cell>
          <cell r="R1520" t="str">
            <v>Sales</v>
          </cell>
          <cell r="S1520" t="str">
            <v>المبيعات</v>
          </cell>
          <cell r="T1520" t="str">
            <v/>
          </cell>
          <cell r="U1520" t="str">
            <v/>
          </cell>
          <cell r="V1520" t="str">
            <v>Abu Dhabi</v>
          </cell>
          <cell r="W1520" t="str">
            <v/>
          </cell>
          <cell r="X1520" t="str">
            <v>4510125</v>
          </cell>
          <cell r="Y1520" t="str">
            <v>Senior Specialization Festivals &amp; Events</v>
          </cell>
          <cell r="Z1520" t="str">
            <v>Unit Head</v>
          </cell>
          <cell r="AA1520" t="str">
            <v>3B</v>
          </cell>
        </row>
        <row r="1521">
          <cell r="A1521">
            <v>2000918</v>
          </cell>
          <cell r="B1521">
            <v>2000918</v>
          </cell>
          <cell r="C1521" t="str">
            <v>A</v>
          </cell>
          <cell r="D1521" t="str">
            <v>Mohammad Alsmadi</v>
          </cell>
          <cell r="E1521" t="str">
            <v>محمد  الصمادي</v>
          </cell>
          <cell r="F1521">
            <v>45042</v>
          </cell>
          <cell r="G1521" t="str">
            <v>50003799</v>
          </cell>
          <cell r="H1521" t="str">
            <v>Legislations Unit Head</v>
          </cell>
          <cell r="I1521" t="str">
            <v>رئيس وحدة التشريعات</v>
          </cell>
          <cell r="J1521" t="str">
            <v>On-Chart</v>
          </cell>
          <cell r="K1521" t="str">
            <v>Al Nahiya</v>
          </cell>
          <cell r="L1521" t="str">
            <v>N0</v>
          </cell>
          <cell r="M1521" t="str">
            <v>Department of Culture and Tourism</v>
          </cell>
          <cell r="N1521" t="str">
            <v>Legal &amp; Government Affairs</v>
          </cell>
          <cell r="O1521" t="str">
            <v>مكتب وكيل الدائرة</v>
          </cell>
          <cell r="P1521" t="str">
            <v>Legal &amp; Government Affairs</v>
          </cell>
          <cell r="Q1521" t="str">
            <v>الشؤون القانونية والحكومية</v>
          </cell>
          <cell r="R1521" t="str">
            <v>Legislation, Litigation &amp; Government Affairs</v>
          </cell>
          <cell r="S1521" t="str">
            <v>التشريعات والتقاضي والشؤون الحكومية</v>
          </cell>
          <cell r="T1521" t="str">
            <v>Legislations</v>
          </cell>
          <cell r="U1521" t="str">
            <v/>
          </cell>
          <cell r="V1521" t="str">
            <v>Abu Dhabi</v>
          </cell>
          <cell r="W1521" t="str">
            <v/>
          </cell>
          <cell r="X1521" t="str">
            <v>4510160</v>
          </cell>
          <cell r="Y1521" t="str">
            <v>Legal _Legal Counsel_Unit Head</v>
          </cell>
          <cell r="Z1521" t="str">
            <v>Unit Head</v>
          </cell>
          <cell r="AA1521" t="str">
            <v>3B</v>
          </cell>
        </row>
        <row r="1522">
          <cell r="A1522">
            <v>2000920</v>
          </cell>
          <cell r="B1522">
            <v>2000920</v>
          </cell>
          <cell r="C1522" t="str">
            <v>A</v>
          </cell>
          <cell r="D1522" t="str">
            <v>Jawan Fares</v>
          </cell>
          <cell r="E1522" t="str">
            <v>جوان  فارس</v>
          </cell>
          <cell r="F1522">
            <v>45054</v>
          </cell>
          <cell r="G1522" t="str">
            <v>50002684</v>
          </cell>
          <cell r="H1522" t="str">
            <v>Special Projects Marketing Specialist</v>
          </cell>
          <cell r="I1522" t="str">
            <v>أخصائي تسويق المشاريع الخاصة</v>
          </cell>
          <cell r="J1522" t="str">
            <v>On-Chart</v>
          </cell>
          <cell r="K1522" t="str">
            <v>Al Nahiya</v>
          </cell>
          <cell r="L1522" t="str">
            <v>N0</v>
          </cell>
          <cell r="M1522" t="str">
            <v>Department of Culture and Tourism</v>
          </cell>
          <cell r="N1522" t="str">
            <v>Strategic Marketing &amp; Communication</v>
          </cell>
          <cell r="O1522" t="str">
            <v>التسويق والاتصال الاستراتيجي</v>
          </cell>
          <cell r="P1522" t="str">
            <v>Sector Marketing</v>
          </cell>
          <cell r="Q1522" t="str">
            <v>التسويق الخاص بالقطاعات</v>
          </cell>
          <cell r="R1522" t="str">
            <v>-</v>
          </cell>
          <cell r="S1522" t="str">
            <v>-</v>
          </cell>
          <cell r="T1522" t="str">
            <v>Special Projects Marketing</v>
          </cell>
          <cell r="U1522" t="str">
            <v>تسويق المشاريع الخاصة</v>
          </cell>
          <cell r="V1522" t="str">
            <v>Abu Dhabi</v>
          </cell>
          <cell r="W1522" t="str">
            <v/>
          </cell>
          <cell r="X1522" t="str">
            <v>4513140</v>
          </cell>
          <cell r="Y1522" t="str">
            <v>Comms &amp; Marketing _Marketing &amp; Communications (All areas)_Senior Professional</v>
          </cell>
          <cell r="Z1522" t="str">
            <v>Senior Professional</v>
          </cell>
          <cell r="AA1522" t="str">
            <v>3C</v>
          </cell>
        </row>
        <row r="1523">
          <cell r="A1523">
            <v>2000921</v>
          </cell>
          <cell r="B1523">
            <v>2000921</v>
          </cell>
          <cell r="C1523" t="str">
            <v>A</v>
          </cell>
          <cell r="D1523" t="str">
            <v>Dr. Brigitte Howarth</v>
          </cell>
          <cell r="E1523" t="str">
            <v>بريجيت  هوارث</v>
          </cell>
          <cell r="F1523">
            <v>45048</v>
          </cell>
          <cell r="G1523" t="str">
            <v>50001959</v>
          </cell>
          <cell r="H1523" t="str">
            <v>Curator</v>
          </cell>
          <cell r="I1523" t="str">
            <v>أمين متحف</v>
          </cell>
          <cell r="J1523" t="str">
            <v>On-Chart</v>
          </cell>
          <cell r="K1523" t="str">
            <v>MSS Al Nahiya</v>
          </cell>
          <cell r="L1523" t="str">
            <v>M2</v>
          </cell>
          <cell r="M1523" t="str">
            <v>Department of Culture and Tourism</v>
          </cell>
          <cell r="N1523" t="str">
            <v>Culture</v>
          </cell>
          <cell r="O1523" t="str">
            <v>الثقافة</v>
          </cell>
          <cell r="P1523" t="str">
            <v>Natural History Museum Abu Dhabi</v>
          </cell>
          <cell r="Q1523" t="str">
            <v>متحف التاريخ الطبيعي - أبوظبي</v>
          </cell>
          <cell r="R1523" t="str">
            <v>Scientific, Curatorial, &amp; Collections Management</v>
          </cell>
          <cell r="S1523" t="str">
            <v>أمناء المتحف وإدارة المقتنيات</v>
          </cell>
          <cell r="T1523" t="str">
            <v/>
          </cell>
          <cell r="U1523" t="str">
            <v/>
          </cell>
          <cell r="V1523" t="str">
            <v>Abu Dhabi</v>
          </cell>
          <cell r="W1523" t="str">
            <v/>
          </cell>
          <cell r="X1523" t="str">
            <v>4510310</v>
          </cell>
          <cell r="Y1523" t="str">
            <v>Compliance,Governance&amp;Protocol_Policy (Culture/Tourism _Senior Professional</v>
          </cell>
          <cell r="Z1523" t="str">
            <v>Senior Professional</v>
          </cell>
          <cell r="AA1523" t="str">
            <v>3B</v>
          </cell>
        </row>
        <row r="1524">
          <cell r="A1524">
            <v>2000922</v>
          </cell>
          <cell r="B1524">
            <v>2000922</v>
          </cell>
          <cell r="C1524" t="str">
            <v>A</v>
          </cell>
          <cell r="D1524" t="str">
            <v>Anas Mohd Azeezyeh</v>
          </cell>
          <cell r="E1524" t="str">
            <v>أنس محمد عزيزيه</v>
          </cell>
          <cell r="F1524">
            <v>45047</v>
          </cell>
          <cell r="G1524" t="str">
            <v>10010761</v>
          </cell>
          <cell r="H1524" t="str">
            <v>Project Coordinator</v>
          </cell>
          <cell r="I1524" t="str">
            <v>منسق مشاريع</v>
          </cell>
          <cell r="J1524" t="str">
            <v>On-Chart</v>
          </cell>
          <cell r="K1524" t="str">
            <v>Al Nahiya</v>
          </cell>
          <cell r="L1524" t="str">
            <v>N0</v>
          </cell>
          <cell r="M1524" t="str">
            <v>Department of Culture and Tourism</v>
          </cell>
          <cell r="N1524" t="str">
            <v>Strategic Affairs</v>
          </cell>
          <cell r="O1524" t="str">
            <v>الشؤون الاستراتيجية</v>
          </cell>
          <cell r="P1524" t="str">
            <v>Business Excellence &amp; Continuity</v>
          </cell>
          <cell r="Q1524" t="str">
            <v>التميز المؤسسي واستمرارية الأعمال</v>
          </cell>
          <cell r="R1524" t="str">
            <v/>
          </cell>
          <cell r="S1524" t="str">
            <v/>
          </cell>
          <cell r="T1524" t="str">
            <v/>
          </cell>
          <cell r="U1524" t="str">
            <v/>
          </cell>
          <cell r="V1524" t="str">
            <v>Abu Dhabi</v>
          </cell>
          <cell r="W1524" t="str">
            <v/>
          </cell>
          <cell r="X1524" t="str">
            <v>4512300</v>
          </cell>
          <cell r="Y1524" t="str">
            <v>Strategy, Planning, Project Mgt_Business Excellence &amp; Foresight Planning _Senior Professional</v>
          </cell>
          <cell r="Z1524" t="str">
            <v>Professional Assistant</v>
          </cell>
          <cell r="AA1524" t="str">
            <v>5B</v>
          </cell>
        </row>
        <row r="1525">
          <cell r="A1525">
            <v>2000924</v>
          </cell>
          <cell r="B1525">
            <v>2000924</v>
          </cell>
          <cell r="C1525" t="str">
            <v>A</v>
          </cell>
          <cell r="D1525" t="str">
            <v>Hamad Younis AlMarzooqi</v>
          </cell>
          <cell r="E1525" t="str">
            <v>حمد يونس المرزوقي</v>
          </cell>
          <cell r="F1525">
            <v>45085</v>
          </cell>
          <cell r="G1525" t="str">
            <v>50001966</v>
          </cell>
          <cell r="H1525" t="str">
            <v>Assistant Curator</v>
          </cell>
          <cell r="I1525" t="str">
            <v>مساعد أمين متحف</v>
          </cell>
          <cell r="J1525" t="str">
            <v>On-Chart</v>
          </cell>
          <cell r="K1525" t="str">
            <v>MSS Al Nahiya</v>
          </cell>
          <cell r="L1525" t="str">
            <v>M2</v>
          </cell>
          <cell r="M1525" t="str">
            <v>Department of Culture and Tourism</v>
          </cell>
          <cell r="N1525" t="str">
            <v>Culture</v>
          </cell>
          <cell r="O1525" t="str">
            <v>الثقافة</v>
          </cell>
          <cell r="P1525" t="str">
            <v>Natural History Museum Abu Dhabi</v>
          </cell>
          <cell r="Q1525" t="str">
            <v>متحف التاريخ الطبيعي - أبوظبي</v>
          </cell>
          <cell r="R1525" t="str">
            <v>Scientific, Curatorial, &amp; Collections Management</v>
          </cell>
          <cell r="S1525" t="str">
            <v>أمناء المتحف وإدارة المقتنيات</v>
          </cell>
          <cell r="T1525" t="str">
            <v/>
          </cell>
          <cell r="U1525" t="str">
            <v/>
          </cell>
          <cell r="V1525" t="str">
            <v>Abu Dhabi</v>
          </cell>
          <cell r="W1525" t="str">
            <v/>
          </cell>
          <cell r="X1525" t="str">
            <v>4510310</v>
          </cell>
          <cell r="Y1525" t="str">
            <v>Compliance,Governance&amp;Protocol_Policy (Culture/Tourism) _Professional</v>
          </cell>
          <cell r="Z1525" t="str">
            <v>Professional</v>
          </cell>
          <cell r="AA1525" t="str">
            <v>4B</v>
          </cell>
        </row>
        <row r="1526">
          <cell r="A1526">
            <v>2000926</v>
          </cell>
          <cell r="B1526">
            <v>2000926</v>
          </cell>
          <cell r="C1526" t="str">
            <v>A</v>
          </cell>
          <cell r="D1526" t="str">
            <v>Islam Altawallbeh</v>
          </cell>
          <cell r="E1526" t="str">
            <v>اسلام  الطوالبه</v>
          </cell>
          <cell r="F1526">
            <v>45055</v>
          </cell>
          <cell r="G1526" t="str">
            <v>50002420</v>
          </cell>
          <cell r="H1526" t="str">
            <v>Sourcing Unit Head</v>
          </cell>
          <cell r="I1526" t="str">
            <v>رئيس وحدة توريد المشتريات</v>
          </cell>
          <cell r="J1526" t="str">
            <v>On-Chart</v>
          </cell>
          <cell r="K1526" t="str">
            <v>Al Nahiya</v>
          </cell>
          <cell r="L1526" t="str">
            <v>N0</v>
          </cell>
          <cell r="M1526" t="str">
            <v>Department of Culture and Tourism</v>
          </cell>
          <cell r="N1526" t="str">
            <v>Support Services</v>
          </cell>
          <cell r="O1526" t="str">
            <v>الخدمات المساندة</v>
          </cell>
          <cell r="P1526" t="str">
            <v>Supply Management</v>
          </cell>
          <cell r="Q1526" t="str">
            <v>إدارة الإمداد</v>
          </cell>
          <cell r="R1526" t="str">
            <v>Sourcing</v>
          </cell>
          <cell r="S1526" t="str">
            <v>التوريد</v>
          </cell>
          <cell r="T1526" t="str">
            <v>Sourcing</v>
          </cell>
          <cell r="U1526" t="str">
            <v>توريد المشتريات</v>
          </cell>
          <cell r="V1526" t="str">
            <v>Abu Dhabi</v>
          </cell>
          <cell r="W1526" t="str">
            <v/>
          </cell>
          <cell r="X1526" t="str">
            <v>4510240</v>
          </cell>
          <cell r="Y1526" t="str">
            <v>Procurement_Procurement General _Unit Head</v>
          </cell>
          <cell r="Z1526" t="str">
            <v>Unit Head</v>
          </cell>
          <cell r="AA1526" t="str">
            <v>3B</v>
          </cell>
        </row>
        <row r="1527">
          <cell r="A1527">
            <v>2000927</v>
          </cell>
          <cell r="B1527">
            <v>2000927</v>
          </cell>
          <cell r="C1527" t="str">
            <v>A</v>
          </cell>
          <cell r="D1527" t="str">
            <v>Maryam Salman Alhaddad</v>
          </cell>
          <cell r="E1527" t="str">
            <v>مريم سلمان الحداد</v>
          </cell>
          <cell r="F1527">
            <v>45071</v>
          </cell>
          <cell r="G1527" t="str">
            <v>50001963</v>
          </cell>
          <cell r="H1527" t="str">
            <v>Assistant Curator</v>
          </cell>
          <cell r="I1527" t="str">
            <v>مساعد أمين متحف</v>
          </cell>
          <cell r="J1527" t="str">
            <v>On-Chart</v>
          </cell>
          <cell r="K1527" t="str">
            <v>MSS Al Nahiya</v>
          </cell>
          <cell r="L1527" t="str">
            <v>M2</v>
          </cell>
          <cell r="M1527" t="str">
            <v>Department of Culture and Tourism</v>
          </cell>
          <cell r="N1527" t="str">
            <v>Culture</v>
          </cell>
          <cell r="O1527" t="str">
            <v>الثقافة</v>
          </cell>
          <cell r="P1527" t="str">
            <v>Natural History Museum Abu Dhabi</v>
          </cell>
          <cell r="Q1527" t="str">
            <v>متحف التاريخ الطبيعي - أبوظبي</v>
          </cell>
          <cell r="R1527" t="str">
            <v>Scientific, Curatorial, &amp; Collections Management</v>
          </cell>
          <cell r="S1527" t="str">
            <v>أمناء المتحف وإدارة المقتنيات</v>
          </cell>
          <cell r="T1527" t="str">
            <v/>
          </cell>
          <cell r="U1527" t="str">
            <v/>
          </cell>
          <cell r="V1527" t="str">
            <v>Abu Dhabi</v>
          </cell>
          <cell r="W1527" t="str">
            <v/>
          </cell>
          <cell r="X1527" t="str">
            <v>4510310</v>
          </cell>
          <cell r="Y1527" t="str">
            <v>Compliance,Governance&amp;Protocol_Policy (Culture/Tourism) _Professional</v>
          </cell>
          <cell r="Z1527" t="str">
            <v>Professional</v>
          </cell>
          <cell r="AA1527" t="str">
            <v>4B</v>
          </cell>
        </row>
        <row r="1528">
          <cell r="A1528">
            <v>2000928</v>
          </cell>
          <cell r="B1528">
            <v>2000928</v>
          </cell>
          <cell r="C1528" t="str">
            <v>A</v>
          </cell>
          <cell r="D1528" t="str">
            <v>Mohamed El-Shorafa</v>
          </cell>
          <cell r="E1528" t="str">
            <v>محمد  الشرفه </v>
          </cell>
          <cell r="F1528">
            <v>45063</v>
          </cell>
          <cell r="G1528" t="str">
            <v>50002207</v>
          </cell>
          <cell r="H1528" t="str">
            <v>Campaigns Management Unit Head</v>
          </cell>
          <cell r="I1528" t="str">
            <v>رئيس وحدة إدارة الحملات</v>
          </cell>
          <cell r="J1528" t="str">
            <v>On-Chart</v>
          </cell>
          <cell r="K1528" t="str">
            <v>Al Nahiya</v>
          </cell>
          <cell r="L1528" t="str">
            <v>N0</v>
          </cell>
          <cell r="M1528" t="str">
            <v>Department of Culture and Tourism</v>
          </cell>
          <cell r="N1528" t="str">
            <v>Strategic Marketing &amp; Communication</v>
          </cell>
          <cell r="O1528" t="str">
            <v>التسويق والاتصال الاستراتيجي</v>
          </cell>
          <cell r="P1528" t="str">
            <v>Creative &amp; Production</v>
          </cell>
          <cell r="Q1528" t="str">
            <v>الإبداع والإنتاج</v>
          </cell>
          <cell r="R1528" t="str">
            <v>Campaigns</v>
          </cell>
          <cell r="S1528" t="str">
            <v>الحملات</v>
          </cell>
          <cell r="T1528" t="str">
            <v>Campaigns Management</v>
          </cell>
          <cell r="U1528" t="str">
            <v>إدارة الحملات</v>
          </cell>
          <cell r="V1528" t="str">
            <v>Abu Dhabi</v>
          </cell>
          <cell r="W1528" t="str">
            <v/>
          </cell>
          <cell r="X1528" t="str">
            <v>4513110</v>
          </cell>
          <cell r="Y1528" t="str">
            <v>Senior Specialization Marketing &amp; Communications</v>
          </cell>
          <cell r="Z1528" t="str">
            <v>Unit Head</v>
          </cell>
          <cell r="AA1528" t="str">
            <v>3B</v>
          </cell>
        </row>
        <row r="1529">
          <cell r="A1529">
            <v>2000929</v>
          </cell>
          <cell r="B1529">
            <v>2000929</v>
          </cell>
          <cell r="C1529" t="str">
            <v>A</v>
          </cell>
          <cell r="D1529" t="str">
            <v>Priyanka Priyadarshani</v>
          </cell>
          <cell r="E1529" t="str">
            <v>بريانكا  بريادار</v>
          </cell>
          <cell r="F1529">
            <v>45063</v>
          </cell>
          <cell r="G1529" t="str">
            <v>50001731</v>
          </cell>
          <cell r="H1529" t="str">
            <v>Corporate Social Responsibility Senior Specialist</v>
          </cell>
          <cell r="I1529" t="str">
            <v>أخصائي أول المسؤولية الاجتماعية المؤسسية</v>
          </cell>
          <cell r="J1529" t="str">
            <v>On-Chart</v>
          </cell>
          <cell r="K1529" t="str">
            <v>Al Nahiya</v>
          </cell>
          <cell r="L1529" t="str">
            <v>N0</v>
          </cell>
          <cell r="M1529" t="str">
            <v>Department of Culture and Tourism</v>
          </cell>
          <cell r="N1529" t="str">
            <v>Support Services</v>
          </cell>
          <cell r="O1529" t="str">
            <v>الخدمات المساندة</v>
          </cell>
          <cell r="P1529" t="str">
            <v>People &amp; Performance</v>
          </cell>
          <cell r="Q1529" t="str">
            <v>إدارة الكوادر البشرية والأداء</v>
          </cell>
          <cell r="R1529" t="str">
            <v>Internal Communications</v>
          </cell>
          <cell r="S1529" t="str">
            <v>الاتصال الداخلي</v>
          </cell>
          <cell r="T1529" t="str">
            <v>Corporate Social Responsibility</v>
          </cell>
          <cell r="U1529" t="str">
            <v>المسؤولية الاجتماعية المؤسسية</v>
          </cell>
          <cell r="V1529" t="str">
            <v>Abu Dhabi</v>
          </cell>
          <cell r="W1529" t="str">
            <v/>
          </cell>
          <cell r="X1529" t="str">
            <v>4510220</v>
          </cell>
          <cell r="Y1529" t="str">
            <v>Comms &amp; Marketing _Marketing &amp; Communications (All areas)_Senior Professional</v>
          </cell>
          <cell r="Z1529" t="str">
            <v>Senior Professional</v>
          </cell>
          <cell r="AA1529" t="str">
            <v>3B</v>
          </cell>
        </row>
        <row r="1530">
          <cell r="A1530">
            <v>2000931</v>
          </cell>
          <cell r="B1530">
            <v>2000931</v>
          </cell>
          <cell r="C1530" t="str">
            <v>A</v>
          </cell>
          <cell r="D1530" t="str">
            <v>John Bosco Paade</v>
          </cell>
          <cell r="E1530" t="str">
            <v>جوهن بوسكو باديي</v>
          </cell>
          <cell r="F1530">
            <v>45112</v>
          </cell>
          <cell r="G1530" t="str">
            <v>50002640</v>
          </cell>
          <cell r="H1530" t="str">
            <v>Security Team Leader</v>
          </cell>
          <cell r="I1530" t="str">
            <v>قائد فريق الأمن</v>
          </cell>
          <cell r="J1530" t="str">
            <v>On-Chart</v>
          </cell>
          <cell r="K1530" t="str">
            <v>MSS Al Nahiya</v>
          </cell>
          <cell r="L1530" t="str">
            <v>M2</v>
          </cell>
          <cell r="M1530" t="str">
            <v>Louvre Abu Dhabi</v>
          </cell>
          <cell r="N1530" t="str">
            <v>Louvre Abu Dhabi</v>
          </cell>
          <cell r="O1530" t="str">
            <v>متحف اللوفر أبوظبي</v>
          </cell>
          <cell r="P1530" t="str">
            <v>Technical Operations</v>
          </cell>
          <cell r="Q1530" t="str">
            <v>العمليات الفنية</v>
          </cell>
          <cell r="R1530" t="str">
            <v>Safety &amp; Security</v>
          </cell>
          <cell r="S1530" t="str">
            <v>السلامة والأمن</v>
          </cell>
          <cell r="T1530" t="str">
            <v>Security</v>
          </cell>
          <cell r="U1530" t="str">
            <v>الأمن</v>
          </cell>
          <cell r="V1530" t="str">
            <v>Abu Dhabi</v>
          </cell>
          <cell r="W1530" t="str">
            <v/>
          </cell>
          <cell r="X1530" t="str">
            <v>4510127</v>
          </cell>
          <cell r="Y1530" t="str">
            <v>Information Technology_Security Engineering _Senior Professional</v>
          </cell>
          <cell r="Z1530" t="str">
            <v>Professional</v>
          </cell>
          <cell r="AA1530" t="str">
            <v>6B</v>
          </cell>
        </row>
        <row r="1531">
          <cell r="A1531">
            <v>2000932</v>
          </cell>
          <cell r="B1531">
            <v>2000932</v>
          </cell>
          <cell r="C1531" t="str">
            <v>A</v>
          </cell>
          <cell r="D1531" t="str">
            <v>Alice Querin</v>
          </cell>
          <cell r="E1531" t="str">
            <v>اليس  قيورين</v>
          </cell>
          <cell r="F1531">
            <v>45062</v>
          </cell>
          <cell r="G1531" t="str">
            <v>50002468</v>
          </cell>
          <cell r="H1531" t="str">
            <v>Temporary Exhibition Unit Head</v>
          </cell>
          <cell r="I1531" t="str">
            <v>رئيس وحدة المعارض الفنية المؤقتة</v>
          </cell>
          <cell r="J1531" t="str">
            <v>On-Chart</v>
          </cell>
          <cell r="K1531" t="str">
            <v>MSS Al Nahiya</v>
          </cell>
          <cell r="L1531" t="str">
            <v>M2</v>
          </cell>
          <cell r="M1531" t="str">
            <v>Louvre Abu Dhabi</v>
          </cell>
          <cell r="N1531" t="str">
            <v>Louvre Abu Dhabi</v>
          </cell>
          <cell r="O1531" t="str">
            <v>متحف اللوفر أبوظبي</v>
          </cell>
          <cell r="P1531" t="str">
            <v>Scientific, Curatorial &amp; Collection Management</v>
          </cell>
          <cell r="Q1531" t="str">
            <v>إدارة المقتنيات العلمية والتنظيمية</v>
          </cell>
          <cell r="R1531" t="str">
            <v/>
          </cell>
          <cell r="S1531" t="str">
            <v/>
          </cell>
          <cell r="T1531" t="str">
            <v/>
          </cell>
          <cell r="U1531" t="str">
            <v/>
          </cell>
          <cell r="V1531" t="str">
            <v>Abu Dhabi</v>
          </cell>
          <cell r="W1531" t="str">
            <v/>
          </cell>
          <cell r="X1531" t="str">
            <v>4510122</v>
          </cell>
          <cell r="Y1531" t="str">
            <v>Content &amp; Care_Research (All)_Unit Head</v>
          </cell>
          <cell r="Z1531" t="str">
            <v>Unit Head</v>
          </cell>
          <cell r="AA1531" t="str">
            <v>3A</v>
          </cell>
        </row>
        <row r="1532">
          <cell r="A1532">
            <v>2000933</v>
          </cell>
          <cell r="B1532">
            <v>2000933</v>
          </cell>
          <cell r="C1532" t="str">
            <v>A</v>
          </cell>
          <cell r="D1532" t="str">
            <v>Abdul Kader Kizhakkepat</v>
          </cell>
          <cell r="E1532" t="str">
            <v>عبدالقادر  إبراهيم</v>
          </cell>
          <cell r="F1532">
            <v>45063</v>
          </cell>
          <cell r="G1532" t="str">
            <v>10010461</v>
          </cell>
          <cell r="H1532" t="str">
            <v>Ticketing Cashier</v>
          </cell>
          <cell r="I1532" t="str">
            <v>امين صندوق التذاكر</v>
          </cell>
          <cell r="J1532" t="str">
            <v>On-Chart</v>
          </cell>
          <cell r="K1532" t="str">
            <v>MSS Al Nahiya</v>
          </cell>
          <cell r="L1532" t="str">
            <v>M2</v>
          </cell>
          <cell r="M1532" t="str">
            <v>Louvre Abu Dhabi</v>
          </cell>
          <cell r="N1532" t="str">
            <v>Louvre Abu Dhabi</v>
          </cell>
          <cell r="O1532" t="str">
            <v>متحف اللوفر أبوظبي</v>
          </cell>
          <cell r="P1532" t="str">
            <v>Visitor Experience &amp; Sales</v>
          </cell>
          <cell r="Q1532" t="str">
            <v>إدارة تجربة الزوار و المبيعات</v>
          </cell>
          <cell r="R1532" t="str">
            <v>Sales</v>
          </cell>
          <cell r="S1532" t="str">
            <v>المبيعات</v>
          </cell>
          <cell r="T1532" t="str">
            <v>Visitor Services</v>
          </cell>
          <cell r="U1532" t="str">
            <v>خدمات الزوار</v>
          </cell>
          <cell r="V1532" t="str">
            <v>Abu Dhabi</v>
          </cell>
          <cell r="W1532" t="str">
            <v/>
          </cell>
          <cell r="X1532" t="str">
            <v>4510125</v>
          </cell>
          <cell r="Y1532" t="str">
            <v>Design_Visitor Experience Design _Professional</v>
          </cell>
          <cell r="Z1532" t="str">
            <v>Professional</v>
          </cell>
          <cell r="AA1532" t="str">
            <v>6A</v>
          </cell>
        </row>
        <row r="1533">
          <cell r="A1533">
            <v>2000934</v>
          </cell>
          <cell r="B1533">
            <v>2000934</v>
          </cell>
          <cell r="C1533" t="str">
            <v>A</v>
          </cell>
          <cell r="D1533" t="str">
            <v>Waddah Mohammad Zanah</v>
          </cell>
          <cell r="E1533" t="str">
            <v>وضاح محمد ظانه</v>
          </cell>
          <cell r="F1533">
            <v>45070</v>
          </cell>
          <cell r="G1533" t="str">
            <v>50002328</v>
          </cell>
          <cell r="H1533" t="str">
            <v>Procurement Business Partner</v>
          </cell>
          <cell r="I1533" t="str">
            <v>شريك أعمال المشتريات</v>
          </cell>
          <cell r="J1533" t="str">
            <v>On-Chart</v>
          </cell>
          <cell r="K1533" t="str">
            <v>Al Nahiya</v>
          </cell>
          <cell r="L1533" t="str">
            <v>N0</v>
          </cell>
          <cell r="M1533" t="str">
            <v>Department of Culture and Tourism</v>
          </cell>
          <cell r="N1533" t="str">
            <v>Support Services</v>
          </cell>
          <cell r="O1533" t="str">
            <v>الخدمات المساندة</v>
          </cell>
          <cell r="P1533" t="str">
            <v>Supply Management</v>
          </cell>
          <cell r="Q1533" t="str">
            <v>إدارة الإمداد</v>
          </cell>
          <cell r="R1533" t="str">
            <v>Business Partners</v>
          </cell>
          <cell r="S1533" t="str">
            <v>شركاء أعمال</v>
          </cell>
          <cell r="T1533" t="str">
            <v>Procurement Business Partners</v>
          </cell>
          <cell r="U1533" t="str">
            <v>شركاء أعمال المشتريات</v>
          </cell>
          <cell r="V1533" t="str">
            <v>Abu Dhabi</v>
          </cell>
          <cell r="W1533" t="str">
            <v/>
          </cell>
          <cell r="X1533" t="str">
            <v>4510240</v>
          </cell>
          <cell r="Y1533" t="str">
            <v>Procurement_Procurement Business Partner _Senior Professional</v>
          </cell>
          <cell r="Z1533" t="str">
            <v>Professional</v>
          </cell>
          <cell r="AA1533" t="str">
            <v>3B</v>
          </cell>
        </row>
        <row r="1534">
          <cell r="A1534">
            <v>2000935</v>
          </cell>
          <cell r="B1534">
            <v>2000935</v>
          </cell>
          <cell r="C1534" t="str">
            <v>A</v>
          </cell>
          <cell r="D1534" t="str">
            <v>Brayden Ainzuain</v>
          </cell>
          <cell r="E1534" t="str">
            <v>برايدين  اينزوين</v>
          </cell>
          <cell r="F1534">
            <v>45082</v>
          </cell>
          <cell r="G1534" t="str">
            <v>50002191</v>
          </cell>
          <cell r="H1534" t="str">
            <v>Planning, Research &amp; Insight Section Head</v>
          </cell>
          <cell r="I1534" t="str">
            <v>رئيس قسم التخطيط والبحوث</v>
          </cell>
          <cell r="J1534" t="str">
            <v>On-Chart</v>
          </cell>
          <cell r="K1534" t="str">
            <v>Al Nahiya</v>
          </cell>
          <cell r="L1534" t="str">
            <v>N0</v>
          </cell>
          <cell r="M1534" t="str">
            <v>Department of Culture and Tourism</v>
          </cell>
          <cell r="N1534" t="str">
            <v>Strategic Marketing &amp; Communication</v>
          </cell>
          <cell r="O1534" t="str">
            <v>التسويق والاتصال الاستراتيجي</v>
          </cell>
          <cell r="P1534" t="str">
            <v>Planning, Strategy &amp; Operations</v>
          </cell>
          <cell r="Q1534" t="str">
            <v>التخطيط والاستراتيجية والعمليات</v>
          </cell>
          <cell r="R1534" t="str">
            <v>Planning, Research &amp; Insight</v>
          </cell>
          <cell r="S1534" t="str">
            <v>التخطيط والبحوث</v>
          </cell>
          <cell r="T1534" t="str">
            <v/>
          </cell>
          <cell r="U1534" t="str">
            <v/>
          </cell>
          <cell r="V1534" t="str">
            <v>Abu Dhabi</v>
          </cell>
          <cell r="W1534" t="str">
            <v/>
          </cell>
          <cell r="X1534" t="str">
            <v>4513130</v>
          </cell>
          <cell r="Y1534" t="str">
            <v>Strategy, Planning, Project Mgt_Operational Planning &amp; Project Management _Section Head</v>
          </cell>
          <cell r="Z1534" t="str">
            <v>Section Manager</v>
          </cell>
          <cell r="AA1534" t="str">
            <v>2B</v>
          </cell>
        </row>
        <row r="1535">
          <cell r="A1535">
            <v>2000937</v>
          </cell>
          <cell r="B1535">
            <v>2000937</v>
          </cell>
          <cell r="C1535" t="str">
            <v>A</v>
          </cell>
          <cell r="D1535" t="str">
            <v>Saida Khaydarova</v>
          </cell>
          <cell r="E1535" t="str">
            <v>سايدا  خايداروفا</v>
          </cell>
          <cell r="F1535">
            <v>45070</v>
          </cell>
          <cell r="G1535" t="str">
            <v>50004236</v>
          </cell>
          <cell r="H1535" t="str">
            <v>Sponsorship Specialist</v>
          </cell>
          <cell r="I1535" t="str">
            <v>أخصائي الرعاية</v>
          </cell>
          <cell r="J1535" t="str">
            <v>On-Chart</v>
          </cell>
          <cell r="K1535" t="str">
            <v>Al Nahiya</v>
          </cell>
          <cell r="L1535" t="str">
            <v>N0</v>
          </cell>
          <cell r="M1535" t="str">
            <v>Department of Culture and Tourism</v>
          </cell>
          <cell r="N1535" t="str">
            <v>Tourism</v>
          </cell>
          <cell r="O1535" t="str">
            <v>السياحة</v>
          </cell>
          <cell r="P1535" t="str">
            <v>Abu Dhabi Events Bureau</v>
          </cell>
          <cell r="Q1535" t="str">
            <v>مكتب أبوظبي للفعاليات</v>
          </cell>
          <cell r="R1535" t="str">
            <v>Events Strategy &amp; Planning</v>
          </cell>
          <cell r="S1535" t="str">
            <v>استراتيجية وتخطيط الفعاليات</v>
          </cell>
          <cell r="T1535" t="str">
            <v>Sponsorship</v>
          </cell>
          <cell r="U1535" t="str">
            <v>وحدة الرعاية</v>
          </cell>
          <cell r="V1535" t="str">
            <v>Abu Dhabi</v>
          </cell>
          <cell r="W1535" t="str">
            <v/>
          </cell>
          <cell r="X1535" t="str">
            <v>4515500</v>
          </cell>
          <cell r="Y1535" t="str">
            <v>Stakeholder &amp; Partner Relations_Sponsorship &amp; Fund Raising_Professional</v>
          </cell>
          <cell r="Z1535" t="str">
            <v>Professional</v>
          </cell>
          <cell r="AA1535" t="str">
            <v>4B</v>
          </cell>
        </row>
        <row r="1536">
          <cell r="A1536">
            <v>2000938</v>
          </cell>
          <cell r="B1536">
            <v>2000938</v>
          </cell>
          <cell r="C1536" t="str">
            <v>A</v>
          </cell>
          <cell r="D1536" t="str">
            <v>Souad Alaoui</v>
          </cell>
          <cell r="E1536" t="str">
            <v>سعاد  العلوي</v>
          </cell>
          <cell r="F1536">
            <v>45078</v>
          </cell>
          <cell r="G1536" t="str">
            <v>41000015</v>
          </cell>
          <cell r="H1536" t="str">
            <v>Executive Assistant</v>
          </cell>
          <cell r="I1536" t="str">
            <v>مساعد تنفيذي</v>
          </cell>
          <cell r="J1536" t="str">
            <v>On-Chart</v>
          </cell>
          <cell r="K1536" t="str">
            <v>Al Nahiya</v>
          </cell>
          <cell r="L1536" t="str">
            <v>N0</v>
          </cell>
          <cell r="M1536" t="str">
            <v>Department of Culture and Tourism</v>
          </cell>
          <cell r="N1536" t="str">
            <v>Tourism</v>
          </cell>
          <cell r="O1536" t="str">
            <v>السياحة</v>
          </cell>
          <cell r="P1536" t="str">
            <v>Destinations Management Department</v>
          </cell>
          <cell r="Q1536" t="str">
            <v>إدارة الوجهات</v>
          </cell>
          <cell r="R1536" t="str">
            <v/>
          </cell>
          <cell r="S1536" t="str">
            <v/>
          </cell>
          <cell r="T1536" t="str">
            <v/>
          </cell>
          <cell r="U1536" t="str">
            <v/>
          </cell>
          <cell r="V1536" t="str">
            <v>Abu Dhabi</v>
          </cell>
          <cell r="W1536" t="str">
            <v/>
          </cell>
          <cell r="X1536" t="str">
            <v>4515700</v>
          </cell>
          <cell r="Y1536" t="str">
            <v>Commercial _Travel Trade &amp; Tourism  Market Development _Professional</v>
          </cell>
          <cell r="Z1536" t="str">
            <v>Professional Assistant</v>
          </cell>
          <cell r="AA1536" t="str">
            <v>4B</v>
          </cell>
        </row>
        <row r="1537">
          <cell r="A1537">
            <v>2000939</v>
          </cell>
          <cell r="B1537">
            <v>2000939</v>
          </cell>
          <cell r="C1537" t="str">
            <v>A</v>
          </cell>
          <cell r="D1537" t="str">
            <v>Hamad Ali Al Rumaithi</v>
          </cell>
          <cell r="E1537" t="str">
            <v>حمد على الرميثى</v>
          </cell>
          <cell r="F1537">
            <v>45078</v>
          </cell>
          <cell r="G1537" t="str">
            <v>50000913</v>
          </cell>
          <cell r="H1537" t="str">
            <v>Strategic Projects &amp; Transformation Unit Head</v>
          </cell>
          <cell r="I1537" t="str">
            <v>رئيس وحدة التحول والمشاريع الاستراتيجية</v>
          </cell>
          <cell r="J1537" t="str">
            <v>On-Chart</v>
          </cell>
          <cell r="K1537" t="str">
            <v>Al Nahiya</v>
          </cell>
          <cell r="L1537" t="str">
            <v>N0</v>
          </cell>
          <cell r="M1537" t="str">
            <v>Department of Culture and Tourism</v>
          </cell>
          <cell r="N1537" t="str">
            <v>Support Services</v>
          </cell>
          <cell r="O1537" t="str">
            <v>الخدمات المساندة</v>
          </cell>
          <cell r="P1537" t="str">
            <v>Office of the Support Services Executive Director</v>
          </cell>
          <cell r="Q1537" t="str">
            <v>مكتب المدير التنفيذي لقطاع الخدمات المساندة</v>
          </cell>
          <cell r="R1537" t="str">
            <v>Support Services Transformation</v>
          </cell>
          <cell r="S1537" t="str">
            <v>تحول الخدمات المساندة</v>
          </cell>
          <cell r="T1537" t="str">
            <v>Strategic Projects &amp; Transformation</v>
          </cell>
          <cell r="U1537" t="str">
            <v>التحول والمشاريع الاستراتيجية</v>
          </cell>
          <cell r="V1537" t="str">
            <v>Abu Dhabi</v>
          </cell>
          <cell r="W1537" t="str">
            <v/>
          </cell>
          <cell r="X1537" t="str">
            <v>4510201</v>
          </cell>
          <cell r="Y1537" t="str">
            <v>Strategy, Planning, Project Mgt_Strategic Business Partnership_Unit Head</v>
          </cell>
          <cell r="Z1537" t="str">
            <v>Unit Head</v>
          </cell>
          <cell r="AA1537" t="str">
            <v>3A</v>
          </cell>
        </row>
        <row r="1538">
          <cell r="A1538">
            <v>2000941</v>
          </cell>
          <cell r="B1538">
            <v>2000941</v>
          </cell>
          <cell r="C1538" t="str">
            <v>A</v>
          </cell>
          <cell r="D1538" t="str">
            <v>Srour Al-Muwalla</v>
          </cell>
          <cell r="E1538" t="str">
            <v>سرور  المولى</v>
          </cell>
          <cell r="F1538">
            <v>45180</v>
          </cell>
          <cell r="G1538" t="str">
            <v>10005025</v>
          </cell>
          <cell r="H1538" t="str">
            <v>Sourcing Unit Head</v>
          </cell>
          <cell r="I1538" t="str">
            <v>رئيس وحدة توريد المشتريات</v>
          </cell>
          <cell r="J1538" t="str">
            <v>On-Chart</v>
          </cell>
          <cell r="K1538" t="str">
            <v>Al Nahiya</v>
          </cell>
          <cell r="L1538" t="str">
            <v>N0</v>
          </cell>
          <cell r="M1538" t="str">
            <v>Department of Culture and Tourism</v>
          </cell>
          <cell r="N1538" t="str">
            <v>Support Services</v>
          </cell>
          <cell r="O1538" t="str">
            <v>الخدمات المساندة</v>
          </cell>
          <cell r="P1538" t="str">
            <v>Supply Management</v>
          </cell>
          <cell r="Q1538" t="str">
            <v>إدارة الإمداد</v>
          </cell>
          <cell r="R1538" t="str">
            <v>Sourcing</v>
          </cell>
          <cell r="S1538" t="str">
            <v>التوريد</v>
          </cell>
          <cell r="T1538" t="str">
            <v>Sourcing</v>
          </cell>
          <cell r="U1538" t="str">
            <v>توريد المشتريات</v>
          </cell>
          <cell r="V1538" t="str">
            <v>Abu Dhabi</v>
          </cell>
          <cell r="W1538" t="str">
            <v/>
          </cell>
          <cell r="X1538" t="str">
            <v>4510240</v>
          </cell>
          <cell r="Y1538" t="str">
            <v>Procurement_Procurement General _Unit Head</v>
          </cell>
          <cell r="Z1538" t="str">
            <v>Unit Head</v>
          </cell>
          <cell r="AA1538" t="str">
            <v>3B</v>
          </cell>
        </row>
        <row r="1539">
          <cell r="A1539">
            <v>2000942</v>
          </cell>
          <cell r="B1539">
            <v>2000942</v>
          </cell>
          <cell r="C1539" t="str">
            <v>A</v>
          </cell>
          <cell r="D1539" t="str">
            <v>Shadi Alshinteer</v>
          </cell>
          <cell r="E1539" t="str">
            <v>شادى  الشنتير</v>
          </cell>
          <cell r="F1539">
            <v>45089</v>
          </cell>
          <cell r="G1539" t="str">
            <v>50000373</v>
          </cell>
          <cell r="H1539" t="str">
            <v>Sourcing Senior Specialist</v>
          </cell>
          <cell r="I1539" t="str">
            <v>أخصائي أول التوريد</v>
          </cell>
          <cell r="J1539" t="str">
            <v>On-Chart</v>
          </cell>
          <cell r="K1539" t="str">
            <v>Al Nahiya</v>
          </cell>
          <cell r="L1539" t="str">
            <v>N0</v>
          </cell>
          <cell r="M1539" t="str">
            <v>Department of Culture and Tourism</v>
          </cell>
          <cell r="N1539" t="str">
            <v>Support Services</v>
          </cell>
          <cell r="O1539" t="str">
            <v>الخدمات المساندة</v>
          </cell>
          <cell r="P1539" t="str">
            <v>Supply Management</v>
          </cell>
          <cell r="Q1539" t="str">
            <v>إدارة الإمداد</v>
          </cell>
          <cell r="R1539" t="str">
            <v>Business Partners</v>
          </cell>
          <cell r="S1539" t="str">
            <v>شركاء أعمال</v>
          </cell>
          <cell r="T1539" t="str">
            <v>Category Analyst</v>
          </cell>
          <cell r="U1539" t="str">
            <v/>
          </cell>
          <cell r="V1539" t="str">
            <v>Abu Dhabi</v>
          </cell>
          <cell r="W1539" t="str">
            <v/>
          </cell>
          <cell r="X1539" t="str">
            <v>4510240</v>
          </cell>
          <cell r="Y1539" t="str">
            <v>Procurement_Procurement General_Senior Professional</v>
          </cell>
          <cell r="Z1539" t="str">
            <v>Professional</v>
          </cell>
          <cell r="AA1539" t="str">
            <v>3B</v>
          </cell>
        </row>
        <row r="1540">
          <cell r="A1540">
            <v>2000943</v>
          </cell>
          <cell r="B1540">
            <v>2000943</v>
          </cell>
          <cell r="C1540" t="str">
            <v>A</v>
          </cell>
          <cell r="D1540" t="str">
            <v>Nazem Yahyia EL Arjah</v>
          </cell>
          <cell r="E1540" t="str">
            <v>ناظم يحي العرجة</v>
          </cell>
          <cell r="F1540">
            <v>45133</v>
          </cell>
          <cell r="G1540" t="str">
            <v>50002642</v>
          </cell>
          <cell r="H1540" t="str">
            <v>Network System Engineer</v>
          </cell>
          <cell r="I1540" t="str">
            <v>مهندس نظام الشبكة</v>
          </cell>
          <cell r="J1540" t="str">
            <v>On-Chart</v>
          </cell>
          <cell r="K1540" t="str">
            <v>MSS Al Nahiya</v>
          </cell>
          <cell r="L1540" t="str">
            <v>M2</v>
          </cell>
          <cell r="M1540" t="str">
            <v>Louvre Abu Dhabi</v>
          </cell>
          <cell r="N1540" t="str">
            <v>Louvre Abu Dhabi</v>
          </cell>
          <cell r="O1540" t="str">
            <v>متحف اللوفر أبوظبي</v>
          </cell>
          <cell r="P1540" t="str">
            <v>Technical Operations</v>
          </cell>
          <cell r="Q1540" t="str">
            <v>العمليات الفنية</v>
          </cell>
          <cell r="R1540" t="str">
            <v/>
          </cell>
          <cell r="S1540" t="str">
            <v/>
          </cell>
          <cell r="T1540" t="str">
            <v/>
          </cell>
          <cell r="U1540" t="str">
            <v/>
          </cell>
          <cell r="V1540" t="str">
            <v>Abu Dhabi</v>
          </cell>
          <cell r="W1540" t="str">
            <v/>
          </cell>
          <cell r="X1540" t="str">
            <v>4510127</v>
          </cell>
          <cell r="Y1540" t="str">
            <v>Information Technology_Network Architect_Senior Professional</v>
          </cell>
          <cell r="Z1540" t="str">
            <v>Senior Professional</v>
          </cell>
          <cell r="AA1540" t="str">
            <v>3B</v>
          </cell>
        </row>
        <row r="1541">
          <cell r="A1541">
            <v>2000944</v>
          </cell>
          <cell r="B1541">
            <v>2000944</v>
          </cell>
          <cell r="C1541" t="str">
            <v>A</v>
          </cell>
          <cell r="D1541" t="str">
            <v>Ashraf Albarasy</v>
          </cell>
          <cell r="E1541" t="str">
            <v>اشرف  البرعصى</v>
          </cell>
          <cell r="F1541">
            <v>45089</v>
          </cell>
          <cell r="G1541" t="str">
            <v>50002292</v>
          </cell>
          <cell r="H1541" t="str">
            <v>Sourcing Senior Specialist</v>
          </cell>
          <cell r="I1541" t="str">
            <v>أخصائي أول التوريد</v>
          </cell>
          <cell r="J1541" t="str">
            <v>On-Chart</v>
          </cell>
          <cell r="K1541" t="str">
            <v>Al Nahiya</v>
          </cell>
          <cell r="L1541" t="str">
            <v>N0</v>
          </cell>
          <cell r="M1541" t="str">
            <v>Department of Culture and Tourism</v>
          </cell>
          <cell r="N1541" t="str">
            <v>Support Services</v>
          </cell>
          <cell r="O1541" t="str">
            <v>الخدمات المساندة</v>
          </cell>
          <cell r="P1541" t="str">
            <v>Supply Management</v>
          </cell>
          <cell r="Q1541" t="str">
            <v>إدارة الإمداد</v>
          </cell>
          <cell r="R1541" t="str">
            <v>Sourcing</v>
          </cell>
          <cell r="S1541" t="str">
            <v>التوريد</v>
          </cell>
          <cell r="T1541" t="str">
            <v>Sourcing</v>
          </cell>
          <cell r="U1541" t="str">
            <v>توريد المشتريات</v>
          </cell>
          <cell r="V1541" t="str">
            <v>Abu Dhabi</v>
          </cell>
          <cell r="W1541" t="str">
            <v/>
          </cell>
          <cell r="X1541" t="str">
            <v>4510240</v>
          </cell>
          <cell r="Y1541" t="str">
            <v>Procurement_Procurement General_Senior Professional</v>
          </cell>
          <cell r="Z1541" t="str">
            <v>Senior Professional</v>
          </cell>
          <cell r="AA1541" t="str">
            <v>3B</v>
          </cell>
        </row>
        <row r="1542">
          <cell r="A1542">
            <v>2000945</v>
          </cell>
          <cell r="B1542">
            <v>2000945</v>
          </cell>
          <cell r="C1542" t="str">
            <v>A</v>
          </cell>
          <cell r="D1542" t="str">
            <v>Chaimaa Ahmed Toumi</v>
          </cell>
          <cell r="E1542" t="str">
            <v>شيماء احمد تومى</v>
          </cell>
          <cell r="F1542">
            <v>45078</v>
          </cell>
          <cell r="G1542" t="str">
            <v>50000988</v>
          </cell>
          <cell r="H1542" t="str">
            <v>Programmes Management Officer</v>
          </cell>
          <cell r="I1542" t="str">
            <v>ضابط إدارة البرامج</v>
          </cell>
          <cell r="J1542" t="str">
            <v>On-Chart</v>
          </cell>
          <cell r="K1542" t="str">
            <v>ALC Al Nahiya</v>
          </cell>
          <cell r="L1542" t="str">
            <v>AL2</v>
          </cell>
          <cell r="M1542" t="str">
            <v>Abu Dhabi Arabic Language Centre</v>
          </cell>
          <cell r="N1542" t="str">
            <v>Abu Dhabi Arabic Language Centre</v>
          </cell>
          <cell r="O1542" t="str">
            <v>مركز أبوظبي للغة العربية</v>
          </cell>
          <cell r="P1542" t="str">
            <v>Creative Content</v>
          </cell>
          <cell r="Q1542" t="str">
            <v>المحتوى الإبداعي</v>
          </cell>
          <cell r="R1542" t="str">
            <v/>
          </cell>
          <cell r="S1542" t="str">
            <v/>
          </cell>
          <cell r="T1542" t="str">
            <v/>
          </cell>
          <cell r="U1542" t="str">
            <v/>
          </cell>
          <cell r="V1542" t="str">
            <v>Abu Dhabi</v>
          </cell>
          <cell r="W1542" t="str">
            <v/>
          </cell>
          <cell r="X1542" t="str">
            <v>4519199</v>
          </cell>
          <cell r="Y1542" t="str">
            <v>Interpretation &amp; Engagement_Arabic Language Research &amp; Studies_Professional</v>
          </cell>
          <cell r="Z1542" t="str">
            <v>Professional</v>
          </cell>
          <cell r="AA1542" t="str">
            <v>4B</v>
          </cell>
        </row>
        <row r="1543">
          <cell r="A1543">
            <v>2000946</v>
          </cell>
          <cell r="B1543">
            <v>2000946</v>
          </cell>
          <cell r="C1543" t="str">
            <v>A</v>
          </cell>
          <cell r="D1543" t="str">
            <v>Himanshu Tarpara</v>
          </cell>
          <cell r="E1543" t="str">
            <v>هيمانشو  برافين</v>
          </cell>
          <cell r="F1543">
            <v>45083</v>
          </cell>
          <cell r="G1543" t="str">
            <v>10011095</v>
          </cell>
          <cell r="H1543" t="str">
            <v>Corporate Security Lead</v>
          </cell>
          <cell r="I1543" t="str">
            <v>أخصائي رئيسي الأمن المؤسسي</v>
          </cell>
          <cell r="J1543" t="str">
            <v>On-Chart</v>
          </cell>
          <cell r="K1543" t="str">
            <v>Al Nahiya</v>
          </cell>
          <cell r="L1543" t="str">
            <v>N0</v>
          </cell>
          <cell r="M1543" t="str">
            <v>Department of Culture and Tourism</v>
          </cell>
          <cell r="N1543" t="str">
            <v>Office Of Undersecretary</v>
          </cell>
          <cell r="O1543" t="str">
            <v>مكتب وكيل الدائرة</v>
          </cell>
          <cell r="P1543" t="str">
            <v>Office Of Undersecretary</v>
          </cell>
          <cell r="Q1543" t="str">
            <v>مكتب وكيل الدائرة</v>
          </cell>
          <cell r="R1543" t="str">
            <v>Information Security</v>
          </cell>
          <cell r="S1543" t="str">
            <v>أمن المعلومات</v>
          </cell>
          <cell r="T1543" t="str">
            <v/>
          </cell>
          <cell r="U1543" t="str">
            <v/>
          </cell>
          <cell r="V1543" t="str">
            <v>Abu Dhabi</v>
          </cell>
          <cell r="W1543" t="str">
            <v/>
          </cell>
          <cell r="X1543" t="str">
            <v>4510250</v>
          </cell>
          <cell r="Y1543" t="str">
            <v>Information Technology_Building Information Modelling Architecture / Development Unit Head_Unit Head</v>
          </cell>
          <cell r="Z1543" t="str">
            <v>Unit Head</v>
          </cell>
          <cell r="AA1543" t="str">
            <v>3B</v>
          </cell>
        </row>
        <row r="1544">
          <cell r="A1544">
            <v>2000948</v>
          </cell>
          <cell r="B1544">
            <v>2000948</v>
          </cell>
          <cell r="C1544" t="str">
            <v>A</v>
          </cell>
          <cell r="D1544" t="str">
            <v>Mohammed Abualsaid</v>
          </cell>
          <cell r="E1544" t="str">
            <v>محمد  أبو السعيد</v>
          </cell>
          <cell r="F1544">
            <v>45089</v>
          </cell>
          <cell r="G1544" t="str">
            <v>50002198</v>
          </cell>
          <cell r="H1544" t="str">
            <v>Assistant Curator</v>
          </cell>
          <cell r="I1544" t="str">
            <v>مساعد أمين متحف</v>
          </cell>
          <cell r="J1544" t="str">
            <v>On-Chart</v>
          </cell>
          <cell r="K1544" t="str">
            <v>Al Nahiya</v>
          </cell>
          <cell r="L1544" t="str">
            <v>N0</v>
          </cell>
          <cell r="M1544" t="str">
            <v>Department of Culture and Tourism</v>
          </cell>
          <cell r="N1544" t="str">
            <v>Culture</v>
          </cell>
          <cell r="O1544" t="str">
            <v>الثقافة</v>
          </cell>
          <cell r="P1544" t="str">
            <v>Scientific, Curatorial and Collection Department</v>
          </cell>
          <cell r="Q1544" t="str">
            <v>إدارة البحث العلمي والمقتنيات</v>
          </cell>
          <cell r="R1544" t="str">
            <v>Curatorial Research</v>
          </cell>
          <cell r="S1544" t="str">
            <v>البحوث وأمناء المتاحف</v>
          </cell>
          <cell r="T1544" t="str">
            <v/>
          </cell>
          <cell r="U1544" t="str">
            <v/>
          </cell>
          <cell r="V1544" t="str">
            <v>Abu Dhabi</v>
          </cell>
          <cell r="W1544" t="str">
            <v/>
          </cell>
          <cell r="X1544" t="str">
            <v>4511150</v>
          </cell>
          <cell r="Y1544" t="str">
            <v>Compliance,Governance&amp;Protocol_Policy (Culture/Tourism) _Professional</v>
          </cell>
          <cell r="Z1544" t="str">
            <v>Professional</v>
          </cell>
          <cell r="AA1544" t="str">
            <v>4B</v>
          </cell>
        </row>
        <row r="1545">
          <cell r="A1545">
            <v>2000952</v>
          </cell>
          <cell r="B1545">
            <v>2000952</v>
          </cell>
          <cell r="C1545" t="str">
            <v>A</v>
          </cell>
          <cell r="D1545" t="str">
            <v>Anwar Hamed Alababneh</v>
          </cell>
          <cell r="E1545" t="str">
            <v>انور حامد العبابنه</v>
          </cell>
          <cell r="F1545">
            <v>45097</v>
          </cell>
          <cell r="G1545" t="str">
            <v>50002655</v>
          </cell>
          <cell r="H1545" t="str">
            <v>Ticketing Officer</v>
          </cell>
          <cell r="I1545" t="str">
            <v>ضابط حجوزات</v>
          </cell>
          <cell r="J1545" t="str">
            <v>On-Chart</v>
          </cell>
          <cell r="K1545" t="str">
            <v>MSS Al Nahiya</v>
          </cell>
          <cell r="L1545" t="str">
            <v>M2</v>
          </cell>
          <cell r="M1545" t="str">
            <v>Louvre Abu Dhabi</v>
          </cell>
          <cell r="N1545" t="str">
            <v>Louvre Abu Dhabi</v>
          </cell>
          <cell r="O1545" t="str">
            <v>متحف اللوفر أبوظبي</v>
          </cell>
          <cell r="P1545" t="str">
            <v>Visitor Experience &amp; Sales</v>
          </cell>
          <cell r="Q1545" t="str">
            <v>إدارة تجربة الزوار و المبيعات</v>
          </cell>
          <cell r="R1545" t="str">
            <v>Sales</v>
          </cell>
          <cell r="S1545" t="str">
            <v>المبيعات</v>
          </cell>
          <cell r="T1545" t="str">
            <v>Visitor Services</v>
          </cell>
          <cell r="U1545" t="str">
            <v>خدمات الزوار</v>
          </cell>
          <cell r="V1545" t="str">
            <v>Abu Dhabi</v>
          </cell>
          <cell r="W1545" t="str">
            <v/>
          </cell>
          <cell r="X1545" t="str">
            <v>4510125</v>
          </cell>
          <cell r="Y1545" t="str">
            <v>Design_Visitor Experience Design _Professional</v>
          </cell>
          <cell r="Z1545" t="str">
            <v>Professional</v>
          </cell>
          <cell r="AA1545" t="str">
            <v>4A</v>
          </cell>
        </row>
        <row r="1546">
          <cell r="A1546">
            <v>2000953</v>
          </cell>
          <cell r="B1546">
            <v>2000953</v>
          </cell>
          <cell r="C1546" t="str">
            <v>A</v>
          </cell>
          <cell r="D1546" t="str">
            <v>Asma Abdulla Alfalasi</v>
          </cell>
          <cell r="E1546" t="str">
            <v>أسماء عبدالله الفلاسي</v>
          </cell>
          <cell r="F1546">
            <v>45117</v>
          </cell>
          <cell r="G1546" t="str">
            <v>50002106</v>
          </cell>
          <cell r="H1546" t="str">
            <v>PR &amp; Communications Unit Head</v>
          </cell>
          <cell r="I1546" t="str">
            <v>أخصائي رئيسي العلاقات العامة والاتصالات</v>
          </cell>
          <cell r="J1546" t="str">
            <v>On-Chart</v>
          </cell>
          <cell r="K1546" t="str">
            <v>ALC Al Nahiya</v>
          </cell>
          <cell r="L1546" t="str">
            <v>AL2</v>
          </cell>
          <cell r="M1546" t="str">
            <v>Abu Dhabi Arabic Language Centre</v>
          </cell>
          <cell r="N1546" t="str">
            <v>Abu Dhabi Arabic Language Centre</v>
          </cell>
          <cell r="O1546" t="str">
            <v>مركز أبوظبي للغة العربية</v>
          </cell>
          <cell r="P1546" t="str">
            <v>Marketing &amp; Communications</v>
          </cell>
          <cell r="Q1546" t="str">
            <v>التسويق والاتصال</v>
          </cell>
          <cell r="R1546" t="str">
            <v>-</v>
          </cell>
          <cell r="S1546" t="str">
            <v/>
          </cell>
          <cell r="T1546" t="str">
            <v>PR &amp; Communications</v>
          </cell>
          <cell r="U1546" t="str">
            <v>العلاقات العامة والاتصال</v>
          </cell>
          <cell r="V1546" t="str">
            <v>Abu Dhabi</v>
          </cell>
          <cell r="W1546" t="str">
            <v/>
          </cell>
          <cell r="X1546" t="str">
            <v>4519196</v>
          </cell>
          <cell r="Y1546" t="str">
            <v>Comms &amp; Marketing _Communications (All Areas)_Unit Head</v>
          </cell>
          <cell r="Z1546" t="str">
            <v>Unit Head</v>
          </cell>
          <cell r="AA1546" t="str">
            <v>3B</v>
          </cell>
        </row>
        <row r="1547">
          <cell r="A1547">
            <v>2000954</v>
          </cell>
          <cell r="B1547">
            <v>2000954</v>
          </cell>
          <cell r="C1547" t="str">
            <v>A</v>
          </cell>
          <cell r="D1547" t="str">
            <v>Hanadi Naeem Atout</v>
          </cell>
          <cell r="E1547" t="str">
            <v>هنادى نعيم عطعوط</v>
          </cell>
          <cell r="F1547">
            <v>45108</v>
          </cell>
          <cell r="G1547" t="str">
            <v>10009862</v>
          </cell>
          <cell r="H1547" t="str">
            <v>Business Development &amp; Sales Officer - Book Fairs</v>
          </cell>
          <cell r="I1547" t="str">
            <v>ضابط إدارة العمليات</v>
          </cell>
          <cell r="J1547" t="str">
            <v>On-Chart</v>
          </cell>
          <cell r="K1547" t="str">
            <v>ALC Al Nahiya</v>
          </cell>
          <cell r="L1547" t="str">
            <v>AL2</v>
          </cell>
          <cell r="M1547" t="str">
            <v>Abu Dhabi Arabic Language Centre</v>
          </cell>
          <cell r="N1547" t="str">
            <v>Abu Dhabi Arabic Language Centre</v>
          </cell>
          <cell r="O1547" t="str">
            <v>مركز أبوظبي للغة العربية</v>
          </cell>
          <cell r="P1547" t="str">
            <v>Book Fairs &amp; Events</v>
          </cell>
          <cell r="Q1547" t="str">
            <v>الفعاليات ومعارض الكتب</v>
          </cell>
          <cell r="R1547" t="str">
            <v>Commercial &amp; Business Development - ALC</v>
          </cell>
          <cell r="S1547" t="str">
            <v>التنمية التجارية وتطوير الأعمال</v>
          </cell>
          <cell r="T1547" t="str">
            <v>Business Development &amp; Sales – Book Fairs</v>
          </cell>
          <cell r="U1547" t="str">
            <v>تطوير الأعمال  والمبيعات – معارض الكتاب</v>
          </cell>
          <cell r="V1547" t="str">
            <v>Abu Dhabi</v>
          </cell>
          <cell r="W1547" t="str">
            <v/>
          </cell>
          <cell r="X1547" t="str">
            <v>4519200</v>
          </cell>
          <cell r="Y1547" t="str">
            <v>Specialization Commercial</v>
          </cell>
          <cell r="Z1547" t="str">
            <v>Professional</v>
          </cell>
          <cell r="AA1547" t="str">
            <v>4B</v>
          </cell>
        </row>
        <row r="1548">
          <cell r="A1548">
            <v>2000955</v>
          </cell>
          <cell r="B1548">
            <v>2000955</v>
          </cell>
          <cell r="C1548" t="str">
            <v>A</v>
          </cell>
          <cell r="D1548" t="str">
            <v>Mashael Mohamed Al-Ali</v>
          </cell>
          <cell r="E1548" t="str">
            <v>مشاعل محمد آل علي</v>
          </cell>
          <cell r="F1548">
            <v>45113</v>
          </cell>
          <cell r="G1548" t="str">
            <v>50002306</v>
          </cell>
          <cell r="H1548" t="str">
            <v>House of Artisans Section Head</v>
          </cell>
          <cell r="I1548" t="str">
            <v>رئيس قسم بيت الحرفيين</v>
          </cell>
          <cell r="J1548" t="str">
            <v>On-Chart</v>
          </cell>
          <cell r="K1548" t="str">
            <v>Al Nahiya</v>
          </cell>
          <cell r="L1548" t="str">
            <v>N0</v>
          </cell>
          <cell r="M1548" t="str">
            <v>Department of Culture and Tourism</v>
          </cell>
          <cell r="N1548" t="str">
            <v>Culture</v>
          </cell>
          <cell r="O1548" t="str">
            <v>الثقافة</v>
          </cell>
          <cell r="P1548" t="str">
            <v>Culture Sites Management</v>
          </cell>
          <cell r="Q1548" t="str">
            <v>إدارة المواقع الثقافية</v>
          </cell>
          <cell r="R1548" t="str">
            <v>House of Artisans</v>
          </cell>
          <cell r="S1548" t="str">
            <v>بيت الحرفيين</v>
          </cell>
          <cell r="T1548" t="str">
            <v/>
          </cell>
          <cell r="U1548" t="str">
            <v/>
          </cell>
          <cell r="V1548" t="str">
            <v>Abu Dhabi</v>
          </cell>
          <cell r="W1548" t="str">
            <v/>
          </cell>
          <cell r="X1548" t="str">
            <v>4511250</v>
          </cell>
          <cell r="Y1548" t="str">
            <v>Compliance,Governance&amp;Protocol_Policy (Culture &amp; Tourism)_Section Head</v>
          </cell>
          <cell r="Z1548" t="str">
            <v>Section Manager</v>
          </cell>
          <cell r="AA1548" t="str">
            <v>2B</v>
          </cell>
        </row>
        <row r="1549">
          <cell r="A1549">
            <v>2000978</v>
          </cell>
          <cell r="B1549">
            <v>2000978</v>
          </cell>
          <cell r="C1549" t="str">
            <v>A</v>
          </cell>
          <cell r="D1549" t="str">
            <v>Dabyah Taha Al Jenaid</v>
          </cell>
          <cell r="E1549" t="str">
            <v>ظبيه طه الجنيد</v>
          </cell>
          <cell r="F1549">
            <v>45117</v>
          </cell>
          <cell r="G1549" t="str">
            <v>10010496</v>
          </cell>
          <cell r="H1549" t="str">
            <v>Graphic Designer</v>
          </cell>
          <cell r="I1549" t="str">
            <v>مصمم جرافيك</v>
          </cell>
          <cell r="J1549" t="str">
            <v>On-Chart</v>
          </cell>
          <cell r="K1549" t="str">
            <v>ALC Al Nahiya</v>
          </cell>
          <cell r="L1549" t="str">
            <v>AL2</v>
          </cell>
          <cell r="M1549" t="str">
            <v>Abu Dhabi Arabic Language Centre</v>
          </cell>
          <cell r="N1549" t="str">
            <v>Abu Dhabi Arabic Language Centre</v>
          </cell>
          <cell r="O1549" t="str">
            <v>مركز أبوظبي للغة العربية</v>
          </cell>
          <cell r="P1549" t="str">
            <v>Marketing &amp; Communications</v>
          </cell>
          <cell r="Q1549" t="str">
            <v>التسويق والاتصال</v>
          </cell>
          <cell r="R1549" t="str">
            <v>Brand Development</v>
          </cell>
          <cell r="S1549" t="str">
            <v>تطوير الهوية المؤسسية</v>
          </cell>
          <cell r="T1549" t="str">
            <v>Creative</v>
          </cell>
          <cell r="U1549" t="str">
            <v>الإبداع</v>
          </cell>
          <cell r="V1549" t="str">
            <v>Abu Dhabi</v>
          </cell>
          <cell r="W1549" t="str">
            <v/>
          </cell>
          <cell r="X1549" t="str">
            <v>4519196</v>
          </cell>
          <cell r="Y1549" t="str">
            <v>Comms &amp; Marketing _Marketing &amp; Communications (All)_Professional</v>
          </cell>
          <cell r="Z1549" t="str">
            <v>Professional</v>
          </cell>
          <cell r="AA1549" t="str">
            <v>4B</v>
          </cell>
        </row>
        <row r="1550">
          <cell r="A1550">
            <v>2000980</v>
          </cell>
          <cell r="B1550">
            <v>2000980</v>
          </cell>
          <cell r="C1550" t="str">
            <v>A</v>
          </cell>
          <cell r="D1550" t="str">
            <v>Kamel Abdul Rahman</v>
          </cell>
          <cell r="E1550" t="str">
            <v>كامل عبد الرحمن</v>
          </cell>
          <cell r="F1550">
            <v>45120</v>
          </cell>
          <cell r="G1550" t="str">
            <v>41000560</v>
          </cell>
          <cell r="H1550" t="str">
            <v>Performance Support Project Manager</v>
          </cell>
          <cell r="I1550" t="str">
            <v>مدير مشاريع دعم الأداء</v>
          </cell>
          <cell r="J1550" t="str">
            <v>On-Chart</v>
          </cell>
          <cell r="K1550" t="str">
            <v>Al Nahiya</v>
          </cell>
          <cell r="L1550" t="str">
            <v>N0</v>
          </cell>
          <cell r="M1550" t="str">
            <v>Department of Culture and Tourism</v>
          </cell>
          <cell r="N1550" t="str">
            <v>Support Services</v>
          </cell>
          <cell r="O1550" t="str">
            <v>الخدمات المساندة</v>
          </cell>
          <cell r="P1550" t="str">
            <v>Finance</v>
          </cell>
          <cell r="Q1550" t="str">
            <v>إدارة المالية</v>
          </cell>
          <cell r="R1550" t="str">
            <v>-</v>
          </cell>
          <cell r="S1550" t="str">
            <v>-</v>
          </cell>
          <cell r="T1550" t="str">
            <v>Strategic Finance</v>
          </cell>
          <cell r="U1550" t="str">
            <v>الإستراتيجية المالية</v>
          </cell>
          <cell r="V1550" t="str">
            <v>Abu Dhabi</v>
          </cell>
          <cell r="W1550" t="str">
            <v/>
          </cell>
          <cell r="X1550" t="str">
            <v>4510210</v>
          </cell>
          <cell r="Y1550" t="str">
            <v>Finance_Finance Operations _Section Head</v>
          </cell>
          <cell r="Z1550" t="str">
            <v>Unit Head</v>
          </cell>
          <cell r="AA1550" t="str">
            <v>3B</v>
          </cell>
        </row>
        <row r="1551">
          <cell r="A1551">
            <v>2000981</v>
          </cell>
          <cell r="B1551">
            <v>2000981</v>
          </cell>
          <cell r="C1551" t="str">
            <v>A</v>
          </cell>
          <cell r="D1551" t="str">
            <v>Ammar Raed Al Shargabi</v>
          </cell>
          <cell r="E1551" t="str">
            <v>عمار رائد الشرجبي</v>
          </cell>
          <cell r="F1551">
            <v>45127</v>
          </cell>
          <cell r="G1551" t="str">
            <v>10005808</v>
          </cell>
          <cell r="H1551" t="str">
            <v>Events Licensing Executive</v>
          </cell>
          <cell r="I1551" t="str">
            <v>تنفيذي ترخيص الفعاليات</v>
          </cell>
          <cell r="J1551" t="str">
            <v>On-Chart</v>
          </cell>
          <cell r="K1551" t="str">
            <v>Al Nahiya</v>
          </cell>
          <cell r="L1551" t="str">
            <v>N0</v>
          </cell>
          <cell r="M1551" t="str">
            <v>Department of Culture and Tourism</v>
          </cell>
          <cell r="N1551" t="str">
            <v>Tourism</v>
          </cell>
          <cell r="O1551" t="str">
            <v>السياحة</v>
          </cell>
          <cell r="P1551" t="str">
            <v>Licensing &amp; Regulatory Compliance</v>
          </cell>
          <cell r="Q1551" t="str">
            <v>الرقابة والترخيص</v>
          </cell>
          <cell r="R1551" t="str">
            <v>Licensing</v>
          </cell>
          <cell r="S1551" t="str">
            <v>الترخيص</v>
          </cell>
          <cell r="T1551" t="str">
            <v>Events Licensing</v>
          </cell>
          <cell r="U1551" t="str">
            <v>ترخيص الفعاليات</v>
          </cell>
          <cell r="V1551" t="str">
            <v>Abu Dhabi</v>
          </cell>
          <cell r="W1551" t="str">
            <v/>
          </cell>
          <cell r="X1551" t="str">
            <v>4510170</v>
          </cell>
          <cell r="Y1551" t="str">
            <v>Compliance,Governance&amp;Protocol_Licensing &amp; Regulatory Compliance- (Follow-up and Reporting) _Professional Assistant</v>
          </cell>
          <cell r="Z1551" t="str">
            <v>Professional</v>
          </cell>
          <cell r="AA1551" t="str">
            <v>4B</v>
          </cell>
        </row>
        <row r="1552">
          <cell r="A1552">
            <v>2000982</v>
          </cell>
          <cell r="B1552">
            <v>2000982</v>
          </cell>
          <cell r="C1552" t="str">
            <v>A</v>
          </cell>
          <cell r="D1552" t="str">
            <v>Omar Muhieddine Salem</v>
          </cell>
          <cell r="E1552" t="str">
            <v>عمر محيي الدين سالم</v>
          </cell>
          <cell r="F1552">
            <v>45131</v>
          </cell>
          <cell r="G1552" t="str">
            <v>50002284</v>
          </cell>
          <cell r="H1552" t="str">
            <v>Culture, Museums &amp; Affiliated Entities Strategic Planning Section Head</v>
          </cell>
          <cell r="I1552" t="str">
            <v>رئيس قسم التخطيط الاستراتيجي لقطاع الثقافة والمتاحف والجهات التابعة</v>
          </cell>
          <cell r="J1552" t="str">
            <v>On-Chart</v>
          </cell>
          <cell r="K1552" t="str">
            <v>Al Nahiya</v>
          </cell>
          <cell r="L1552" t="str">
            <v>N0</v>
          </cell>
          <cell r="M1552" t="str">
            <v>Department of Culture and Tourism</v>
          </cell>
          <cell r="N1552" t="str">
            <v>Strategic Affairs</v>
          </cell>
          <cell r="O1552" t="str">
            <v>الشؤون الاستراتيجية</v>
          </cell>
          <cell r="P1552" t="str">
            <v>Strategic Planning</v>
          </cell>
          <cell r="Q1552" t="str">
            <v>التخطيط الاستراتيجي</v>
          </cell>
          <cell r="R1552" t="str">
            <v>Culture, Museums &amp; Affiliated Entities Strategic Planning</v>
          </cell>
          <cell r="S1552" t="str">
            <v>التخطيط الاستراتيجي لقطاع الثقافة والمتاحف والجهات التابعة</v>
          </cell>
          <cell r="T1552" t="str">
            <v/>
          </cell>
          <cell r="U1552" t="str">
            <v/>
          </cell>
          <cell r="V1552" t="str">
            <v>Abu Dhabi</v>
          </cell>
          <cell r="W1552" t="str">
            <v/>
          </cell>
          <cell r="X1552" t="str">
            <v>4512100</v>
          </cell>
          <cell r="Y1552" t="str">
            <v>Strategy, Planning, Project Mgt_Strategic Planning  delivery &amp; Reporting_Section Head</v>
          </cell>
          <cell r="Z1552" t="str">
            <v>Section Manager</v>
          </cell>
          <cell r="AA1552" t="str">
            <v>2B</v>
          </cell>
        </row>
        <row r="1553">
          <cell r="A1553">
            <v>2000983</v>
          </cell>
          <cell r="B1553">
            <v>2000983</v>
          </cell>
          <cell r="C1553" t="str">
            <v>A</v>
          </cell>
          <cell r="D1553" t="str">
            <v>Romi Sebestian</v>
          </cell>
          <cell r="E1553" t="str">
            <v>رومي  سيباستيان</v>
          </cell>
          <cell r="F1553">
            <v>45127</v>
          </cell>
          <cell r="G1553" t="str">
            <v>10011337</v>
          </cell>
          <cell r="H1553" t="str">
            <v>Senior Projects Manager</v>
          </cell>
          <cell r="I1553" t="str">
            <v>مدير مشاريع أول</v>
          </cell>
          <cell r="J1553" t="str">
            <v>On-Chart</v>
          </cell>
          <cell r="K1553" t="str">
            <v>Al Nahiya</v>
          </cell>
          <cell r="L1553" t="str">
            <v>N0</v>
          </cell>
          <cell r="M1553" t="str">
            <v>Department of Culture and Tourism</v>
          </cell>
          <cell r="N1553" t="str">
            <v>Project Management &amp; Engineering</v>
          </cell>
          <cell r="O1553" t="str">
            <v>مكتب وكيل الدائرة</v>
          </cell>
          <cell r="P1553" t="str">
            <v>Project Management &amp; Engineering</v>
          </cell>
          <cell r="Q1553" t="str">
            <v>هندسة وإدارة المشاريع</v>
          </cell>
          <cell r="R1553" t="str">
            <v/>
          </cell>
          <cell r="S1553" t="str">
            <v/>
          </cell>
          <cell r="T1553" t="str">
            <v/>
          </cell>
          <cell r="U1553" t="str">
            <v/>
          </cell>
          <cell r="V1553" t="str">
            <v>Abu Dhabi</v>
          </cell>
          <cell r="W1553" t="str">
            <v/>
          </cell>
          <cell r="X1553" t="str">
            <v>4510150</v>
          </cell>
          <cell r="Y1553" t="str">
            <v>Technical Safety &amp; Security_Engineering Project Management  _Section Head</v>
          </cell>
          <cell r="Z1553" t="str">
            <v>Section Manager</v>
          </cell>
          <cell r="AA1553" t="str">
            <v>2B</v>
          </cell>
        </row>
        <row r="1554">
          <cell r="A1554">
            <v>2000984</v>
          </cell>
          <cell r="B1554">
            <v>2000984</v>
          </cell>
          <cell r="C1554" t="str">
            <v>A</v>
          </cell>
          <cell r="D1554" t="str">
            <v>Abdul Ghani Amer</v>
          </cell>
          <cell r="E1554" t="str">
            <v>عبد الغنى  عامر</v>
          </cell>
          <cell r="F1554">
            <v>45140</v>
          </cell>
          <cell r="G1554" t="str">
            <v>10010792</v>
          </cell>
          <cell r="H1554" t="str">
            <v>Technology PMO Section Head</v>
          </cell>
          <cell r="I1554" t="str">
            <v>رئيس قسم مكتب إدارة مشاريع التكنولوجيا</v>
          </cell>
          <cell r="J1554" t="str">
            <v>On-Chart</v>
          </cell>
          <cell r="K1554" t="str">
            <v>Al Nahiya</v>
          </cell>
          <cell r="L1554" t="str">
            <v>N0</v>
          </cell>
          <cell r="M1554" t="str">
            <v>Department of Culture and Tourism</v>
          </cell>
          <cell r="N1554" t="str">
            <v>Support Services</v>
          </cell>
          <cell r="O1554" t="str">
            <v>الخدمات المساندة</v>
          </cell>
          <cell r="P1554" t="str">
            <v>Technology</v>
          </cell>
          <cell r="Q1554" t="str">
            <v>التكنولوجيا</v>
          </cell>
          <cell r="R1554" t="str">
            <v>Technology PMO</v>
          </cell>
          <cell r="S1554" t="str">
            <v>مكتب إدارة مشاريع التكنولوجيا</v>
          </cell>
          <cell r="T1554" t="str">
            <v/>
          </cell>
          <cell r="U1554" t="str">
            <v/>
          </cell>
          <cell r="V1554" t="str">
            <v>Abu Dhabi</v>
          </cell>
          <cell r="W1554" t="str">
            <v/>
          </cell>
          <cell r="X1554" t="str">
            <v>4510250</v>
          </cell>
          <cell r="Y1554" t="str">
            <v>Information Technology_Digital &amp; Technology Section Head_Section Head</v>
          </cell>
          <cell r="Z1554" t="str">
            <v>Section Manager</v>
          </cell>
          <cell r="AA1554" t="str">
            <v>2C</v>
          </cell>
        </row>
        <row r="1555">
          <cell r="A1555">
            <v>2000986</v>
          </cell>
          <cell r="B1555">
            <v>2000986</v>
          </cell>
          <cell r="C1555" t="str">
            <v>A</v>
          </cell>
          <cell r="D1555" t="str">
            <v>Sultan Mohamed AlRiyami</v>
          </cell>
          <cell r="E1555" t="str">
            <v>سلطان محمد الريامي</v>
          </cell>
          <cell r="F1555">
            <v>45145</v>
          </cell>
          <cell r="G1555" t="str">
            <v>50002508</v>
          </cell>
          <cell r="H1555" t="str">
            <v>Outreach Section Head</v>
          </cell>
          <cell r="I1555" t="str">
            <v>رئيس قسم التوعية</v>
          </cell>
          <cell r="J1555" t="str">
            <v>On-Chart</v>
          </cell>
          <cell r="K1555" t="str">
            <v>Al Nahiya</v>
          </cell>
          <cell r="L1555" t="str">
            <v>N0</v>
          </cell>
          <cell r="M1555" t="str">
            <v>Department of Culture and Tourism</v>
          </cell>
          <cell r="N1555" t="str">
            <v>Strategic Affairs</v>
          </cell>
          <cell r="O1555" t="str">
            <v>الشؤون الاستراتيجية</v>
          </cell>
          <cell r="P1555" t="str">
            <v>AD Gaming Business Development</v>
          </cell>
          <cell r="Q1555" t="str">
            <v>إدارة تطوير أعمال الألعاب لأبوظبي</v>
          </cell>
          <cell r="R1555" t="str">
            <v>Outreach</v>
          </cell>
          <cell r="S1555" t="str">
            <v>قسم التوعية الثقافية</v>
          </cell>
          <cell r="T1555" t="str">
            <v/>
          </cell>
          <cell r="U1555" t="str">
            <v/>
          </cell>
          <cell r="V1555" t="str">
            <v>Abu Dhabi</v>
          </cell>
          <cell r="W1555" t="str">
            <v/>
          </cell>
          <cell r="X1555" t="str">
            <v>4518113</v>
          </cell>
          <cell r="Y1555" t="str">
            <v>Middle Management Content &amp; Care</v>
          </cell>
          <cell r="Z1555" t="str">
            <v>Section Manager</v>
          </cell>
          <cell r="AA1555" t="str">
            <v>2B</v>
          </cell>
        </row>
        <row r="1556">
          <cell r="A1556">
            <v>2000987</v>
          </cell>
          <cell r="B1556">
            <v>2000987</v>
          </cell>
          <cell r="C1556" t="str">
            <v>A</v>
          </cell>
          <cell r="D1556" t="str">
            <v>Nicolas Gomez Agudelo</v>
          </cell>
          <cell r="E1556" t="str">
            <v>نقولا جوميز اجوديلو</v>
          </cell>
          <cell r="F1556">
            <v>45145</v>
          </cell>
          <cell r="G1556" t="str">
            <v>50004220</v>
          </cell>
          <cell r="H1556" t="str">
            <v>Incentives Section Head</v>
          </cell>
          <cell r="I1556" t="str">
            <v>رئيس قسم الحوافز</v>
          </cell>
          <cell r="J1556" t="str">
            <v>On-Chart</v>
          </cell>
          <cell r="K1556" t="str">
            <v>Al Nahiya</v>
          </cell>
          <cell r="L1556" t="str">
            <v>N0</v>
          </cell>
          <cell r="M1556" t="str">
            <v>Department of Culture and Tourism</v>
          </cell>
          <cell r="N1556" t="str">
            <v>Strategic Affairs</v>
          </cell>
          <cell r="O1556" t="str">
            <v>الشؤون الاستراتيجية</v>
          </cell>
          <cell r="P1556" t="str">
            <v>AD Gaming Business Development</v>
          </cell>
          <cell r="Q1556" t="str">
            <v>إدارة تطوير أعمال الألعاب لأبوظبي</v>
          </cell>
          <cell r="R1556" t="str">
            <v>Incentives Section</v>
          </cell>
          <cell r="S1556" t="str">
            <v>قسم الحوافز</v>
          </cell>
          <cell r="T1556" t="str">
            <v/>
          </cell>
          <cell r="U1556" t="str">
            <v/>
          </cell>
          <cell r="V1556" t="str">
            <v>Abu Dhabi</v>
          </cell>
          <cell r="W1556" t="str">
            <v/>
          </cell>
          <cell r="X1556" t="str">
            <v>4518113</v>
          </cell>
          <cell r="Y1556" t="str">
            <v/>
          </cell>
          <cell r="Z1556" t="str">
            <v>Section Manager</v>
          </cell>
          <cell r="AA1556" t="str">
            <v>2C</v>
          </cell>
        </row>
        <row r="1557">
          <cell r="A1557">
            <v>2000989</v>
          </cell>
          <cell r="B1557">
            <v>2000989</v>
          </cell>
          <cell r="C1557" t="str">
            <v>A</v>
          </cell>
          <cell r="D1557" t="str">
            <v>Haya AlQadi</v>
          </cell>
          <cell r="E1557" t="str">
            <v>هيا  القاضي</v>
          </cell>
          <cell r="F1557">
            <v>45145</v>
          </cell>
          <cell r="G1557" t="str">
            <v>50004212</v>
          </cell>
          <cell r="H1557" t="str">
            <v>Marketing &amp; Community Engagement Unit Head (Gaming)</v>
          </cell>
          <cell r="I1557" t="str">
            <v>رئيس وحدة التسويق والمشاركة المجتمعية (الألعاب)</v>
          </cell>
          <cell r="J1557" t="str">
            <v>On-Chart</v>
          </cell>
          <cell r="K1557" t="str">
            <v>Al Nahiya</v>
          </cell>
          <cell r="L1557" t="str">
            <v>N0</v>
          </cell>
          <cell r="M1557" t="str">
            <v>Department of Culture and Tourism</v>
          </cell>
          <cell r="N1557" t="str">
            <v>Office Of Undersecretary</v>
          </cell>
          <cell r="O1557" t="str">
            <v>مكتب وكيل الدائرة</v>
          </cell>
          <cell r="P1557" t="str">
            <v>Office Of Undersecretary</v>
          </cell>
          <cell r="Q1557" t="str">
            <v>مكتب وكيل الدائرة</v>
          </cell>
          <cell r="R1557" t="str">
            <v/>
          </cell>
          <cell r="S1557" t="str">
            <v/>
          </cell>
          <cell r="T1557" t="str">
            <v/>
          </cell>
          <cell r="U1557" t="str">
            <v/>
          </cell>
          <cell r="V1557" t="str">
            <v>Abu Dhabi</v>
          </cell>
          <cell r="W1557" t="str">
            <v/>
          </cell>
          <cell r="X1557" t="str">
            <v>4510110</v>
          </cell>
          <cell r="Y1557" t="str">
            <v/>
          </cell>
          <cell r="Z1557" t="str">
            <v>Unit Head</v>
          </cell>
          <cell r="AA1557" t="str">
            <v>3B</v>
          </cell>
        </row>
        <row r="1558">
          <cell r="A1558">
            <v>2000990</v>
          </cell>
          <cell r="B1558">
            <v>2000990</v>
          </cell>
          <cell r="C1558" t="str">
            <v>A</v>
          </cell>
          <cell r="D1558" t="str">
            <v>Humaid Eissa AlBlooshi</v>
          </cell>
          <cell r="E1558" t="str">
            <v>حميد عيسى البلوشي</v>
          </cell>
          <cell r="F1558">
            <v>45145</v>
          </cell>
          <cell r="G1558" t="str">
            <v>50004206</v>
          </cell>
          <cell r="H1558" t="str">
            <v>Sector Capability Development Specialist (Gaming)</v>
          </cell>
          <cell r="I1558" t="str">
            <v>أخصائي تطوير قدرات القطاع (الألعاب)</v>
          </cell>
          <cell r="J1558" t="str">
            <v>On-Chart</v>
          </cell>
          <cell r="K1558" t="str">
            <v>Al Nahiya</v>
          </cell>
          <cell r="L1558" t="str">
            <v>N0</v>
          </cell>
          <cell r="M1558" t="str">
            <v>Department of Culture and Tourism</v>
          </cell>
          <cell r="N1558" t="str">
            <v>Office Of Undersecretary</v>
          </cell>
          <cell r="O1558" t="str">
            <v>مكتب وكيل الدائرة</v>
          </cell>
          <cell r="P1558" t="str">
            <v>Office Of Undersecretary</v>
          </cell>
          <cell r="Q1558" t="str">
            <v>مكتب وكيل الدائرة</v>
          </cell>
          <cell r="R1558" t="str">
            <v/>
          </cell>
          <cell r="S1558" t="str">
            <v/>
          </cell>
          <cell r="T1558" t="str">
            <v/>
          </cell>
          <cell r="U1558" t="str">
            <v/>
          </cell>
          <cell r="V1558" t="str">
            <v>Abu Dhabi</v>
          </cell>
          <cell r="W1558" t="str">
            <v/>
          </cell>
          <cell r="X1558" t="str">
            <v>4510110</v>
          </cell>
          <cell r="Y1558" t="str">
            <v/>
          </cell>
          <cell r="Z1558" t="str">
            <v>Professional</v>
          </cell>
          <cell r="AA1558" t="str">
            <v>3B</v>
          </cell>
        </row>
        <row r="1559">
          <cell r="A1559">
            <v>2000991</v>
          </cell>
          <cell r="B1559">
            <v>2000991</v>
          </cell>
          <cell r="C1559" t="str">
            <v>A</v>
          </cell>
          <cell r="D1559" t="str">
            <v>Soha Ibrahim AlAssiri</v>
          </cell>
          <cell r="E1559" t="str">
            <v>سهى ابراهيم العسيري</v>
          </cell>
          <cell r="F1559">
            <v>45145</v>
          </cell>
          <cell r="G1559" t="str">
            <v>50002516</v>
          </cell>
          <cell r="H1559" t="str">
            <v>Gaming Relations Specialist</v>
          </cell>
          <cell r="I1559" t="str">
            <v>أخصائي علاقات شركات الألعاب</v>
          </cell>
          <cell r="J1559" t="str">
            <v>On-Chart</v>
          </cell>
          <cell r="K1559" t="str">
            <v>Al Nahiya</v>
          </cell>
          <cell r="L1559" t="str">
            <v>N0</v>
          </cell>
          <cell r="M1559" t="str">
            <v>Department of Culture and Tourism</v>
          </cell>
          <cell r="N1559" t="str">
            <v>Strategic Affairs</v>
          </cell>
          <cell r="O1559" t="str">
            <v>الشؤون الاستراتيجية</v>
          </cell>
          <cell r="P1559" t="str">
            <v>AD Gaming</v>
          </cell>
          <cell r="Q1559" t="str">
            <v>إدارة الألعاب والتطوير الرقمي</v>
          </cell>
          <cell r="R1559" t="str">
            <v>Gaming Relations</v>
          </cell>
          <cell r="S1559" t="str">
            <v>وحدة علاقات شركات الألعاب</v>
          </cell>
          <cell r="T1559" t="str">
            <v>Gaming Relations</v>
          </cell>
          <cell r="U1559" t="str">
            <v>وحدة علاقات شركات الألعاب</v>
          </cell>
          <cell r="V1559" t="str">
            <v>Abu Dhabi</v>
          </cell>
          <cell r="W1559" t="str">
            <v/>
          </cell>
          <cell r="X1559" t="str">
            <v>4518113</v>
          </cell>
          <cell r="Y1559" t="str">
            <v>Senior Specialization Content &amp; Care</v>
          </cell>
          <cell r="Z1559" t="str">
            <v>Senior Professional</v>
          </cell>
          <cell r="AA1559" t="str">
            <v>3B</v>
          </cell>
        </row>
        <row r="1560">
          <cell r="A1560">
            <v>2000992</v>
          </cell>
          <cell r="B1560">
            <v>2000992</v>
          </cell>
          <cell r="C1560" t="str">
            <v>A</v>
          </cell>
          <cell r="D1560" t="str">
            <v>Queen Mangubat</v>
          </cell>
          <cell r="E1560" t="str">
            <v>ملكة  مانجوبات</v>
          </cell>
          <cell r="F1560">
            <v>45145</v>
          </cell>
          <cell r="G1560" t="str">
            <v>50004192</v>
          </cell>
          <cell r="H1560" t="str">
            <v>Operations Unit Head (Gaming)</v>
          </cell>
          <cell r="I1560" t="str">
            <v>رئيس وحدة عمليات (الألعاب)</v>
          </cell>
          <cell r="J1560" t="str">
            <v>On-Chart</v>
          </cell>
          <cell r="K1560" t="str">
            <v>Al Nahiya</v>
          </cell>
          <cell r="L1560" t="str">
            <v>N0</v>
          </cell>
          <cell r="M1560" t="str">
            <v>Department of Culture and Tourism</v>
          </cell>
          <cell r="N1560" t="str">
            <v>Strategic Affairs</v>
          </cell>
          <cell r="O1560" t="str">
            <v>الشؤون الاستراتيجية</v>
          </cell>
          <cell r="P1560" t="str">
            <v>Gaming &amp; Comics Operations</v>
          </cell>
          <cell r="Q1560" t="str">
            <v>إدارة عمليات الرسوم الهزلية والألعاب</v>
          </cell>
          <cell r="R1560" t="str">
            <v>-</v>
          </cell>
          <cell r="S1560" t="str">
            <v>-</v>
          </cell>
          <cell r="T1560" t="str">
            <v>Gaming Operations</v>
          </cell>
          <cell r="U1560" t="str">
            <v>وحدة عمليات الألعاب</v>
          </cell>
          <cell r="V1560" t="str">
            <v>Abu Dhabi</v>
          </cell>
          <cell r="W1560" t="str">
            <v/>
          </cell>
          <cell r="X1560" t="str">
            <v>4518113</v>
          </cell>
          <cell r="Y1560" t="str">
            <v/>
          </cell>
          <cell r="Z1560" t="str">
            <v>Unit Head</v>
          </cell>
          <cell r="AA1560" t="str">
            <v>3B</v>
          </cell>
        </row>
        <row r="1561">
          <cell r="A1561">
            <v>2000993</v>
          </cell>
          <cell r="B1561">
            <v>2000993</v>
          </cell>
          <cell r="C1561" t="str">
            <v>A</v>
          </cell>
          <cell r="D1561" t="str">
            <v>Sameer Nezar Sneij</v>
          </cell>
          <cell r="E1561" t="str">
            <v>سمير نزار صنيج</v>
          </cell>
          <cell r="F1561">
            <v>45145</v>
          </cell>
          <cell r="G1561" t="str">
            <v>50002512</v>
          </cell>
          <cell r="H1561" t="str">
            <v>Gaming Relations Specialist</v>
          </cell>
          <cell r="I1561" t="str">
            <v>أخصائي علاقات شركات الألعاب</v>
          </cell>
          <cell r="J1561" t="str">
            <v>On-Chart</v>
          </cell>
          <cell r="K1561" t="str">
            <v>Al Nahiya</v>
          </cell>
          <cell r="L1561" t="str">
            <v>N0</v>
          </cell>
          <cell r="M1561" t="str">
            <v>Department of Culture and Tourism</v>
          </cell>
          <cell r="N1561" t="str">
            <v>Strategic Affairs</v>
          </cell>
          <cell r="O1561" t="str">
            <v>الشؤون الاستراتيجية</v>
          </cell>
          <cell r="P1561" t="str">
            <v>AD Gaming</v>
          </cell>
          <cell r="Q1561" t="str">
            <v>إدارة الألعاب والتطوير الرقمي</v>
          </cell>
          <cell r="R1561" t="str">
            <v>Gaming Relations</v>
          </cell>
          <cell r="S1561" t="str">
            <v>وحدة علاقات شركات الألعاب</v>
          </cell>
          <cell r="T1561" t="str">
            <v>Gaming Relations</v>
          </cell>
          <cell r="U1561" t="str">
            <v>وحدة علاقات شركات الألعاب</v>
          </cell>
          <cell r="V1561" t="str">
            <v>Abu Dhabi</v>
          </cell>
          <cell r="W1561" t="str">
            <v/>
          </cell>
          <cell r="X1561" t="str">
            <v>4518113</v>
          </cell>
          <cell r="Y1561" t="str">
            <v>Senior Specialization Content &amp; Care</v>
          </cell>
          <cell r="Z1561" t="str">
            <v>Senior Professional</v>
          </cell>
          <cell r="AA1561" t="str">
            <v>3B</v>
          </cell>
        </row>
        <row r="1562">
          <cell r="A1562">
            <v>2000994</v>
          </cell>
          <cell r="B1562">
            <v>2000994</v>
          </cell>
          <cell r="C1562" t="str">
            <v>A</v>
          </cell>
          <cell r="D1562" t="str">
            <v>Mariam Mohamed Ebid</v>
          </cell>
          <cell r="E1562" t="str">
            <v>مريم محمد عبيد</v>
          </cell>
          <cell r="F1562">
            <v>45145</v>
          </cell>
          <cell r="G1562" t="str">
            <v>50002513</v>
          </cell>
          <cell r="H1562" t="str">
            <v>Gaming Relations Specialist</v>
          </cell>
          <cell r="I1562" t="str">
            <v>أخصائي علاقات شركات الألعاب</v>
          </cell>
          <cell r="J1562" t="str">
            <v>On-Chart</v>
          </cell>
          <cell r="K1562" t="str">
            <v>Al Nahiya</v>
          </cell>
          <cell r="L1562" t="str">
            <v>N0</v>
          </cell>
          <cell r="M1562" t="str">
            <v>Department of Culture and Tourism</v>
          </cell>
          <cell r="N1562" t="str">
            <v>Strategic Affairs</v>
          </cell>
          <cell r="O1562" t="str">
            <v>الشؤون الاستراتيجية</v>
          </cell>
          <cell r="P1562" t="str">
            <v>AD Gaming</v>
          </cell>
          <cell r="Q1562" t="str">
            <v>إدارة الألعاب والتطوير الرقمي</v>
          </cell>
          <cell r="R1562" t="str">
            <v>Gaming Relations</v>
          </cell>
          <cell r="S1562" t="str">
            <v>وحدة علاقات شركات الألعاب</v>
          </cell>
          <cell r="T1562" t="str">
            <v>Gaming Relations</v>
          </cell>
          <cell r="U1562" t="str">
            <v>وحدة علاقات شركات الألعاب</v>
          </cell>
          <cell r="V1562" t="str">
            <v>Abu Dhabi</v>
          </cell>
          <cell r="W1562" t="str">
            <v/>
          </cell>
          <cell r="X1562" t="str">
            <v>4518113</v>
          </cell>
          <cell r="Y1562" t="str">
            <v>Senior Specialization Content &amp; Care</v>
          </cell>
          <cell r="Z1562" t="str">
            <v>Senior Professional</v>
          </cell>
          <cell r="AA1562" t="str">
            <v>3B</v>
          </cell>
        </row>
        <row r="1563">
          <cell r="A1563">
            <v>2000995</v>
          </cell>
          <cell r="B1563">
            <v>2000995</v>
          </cell>
          <cell r="C1563" t="str">
            <v>A</v>
          </cell>
          <cell r="D1563" t="str">
            <v>Mohammed Ahmed Hammad</v>
          </cell>
          <cell r="E1563" t="str">
            <v>محمد أحمد حماد</v>
          </cell>
          <cell r="F1563">
            <v>45145</v>
          </cell>
          <cell r="G1563" t="str">
            <v>50002515</v>
          </cell>
          <cell r="H1563" t="str">
            <v>Gaming Relations Specialist</v>
          </cell>
          <cell r="I1563" t="str">
            <v>أخصائي علاقات شركات الألعاب</v>
          </cell>
          <cell r="J1563" t="str">
            <v>On-Chart</v>
          </cell>
          <cell r="K1563" t="str">
            <v>Al Nahiya</v>
          </cell>
          <cell r="L1563" t="str">
            <v>N0</v>
          </cell>
          <cell r="M1563" t="str">
            <v>Department of Culture and Tourism</v>
          </cell>
          <cell r="N1563" t="str">
            <v>Strategic Affairs</v>
          </cell>
          <cell r="O1563" t="str">
            <v>الشؤون الاستراتيجية</v>
          </cell>
          <cell r="P1563" t="str">
            <v>AD Gaming</v>
          </cell>
          <cell r="Q1563" t="str">
            <v>إدارة الألعاب والتطوير الرقمي</v>
          </cell>
          <cell r="R1563" t="str">
            <v>Gaming Relations</v>
          </cell>
          <cell r="S1563" t="str">
            <v>وحدة علاقات شركات الألعاب</v>
          </cell>
          <cell r="T1563" t="str">
            <v>Gaming Relations</v>
          </cell>
          <cell r="U1563" t="str">
            <v>وحدة علاقات شركات الألعاب</v>
          </cell>
          <cell r="V1563" t="str">
            <v>Abu Dhabi</v>
          </cell>
          <cell r="W1563" t="str">
            <v/>
          </cell>
          <cell r="X1563" t="str">
            <v>4518113</v>
          </cell>
          <cell r="Y1563" t="str">
            <v>Senior Specialization Content &amp; Care</v>
          </cell>
          <cell r="Z1563" t="str">
            <v>Senior Professional</v>
          </cell>
          <cell r="AA1563" t="str">
            <v>3C</v>
          </cell>
        </row>
        <row r="1564">
          <cell r="A1564">
            <v>2000996</v>
          </cell>
          <cell r="B1564">
            <v>2000996</v>
          </cell>
          <cell r="C1564" t="str">
            <v>A</v>
          </cell>
          <cell r="D1564" t="str">
            <v>Khalida Zinet</v>
          </cell>
          <cell r="E1564" t="str">
            <v>خالدة  زينات</v>
          </cell>
          <cell r="F1564">
            <v>45145</v>
          </cell>
          <cell r="G1564" t="str">
            <v>50002511</v>
          </cell>
          <cell r="H1564" t="str">
            <v>Gaming Relations Unit Head</v>
          </cell>
          <cell r="I1564" t="str">
            <v>رئيس وحدة علاقات شركات الألعاب</v>
          </cell>
          <cell r="J1564" t="str">
            <v>On-Chart</v>
          </cell>
          <cell r="K1564" t="str">
            <v>Al Nahiya</v>
          </cell>
          <cell r="L1564" t="str">
            <v>N0</v>
          </cell>
          <cell r="M1564" t="str">
            <v>Department of Culture and Tourism</v>
          </cell>
          <cell r="N1564" t="str">
            <v>Strategic Affairs</v>
          </cell>
          <cell r="O1564" t="str">
            <v>الشؤون الاستراتيجية</v>
          </cell>
          <cell r="P1564" t="str">
            <v>AD Gaming</v>
          </cell>
          <cell r="Q1564" t="str">
            <v>إدارة الألعاب والتطوير الرقمي</v>
          </cell>
          <cell r="R1564" t="str">
            <v>Gaming Relations</v>
          </cell>
          <cell r="S1564" t="str">
            <v>وحدة علاقات شركات الألعاب</v>
          </cell>
          <cell r="T1564" t="str">
            <v>Gaming Relations</v>
          </cell>
          <cell r="U1564" t="str">
            <v>وحدة علاقات شركات الألعاب</v>
          </cell>
          <cell r="V1564" t="str">
            <v>Abu Dhabi</v>
          </cell>
          <cell r="W1564" t="str">
            <v/>
          </cell>
          <cell r="X1564" t="str">
            <v>4518113</v>
          </cell>
          <cell r="Y1564" t="str">
            <v>Senior Specialization Content &amp; Care</v>
          </cell>
          <cell r="Z1564" t="str">
            <v>Unit Head</v>
          </cell>
          <cell r="AA1564" t="str">
            <v>3B</v>
          </cell>
        </row>
        <row r="1565">
          <cell r="A1565">
            <v>2000997</v>
          </cell>
          <cell r="B1565">
            <v>2000997</v>
          </cell>
          <cell r="C1565" t="str">
            <v>A</v>
          </cell>
          <cell r="D1565" t="str">
            <v>Ghaith Mahmoud Aljamal</v>
          </cell>
          <cell r="E1565" t="str">
            <v>غيث محمود الجمال</v>
          </cell>
          <cell r="F1565">
            <v>45139</v>
          </cell>
          <cell r="G1565" t="str">
            <v>10010432</v>
          </cell>
          <cell r="H1565" t="str">
            <v>Business Analyst</v>
          </cell>
          <cell r="I1565" t="str">
            <v>محلل أعمال</v>
          </cell>
          <cell r="J1565" t="str">
            <v>On-Chart</v>
          </cell>
          <cell r="K1565" t="str">
            <v>Al Nahiya</v>
          </cell>
          <cell r="L1565" t="str">
            <v>N0</v>
          </cell>
          <cell r="M1565" t="str">
            <v>Department of Culture and Tourism</v>
          </cell>
          <cell r="N1565" t="str">
            <v>Support Services</v>
          </cell>
          <cell r="O1565" t="str">
            <v>الخدمات المساندة</v>
          </cell>
          <cell r="P1565" t="str">
            <v>Technology</v>
          </cell>
          <cell r="Q1565" t="str">
            <v>التكنولوجيا</v>
          </cell>
          <cell r="R1565" t="str">
            <v>Business Partnership</v>
          </cell>
          <cell r="S1565" t="str">
            <v>شراكات الأعمال</v>
          </cell>
          <cell r="T1565" t="str">
            <v>Solutions Design</v>
          </cell>
          <cell r="U1565" t="str">
            <v>تصميم الحلول</v>
          </cell>
          <cell r="V1565" t="str">
            <v>Abu Dhabi</v>
          </cell>
          <cell r="W1565" t="str">
            <v/>
          </cell>
          <cell r="X1565" t="str">
            <v>4510250</v>
          </cell>
          <cell r="Y1565" t="str">
            <v>Information Technology_Technical Support Engineer_Professional</v>
          </cell>
          <cell r="Z1565" t="str">
            <v>Professional</v>
          </cell>
          <cell r="AA1565" t="str">
            <v>4B</v>
          </cell>
        </row>
        <row r="1566">
          <cell r="A1566">
            <v>2000998</v>
          </cell>
          <cell r="B1566">
            <v>2000998</v>
          </cell>
          <cell r="C1566" t="str">
            <v>A</v>
          </cell>
          <cell r="D1566" t="str">
            <v>Jamil Laham</v>
          </cell>
          <cell r="E1566" t="str">
            <v>جميل  لحام</v>
          </cell>
          <cell r="F1566">
            <v>45139</v>
          </cell>
          <cell r="G1566" t="str">
            <v>50002456</v>
          </cell>
          <cell r="H1566" t="str">
            <v>Operations Management Officer</v>
          </cell>
          <cell r="I1566" t="str">
            <v>ضابط إدارة العمليات</v>
          </cell>
          <cell r="J1566" t="str">
            <v>On-Chart</v>
          </cell>
          <cell r="K1566" t="str">
            <v>ALC Al Nahiya</v>
          </cell>
          <cell r="L1566" t="str">
            <v>AL2</v>
          </cell>
          <cell r="M1566" t="str">
            <v>Abu Dhabi Arabic Language Centre</v>
          </cell>
          <cell r="N1566" t="str">
            <v>Abu Dhabi Arabic Language Centre</v>
          </cell>
          <cell r="O1566" t="str">
            <v>مركز أبوظبي للغة العربية</v>
          </cell>
          <cell r="P1566" t="str">
            <v>Book Fairs &amp; Events</v>
          </cell>
          <cell r="Q1566" t="str">
            <v>الفعاليات ومعارض الكتب</v>
          </cell>
          <cell r="R1566" t="str">
            <v>Operations Management</v>
          </cell>
          <cell r="S1566" t="str">
            <v>إدارة العمليات</v>
          </cell>
          <cell r="T1566" t="str">
            <v/>
          </cell>
          <cell r="U1566" t="str">
            <v/>
          </cell>
          <cell r="V1566" t="str">
            <v>Abu Dhabi</v>
          </cell>
          <cell r="W1566" t="str">
            <v/>
          </cell>
          <cell r="X1566" t="str">
            <v>4519200</v>
          </cell>
          <cell r="Y1566" t="str">
            <v>Interpretation &amp; Engagement_Arabic Language Examination _Professional</v>
          </cell>
          <cell r="Z1566" t="str">
            <v>Professional</v>
          </cell>
          <cell r="AA1566" t="str">
            <v>4B</v>
          </cell>
        </row>
        <row r="1567">
          <cell r="A1567">
            <v>2000999</v>
          </cell>
          <cell r="B1567">
            <v>2000999</v>
          </cell>
          <cell r="C1567" t="str">
            <v>A</v>
          </cell>
          <cell r="D1567" t="str">
            <v>Mohammed Hamed Abedin</v>
          </cell>
          <cell r="E1567" t="str">
            <v>محمد حامد عابدين</v>
          </cell>
          <cell r="F1567">
            <v>45145</v>
          </cell>
          <cell r="G1567" t="str">
            <v>50002506</v>
          </cell>
          <cell r="H1567" t="str">
            <v>Editorial Section Head</v>
          </cell>
          <cell r="I1567" t="str">
            <v>رئيس قسم الإنتاج الفني</v>
          </cell>
          <cell r="J1567" t="str">
            <v>On-Chart</v>
          </cell>
          <cell r="K1567" t="str">
            <v>Al Nahiya</v>
          </cell>
          <cell r="L1567" t="str">
            <v>N0</v>
          </cell>
          <cell r="M1567" t="str">
            <v>Department of Culture and Tourism</v>
          </cell>
          <cell r="N1567" t="str">
            <v>Strategic Affairs</v>
          </cell>
          <cell r="O1567" t="str">
            <v>الشؤون الاستراتيجية</v>
          </cell>
          <cell r="P1567" t="str">
            <v>Sandstorm Comics</v>
          </cell>
          <cell r="Q1567" t="str">
            <v>إدارة الرسوم الهزلية(ساندستورم)</v>
          </cell>
          <cell r="R1567" t="str">
            <v>Art Production</v>
          </cell>
          <cell r="S1567" t="str">
            <v>قسم الإنتاج الفني</v>
          </cell>
          <cell r="T1567" t="str">
            <v/>
          </cell>
          <cell r="U1567" t="str">
            <v/>
          </cell>
          <cell r="V1567" t="str">
            <v>Abu Dhabi</v>
          </cell>
          <cell r="W1567" t="str">
            <v/>
          </cell>
          <cell r="X1567" t="str">
            <v>4518113</v>
          </cell>
          <cell r="Y1567" t="str">
            <v>Strategy, Planning, Project Mgt_Strategic Planning  delivery &amp; Reporting_Section Head</v>
          </cell>
          <cell r="Z1567" t="str">
            <v>Section Manager</v>
          </cell>
          <cell r="AA1567" t="str">
            <v>2B</v>
          </cell>
        </row>
        <row r="1568">
          <cell r="A1568">
            <v>2001000</v>
          </cell>
          <cell r="B1568">
            <v>2001000</v>
          </cell>
          <cell r="C1568" t="str">
            <v>A</v>
          </cell>
          <cell r="D1568" t="str">
            <v>Mohammad Yousuf Alshaibani</v>
          </cell>
          <cell r="E1568" t="str">
            <v>محمد يوسف الشيباني</v>
          </cell>
          <cell r="F1568">
            <v>45145</v>
          </cell>
          <cell r="G1568" t="str">
            <v>50004200</v>
          </cell>
          <cell r="H1568" t="str">
            <v>Sector Capability Development Unit Head (Comics)</v>
          </cell>
          <cell r="I1568" t="str">
            <v>رئيس وحدة تطوير قدرات القطاع (الرسوم الهزلية)</v>
          </cell>
          <cell r="J1568" t="str">
            <v>On-Chart</v>
          </cell>
          <cell r="K1568" t="str">
            <v>Al Nahiya</v>
          </cell>
          <cell r="L1568" t="str">
            <v>N0</v>
          </cell>
          <cell r="M1568" t="str">
            <v>Department of Culture and Tourism</v>
          </cell>
          <cell r="N1568" t="str">
            <v>Office Of Undersecretary</v>
          </cell>
          <cell r="O1568" t="str">
            <v>مكتب وكيل الدائرة</v>
          </cell>
          <cell r="P1568" t="str">
            <v>Office Of Undersecretary</v>
          </cell>
          <cell r="Q1568" t="str">
            <v>مكتب وكيل الدائرة</v>
          </cell>
          <cell r="R1568" t="str">
            <v/>
          </cell>
          <cell r="S1568" t="str">
            <v/>
          </cell>
          <cell r="T1568" t="str">
            <v/>
          </cell>
          <cell r="U1568" t="str">
            <v/>
          </cell>
          <cell r="V1568" t="str">
            <v>Abu Dhabi</v>
          </cell>
          <cell r="W1568" t="str">
            <v/>
          </cell>
          <cell r="X1568" t="str">
            <v>4510110</v>
          </cell>
          <cell r="Y1568" t="str">
            <v/>
          </cell>
          <cell r="Z1568" t="str">
            <v>Unit Head</v>
          </cell>
          <cell r="AA1568" t="str">
            <v>3C</v>
          </cell>
        </row>
        <row r="1569">
          <cell r="A1569">
            <v>2001001</v>
          </cell>
          <cell r="B1569">
            <v>2001001</v>
          </cell>
          <cell r="C1569" t="str">
            <v>A</v>
          </cell>
          <cell r="D1569" t="str">
            <v>Imane Grebici</v>
          </cell>
          <cell r="E1569" t="str">
            <v>إيمان  قريبيسي</v>
          </cell>
          <cell r="F1569">
            <v>45146</v>
          </cell>
          <cell r="G1569" t="str">
            <v>10005418</v>
          </cell>
          <cell r="H1569" t="str">
            <v>Strategic Planning Senior Specialist (International Operations &amp; Marketing)</v>
          </cell>
          <cell r="I1569" t="str">
            <v>أخصائي أول التخطيط الاستراتيجي (التسويق والعمليات الدولية)</v>
          </cell>
          <cell r="J1569" t="str">
            <v>On-Chart</v>
          </cell>
          <cell r="K1569" t="str">
            <v>Al Nahiya</v>
          </cell>
          <cell r="L1569" t="str">
            <v>N0</v>
          </cell>
          <cell r="M1569" t="str">
            <v>Department of Culture and Tourism</v>
          </cell>
          <cell r="N1569" t="str">
            <v>Strategic Affairs</v>
          </cell>
          <cell r="O1569" t="str">
            <v>الشؤون الاستراتيجية</v>
          </cell>
          <cell r="P1569" t="str">
            <v>Strategic Planning</v>
          </cell>
          <cell r="Q1569" t="str">
            <v>التخطيط الاستراتيجي</v>
          </cell>
          <cell r="R1569" t="str">
            <v>Tourism &amp; Marketing Strategic Planning</v>
          </cell>
          <cell r="S1569" t="str">
            <v>التخطيط الاستراتيجي لقطاعي السياحة والتسويق</v>
          </cell>
          <cell r="T1569" t="str">
            <v>Strategic Planning (International Operations &amp; Marketing)</v>
          </cell>
          <cell r="U1569" t="str">
            <v>التخطيط الاستراتيجي (التسويق والعمليات الدولية)</v>
          </cell>
          <cell r="V1569" t="str">
            <v>Abu Dhabi</v>
          </cell>
          <cell r="W1569" t="str">
            <v/>
          </cell>
          <cell r="X1569" t="str">
            <v>4512100</v>
          </cell>
          <cell r="Y1569" t="str">
            <v>Strategy, Planning, Project Mgt_Operational Planning &amp; Project Management _Senior Professional</v>
          </cell>
          <cell r="Z1569" t="str">
            <v>Senior Professional</v>
          </cell>
          <cell r="AA1569" t="str">
            <v>3B</v>
          </cell>
        </row>
        <row r="1570">
          <cell r="A1570">
            <v>2001003</v>
          </cell>
          <cell r="B1570">
            <v>2001003</v>
          </cell>
          <cell r="C1570" t="str">
            <v>A</v>
          </cell>
          <cell r="D1570" t="str">
            <v>Bashar Tufaha</v>
          </cell>
          <cell r="E1570" t="str">
            <v>بشار  تفاحة</v>
          </cell>
          <cell r="F1570">
            <v>45147</v>
          </cell>
          <cell r="G1570" t="str">
            <v>50000546</v>
          </cell>
          <cell r="H1570" t="str">
            <v>Enterprise Architecture Section Head</v>
          </cell>
          <cell r="I1570" t="str">
            <v>رئيس قسم البنية المؤسسية</v>
          </cell>
          <cell r="J1570" t="str">
            <v>On-Chart</v>
          </cell>
          <cell r="K1570" t="str">
            <v>Al Nahiya</v>
          </cell>
          <cell r="L1570" t="str">
            <v>N0</v>
          </cell>
          <cell r="M1570" t="str">
            <v>Department of Culture and Tourism</v>
          </cell>
          <cell r="N1570" t="str">
            <v>Support Services</v>
          </cell>
          <cell r="O1570" t="str">
            <v>الخدمات المساندة</v>
          </cell>
          <cell r="P1570" t="str">
            <v>Technology</v>
          </cell>
          <cell r="Q1570" t="str">
            <v>التكنولوجيا</v>
          </cell>
          <cell r="R1570" t="str">
            <v>Enterprise Architecture</v>
          </cell>
          <cell r="S1570" t="str">
            <v>البنية المؤسسية</v>
          </cell>
          <cell r="T1570" t="str">
            <v/>
          </cell>
          <cell r="U1570" t="str">
            <v/>
          </cell>
          <cell r="V1570" t="str">
            <v>Abu Dhabi</v>
          </cell>
          <cell r="W1570" t="str">
            <v/>
          </cell>
          <cell r="X1570" t="str">
            <v>4510250</v>
          </cell>
          <cell r="Y1570" t="str">
            <v>Information Technology_Enterprise Architecture Section Head/Lead_Section Head</v>
          </cell>
          <cell r="Z1570" t="str">
            <v>Section Manager</v>
          </cell>
          <cell r="AA1570" t="str">
            <v>2B</v>
          </cell>
        </row>
        <row r="1571">
          <cell r="A1571">
            <v>2001004</v>
          </cell>
          <cell r="B1571">
            <v>2001004</v>
          </cell>
          <cell r="C1571" t="str">
            <v>A</v>
          </cell>
          <cell r="D1571" t="str">
            <v>Hamad Ali Salim AlKetbi</v>
          </cell>
          <cell r="E1571" t="str">
            <v>حمد علي سالم الكتبي</v>
          </cell>
          <cell r="F1571">
            <v>45169</v>
          </cell>
          <cell r="G1571" t="str">
            <v>50001971</v>
          </cell>
          <cell r="H1571" t="str">
            <v>Technical Operations Lead</v>
          </cell>
          <cell r="I1571" t="str">
            <v>أخصائي رئيسي العمليات الفنية</v>
          </cell>
          <cell r="J1571" t="str">
            <v>On-Chart</v>
          </cell>
          <cell r="K1571" t="str">
            <v>MSS Al Nahiya</v>
          </cell>
          <cell r="L1571" t="str">
            <v>M2</v>
          </cell>
          <cell r="M1571" t="str">
            <v>Department of Culture and Tourism</v>
          </cell>
          <cell r="N1571" t="str">
            <v>Culture</v>
          </cell>
          <cell r="O1571" t="str">
            <v>الثقافة</v>
          </cell>
          <cell r="P1571" t="str">
            <v>Natural History Museum Abu Dhabi</v>
          </cell>
          <cell r="Q1571" t="str">
            <v>متحف التاريخ الطبيعي - أبوظبي</v>
          </cell>
          <cell r="R1571" t="str">
            <v/>
          </cell>
          <cell r="S1571" t="str">
            <v/>
          </cell>
          <cell r="T1571" t="str">
            <v/>
          </cell>
          <cell r="U1571" t="str">
            <v/>
          </cell>
          <cell r="V1571" t="str">
            <v>Abu Dhabi</v>
          </cell>
          <cell r="W1571" t="str">
            <v/>
          </cell>
          <cell r="X1571" t="str">
            <v>4510310</v>
          </cell>
          <cell r="Y1571" t="str">
            <v>Compliance,Governance&amp;Protocol_Policy  (Culture &amp; Tourism)_Unit Head</v>
          </cell>
          <cell r="Z1571" t="str">
            <v>Unit Head</v>
          </cell>
          <cell r="AA1571" t="str">
            <v>3B</v>
          </cell>
        </row>
        <row r="1572">
          <cell r="A1572">
            <v>2001007</v>
          </cell>
          <cell r="B1572">
            <v>2001007</v>
          </cell>
          <cell r="C1572" t="str">
            <v>A</v>
          </cell>
          <cell r="D1572" t="str">
            <v>Ahmed Hassan Al Noobi</v>
          </cell>
          <cell r="E1572" t="str">
            <v>احمد حسن النوبي</v>
          </cell>
          <cell r="F1572">
            <v>45572</v>
          </cell>
          <cell r="G1572" t="str">
            <v>50002633</v>
          </cell>
          <cell r="H1572" t="str">
            <v>General Services Officer</v>
          </cell>
          <cell r="I1572" t="str">
            <v>ضابط الخدمات العامة</v>
          </cell>
          <cell r="J1572" t="str">
            <v>On-Chart</v>
          </cell>
          <cell r="K1572" t="str">
            <v>MSS Al Nahiya</v>
          </cell>
          <cell r="L1572" t="str">
            <v>M2</v>
          </cell>
          <cell r="M1572" t="str">
            <v>Department of Culture and Tourism</v>
          </cell>
          <cell r="N1572" t="str">
            <v>Museums Shared Services</v>
          </cell>
          <cell r="O1572" t="str">
            <v>الخدمات المشتركة للمتاحف</v>
          </cell>
          <cell r="P1572" t="str">
            <v>People and Performance - MSS</v>
          </cell>
          <cell r="Q1572" t="str">
            <v>إدارة الكوادر البشرية والأداء - الخدمات المشتركة للمتاحف</v>
          </cell>
          <cell r="R1572" t="str">
            <v>General Services Section - MSS</v>
          </cell>
          <cell r="S1572" t="str">
            <v>قسم الخدمات العامة</v>
          </cell>
          <cell r="T1572" t="str">
            <v/>
          </cell>
          <cell r="U1572" t="str">
            <v/>
          </cell>
          <cell r="V1572" t="str">
            <v>Abu Dhabi</v>
          </cell>
          <cell r="W1572" t="str">
            <v/>
          </cell>
          <cell r="X1572" t="str">
            <v>4514140</v>
          </cell>
          <cell r="Y1572" t="str">
            <v>Admin &amp; Support_Travel &amp; Hospitality (People &amp; Performance)_Senior Professional</v>
          </cell>
          <cell r="Z1572" t="str">
            <v>Professional</v>
          </cell>
          <cell r="AA1572" t="str">
            <v>4C</v>
          </cell>
        </row>
        <row r="1573">
          <cell r="A1573">
            <v>2001008</v>
          </cell>
          <cell r="B1573">
            <v>2001008</v>
          </cell>
          <cell r="C1573" t="str">
            <v>A</v>
          </cell>
          <cell r="D1573" t="str">
            <v>Khaloud Nasser Al-Mandhari</v>
          </cell>
          <cell r="E1573" t="str">
            <v>خلود ناصر المنذري</v>
          </cell>
          <cell r="F1573">
            <v>45170</v>
          </cell>
          <cell r="G1573" t="str">
            <v>10010850</v>
          </cell>
          <cell r="H1573" t="str">
            <v>IT Service Desk Agent</v>
          </cell>
          <cell r="I1573" t="str">
            <v>مسؤول مكتب خدمات تكنولوجيا المعلومات</v>
          </cell>
          <cell r="J1573" t="str">
            <v>On-Chart</v>
          </cell>
          <cell r="K1573" t="str">
            <v>Al Nahiya</v>
          </cell>
          <cell r="L1573" t="str">
            <v>N0</v>
          </cell>
          <cell r="M1573" t="str">
            <v>Department of Culture and Tourism</v>
          </cell>
          <cell r="N1573" t="str">
            <v>Support Services</v>
          </cell>
          <cell r="O1573" t="str">
            <v>الخدمات المساندة</v>
          </cell>
          <cell r="P1573" t="str">
            <v>Technology</v>
          </cell>
          <cell r="Q1573" t="str">
            <v>التكنولوجيا</v>
          </cell>
          <cell r="R1573" t="str">
            <v>Technology Infrastructure</v>
          </cell>
          <cell r="S1573" t="str">
            <v>البنية التحتية للتكنولوجيا</v>
          </cell>
          <cell r="T1573" t="str">
            <v>E Support</v>
          </cell>
          <cell r="U1573" t="str">
            <v>الدعم الإلكتروني</v>
          </cell>
          <cell r="V1573" t="str">
            <v>Abu Dhabi</v>
          </cell>
          <cell r="W1573" t="str">
            <v/>
          </cell>
          <cell r="X1573" t="str">
            <v>4510250</v>
          </cell>
          <cell r="Y1573" t="str">
            <v>Information Technology_IT Service Desk Agent_Professional Assistant</v>
          </cell>
          <cell r="Z1573" t="str">
            <v>Professional Assistant</v>
          </cell>
          <cell r="AA1573" t="str">
            <v>5B</v>
          </cell>
        </row>
        <row r="1574">
          <cell r="A1574">
            <v>2001009</v>
          </cell>
          <cell r="B1574">
            <v>2001009</v>
          </cell>
          <cell r="C1574" t="str">
            <v>A</v>
          </cell>
          <cell r="D1574" t="str">
            <v>Desiree Iris Iezzi</v>
          </cell>
          <cell r="E1574" t="str">
            <v>ديزيري ايريس ليزي</v>
          </cell>
          <cell r="F1574">
            <v>45196</v>
          </cell>
          <cell r="G1574" t="str">
            <v>50000665</v>
          </cell>
          <cell r="H1574" t="str">
            <v>Museum Technician</v>
          </cell>
          <cell r="I1574" t="str">
            <v>فني للمتحف</v>
          </cell>
          <cell r="J1574" t="str">
            <v>On-Chart</v>
          </cell>
          <cell r="K1574" t="str">
            <v>MSS Al Nahiya</v>
          </cell>
          <cell r="L1574" t="str">
            <v>M2</v>
          </cell>
          <cell r="M1574" t="str">
            <v>Department of Culture and Tourism</v>
          </cell>
          <cell r="N1574" t="str">
            <v>Zayed National Museum</v>
          </cell>
          <cell r="O1574" t="str">
            <v>متحف زايد الوطني</v>
          </cell>
          <cell r="P1574" t="str">
            <v>Curatorial &amp; Collection Management</v>
          </cell>
          <cell r="Q1574" t="str">
            <v>أمناء المتحف وإدارة المقتنيات</v>
          </cell>
          <cell r="R1574" t="str">
            <v>Collections Managment &amp; Conservation</v>
          </cell>
          <cell r="S1574" t="str">
            <v>إدارة وحفظ المقتنيات</v>
          </cell>
          <cell r="T1574" t="str">
            <v>Conservation</v>
          </cell>
          <cell r="U1574" t="str">
            <v>حفظ المقتنيات</v>
          </cell>
          <cell r="V1574" t="str">
            <v>Abu Dhabi</v>
          </cell>
          <cell r="W1574" t="str">
            <v/>
          </cell>
          <cell r="X1574" t="str">
            <v>4510181</v>
          </cell>
          <cell r="Y1574" t="str">
            <v>Content &amp; Care_Curatorial  Management_Senior Professional</v>
          </cell>
          <cell r="Z1574" t="str">
            <v>Senior Professional</v>
          </cell>
          <cell r="AA1574" t="str">
            <v>3B</v>
          </cell>
        </row>
        <row r="1575">
          <cell r="A1575">
            <v>2001010</v>
          </cell>
          <cell r="B1575">
            <v>2001010</v>
          </cell>
          <cell r="C1575" t="str">
            <v>A</v>
          </cell>
          <cell r="D1575" t="str">
            <v>Imran Anwar Ansari</v>
          </cell>
          <cell r="E1575" t="str">
            <v>عمران انور انصاري</v>
          </cell>
          <cell r="F1575">
            <v>45188</v>
          </cell>
          <cell r="G1575" t="str">
            <v>50000719</v>
          </cell>
          <cell r="H1575" t="str">
            <v>Senior CRM Specialist</v>
          </cell>
          <cell r="I1575" t="str">
            <v>أخصائي أول إدارة علاقات العملاء</v>
          </cell>
          <cell r="J1575" t="str">
            <v>On-Chart</v>
          </cell>
          <cell r="K1575" t="str">
            <v>MSS Al Nahiya</v>
          </cell>
          <cell r="L1575" t="str">
            <v>M2</v>
          </cell>
          <cell r="M1575" t="str">
            <v>Department of Culture and Tourism</v>
          </cell>
          <cell r="N1575" t="str">
            <v>Zayed National Museum</v>
          </cell>
          <cell r="O1575" t="str">
            <v>متحف زايد الوطني</v>
          </cell>
          <cell r="P1575" t="str">
            <v>Marketing &amp; Communication</v>
          </cell>
          <cell r="Q1575" t="str">
            <v>التسويق والاتصال</v>
          </cell>
          <cell r="R1575" t="str">
            <v>Marketing</v>
          </cell>
          <cell r="S1575" t="str">
            <v>التسويق</v>
          </cell>
          <cell r="T1575" t="str">
            <v>Digital Marketing</v>
          </cell>
          <cell r="U1575" t="str">
            <v>التسويق الرقمي</v>
          </cell>
          <cell r="V1575" t="str">
            <v>Abu Dhabi</v>
          </cell>
          <cell r="W1575" t="str">
            <v/>
          </cell>
          <cell r="X1575" t="str">
            <v>4510185</v>
          </cell>
          <cell r="Y1575" t="str">
            <v>Comms &amp; Marketing _Marketing &amp; Communications (All areas)_Senior Professional</v>
          </cell>
          <cell r="Z1575" t="str">
            <v>Senior Professional</v>
          </cell>
          <cell r="AA1575" t="str">
            <v>3C</v>
          </cell>
        </row>
        <row r="1576">
          <cell r="A1576">
            <v>2001011</v>
          </cell>
          <cell r="B1576">
            <v>2001011</v>
          </cell>
          <cell r="C1576" t="str">
            <v>A</v>
          </cell>
          <cell r="D1576" t="str">
            <v>Ayman Kazim Alkhatib</v>
          </cell>
          <cell r="E1576" t="str">
            <v>ايمن كاظم الخطيب</v>
          </cell>
          <cell r="F1576">
            <v>45142</v>
          </cell>
          <cell r="G1576" t="str">
            <v>10006075</v>
          </cell>
          <cell r="H1576" t="str">
            <v>Tendering Director</v>
          </cell>
          <cell r="I1576" t="str">
            <v>مدير المناقصات</v>
          </cell>
          <cell r="J1576" t="str">
            <v>On-Chart</v>
          </cell>
          <cell r="K1576" t="str">
            <v>Al Nahiya</v>
          </cell>
          <cell r="L1576" t="str">
            <v>N0</v>
          </cell>
          <cell r="M1576" t="str">
            <v>Department of Culture and Tourism</v>
          </cell>
          <cell r="N1576" t="str">
            <v>Tendering &amp; Projects Control</v>
          </cell>
          <cell r="O1576" t="str">
            <v>مكتب وكيل الدائرة</v>
          </cell>
          <cell r="P1576" t="str">
            <v>Tendering &amp; Projects Control</v>
          </cell>
          <cell r="Q1576" t="str">
            <v>المناقصات ومراقبة المشاريع</v>
          </cell>
          <cell r="R1576" t="str">
            <v>Tendering</v>
          </cell>
          <cell r="S1576" t="str">
            <v>المناقصات</v>
          </cell>
          <cell r="T1576" t="str">
            <v/>
          </cell>
          <cell r="U1576" t="str">
            <v/>
          </cell>
          <cell r="V1576" t="str">
            <v>Abu Dhabi</v>
          </cell>
          <cell r="W1576" t="str">
            <v/>
          </cell>
          <cell r="X1576" t="str">
            <v>4510155</v>
          </cell>
          <cell r="Y1576" t="str">
            <v>Procurement_Tendering &amp; Project Control _Section Head</v>
          </cell>
          <cell r="Z1576" t="str">
            <v>Section Manager</v>
          </cell>
          <cell r="AA1576" t="str">
            <v>2B</v>
          </cell>
        </row>
        <row r="1577">
          <cell r="A1577">
            <v>2001013</v>
          </cell>
          <cell r="B1577">
            <v>2001013</v>
          </cell>
          <cell r="C1577" t="str">
            <v>A</v>
          </cell>
          <cell r="D1577" t="str">
            <v>Seham Bajammal</v>
          </cell>
          <cell r="E1577" t="str">
            <v>سهام  باجمال</v>
          </cell>
          <cell r="F1577">
            <v>45166</v>
          </cell>
          <cell r="G1577" t="str">
            <v>50001488</v>
          </cell>
          <cell r="H1577" t="str">
            <v>Project Manager</v>
          </cell>
          <cell r="I1577" t="str">
            <v>مدير البرنامج</v>
          </cell>
          <cell r="J1577" t="str">
            <v>On-Chart</v>
          </cell>
          <cell r="K1577" t="str">
            <v>ALC Al Nahiya</v>
          </cell>
          <cell r="L1577" t="str">
            <v>AL2</v>
          </cell>
          <cell r="M1577" t="str">
            <v>Abu Dhabi Arabic Language Centre</v>
          </cell>
          <cell r="N1577" t="str">
            <v>Abu Dhabi Arabic Language Centre</v>
          </cell>
          <cell r="O1577" t="str">
            <v>مركز أبوظبي للغة العربية</v>
          </cell>
          <cell r="P1577" t="str">
            <v>Strategic Planning Office - ALC</v>
          </cell>
          <cell r="Q1577" t="str">
            <v>مكتب التخطيط الاستراتيجي</v>
          </cell>
          <cell r="R1577" t="str">
            <v>Process &amp; Project Management</v>
          </cell>
          <cell r="S1577" t="str">
            <v>إدارة المشاريع والعميات</v>
          </cell>
          <cell r="T1577" t="str">
            <v/>
          </cell>
          <cell r="U1577" t="str">
            <v/>
          </cell>
          <cell r="V1577" t="str">
            <v>Abu Dhabi</v>
          </cell>
          <cell r="W1577" t="str">
            <v/>
          </cell>
          <cell r="X1577" t="str">
            <v>4519203</v>
          </cell>
          <cell r="Y1577" t="str">
            <v>Interpretation &amp; Engagement_Arabic Language Research &amp; Studies _Unit Head</v>
          </cell>
          <cell r="Z1577" t="str">
            <v>Unit Head</v>
          </cell>
          <cell r="AA1577" t="str">
            <v>3B</v>
          </cell>
        </row>
        <row r="1578">
          <cell r="A1578">
            <v>2001014</v>
          </cell>
          <cell r="B1578">
            <v>2001014</v>
          </cell>
          <cell r="C1578" t="str">
            <v>A</v>
          </cell>
          <cell r="D1578" t="str">
            <v>Sadish Kumar</v>
          </cell>
          <cell r="E1578" t="str">
            <v>ساديش  كومار</v>
          </cell>
          <cell r="F1578">
            <v>45181</v>
          </cell>
          <cell r="G1578" t="str">
            <v>50002427</v>
          </cell>
          <cell r="H1578" t="str">
            <v>Events Services Coordinator</v>
          </cell>
          <cell r="I1578" t="str">
            <v>منسق خدمات الفعاليات</v>
          </cell>
          <cell r="J1578" t="str">
            <v>On-Chart</v>
          </cell>
          <cell r="K1578" t="str">
            <v>Al Nahiya</v>
          </cell>
          <cell r="L1578" t="str">
            <v>N0</v>
          </cell>
          <cell r="M1578" t="str">
            <v>Department of Culture and Tourism</v>
          </cell>
          <cell r="N1578" t="str">
            <v>Tourism</v>
          </cell>
          <cell r="O1578" t="str">
            <v>السياحة</v>
          </cell>
          <cell r="P1578" t="str">
            <v>Abu Dhabi Conventions &amp; Exhibition Bureau</v>
          </cell>
          <cell r="Q1578" t="str">
            <v>مكتب أبوظبي للمؤتمرات والمعارض</v>
          </cell>
          <cell r="R1578" t="str">
            <v>Events Services</v>
          </cell>
          <cell r="S1578" t="str">
            <v>خدمات الفعاليات</v>
          </cell>
          <cell r="T1578" t="str">
            <v>Event Services</v>
          </cell>
          <cell r="U1578" t="str">
            <v>وحدة خدمات الفعاليات</v>
          </cell>
          <cell r="V1578" t="str">
            <v>Abu Dhabi</v>
          </cell>
          <cell r="W1578" t="str">
            <v/>
          </cell>
          <cell r="X1578" t="str">
            <v>4515400</v>
          </cell>
          <cell r="Y1578" t="str">
            <v>Commercial _Conventions, Exhibitions, Events &amp; Festivals Development &amp; Sales  _Professional</v>
          </cell>
          <cell r="Z1578" t="str">
            <v>Professional</v>
          </cell>
          <cell r="AA1578" t="str">
            <v>5B</v>
          </cell>
        </row>
        <row r="1579">
          <cell r="A1579">
            <v>2001016</v>
          </cell>
          <cell r="B1579">
            <v>2001016</v>
          </cell>
          <cell r="C1579" t="str">
            <v>A</v>
          </cell>
          <cell r="D1579" t="str">
            <v>Jitha Sajith</v>
          </cell>
          <cell r="E1579" t="str">
            <v>جيثا  ساجيث</v>
          </cell>
          <cell r="F1579">
            <v>45182</v>
          </cell>
          <cell r="G1579" t="str">
            <v>50002070</v>
          </cell>
          <cell r="H1579" t="str">
            <v>Contracts &amp; Performance Senior Specialist</v>
          </cell>
          <cell r="I1579" t="str">
            <v>أخصائي أول العقود والأداء</v>
          </cell>
          <cell r="J1579" t="str">
            <v>On-Chart</v>
          </cell>
          <cell r="K1579" t="str">
            <v>Al Nahiya</v>
          </cell>
          <cell r="L1579" t="str">
            <v>N0</v>
          </cell>
          <cell r="M1579" t="str">
            <v>Department of Culture and Tourism</v>
          </cell>
          <cell r="N1579" t="str">
            <v>Support Services</v>
          </cell>
          <cell r="O1579" t="str">
            <v>الخدمات المساندة</v>
          </cell>
          <cell r="P1579" t="str">
            <v>Supply Management</v>
          </cell>
          <cell r="Q1579" t="str">
            <v>إدارة الإمداد</v>
          </cell>
          <cell r="R1579" t="str">
            <v>Contracts, System &amp; Reporting</v>
          </cell>
          <cell r="S1579" t="str">
            <v>العقود والأنظمة والتقارير</v>
          </cell>
          <cell r="T1579" t="str">
            <v>Supplier Performance</v>
          </cell>
          <cell r="U1579" t="str">
            <v>أداء الموردين</v>
          </cell>
          <cell r="V1579" t="str">
            <v>Abu Dhabi</v>
          </cell>
          <cell r="W1579" t="str">
            <v/>
          </cell>
          <cell r="X1579" t="str">
            <v>4510240</v>
          </cell>
          <cell r="Y1579" t="str">
            <v>Procurement_Supplier  Management_Senior Professional</v>
          </cell>
          <cell r="Z1579" t="str">
            <v>Senior Professional</v>
          </cell>
          <cell r="AA1579" t="str">
            <v>3B</v>
          </cell>
        </row>
        <row r="1580">
          <cell r="A1580">
            <v>2001019</v>
          </cell>
          <cell r="B1580">
            <v>2001019</v>
          </cell>
          <cell r="C1580" t="str">
            <v>A</v>
          </cell>
          <cell r="D1580" t="str">
            <v>Arthi Balasubramanian</v>
          </cell>
          <cell r="E1580" t="str">
            <v>ارثي  بالاسوبرامانيان</v>
          </cell>
          <cell r="F1580">
            <v>45173</v>
          </cell>
          <cell r="G1580" t="str">
            <v>10009529</v>
          </cell>
          <cell r="H1580" t="str">
            <v>Senior Architect</v>
          </cell>
          <cell r="I1580" t="str">
            <v>مهندس معماري أول</v>
          </cell>
          <cell r="J1580" t="str">
            <v>On-Chart</v>
          </cell>
          <cell r="K1580" t="str">
            <v>Al Nahiya</v>
          </cell>
          <cell r="L1580" t="str">
            <v>N0</v>
          </cell>
          <cell r="M1580" t="str">
            <v>Department of Culture and Tourism</v>
          </cell>
          <cell r="N1580" t="str">
            <v>Project Management &amp; Engineering</v>
          </cell>
          <cell r="O1580" t="str">
            <v>مكتب وكيل الدائرة</v>
          </cell>
          <cell r="P1580" t="str">
            <v>Project Management &amp; Engineering</v>
          </cell>
          <cell r="Q1580" t="str">
            <v>هندسة وإدارة المشاريع</v>
          </cell>
          <cell r="R1580" t="str">
            <v>Architecture</v>
          </cell>
          <cell r="S1580" t="str">
            <v>الهندسة المعمارية</v>
          </cell>
          <cell r="T1580" t="str">
            <v/>
          </cell>
          <cell r="U1580" t="str">
            <v/>
          </cell>
          <cell r="V1580" t="str">
            <v>Abu Dhabi</v>
          </cell>
          <cell r="W1580" t="str">
            <v/>
          </cell>
          <cell r="X1580" t="str">
            <v>4510150</v>
          </cell>
          <cell r="Y1580" t="str">
            <v>Technical Safety &amp; Security_Engineering Design &amp; Development _Senior Professional</v>
          </cell>
          <cell r="Z1580" t="str">
            <v>Senior Professional</v>
          </cell>
          <cell r="AA1580" t="str">
            <v>3B</v>
          </cell>
        </row>
        <row r="1581">
          <cell r="A1581">
            <v>2001020</v>
          </cell>
          <cell r="B1581">
            <v>2001020</v>
          </cell>
          <cell r="C1581" t="str">
            <v>A</v>
          </cell>
          <cell r="D1581" t="str">
            <v>Manish Kumar</v>
          </cell>
          <cell r="E1581" t="str">
            <v>مانيش  كومار</v>
          </cell>
          <cell r="F1581">
            <v>45154</v>
          </cell>
          <cell r="G1581" t="str">
            <v>10012317</v>
          </cell>
          <cell r="H1581" t="str">
            <v>Artificial Intelligence Section Head</v>
          </cell>
          <cell r="I1581" t="str">
            <v>رئيس قسم الذكاء الاصطناعي</v>
          </cell>
          <cell r="J1581" t="str">
            <v>On-Chart</v>
          </cell>
          <cell r="K1581" t="str">
            <v>Al Nahiya</v>
          </cell>
          <cell r="L1581" t="str">
            <v>N0</v>
          </cell>
          <cell r="M1581" t="str">
            <v>Department of Culture and Tourism</v>
          </cell>
          <cell r="N1581" t="str">
            <v>Strategic Affairs</v>
          </cell>
          <cell r="O1581" t="str">
            <v>الشؤون الاستراتيجية</v>
          </cell>
          <cell r="P1581" t="str">
            <v>Data &amp; AI Department</v>
          </cell>
          <cell r="Q1581" t="str">
            <v>إدارة البيانات والذكاء الاصطناعي</v>
          </cell>
          <cell r="R1581" t="str">
            <v>Artificial Intelligence Section</v>
          </cell>
          <cell r="S1581" t="str">
            <v>التحليل وعلم البيانات</v>
          </cell>
          <cell r="T1581" t="str">
            <v/>
          </cell>
          <cell r="U1581" t="str">
            <v/>
          </cell>
          <cell r="V1581" t="str">
            <v>Abu Dhabi</v>
          </cell>
          <cell r="W1581" t="str">
            <v/>
          </cell>
          <cell r="X1581" t="str">
            <v>4512200</v>
          </cell>
          <cell r="Y1581" t="str">
            <v>Strategy, Planning, Project Mgt_Business/Market Intelligence  Analysis &amp; Planning _Section Head</v>
          </cell>
          <cell r="Z1581" t="str">
            <v>Section Manager</v>
          </cell>
          <cell r="AA1581" t="str">
            <v>2B</v>
          </cell>
        </row>
        <row r="1582">
          <cell r="A1582">
            <v>2001021</v>
          </cell>
          <cell r="B1582">
            <v>2001021</v>
          </cell>
          <cell r="C1582" t="str">
            <v>A</v>
          </cell>
          <cell r="D1582" t="str">
            <v>Khalid Tawfiq Al-Saqqar</v>
          </cell>
          <cell r="E1582" t="str">
            <v>خالد توفيق الصقار</v>
          </cell>
          <cell r="F1582">
            <v>45149</v>
          </cell>
          <cell r="G1582" t="str">
            <v>10010282</v>
          </cell>
          <cell r="H1582" t="str">
            <v>MEP Projects Manager</v>
          </cell>
          <cell r="I1582" t="str">
            <v>مدير المشاريع الالكتروميكانيكية</v>
          </cell>
          <cell r="J1582" t="str">
            <v>On-Chart</v>
          </cell>
          <cell r="K1582" t="str">
            <v>Al Nahiya</v>
          </cell>
          <cell r="L1582" t="str">
            <v>N0</v>
          </cell>
          <cell r="M1582" t="str">
            <v>Department of Culture and Tourism</v>
          </cell>
          <cell r="N1582" t="str">
            <v>Project Management &amp; Engineering</v>
          </cell>
          <cell r="O1582" t="str">
            <v>مكتب وكيل الدائرة</v>
          </cell>
          <cell r="P1582" t="str">
            <v>Project Management &amp; Engineering</v>
          </cell>
          <cell r="Q1582" t="str">
            <v>هندسة وإدارة المشاريع</v>
          </cell>
          <cell r="R1582" t="str">
            <v/>
          </cell>
          <cell r="S1582" t="str">
            <v/>
          </cell>
          <cell r="T1582" t="str">
            <v/>
          </cell>
          <cell r="U1582" t="str">
            <v/>
          </cell>
          <cell r="V1582" t="str">
            <v>Abu Dhabi</v>
          </cell>
          <cell r="W1582" t="str">
            <v/>
          </cell>
          <cell r="X1582" t="str">
            <v>4510150</v>
          </cell>
          <cell r="Y1582" t="str">
            <v>Technical Safety &amp; Security_Engineering Project Management  _Unit Head</v>
          </cell>
          <cell r="Z1582" t="str">
            <v>Unit Head</v>
          </cell>
          <cell r="AA1582" t="str">
            <v>3A</v>
          </cell>
        </row>
        <row r="1583">
          <cell r="A1583">
            <v>2001025</v>
          </cell>
          <cell r="B1583">
            <v>2001025</v>
          </cell>
          <cell r="C1583" t="str">
            <v>A</v>
          </cell>
          <cell r="D1583" t="str">
            <v>Kevin Lidour</v>
          </cell>
          <cell r="E1583" t="str">
            <v>كيفين  ليدور</v>
          </cell>
          <cell r="F1583">
            <v>45174</v>
          </cell>
          <cell r="G1583" t="str">
            <v>50002375</v>
          </cell>
          <cell r="H1583" t="str">
            <v>Bioarchaeologist</v>
          </cell>
          <cell r="I1583" t="str">
            <v>آثاري</v>
          </cell>
          <cell r="J1583" t="str">
            <v>On-Chart</v>
          </cell>
          <cell r="K1583" t="str">
            <v>Al Nahiya</v>
          </cell>
          <cell r="L1583" t="str">
            <v>N0</v>
          </cell>
          <cell r="M1583" t="str">
            <v>Department of Culture and Tourism</v>
          </cell>
          <cell r="N1583" t="str">
            <v>Culture</v>
          </cell>
          <cell r="O1583" t="str">
            <v>الثقافة</v>
          </cell>
          <cell r="P1583" t="str">
            <v>Historic Environment</v>
          </cell>
          <cell r="Q1583" t="str">
            <v>البيئة التاريخية</v>
          </cell>
          <cell r="R1583" t="str">
            <v>Archaeology &amp; Paleontology</v>
          </cell>
          <cell r="S1583" t="str">
            <v>علم الآثار</v>
          </cell>
          <cell r="T1583" t="str">
            <v>Archaeological Research (Al Dhafra &amp; Abu Dhabi)</v>
          </cell>
          <cell r="U1583" t="str">
            <v>البحوث الأثرية (الظفرة وأبو ظبي)</v>
          </cell>
          <cell r="V1583" t="str">
            <v>Abu Dhabi</v>
          </cell>
          <cell r="W1583" t="str">
            <v/>
          </cell>
          <cell r="X1583" t="str">
            <v>4511300</v>
          </cell>
          <cell r="Y1583" t="str">
            <v>Compliance,Governance&amp;Protocol_Policy (Culture/Tourism _Senior Professional</v>
          </cell>
          <cell r="Z1583" t="str">
            <v>Senior Professional</v>
          </cell>
          <cell r="AA1583" t="str">
            <v>3B</v>
          </cell>
        </row>
        <row r="1584">
          <cell r="A1584">
            <v>2001027</v>
          </cell>
          <cell r="B1584">
            <v>2001027</v>
          </cell>
          <cell r="C1584" t="str">
            <v>A</v>
          </cell>
          <cell r="D1584" t="str">
            <v>Mohammad Kamel Alzamer</v>
          </cell>
          <cell r="E1584" t="str">
            <v>محمد كامل الزمر</v>
          </cell>
          <cell r="F1584">
            <v>45176</v>
          </cell>
          <cell r="G1584" t="str">
            <v>50002577</v>
          </cell>
          <cell r="H1584" t="str">
            <v>Finance Business Partner</v>
          </cell>
          <cell r="I1584" t="str">
            <v>شريك الأعمال المالية</v>
          </cell>
          <cell r="J1584" t="str">
            <v>On-Chart</v>
          </cell>
          <cell r="K1584" t="str">
            <v>MSS Al Nahiya</v>
          </cell>
          <cell r="L1584" t="str">
            <v>M2</v>
          </cell>
          <cell r="M1584" t="str">
            <v>Department of Culture and Tourism</v>
          </cell>
          <cell r="N1584" t="str">
            <v>Museums Shared Services</v>
          </cell>
          <cell r="O1584" t="str">
            <v>الخدمات المشتركة للمتاحف</v>
          </cell>
          <cell r="P1584" t="str">
            <v>Finance - MSS</v>
          </cell>
          <cell r="Q1584" t="str">
            <v>الإدارة المالية - الخدمات المشتركة للمتاحف</v>
          </cell>
          <cell r="R1584" t="str">
            <v>Finance Planning and Business Partnership Section - MSS</v>
          </cell>
          <cell r="S1584" t="str">
            <v>قسم التخطيط المالي وشراكات الأعمال</v>
          </cell>
          <cell r="T1584" t="str">
            <v>Finance Business Partners Unit  - MSS</v>
          </cell>
          <cell r="U1584" t="str">
            <v>وحدة شركاء الأعمال المالية</v>
          </cell>
          <cell r="V1584" t="str">
            <v>Abu Dhabi</v>
          </cell>
          <cell r="W1584" t="str">
            <v/>
          </cell>
          <cell r="X1584" t="str">
            <v>4514120</v>
          </cell>
          <cell r="Y1584" t="str">
            <v>Finance_Financial Business Partners _Senior Professional</v>
          </cell>
          <cell r="Z1584" t="str">
            <v>Senior Professional</v>
          </cell>
          <cell r="AA1584" t="str">
            <v>3B</v>
          </cell>
        </row>
        <row r="1585">
          <cell r="A1585">
            <v>2001028</v>
          </cell>
          <cell r="B1585">
            <v>2001028</v>
          </cell>
          <cell r="C1585" t="str">
            <v>A</v>
          </cell>
          <cell r="D1585" t="str">
            <v>Sean Campbell</v>
          </cell>
          <cell r="E1585" t="str">
            <v>سيان  كامبيل</v>
          </cell>
          <cell r="F1585">
            <v>45187</v>
          </cell>
          <cell r="G1585" t="str">
            <v>50004229</v>
          </cell>
          <cell r="H1585" t="str">
            <v>Sponsorship Unit Head</v>
          </cell>
          <cell r="I1585" t="str">
            <v>رئيس وحدة الرعاية</v>
          </cell>
          <cell r="J1585" t="str">
            <v>On-Chart</v>
          </cell>
          <cell r="K1585" t="str">
            <v>Al Nahiya</v>
          </cell>
          <cell r="L1585" t="str">
            <v>N0</v>
          </cell>
          <cell r="M1585" t="str">
            <v>Department of Culture and Tourism</v>
          </cell>
          <cell r="N1585" t="str">
            <v>Tourism</v>
          </cell>
          <cell r="O1585" t="str">
            <v>السياحة</v>
          </cell>
          <cell r="P1585" t="str">
            <v>Abu Dhabi Events Bureau</v>
          </cell>
          <cell r="Q1585" t="str">
            <v>مكتب أبوظبي للفعاليات</v>
          </cell>
          <cell r="R1585" t="str">
            <v>Events Strategy &amp; Planning</v>
          </cell>
          <cell r="S1585" t="str">
            <v>استراتيجية وتخطيط الفعاليات</v>
          </cell>
          <cell r="T1585" t="str">
            <v>Sponsorship</v>
          </cell>
          <cell r="U1585" t="str">
            <v>وحدة الرعاية</v>
          </cell>
          <cell r="V1585" t="str">
            <v>Abu Dhabi</v>
          </cell>
          <cell r="W1585" t="str">
            <v/>
          </cell>
          <cell r="X1585" t="str">
            <v>4515500</v>
          </cell>
          <cell r="Y1585" t="str">
            <v>Senior Specialization Festivals &amp; Events</v>
          </cell>
          <cell r="Z1585" t="str">
            <v>Unit Head</v>
          </cell>
          <cell r="AA1585" t="str">
            <v>3B</v>
          </cell>
        </row>
        <row r="1586">
          <cell r="A1586">
            <v>2001032</v>
          </cell>
          <cell r="B1586">
            <v>2001032</v>
          </cell>
          <cell r="C1586" t="str">
            <v>A</v>
          </cell>
          <cell r="D1586" t="str">
            <v>Rim Khalil</v>
          </cell>
          <cell r="E1586" t="str">
            <v>ريم  خليل</v>
          </cell>
          <cell r="F1586">
            <v>45693</v>
          </cell>
          <cell r="G1586" t="str">
            <v>50002636</v>
          </cell>
          <cell r="H1586" t="str">
            <v>Talent Acquisition Senior Specialist</v>
          </cell>
          <cell r="I1586" t="str">
            <v>أخصائي أول استقطاب المواهب</v>
          </cell>
          <cell r="J1586" t="str">
            <v>On-Chart</v>
          </cell>
          <cell r="K1586" t="str">
            <v>MSS Al Nahiya</v>
          </cell>
          <cell r="L1586" t="str">
            <v>M2</v>
          </cell>
          <cell r="M1586" t="str">
            <v>Department of Culture and Tourism</v>
          </cell>
          <cell r="N1586" t="str">
            <v>Museums Shared Services</v>
          </cell>
          <cell r="O1586" t="str">
            <v>الخدمات المشتركة للمتاحف</v>
          </cell>
          <cell r="P1586" t="str">
            <v>People and Performance - MSS</v>
          </cell>
          <cell r="Q1586" t="str">
            <v>إدارة الكوادر البشرية والأداء - الخدمات المشتركة للمتاحف</v>
          </cell>
          <cell r="R1586" t="str">
            <v>Talent Acquisition Section - MSS</v>
          </cell>
          <cell r="S1586" t="str">
            <v>قسم استقطاب المواهب</v>
          </cell>
          <cell r="T1586" t="str">
            <v>Talent Acquisition Unit - MSS</v>
          </cell>
          <cell r="U1586" t="str">
            <v>وحدة استقطاب المواهب</v>
          </cell>
          <cell r="V1586" t="str">
            <v>Abu Dhabi</v>
          </cell>
          <cell r="W1586" t="str">
            <v/>
          </cell>
          <cell r="X1586" t="str">
            <v>4514140</v>
          </cell>
          <cell r="Y1586" t="str">
            <v>People &amp; Performance _Talent Acquisition_Professional Assistant</v>
          </cell>
          <cell r="Z1586" t="str">
            <v>Senior Professional</v>
          </cell>
          <cell r="AA1586" t="str">
            <v>3C</v>
          </cell>
        </row>
        <row r="1587">
          <cell r="A1587">
            <v>2001037</v>
          </cell>
          <cell r="B1587">
            <v>2001037</v>
          </cell>
          <cell r="C1587" t="str">
            <v>A</v>
          </cell>
          <cell r="D1587" t="str">
            <v>George Nissem Saad</v>
          </cell>
          <cell r="E1587" t="str">
            <v>جورج نسيم سعد</v>
          </cell>
          <cell r="F1587">
            <v>45202</v>
          </cell>
          <cell r="G1587" t="str">
            <v>50002477</v>
          </cell>
          <cell r="H1587" t="str">
            <v>Multimedia Design Unit Head</v>
          </cell>
          <cell r="I1587" t="str">
            <v>رئيس وحدة تصميم الوسائط المتعددة</v>
          </cell>
          <cell r="J1587" t="str">
            <v>On-Chart</v>
          </cell>
          <cell r="K1587" t="str">
            <v>Al Nahiya</v>
          </cell>
          <cell r="L1587" t="str">
            <v>N0</v>
          </cell>
          <cell r="M1587" t="str">
            <v>Department of Culture and Tourism</v>
          </cell>
          <cell r="N1587" t="str">
            <v>Strategic Marketing &amp; Communication</v>
          </cell>
          <cell r="O1587" t="str">
            <v>التسويق والاتصال الاستراتيجي</v>
          </cell>
          <cell r="P1587" t="str">
            <v>Creative &amp; Production</v>
          </cell>
          <cell r="Q1587" t="str">
            <v>الإبداع والإنتاج</v>
          </cell>
          <cell r="R1587" t="str">
            <v>Creative Content</v>
          </cell>
          <cell r="S1587" t="str">
            <v>المحتوى الإبداعي</v>
          </cell>
          <cell r="T1587" t="str">
            <v>Multimedia Design</v>
          </cell>
          <cell r="U1587" t="str">
            <v>تصميم الوسائط المتعددة</v>
          </cell>
          <cell r="V1587" t="str">
            <v>Abu Dhabi</v>
          </cell>
          <cell r="W1587" t="str">
            <v/>
          </cell>
          <cell r="X1587" t="str">
            <v>4513110</v>
          </cell>
          <cell r="Y1587" t="str">
            <v>Senior Specialization Marketing &amp; Communications</v>
          </cell>
          <cell r="Z1587" t="str">
            <v>Unit Head</v>
          </cell>
          <cell r="AA1587" t="str">
            <v>3A</v>
          </cell>
        </row>
        <row r="1588">
          <cell r="A1588">
            <v>2001038</v>
          </cell>
          <cell r="B1588">
            <v>2001038</v>
          </cell>
          <cell r="C1588" t="str">
            <v>A</v>
          </cell>
          <cell r="D1588" t="str">
            <v>NIshita Virkar</v>
          </cell>
          <cell r="E1588" t="str">
            <v>نيشيتا  فيركار</v>
          </cell>
          <cell r="F1588">
            <v>45201</v>
          </cell>
          <cell r="G1588" t="str">
            <v>50000808</v>
          </cell>
          <cell r="H1588" t="str">
            <v>Consumer Communications Section Head</v>
          </cell>
          <cell r="I1588" t="str">
            <v>رئيس قسم اتصالات المستهلكين</v>
          </cell>
          <cell r="J1588" t="str">
            <v>On-Chart</v>
          </cell>
          <cell r="K1588" t="str">
            <v>Al Nahiya</v>
          </cell>
          <cell r="L1588" t="str">
            <v>N0</v>
          </cell>
          <cell r="M1588" t="str">
            <v>Department of Culture and Tourism</v>
          </cell>
          <cell r="N1588" t="str">
            <v>Strategic Marketing &amp; Communication</v>
          </cell>
          <cell r="O1588" t="str">
            <v>التسويق والاتصال الاستراتيجي</v>
          </cell>
          <cell r="P1588" t="str">
            <v>Strategic Communications</v>
          </cell>
          <cell r="Q1588" t="str">
            <v>الاتصال الاستراتيجي</v>
          </cell>
          <cell r="R1588" t="str">
            <v>Consumer Communications</v>
          </cell>
          <cell r="S1588" t="str">
            <v>اتصالات المستهلكين</v>
          </cell>
          <cell r="T1588" t="str">
            <v/>
          </cell>
          <cell r="U1588" t="str">
            <v/>
          </cell>
          <cell r="V1588" t="str">
            <v>Abu Dhabi</v>
          </cell>
          <cell r="W1588" t="str">
            <v/>
          </cell>
          <cell r="X1588" t="str">
            <v>4513120</v>
          </cell>
          <cell r="Y1588" t="str">
            <v>Comms &amp; Marketing _Communications (All Areas)_Section Head</v>
          </cell>
          <cell r="Z1588" t="str">
            <v>Section Manager</v>
          </cell>
          <cell r="AA1588" t="str">
            <v>2B</v>
          </cell>
        </row>
        <row r="1589">
          <cell r="A1589">
            <v>2001039</v>
          </cell>
          <cell r="B1589">
            <v>2001039</v>
          </cell>
          <cell r="C1589" t="str">
            <v>A</v>
          </cell>
          <cell r="D1589" t="str">
            <v>Ela Angheluta</v>
          </cell>
          <cell r="E1589" t="str">
            <v>ايونا  انجياوتا</v>
          </cell>
          <cell r="F1589">
            <v>45201</v>
          </cell>
          <cell r="G1589" t="str">
            <v>50002192</v>
          </cell>
          <cell r="H1589" t="str">
            <v>Planning Specialist</v>
          </cell>
          <cell r="I1589" t="str">
            <v>أخصائي التخطيط</v>
          </cell>
          <cell r="J1589" t="str">
            <v>On-Chart</v>
          </cell>
          <cell r="K1589" t="str">
            <v>Sundus</v>
          </cell>
          <cell r="L1589" t="str">
            <v>SU</v>
          </cell>
          <cell r="M1589" t="str">
            <v>Department of Culture and Tourism</v>
          </cell>
          <cell r="N1589" t="str">
            <v>Strategic Marketing &amp; Communication</v>
          </cell>
          <cell r="O1589" t="str">
            <v>التسويق والاتصال الاستراتيجي</v>
          </cell>
          <cell r="P1589" t="str">
            <v>Planning, Strategy &amp; Operations</v>
          </cell>
          <cell r="Q1589" t="str">
            <v>التخطيط والاستراتيجية والعمليات</v>
          </cell>
          <cell r="R1589" t="str">
            <v>Planning, Research &amp; Insight</v>
          </cell>
          <cell r="S1589" t="str">
            <v>التخطيط والبحوث</v>
          </cell>
          <cell r="T1589" t="str">
            <v>Planning</v>
          </cell>
          <cell r="U1589" t="str">
            <v>التخطيط</v>
          </cell>
          <cell r="V1589" t="str">
            <v>Abu Dhabi</v>
          </cell>
          <cell r="W1589" t="str">
            <v/>
          </cell>
          <cell r="X1589" t="str">
            <v>4513130</v>
          </cell>
          <cell r="Y1589" t="str">
            <v>Strategy, Planning, Project Mgt_Business/Sector Performance Management  &amp; Reporting _Senior Professional</v>
          </cell>
          <cell r="Z1589" t="str">
            <v>Senior Professional</v>
          </cell>
          <cell r="AA1589" t="str">
            <v>3C</v>
          </cell>
        </row>
        <row r="1590">
          <cell r="A1590">
            <v>2001040</v>
          </cell>
          <cell r="B1590">
            <v>2001040</v>
          </cell>
          <cell r="C1590" t="str">
            <v>A</v>
          </cell>
          <cell r="D1590" t="str">
            <v>Irina Kosinchuk</v>
          </cell>
          <cell r="E1590" t="str">
            <v>ايرينا  كوسينتشوك</v>
          </cell>
          <cell r="F1590">
            <v>45196</v>
          </cell>
          <cell r="G1590" t="str">
            <v>10004942</v>
          </cell>
          <cell r="H1590" t="str">
            <v>Planning &amp; Operations (Russia &amp; CIS) Senior Executive</v>
          </cell>
          <cell r="I1590" t="str">
            <v>تنفيذي أول التخطيط والعمليات (منطقة روسيا ورابطة الدول المستقلة)</v>
          </cell>
          <cell r="J1590" t="str">
            <v>On-Chart</v>
          </cell>
          <cell r="K1590" t="str">
            <v>Al Nahiya</v>
          </cell>
          <cell r="L1590" t="str">
            <v>N0</v>
          </cell>
          <cell r="M1590" t="str">
            <v>Department of Culture and Tourism</v>
          </cell>
          <cell r="N1590" t="str">
            <v>Tourism</v>
          </cell>
          <cell r="O1590" t="str">
            <v>السياحة</v>
          </cell>
          <cell r="P1590" t="str">
            <v>International Operations</v>
          </cell>
          <cell r="Q1590" t="str">
            <v>العمليات الدولية</v>
          </cell>
          <cell r="R1590" t="str">
            <v>Europe</v>
          </cell>
          <cell r="S1590" t="str">
            <v>منطقة أوروبا</v>
          </cell>
          <cell r="T1590" t="str">
            <v>Russia &amp; CIS</v>
          </cell>
          <cell r="U1590" t="str">
            <v>منطقة روسيا ورابطة الدول المستقلة</v>
          </cell>
          <cell r="V1590" t="str">
            <v>Abu Dhabi</v>
          </cell>
          <cell r="W1590" t="str">
            <v/>
          </cell>
          <cell r="X1590" t="str">
            <v>4515100</v>
          </cell>
          <cell r="Y1590" t="str">
            <v>Compliance,Governance&amp;Protocol_Policy (Culture/Tourism _Senior Professional</v>
          </cell>
          <cell r="Z1590" t="str">
            <v>Senior Professional</v>
          </cell>
          <cell r="AA1590" t="str">
            <v>3B</v>
          </cell>
        </row>
        <row r="1591">
          <cell r="A1591">
            <v>2001041</v>
          </cell>
          <cell r="B1591">
            <v>2001041</v>
          </cell>
          <cell r="C1591" t="str">
            <v>A</v>
          </cell>
          <cell r="D1591" t="str">
            <v>Nauman Syed</v>
          </cell>
          <cell r="E1591" t="str">
            <v>نعمان  سيد</v>
          </cell>
          <cell r="F1591">
            <v>45215</v>
          </cell>
          <cell r="G1591" t="str">
            <v>50002193</v>
          </cell>
          <cell r="H1591" t="str">
            <v>Research &amp; Insight Specialist</v>
          </cell>
          <cell r="I1591" t="str">
            <v>أخصائي البحوث</v>
          </cell>
          <cell r="J1591" t="str">
            <v>On-Chart</v>
          </cell>
          <cell r="K1591" t="str">
            <v>Sundus</v>
          </cell>
          <cell r="L1591" t="str">
            <v>SU</v>
          </cell>
          <cell r="M1591" t="str">
            <v>Department of Culture and Tourism</v>
          </cell>
          <cell r="N1591" t="str">
            <v>Strategic Marketing &amp; Communication</v>
          </cell>
          <cell r="O1591" t="str">
            <v>التسويق والاتصال الاستراتيجي</v>
          </cell>
          <cell r="P1591" t="str">
            <v>Planning, Strategy &amp; Operations</v>
          </cell>
          <cell r="Q1591" t="str">
            <v>التخطيط والاستراتيجية والعمليات</v>
          </cell>
          <cell r="R1591" t="str">
            <v>Planning, Research &amp; Insight</v>
          </cell>
          <cell r="S1591" t="str">
            <v>التخطيط والبحوث</v>
          </cell>
          <cell r="T1591" t="str">
            <v>Research &amp; Insight</v>
          </cell>
          <cell r="U1591" t="str">
            <v>البحوث</v>
          </cell>
          <cell r="V1591" t="str">
            <v>Abu Dhabi</v>
          </cell>
          <cell r="W1591" t="str">
            <v/>
          </cell>
          <cell r="X1591" t="str">
            <v>4513130</v>
          </cell>
          <cell r="Y1591" t="str">
            <v>Strategy, Planning, Project Mgt_Business/Sector Performance Management  &amp; Reporting _Senior Professional</v>
          </cell>
          <cell r="Z1591" t="str">
            <v>Senior Professional</v>
          </cell>
          <cell r="AA1591" t="str">
            <v>3C</v>
          </cell>
        </row>
        <row r="1592">
          <cell r="A1592">
            <v>2001042</v>
          </cell>
          <cell r="B1592">
            <v>2001042</v>
          </cell>
          <cell r="C1592" t="str">
            <v>A</v>
          </cell>
          <cell r="D1592" t="str">
            <v>Aakash Handa</v>
          </cell>
          <cell r="E1592" t="str">
            <v>اكاش  هاندا</v>
          </cell>
          <cell r="F1592">
            <v>45201</v>
          </cell>
          <cell r="G1592" t="str">
            <v>50003997</v>
          </cell>
          <cell r="H1592" t="str">
            <v>Foresight Planning &amp; Innovation Unit Head</v>
          </cell>
          <cell r="I1592" t="str">
            <v>رئيس وحدة التخطيط الاستشرافي والابتكار</v>
          </cell>
          <cell r="J1592" t="str">
            <v>On-Chart</v>
          </cell>
          <cell r="K1592" t="str">
            <v>Sundus</v>
          </cell>
          <cell r="L1592" t="str">
            <v>SU</v>
          </cell>
          <cell r="M1592" t="str">
            <v>Department of Culture and Tourism</v>
          </cell>
          <cell r="N1592" t="str">
            <v>Strategic Affairs</v>
          </cell>
          <cell r="O1592" t="str">
            <v>الشؤون الاستراتيجية</v>
          </cell>
          <cell r="P1592" t="str">
            <v>Business Excellence &amp; Continuity</v>
          </cell>
          <cell r="Q1592" t="str">
            <v>التميز المؤسسي واستمرارية الأعمال</v>
          </cell>
          <cell r="R1592" t="str">
            <v>Corporate Excellence &amp; Foresight Planning</v>
          </cell>
          <cell r="S1592" t="str">
            <v>التميز المؤسسي واستشراف المستقبل</v>
          </cell>
          <cell r="T1592" t="str">
            <v>Foresight Planning and Innovation</v>
          </cell>
          <cell r="U1592" t="str">
            <v>استشراف المستقبل والابتكار</v>
          </cell>
          <cell r="V1592" t="str">
            <v>Abu Dhabi</v>
          </cell>
          <cell r="W1592" t="str">
            <v/>
          </cell>
          <cell r="X1592" t="str">
            <v>4512300</v>
          </cell>
          <cell r="Y1592" t="str">
            <v>Strategy, Planning, Project Mgt_Business Excellence &amp; Foresight Planning _Unit Head</v>
          </cell>
          <cell r="Z1592" t="str">
            <v>Unit Head</v>
          </cell>
          <cell r="AA1592" t="str">
            <v>3B</v>
          </cell>
        </row>
        <row r="1593">
          <cell r="A1593">
            <v>2001043</v>
          </cell>
          <cell r="B1593">
            <v>2001043</v>
          </cell>
          <cell r="C1593" t="str">
            <v>A</v>
          </cell>
          <cell r="D1593" t="str">
            <v>Sebastian Kirchhof</v>
          </cell>
          <cell r="E1593" t="str">
            <v>سيباستيان  كيرشوف</v>
          </cell>
          <cell r="F1593">
            <v>45202</v>
          </cell>
          <cell r="G1593" t="str">
            <v>50001962</v>
          </cell>
          <cell r="H1593" t="str">
            <v>Curator</v>
          </cell>
          <cell r="I1593" t="str">
            <v>أمين متحف</v>
          </cell>
          <cell r="J1593" t="str">
            <v>On-Chart</v>
          </cell>
          <cell r="K1593" t="str">
            <v>MSS Sundus</v>
          </cell>
          <cell r="L1593" t="str">
            <v>M3</v>
          </cell>
          <cell r="M1593" t="str">
            <v>Department of Culture and Tourism</v>
          </cell>
          <cell r="N1593" t="str">
            <v>Culture</v>
          </cell>
          <cell r="O1593" t="str">
            <v>الثقافة</v>
          </cell>
          <cell r="P1593" t="str">
            <v>Natural History Museum Abu Dhabi</v>
          </cell>
          <cell r="Q1593" t="str">
            <v>متحف التاريخ الطبيعي - أبوظبي</v>
          </cell>
          <cell r="R1593" t="str">
            <v>Scientific, Curatorial, &amp; Collections Management</v>
          </cell>
          <cell r="S1593" t="str">
            <v>أمناء المتحف وإدارة المقتنيات</v>
          </cell>
          <cell r="T1593" t="str">
            <v/>
          </cell>
          <cell r="U1593" t="str">
            <v/>
          </cell>
          <cell r="V1593" t="str">
            <v>Abu Dhabi</v>
          </cell>
          <cell r="W1593" t="str">
            <v/>
          </cell>
          <cell r="X1593" t="str">
            <v>4510310</v>
          </cell>
          <cell r="Y1593" t="str">
            <v>Compliance,Governance&amp;Protocol_Policy (Culture/Tourism _Senior Professional</v>
          </cell>
          <cell r="Z1593" t="str">
            <v>Senior Professional</v>
          </cell>
          <cell r="AA1593" t="str">
            <v>3B</v>
          </cell>
        </row>
        <row r="1594">
          <cell r="A1594">
            <v>2001045</v>
          </cell>
          <cell r="B1594">
            <v>2001045</v>
          </cell>
          <cell r="C1594" t="str">
            <v>A</v>
          </cell>
          <cell r="D1594" t="str">
            <v>Mohammed Ali Mashal</v>
          </cell>
          <cell r="E1594" t="str">
            <v>محمد علي مشعل</v>
          </cell>
          <cell r="F1594">
            <v>45203</v>
          </cell>
          <cell r="G1594" t="str">
            <v>50003981</v>
          </cell>
          <cell r="H1594" t="str">
            <v>Project Controls Senior Manager</v>
          </cell>
          <cell r="I1594" t="str">
            <v>مدير أول ضوابط المشروع</v>
          </cell>
          <cell r="J1594" t="str">
            <v>On-Chart</v>
          </cell>
          <cell r="K1594" t="str">
            <v>Sundus</v>
          </cell>
          <cell r="L1594" t="str">
            <v>SU</v>
          </cell>
          <cell r="M1594" t="str">
            <v>Department of Culture and Tourism</v>
          </cell>
          <cell r="N1594" t="str">
            <v>Tendering &amp; Projects Control</v>
          </cell>
          <cell r="O1594" t="str">
            <v>مكتب وكيل الدائرة</v>
          </cell>
          <cell r="P1594" t="str">
            <v>Tendering &amp; Projects Control</v>
          </cell>
          <cell r="Q1594" t="str">
            <v>المناقصات ومراقبة المشاريع</v>
          </cell>
          <cell r="R1594" t="str">
            <v>Project Controls</v>
          </cell>
          <cell r="S1594" t="str">
            <v>مراقبة المشاريع</v>
          </cell>
          <cell r="T1594" t="str">
            <v/>
          </cell>
          <cell r="U1594" t="str">
            <v/>
          </cell>
          <cell r="V1594" t="str">
            <v>Abu Dhabi</v>
          </cell>
          <cell r="W1594" t="str">
            <v/>
          </cell>
          <cell r="X1594" t="str">
            <v>4510155</v>
          </cell>
          <cell r="Y1594" t="str">
            <v>Procurement_Tendering _Unit Head</v>
          </cell>
          <cell r="Z1594" t="str">
            <v>Unit Head</v>
          </cell>
          <cell r="AA1594" t="str">
            <v>2C</v>
          </cell>
        </row>
        <row r="1595">
          <cell r="A1595">
            <v>2001047</v>
          </cell>
          <cell r="B1595">
            <v>2001047</v>
          </cell>
          <cell r="C1595" t="str">
            <v>A</v>
          </cell>
          <cell r="D1595" t="str">
            <v>Suzan Guven</v>
          </cell>
          <cell r="E1595" t="str">
            <v>سوزان  جوفين</v>
          </cell>
          <cell r="F1595">
            <v>45209</v>
          </cell>
          <cell r="G1595" t="str">
            <v>50002426</v>
          </cell>
          <cell r="H1595" t="str">
            <v>Ecosystem Development Senior Executive</v>
          </cell>
          <cell r="I1595" t="str">
            <v>تنفيذي اول نظام الإدارة المتكامل</v>
          </cell>
          <cell r="J1595" t="str">
            <v>On-Chart</v>
          </cell>
          <cell r="K1595" t="str">
            <v>Sundus</v>
          </cell>
          <cell r="L1595" t="str">
            <v>SU</v>
          </cell>
          <cell r="M1595" t="str">
            <v>Department of Culture and Tourism</v>
          </cell>
          <cell r="N1595" t="str">
            <v>Tourism</v>
          </cell>
          <cell r="O1595" t="str">
            <v>السياحة</v>
          </cell>
          <cell r="P1595" t="str">
            <v>Abu Dhabi Conventions &amp; Exhibition Bureau</v>
          </cell>
          <cell r="Q1595" t="str">
            <v>مكتب أبوظبي للمؤتمرات والمعارض</v>
          </cell>
          <cell r="R1595" t="str">
            <v>Ecosystem Development</v>
          </cell>
          <cell r="S1595" t="str">
            <v>نظام الإدارة المتكامل</v>
          </cell>
          <cell r="T1595" t="str">
            <v/>
          </cell>
          <cell r="U1595" t="str">
            <v/>
          </cell>
          <cell r="V1595" t="str">
            <v>Abu Dhabi</v>
          </cell>
          <cell r="W1595" t="str">
            <v/>
          </cell>
          <cell r="X1595" t="str">
            <v>4515400</v>
          </cell>
          <cell r="Y1595" t="str">
            <v>Commercial _Conventions, Exhibitions, Events,Festivals Development &amp; Sales  _Senior Professional</v>
          </cell>
          <cell r="Z1595" t="str">
            <v>Senior Professional</v>
          </cell>
          <cell r="AA1595" t="str">
            <v>3B</v>
          </cell>
        </row>
        <row r="1596">
          <cell r="A1596">
            <v>2001049</v>
          </cell>
          <cell r="B1596">
            <v>2001049</v>
          </cell>
          <cell r="C1596" t="str">
            <v>A</v>
          </cell>
          <cell r="D1596" t="str">
            <v>Abdallah Ayman Alhaj Khalil</v>
          </cell>
          <cell r="E1596" t="str">
            <v>عبد الله ايمن الحاج خليل</v>
          </cell>
          <cell r="F1596">
            <v>45210</v>
          </cell>
          <cell r="G1596" t="str">
            <v>50004239</v>
          </cell>
          <cell r="H1596" t="str">
            <v>Special Projects Senior Specialist</v>
          </cell>
          <cell r="I1596" t="str">
            <v>أخصائي أول المشاريع الخاصة</v>
          </cell>
          <cell r="J1596" t="str">
            <v>On-Chart</v>
          </cell>
          <cell r="K1596" t="str">
            <v>Al Nahiya</v>
          </cell>
          <cell r="L1596" t="str">
            <v>N0</v>
          </cell>
          <cell r="M1596" t="str">
            <v>Department of Culture and Tourism</v>
          </cell>
          <cell r="N1596" t="str">
            <v>Strategic Affairs</v>
          </cell>
          <cell r="O1596" t="str">
            <v>الشؤون الاستراتيجية</v>
          </cell>
          <cell r="P1596" t="str">
            <v>Strategic Planning</v>
          </cell>
          <cell r="Q1596" t="str">
            <v>التخطيط الاستراتيجي</v>
          </cell>
          <cell r="R1596" t="str">
            <v>Special Projects Strategic Planning</v>
          </cell>
          <cell r="S1596" t="str">
            <v>التخطيط الاستراتيجي للمشاريع الخاصة</v>
          </cell>
          <cell r="T1596" t="str">
            <v>Special Projects Strategic Planning</v>
          </cell>
          <cell r="U1596" t="str">
            <v>التخطيط الاستراتيجي للمشاريع الخاصة</v>
          </cell>
          <cell r="V1596" t="str">
            <v>Abu Dhabi</v>
          </cell>
          <cell r="W1596" t="str">
            <v/>
          </cell>
          <cell r="X1596" t="str">
            <v>4512100</v>
          </cell>
          <cell r="Y1596" t="str">
            <v>Senior Specialization Strategy &amp; Planning</v>
          </cell>
          <cell r="Z1596" t="str">
            <v>Senior Professional</v>
          </cell>
          <cell r="AA1596" t="str">
            <v>3B</v>
          </cell>
        </row>
        <row r="1597">
          <cell r="A1597">
            <v>2001051</v>
          </cell>
          <cell r="B1597">
            <v>2001051</v>
          </cell>
          <cell r="C1597" t="str">
            <v>A</v>
          </cell>
          <cell r="D1597" t="str">
            <v>Abdelmohsen Elkerdawy</v>
          </cell>
          <cell r="E1597" t="str">
            <v>عبدالمحسن  الكرداوى</v>
          </cell>
          <cell r="F1597">
            <v>45209</v>
          </cell>
          <cell r="G1597" t="str">
            <v>50002486</v>
          </cell>
          <cell r="H1597" t="str">
            <v>Full Stack Senior Developer</v>
          </cell>
          <cell r="I1597" t="str">
            <v>مطور أول شامل</v>
          </cell>
          <cell r="J1597" t="str">
            <v>On-Chart</v>
          </cell>
          <cell r="K1597" t="str">
            <v>Sundus</v>
          </cell>
          <cell r="L1597" t="str">
            <v>SU</v>
          </cell>
          <cell r="M1597" t="str">
            <v>Department of Culture and Tourism</v>
          </cell>
          <cell r="N1597" t="str">
            <v>Support Services</v>
          </cell>
          <cell r="O1597" t="str">
            <v>الخدمات المساندة</v>
          </cell>
          <cell r="P1597" t="str">
            <v>Technology</v>
          </cell>
          <cell r="Q1597" t="str">
            <v>التكنولوجيا</v>
          </cell>
          <cell r="R1597" t="str">
            <v>Business Applications</v>
          </cell>
          <cell r="S1597" t="str">
            <v>التطبيقات المؤسسية</v>
          </cell>
          <cell r="T1597" t="str">
            <v>Applications</v>
          </cell>
          <cell r="U1597" t="str">
            <v>التطبيقات</v>
          </cell>
          <cell r="V1597" t="str">
            <v>Abu Dhabi</v>
          </cell>
          <cell r="W1597" t="str">
            <v/>
          </cell>
          <cell r="X1597" t="str">
            <v>4510250</v>
          </cell>
          <cell r="Y1597" t="str">
            <v>Information Technology_Adoption Senior Specialist_Senior Professional</v>
          </cell>
          <cell r="Z1597" t="str">
            <v>Senior Professional</v>
          </cell>
          <cell r="AA1597" t="str">
            <v>3B</v>
          </cell>
        </row>
        <row r="1598">
          <cell r="A1598">
            <v>2001052</v>
          </cell>
          <cell r="B1598">
            <v>2001052</v>
          </cell>
          <cell r="C1598" t="str">
            <v>A</v>
          </cell>
          <cell r="D1598" t="str">
            <v>Ahmed Salama</v>
          </cell>
          <cell r="E1598" t="str">
            <v>احمد  سلامه</v>
          </cell>
          <cell r="F1598">
            <v>45215</v>
          </cell>
          <cell r="G1598" t="str">
            <v>50002710</v>
          </cell>
          <cell r="H1598" t="str">
            <v>Front End Developer</v>
          </cell>
          <cell r="I1598" t="str">
            <v>مطور الواجهة الأمامية للمستخدم</v>
          </cell>
          <cell r="J1598" t="str">
            <v>On-Chart</v>
          </cell>
          <cell r="K1598" t="str">
            <v>Sundus</v>
          </cell>
          <cell r="L1598" t="str">
            <v>SU</v>
          </cell>
          <cell r="M1598" t="str">
            <v>Department of Culture and Tourism</v>
          </cell>
          <cell r="N1598" t="str">
            <v>Support Services</v>
          </cell>
          <cell r="O1598" t="str">
            <v>الخدمات المساندة</v>
          </cell>
          <cell r="P1598" t="str">
            <v>Technology</v>
          </cell>
          <cell r="Q1598" t="str">
            <v>التكنولوجيا</v>
          </cell>
          <cell r="R1598" t="str">
            <v>Business Applications</v>
          </cell>
          <cell r="S1598" t="str">
            <v>التطبيقات المؤسسية</v>
          </cell>
          <cell r="T1598" t="str">
            <v>TAMM</v>
          </cell>
          <cell r="U1598" t="str">
            <v>منصة تم</v>
          </cell>
          <cell r="V1598" t="str">
            <v>Abu Dhabi</v>
          </cell>
          <cell r="W1598" t="str">
            <v/>
          </cell>
          <cell r="X1598" t="str">
            <v>4510250</v>
          </cell>
          <cell r="Y1598" t="str">
            <v>Information Technology_Technical Support Engineer_Professional</v>
          </cell>
          <cell r="Z1598" t="str">
            <v>Professional</v>
          </cell>
          <cell r="AA1598" t="str">
            <v>4B</v>
          </cell>
        </row>
        <row r="1599">
          <cell r="A1599">
            <v>2001054</v>
          </cell>
          <cell r="B1599">
            <v>2001054</v>
          </cell>
          <cell r="C1599" t="str">
            <v>A</v>
          </cell>
          <cell r="D1599" t="str">
            <v>Amin Garbout</v>
          </cell>
          <cell r="E1599" t="str">
            <v>امين  جربوط</v>
          </cell>
          <cell r="F1599">
            <v>45868</v>
          </cell>
          <cell r="G1599" t="str">
            <v>50003253</v>
          </cell>
          <cell r="H1599" t="str">
            <v>Senior Imaging Scientist</v>
          </cell>
          <cell r="I1599" t="str">
            <v>اخصائي اول علم التصور</v>
          </cell>
          <cell r="J1599" t="str">
            <v>On-Chart</v>
          </cell>
          <cell r="K1599" t="str">
            <v>MSS Al Nahiya</v>
          </cell>
          <cell r="L1599" t="str">
            <v>M2</v>
          </cell>
          <cell r="M1599" t="str">
            <v>Louvre Abu Dhabi</v>
          </cell>
          <cell r="N1599" t="str">
            <v>Louvre Abu Dhabi</v>
          </cell>
          <cell r="O1599" t="str">
            <v>متحف اللوفر أبوظبي</v>
          </cell>
          <cell r="P1599" t="str">
            <v>Scientific, Curatorial &amp; Collection Management</v>
          </cell>
          <cell r="Q1599" t="str">
            <v>إدارة المقتنيات العلمية والتنظيمية</v>
          </cell>
          <cell r="R1599" t="str">
            <v>Research &amp; Documentation</v>
          </cell>
          <cell r="S1599" t="str">
            <v/>
          </cell>
          <cell r="T1599" t="str">
            <v/>
          </cell>
          <cell r="U1599" t="str">
            <v/>
          </cell>
          <cell r="V1599" t="str">
            <v>Abu Dhabi</v>
          </cell>
          <cell r="W1599" t="str">
            <v/>
          </cell>
          <cell r="X1599" t="str">
            <v>4510122</v>
          </cell>
          <cell r="Y1599" t="str">
            <v/>
          </cell>
          <cell r="Z1599" t="str">
            <v>Senior Professional</v>
          </cell>
          <cell r="AA1599" t="str">
            <v>3C</v>
          </cell>
        </row>
        <row r="1600">
          <cell r="A1600">
            <v>2001055</v>
          </cell>
          <cell r="B1600">
            <v>2001055</v>
          </cell>
          <cell r="C1600" t="str">
            <v>A</v>
          </cell>
          <cell r="D1600" t="str">
            <v>Abdul Rauf Munir</v>
          </cell>
          <cell r="E1600" t="str">
            <v>عبدالرؤوف  منير</v>
          </cell>
          <cell r="F1600">
            <v>45279</v>
          </cell>
          <cell r="G1600" t="str">
            <v>50002745</v>
          </cell>
          <cell r="H1600" t="str">
            <v>Solutions Architect</v>
          </cell>
          <cell r="I1600" t="str">
            <v>مهندس الحلول</v>
          </cell>
          <cell r="J1600" t="str">
            <v>On-Chart</v>
          </cell>
          <cell r="K1600" t="str">
            <v>MSS Al Nahiya</v>
          </cell>
          <cell r="L1600" t="str">
            <v>M2</v>
          </cell>
          <cell r="M1600" t="str">
            <v>Department of Culture and Tourism</v>
          </cell>
          <cell r="N1600" t="str">
            <v>Museums Shared Services</v>
          </cell>
          <cell r="O1600" t="str">
            <v>الخدمات المشتركة للمتاحف</v>
          </cell>
          <cell r="P1600" t="str">
            <v>Technology - MSS</v>
          </cell>
          <cell r="Q1600" t="str">
            <v>إدارة التكنولوجيا - الخدمات المشتركة للمتاحف</v>
          </cell>
          <cell r="R1600" t="str">
            <v>Enterprise Architecture Section</v>
          </cell>
          <cell r="S1600" t="str">
            <v>قسم البنية المؤسسية</v>
          </cell>
          <cell r="T1600" t="str">
            <v/>
          </cell>
          <cell r="U1600" t="str">
            <v/>
          </cell>
          <cell r="V1600" t="str">
            <v>Abu Dhabi</v>
          </cell>
          <cell r="W1600" t="str">
            <v/>
          </cell>
          <cell r="X1600" t="str">
            <v>4514180</v>
          </cell>
          <cell r="Y1600" t="str">
            <v>Information Technology_Data Architect_Senior Professional</v>
          </cell>
          <cell r="Z1600" t="str">
            <v>Professional</v>
          </cell>
          <cell r="AA1600" t="str">
            <v>3B</v>
          </cell>
        </row>
        <row r="1601">
          <cell r="A1601">
            <v>2001056</v>
          </cell>
          <cell r="B1601">
            <v>2001056</v>
          </cell>
          <cell r="C1601" t="str">
            <v>A</v>
          </cell>
          <cell r="D1601" t="str">
            <v>Mohanad Terkawi</v>
          </cell>
          <cell r="E1601" t="str">
            <v>مهند  تركاوي</v>
          </cell>
          <cell r="F1601">
            <v>45358</v>
          </cell>
          <cell r="G1601" t="str">
            <v>10009931</v>
          </cell>
          <cell r="H1601" t="str">
            <v>Development &amp; Partnerships Unit Head</v>
          </cell>
          <cell r="I1601" t="str">
            <v>رئيس وحدة التطوير و الشراكات</v>
          </cell>
          <cell r="J1601" t="str">
            <v>On-Chart</v>
          </cell>
          <cell r="K1601" t="str">
            <v>MSS Al Nahiya</v>
          </cell>
          <cell r="L1601" t="str">
            <v>M2</v>
          </cell>
          <cell r="M1601" t="str">
            <v>Louvre Abu Dhabi</v>
          </cell>
          <cell r="N1601" t="str">
            <v>Louvre Abu Dhabi</v>
          </cell>
          <cell r="O1601" t="str">
            <v>متحف اللوفر أبوظبي</v>
          </cell>
          <cell r="P1601" t="str">
            <v>Development, Marketing &amp; Communications</v>
          </cell>
          <cell r="Q1601" t="str">
            <v>إدارة التطوير،التسويق والاتصال</v>
          </cell>
          <cell r="R1601" t="str">
            <v>Development and Partnerships</v>
          </cell>
          <cell r="S1601" t="str">
            <v>قسم خدمات الزوار وتنمية الجمهور</v>
          </cell>
          <cell r="T1601" t="str">
            <v>Development and Partnerships</v>
          </cell>
          <cell r="U1601" t="str">
            <v/>
          </cell>
          <cell r="V1601" t="str">
            <v>Abu Dhabi</v>
          </cell>
          <cell r="W1601" t="str">
            <v/>
          </cell>
          <cell r="X1601" t="str">
            <v>4510124</v>
          </cell>
          <cell r="Y1601" t="str">
            <v>Comms &amp; Marketing _Marketing &amp; Communications _Unit Head</v>
          </cell>
          <cell r="Z1601" t="str">
            <v>Unit Head</v>
          </cell>
          <cell r="AA1601" t="str">
            <v>3B</v>
          </cell>
        </row>
        <row r="1602">
          <cell r="A1602">
            <v>2001058</v>
          </cell>
          <cell r="B1602">
            <v>2001058</v>
          </cell>
          <cell r="C1602" t="str">
            <v>A</v>
          </cell>
          <cell r="D1602" t="str">
            <v>Ahmed Ragaie Abdelwahab</v>
          </cell>
          <cell r="E1602" t="str">
            <v>أحمد رجائي عبد الوهاب</v>
          </cell>
          <cell r="F1602">
            <v>45209</v>
          </cell>
          <cell r="G1602" t="str">
            <v>50002476</v>
          </cell>
          <cell r="H1602" t="str">
            <v>Digital Design Unit Head</v>
          </cell>
          <cell r="I1602" t="str">
            <v>رئيس وحدة تصميم المحتوى الرقمي</v>
          </cell>
          <cell r="J1602" t="str">
            <v>On-Chart</v>
          </cell>
          <cell r="K1602" t="str">
            <v>Al Nahiya</v>
          </cell>
          <cell r="L1602" t="str">
            <v>N0</v>
          </cell>
          <cell r="M1602" t="str">
            <v>Department of Culture and Tourism</v>
          </cell>
          <cell r="N1602" t="str">
            <v>Strategic Marketing &amp; Communication</v>
          </cell>
          <cell r="O1602" t="str">
            <v>التسويق والاتصال الاستراتيجي</v>
          </cell>
          <cell r="P1602" t="str">
            <v>Creative &amp; Production</v>
          </cell>
          <cell r="Q1602" t="str">
            <v>الإبداع والإنتاج</v>
          </cell>
          <cell r="R1602" t="str">
            <v>Creative Content</v>
          </cell>
          <cell r="S1602" t="str">
            <v>المحتوى الإبداعي</v>
          </cell>
          <cell r="T1602" t="str">
            <v>Digital Design</v>
          </cell>
          <cell r="U1602" t="str">
            <v>تصميم المحتوى الرقمي</v>
          </cell>
          <cell r="V1602" t="str">
            <v>Abu Dhabi</v>
          </cell>
          <cell r="W1602" t="str">
            <v/>
          </cell>
          <cell r="X1602" t="str">
            <v>4513110</v>
          </cell>
          <cell r="Y1602" t="str">
            <v>Senior Specialization Marketing &amp; Communications</v>
          </cell>
          <cell r="Z1602" t="str">
            <v>Unit Head</v>
          </cell>
          <cell r="AA1602" t="str">
            <v>3A</v>
          </cell>
        </row>
        <row r="1603">
          <cell r="A1603">
            <v>2001059</v>
          </cell>
          <cell r="B1603">
            <v>2001059</v>
          </cell>
          <cell r="C1603" t="str">
            <v>A</v>
          </cell>
          <cell r="D1603" t="str">
            <v>Shitij Rawat</v>
          </cell>
          <cell r="E1603" t="str">
            <v>شيتيج  راوات</v>
          </cell>
          <cell r="F1603">
            <v>45222</v>
          </cell>
          <cell r="G1603" t="str">
            <v>50002884</v>
          </cell>
          <cell r="H1603" t="str">
            <v>Tourism Research Senior Specialist</v>
          </cell>
          <cell r="I1603" t="str">
            <v>أخصائي أول بحوث السياحة</v>
          </cell>
          <cell r="J1603" t="str">
            <v>On-Chart</v>
          </cell>
          <cell r="K1603" t="str">
            <v>Sundus</v>
          </cell>
          <cell r="L1603" t="str">
            <v>SU</v>
          </cell>
          <cell r="M1603" t="str">
            <v>Department of Culture and Tourism</v>
          </cell>
          <cell r="N1603" t="str">
            <v>Strategic Affairs</v>
          </cell>
          <cell r="O1603" t="str">
            <v>الشؤون الاستراتيجية</v>
          </cell>
          <cell r="P1603" t="str">
            <v>Data &amp; AI Department</v>
          </cell>
          <cell r="Q1603" t="str">
            <v>إدارة البيانات والذكاء الاصطناعي</v>
          </cell>
          <cell r="R1603" t="str">
            <v>Research</v>
          </cell>
          <cell r="S1603" t="str">
            <v>البحوث</v>
          </cell>
          <cell r="T1603" t="str">
            <v>Tourism Analysis &amp; Reporting</v>
          </cell>
          <cell r="U1603" t="str">
            <v>التحليل والتقارير للسياحة</v>
          </cell>
          <cell r="V1603" t="str">
            <v>Abu Dhabi</v>
          </cell>
          <cell r="W1603" t="str">
            <v/>
          </cell>
          <cell r="X1603" t="str">
            <v>4512200</v>
          </cell>
          <cell r="Y1603" t="str">
            <v>Strategy, Planning, Project Mgt_Business &amp; Market Intelligence  Analysis &amp; Planning_Senior Professional</v>
          </cell>
          <cell r="Z1603" t="str">
            <v>Senior Professional</v>
          </cell>
          <cell r="AA1603" t="str">
            <v>3B</v>
          </cell>
        </row>
        <row r="1604">
          <cell r="A1604">
            <v>2001060</v>
          </cell>
          <cell r="B1604">
            <v>2001060</v>
          </cell>
          <cell r="C1604" t="str">
            <v>A</v>
          </cell>
          <cell r="D1604" t="str">
            <v>Osman Faisal</v>
          </cell>
          <cell r="E1604" t="str">
            <v>عثمان  فيصل</v>
          </cell>
          <cell r="F1604">
            <v>45233</v>
          </cell>
          <cell r="G1604" t="str">
            <v>10009807</v>
          </cell>
          <cell r="H1604" t="str">
            <v>Economic Modeling Senior Specialist</v>
          </cell>
          <cell r="I1604" t="str">
            <v>أخصائي أول النمذجة الاقتصادية</v>
          </cell>
          <cell r="J1604" t="str">
            <v>On-Chart</v>
          </cell>
          <cell r="K1604" t="str">
            <v>Sundus</v>
          </cell>
          <cell r="L1604" t="str">
            <v>SU</v>
          </cell>
          <cell r="M1604" t="str">
            <v>Department of Culture and Tourism</v>
          </cell>
          <cell r="N1604" t="str">
            <v>Strategic Affairs</v>
          </cell>
          <cell r="O1604" t="str">
            <v>الشؤون الاستراتيجية</v>
          </cell>
          <cell r="P1604" t="str">
            <v>Data &amp; AI Department</v>
          </cell>
          <cell r="Q1604" t="str">
            <v>إدارة البيانات والذكاء الاصطناعي</v>
          </cell>
          <cell r="R1604" t="str">
            <v>Artificial Intelligence Section</v>
          </cell>
          <cell r="S1604" t="str">
            <v>التحليل وعلم البيانات</v>
          </cell>
          <cell r="T1604" t="str">
            <v>Economic Modelling</v>
          </cell>
          <cell r="U1604" t="str">
            <v>النمذجة الاقتصادية</v>
          </cell>
          <cell r="V1604" t="str">
            <v>Abu Dhabi</v>
          </cell>
          <cell r="W1604" t="str">
            <v/>
          </cell>
          <cell r="X1604" t="str">
            <v>4512200</v>
          </cell>
          <cell r="Y1604" t="str">
            <v>Strategy, Planning, Project Mgt_Business &amp; Market Intelligence  Analysis &amp; Planning_Senior Professional</v>
          </cell>
          <cell r="Z1604" t="str">
            <v>Senior Professional</v>
          </cell>
          <cell r="AA1604" t="str">
            <v>3B</v>
          </cell>
        </row>
        <row r="1605">
          <cell r="A1605">
            <v>2001061</v>
          </cell>
          <cell r="B1605">
            <v>2001061</v>
          </cell>
          <cell r="C1605" t="str">
            <v>A</v>
          </cell>
          <cell r="D1605" t="str">
            <v>Mariyam Ali</v>
          </cell>
          <cell r="E1605" t="str">
            <v>مريم  علي</v>
          </cell>
          <cell r="F1605">
            <v>45231</v>
          </cell>
          <cell r="G1605" t="str">
            <v>50002304</v>
          </cell>
          <cell r="H1605" t="str">
            <v>Exhibitions Registrar</v>
          </cell>
          <cell r="I1605" t="str">
            <v>مسجل معارض</v>
          </cell>
          <cell r="J1605" t="str">
            <v>On-Chart</v>
          </cell>
          <cell r="K1605" t="str">
            <v>Al Nahiya</v>
          </cell>
          <cell r="L1605" t="str">
            <v>N0</v>
          </cell>
          <cell r="M1605" t="str">
            <v>Department of Culture and Tourism</v>
          </cell>
          <cell r="N1605" t="str">
            <v>Culture</v>
          </cell>
          <cell r="O1605" t="str">
            <v>الثقافة</v>
          </cell>
          <cell r="P1605" t="str">
            <v>Scientific, Curatorial and Collection Department</v>
          </cell>
          <cell r="Q1605" t="str">
            <v>إدارة البحث العلمي والمقتنيات</v>
          </cell>
          <cell r="R1605" t="str">
            <v>Collections</v>
          </cell>
          <cell r="S1605" t="str">
            <v>إدارة المقتنيات</v>
          </cell>
          <cell r="T1605" t="str">
            <v>Collections Registration</v>
          </cell>
          <cell r="U1605" t="str">
            <v>تسجيل المقتنيات</v>
          </cell>
          <cell r="V1605" t="str">
            <v>Abu Dhabi</v>
          </cell>
          <cell r="W1605" t="str">
            <v/>
          </cell>
          <cell r="X1605" t="str">
            <v>4511150</v>
          </cell>
          <cell r="Y1605" t="str">
            <v>Compliance,Governance&amp;Protocol_Policy (Culture/Tourism _Senior Professional</v>
          </cell>
          <cell r="Z1605" t="str">
            <v>Senior Professional</v>
          </cell>
          <cell r="AA1605" t="str">
            <v>3B</v>
          </cell>
        </row>
        <row r="1606">
          <cell r="A1606">
            <v>2001063</v>
          </cell>
          <cell r="B1606">
            <v>2001063</v>
          </cell>
          <cell r="C1606" t="str">
            <v>A</v>
          </cell>
          <cell r="D1606" t="str">
            <v>Soraya Jomaa</v>
          </cell>
          <cell r="E1606" t="str">
            <v>ثريا  جمعه</v>
          </cell>
          <cell r="F1606">
            <v>45222</v>
          </cell>
          <cell r="G1606" t="str">
            <v>50002550</v>
          </cell>
          <cell r="H1606" t="str">
            <v>Domestic Destination Marketing Specialist</v>
          </cell>
          <cell r="I1606" t="str">
            <v>أخصائي التسويق المحلي للوجهات السياحية</v>
          </cell>
          <cell r="J1606" t="str">
            <v>On-Chart</v>
          </cell>
          <cell r="K1606" t="str">
            <v>Sundus</v>
          </cell>
          <cell r="L1606" t="str">
            <v>SU</v>
          </cell>
          <cell r="M1606" t="str">
            <v>Department of Culture and Tourism</v>
          </cell>
          <cell r="N1606" t="str">
            <v>Strategic Marketing &amp; Communication</v>
          </cell>
          <cell r="O1606" t="str">
            <v>التسويق والاتصال الاستراتيجي</v>
          </cell>
          <cell r="P1606" t="str">
            <v>Sector Marketing</v>
          </cell>
          <cell r="Q1606" t="str">
            <v>التسويق الخاص بالقطاعات</v>
          </cell>
          <cell r="R1606" t="str">
            <v>Destination Marketing</v>
          </cell>
          <cell r="S1606" t="str">
            <v>تسويق الوجهات السياحية</v>
          </cell>
          <cell r="T1606" t="str">
            <v>Domestic Destination Marketing</v>
          </cell>
          <cell r="U1606" t="str">
            <v>التسويق المحلي للوجهات السياحية</v>
          </cell>
          <cell r="V1606" t="str">
            <v>Abu Dhabi</v>
          </cell>
          <cell r="W1606" t="str">
            <v/>
          </cell>
          <cell r="X1606" t="str">
            <v>4513140</v>
          </cell>
          <cell r="Y1606" t="str">
            <v>Comms &amp; Marketing _Marketing &amp; Communications (All areas)_Senior Professional</v>
          </cell>
          <cell r="Z1606" t="str">
            <v>Senior Professional</v>
          </cell>
          <cell r="AA1606" t="str">
            <v>3B</v>
          </cell>
        </row>
        <row r="1607">
          <cell r="A1607">
            <v>2001064</v>
          </cell>
          <cell r="B1607">
            <v>2001064</v>
          </cell>
          <cell r="C1607" t="str">
            <v>A</v>
          </cell>
          <cell r="D1607" t="str">
            <v>Waqar Siddique</v>
          </cell>
          <cell r="E1607" t="str">
            <v>وقار  صديق</v>
          </cell>
          <cell r="F1607">
            <v>45232</v>
          </cell>
          <cell r="G1607" t="str">
            <v>50002418</v>
          </cell>
          <cell r="H1607" t="str">
            <v>Data &amp; Reporting Specialist</v>
          </cell>
          <cell r="I1607" t="str">
            <v>أخصائي البيانات والتقارير</v>
          </cell>
          <cell r="J1607" t="str">
            <v>On-Chart</v>
          </cell>
          <cell r="K1607" t="str">
            <v>Sundus</v>
          </cell>
          <cell r="L1607" t="str">
            <v>SU</v>
          </cell>
          <cell r="M1607" t="str">
            <v>Department of Culture and Tourism</v>
          </cell>
          <cell r="N1607" t="str">
            <v>Support Services</v>
          </cell>
          <cell r="O1607" t="str">
            <v>الخدمات المساندة</v>
          </cell>
          <cell r="P1607" t="str">
            <v>Supply Management</v>
          </cell>
          <cell r="Q1607" t="str">
            <v>إدارة الإمداد</v>
          </cell>
          <cell r="R1607" t="str">
            <v>Contracts, System &amp; Reporting</v>
          </cell>
          <cell r="S1607" t="str">
            <v>العقود والأنظمة والتقارير</v>
          </cell>
          <cell r="T1607" t="str">
            <v>Data &amp; Systems</v>
          </cell>
          <cell r="U1607" t="str">
            <v>البيانات والأنظمة</v>
          </cell>
          <cell r="V1607" t="str">
            <v>Abu Dhabi</v>
          </cell>
          <cell r="W1607" t="str">
            <v/>
          </cell>
          <cell r="X1607" t="str">
            <v>4510240</v>
          </cell>
          <cell r="Y1607" t="str">
            <v>Procurement_Procurement General_Professional</v>
          </cell>
          <cell r="Z1607" t="str">
            <v>Professional</v>
          </cell>
          <cell r="AA1607" t="str">
            <v>4B</v>
          </cell>
        </row>
        <row r="1608">
          <cell r="A1608">
            <v>2001066</v>
          </cell>
          <cell r="B1608">
            <v>2001066</v>
          </cell>
          <cell r="C1608" t="str">
            <v>A</v>
          </cell>
          <cell r="D1608" t="str">
            <v>Emily Campbell</v>
          </cell>
          <cell r="E1608" t="str">
            <v>إيما  كامببل</v>
          </cell>
          <cell r="F1608">
            <v>45231</v>
          </cell>
          <cell r="G1608" t="str">
            <v>50002678</v>
          </cell>
          <cell r="H1608" t="str">
            <v>Sector Marketing Department Director</v>
          </cell>
          <cell r="I1608" t="str">
            <v>مدير إدارة التسويق الخاص بالقطاعات</v>
          </cell>
          <cell r="J1608" t="str">
            <v>On-Chart</v>
          </cell>
          <cell r="K1608" t="str">
            <v>Al Nahiya</v>
          </cell>
          <cell r="L1608" t="str">
            <v>N0</v>
          </cell>
          <cell r="M1608" t="str">
            <v>Department of Culture and Tourism</v>
          </cell>
          <cell r="N1608" t="str">
            <v>Strategic Marketing &amp; Communication</v>
          </cell>
          <cell r="O1608" t="str">
            <v>التسويق والاتصال الاستراتيجي</v>
          </cell>
          <cell r="P1608" t="str">
            <v>Sector Marketing</v>
          </cell>
          <cell r="Q1608" t="str">
            <v>التسويق الخاص بالقطاعات</v>
          </cell>
          <cell r="R1608" t="str">
            <v/>
          </cell>
          <cell r="S1608" t="str">
            <v/>
          </cell>
          <cell r="T1608" t="str">
            <v/>
          </cell>
          <cell r="U1608" t="str">
            <v/>
          </cell>
          <cell r="V1608" t="str">
            <v>Abu Dhabi</v>
          </cell>
          <cell r="W1608" t="str">
            <v/>
          </cell>
          <cell r="X1608" t="str">
            <v>4513140</v>
          </cell>
          <cell r="Y1608" t="str">
            <v>Comms &amp; Marketing _Marketing &amp; Communications _Director SP</v>
          </cell>
          <cell r="Z1608" t="str">
            <v>Director</v>
          </cell>
          <cell r="AA1608" t="str">
            <v>1B</v>
          </cell>
        </row>
        <row r="1609">
          <cell r="A1609">
            <v>2001068</v>
          </cell>
          <cell r="B1609">
            <v>2001068</v>
          </cell>
          <cell r="C1609" t="str">
            <v>A</v>
          </cell>
          <cell r="D1609" t="str">
            <v>Vladimir Tomovic</v>
          </cell>
          <cell r="E1609" t="str">
            <v>فلاديمير  توموفيش</v>
          </cell>
          <cell r="F1609">
            <v>45257</v>
          </cell>
          <cell r="G1609" t="str">
            <v>10009381</v>
          </cell>
          <cell r="H1609" t="str">
            <v>Projects Manager</v>
          </cell>
          <cell r="I1609" t="str">
            <v>مدير مشاريع</v>
          </cell>
          <cell r="J1609" t="str">
            <v>On-Chart</v>
          </cell>
          <cell r="K1609" t="str">
            <v>Sundus</v>
          </cell>
          <cell r="L1609" t="str">
            <v>SU</v>
          </cell>
          <cell r="M1609" t="str">
            <v>Department of Culture and Tourism</v>
          </cell>
          <cell r="N1609" t="str">
            <v>Project Management &amp; Engineering</v>
          </cell>
          <cell r="O1609" t="str">
            <v>مكتب وكيل الدائرة</v>
          </cell>
          <cell r="P1609" t="str">
            <v>Project Management &amp; Engineering</v>
          </cell>
          <cell r="Q1609" t="str">
            <v>هندسة وإدارة المشاريع</v>
          </cell>
          <cell r="R1609" t="str">
            <v/>
          </cell>
          <cell r="S1609" t="str">
            <v/>
          </cell>
          <cell r="T1609" t="str">
            <v/>
          </cell>
          <cell r="U1609" t="str">
            <v/>
          </cell>
          <cell r="V1609" t="str">
            <v>Abu Dhabi</v>
          </cell>
          <cell r="W1609" t="str">
            <v/>
          </cell>
          <cell r="X1609" t="str">
            <v>4510150</v>
          </cell>
          <cell r="Y1609" t="str">
            <v>Technical Safety &amp; Security_Engineering Project Management  _Unit Head</v>
          </cell>
          <cell r="Z1609" t="str">
            <v>Unit Head</v>
          </cell>
          <cell r="AA1609" t="str">
            <v>3B</v>
          </cell>
        </row>
        <row r="1610">
          <cell r="A1610">
            <v>2001070</v>
          </cell>
          <cell r="B1610">
            <v>2001070</v>
          </cell>
          <cell r="C1610" t="str">
            <v>A</v>
          </cell>
          <cell r="D1610" t="str">
            <v>Lidia Salas Marquez</v>
          </cell>
          <cell r="E1610" t="str">
            <v>ليديا سالاس مارقويز</v>
          </cell>
          <cell r="F1610">
            <v>45229</v>
          </cell>
          <cell r="G1610" t="str">
            <v>50004047</v>
          </cell>
          <cell r="H1610" t="str">
            <v>Collections Conservation Unit Head</v>
          </cell>
          <cell r="I1610" t="str">
            <v>رئيس وحدة حفظ المقتنيات</v>
          </cell>
          <cell r="J1610" t="str">
            <v>On-Chart</v>
          </cell>
          <cell r="K1610" t="str">
            <v>Sundus</v>
          </cell>
          <cell r="L1610" t="str">
            <v>SU</v>
          </cell>
          <cell r="M1610" t="str">
            <v>Department of Culture and Tourism</v>
          </cell>
          <cell r="N1610" t="str">
            <v>Culture</v>
          </cell>
          <cell r="O1610" t="str">
            <v>الثقافة</v>
          </cell>
          <cell r="P1610" t="str">
            <v>Culture Sites Management</v>
          </cell>
          <cell r="Q1610" t="str">
            <v>إدارة المواقع الثقافية</v>
          </cell>
          <cell r="R1610" t="str">
            <v>Collections Section– Al Ain</v>
          </cell>
          <cell r="S1610" t="str">
            <v>رئيس قسم  – منطقة العين</v>
          </cell>
          <cell r="T1610" t="str">
            <v>Collections Conservation Unit</v>
          </cell>
          <cell r="U1610" t="str">
            <v>وحدة حفظ المجموعات</v>
          </cell>
          <cell r="V1610" t="str">
            <v>Al Ain</v>
          </cell>
          <cell r="W1610" t="str">
            <v/>
          </cell>
          <cell r="X1610" t="str">
            <v>4511250</v>
          </cell>
          <cell r="Y1610" t="str">
            <v>Compliance,Governance&amp;Protocol_Policy  (Culture &amp; Tourism)_Unit Head</v>
          </cell>
          <cell r="Z1610" t="str">
            <v>Unit Head</v>
          </cell>
          <cell r="AA1610" t="str">
            <v>3B</v>
          </cell>
        </row>
        <row r="1611">
          <cell r="A1611">
            <v>2001071</v>
          </cell>
          <cell r="B1611">
            <v>2001071</v>
          </cell>
          <cell r="C1611" t="str">
            <v>A</v>
          </cell>
          <cell r="D1611" t="str">
            <v>Edoardo Albani</v>
          </cell>
          <cell r="E1611" t="str">
            <v>ايدواردو  البانى</v>
          </cell>
          <cell r="F1611">
            <v>45219</v>
          </cell>
          <cell r="G1611" t="str">
            <v>50001450</v>
          </cell>
          <cell r="H1611" t="str">
            <v>International Destination Marketing Unit Head</v>
          </cell>
          <cell r="I1611" t="str">
            <v>رئيس وحدة التسويق الدولي للوجهات السياحية</v>
          </cell>
          <cell r="J1611" t="str">
            <v>On-Chart</v>
          </cell>
          <cell r="K1611" t="str">
            <v>Sundus</v>
          </cell>
          <cell r="L1611" t="str">
            <v>SU</v>
          </cell>
          <cell r="M1611" t="str">
            <v>Department of Culture and Tourism</v>
          </cell>
          <cell r="N1611" t="str">
            <v>Strategic Marketing &amp; Communication</v>
          </cell>
          <cell r="O1611" t="str">
            <v>التسويق والاتصال الاستراتيجي</v>
          </cell>
          <cell r="P1611" t="str">
            <v>Sector Marketing</v>
          </cell>
          <cell r="Q1611" t="str">
            <v>التسويق الخاص بالقطاعات</v>
          </cell>
          <cell r="R1611" t="str">
            <v>Destination Marketing</v>
          </cell>
          <cell r="S1611" t="str">
            <v>تسويق الوجهات السياحية</v>
          </cell>
          <cell r="T1611" t="str">
            <v>International Destination Marketing</v>
          </cell>
          <cell r="U1611" t="str">
            <v>التسويق الدولي للوجهات السياحية</v>
          </cell>
          <cell r="V1611" t="str">
            <v>Abu Dhabi</v>
          </cell>
          <cell r="W1611" t="str">
            <v/>
          </cell>
          <cell r="X1611" t="str">
            <v>4513140</v>
          </cell>
          <cell r="Y1611" t="str">
            <v>Comms &amp; Marketing _Marketing &amp; Communications _Unit Head</v>
          </cell>
          <cell r="Z1611" t="str">
            <v>Unit Head</v>
          </cell>
          <cell r="AA1611" t="str">
            <v>3B</v>
          </cell>
        </row>
        <row r="1612">
          <cell r="A1612">
            <v>2001072</v>
          </cell>
          <cell r="B1612">
            <v>2001072</v>
          </cell>
          <cell r="C1612" t="str">
            <v>A</v>
          </cell>
          <cell r="D1612" t="str">
            <v>Tatiana Campos Valente</v>
          </cell>
          <cell r="E1612" t="str">
            <v>تاتيانا  فالينتي</v>
          </cell>
          <cell r="F1612">
            <v>45231</v>
          </cell>
          <cell r="G1612" t="str">
            <v>50002934</v>
          </cell>
          <cell r="H1612" t="str">
            <v>Field Archaeologist</v>
          </cell>
          <cell r="I1612" t="str">
            <v>آثاري ميداني</v>
          </cell>
          <cell r="J1612" t="str">
            <v>On-Chart</v>
          </cell>
          <cell r="K1612" t="str">
            <v>Al Nahiya</v>
          </cell>
          <cell r="L1612" t="str">
            <v>N0</v>
          </cell>
          <cell r="M1612" t="str">
            <v>Department of Culture and Tourism</v>
          </cell>
          <cell r="N1612" t="str">
            <v>Culture</v>
          </cell>
          <cell r="O1612" t="str">
            <v>الثقافة</v>
          </cell>
          <cell r="P1612" t="str">
            <v>Historic Environment</v>
          </cell>
          <cell r="Q1612" t="str">
            <v>البيئة التاريخية</v>
          </cell>
          <cell r="R1612" t="str">
            <v>Archaeology &amp; Paleontology</v>
          </cell>
          <cell r="S1612" t="str">
            <v>علم الآثار</v>
          </cell>
          <cell r="T1612" t="str">
            <v>Archaeological Rescue Survey &amp; Excavation</v>
          </cell>
          <cell r="U1612" t="str">
            <v>المسح والتنقيب الأثري</v>
          </cell>
          <cell r="V1612" t="str">
            <v>Al Ain</v>
          </cell>
          <cell r="W1612" t="str">
            <v/>
          </cell>
          <cell r="X1612" t="str">
            <v>4511300</v>
          </cell>
          <cell r="Y1612" t="str">
            <v>Compliance,Governance&amp;Protocol_Policy (Culture/Tourism _Senior Professional</v>
          </cell>
          <cell r="Z1612" t="str">
            <v>Senior Professional</v>
          </cell>
          <cell r="AA1612" t="str">
            <v>3B</v>
          </cell>
        </row>
        <row r="1613">
          <cell r="A1613">
            <v>2001073</v>
          </cell>
          <cell r="B1613">
            <v>2001073</v>
          </cell>
          <cell r="C1613" t="str">
            <v>A</v>
          </cell>
          <cell r="D1613" t="str">
            <v>Said Drissi El Bouzaidi</v>
          </cell>
          <cell r="E1613" t="str">
            <v>سعيد  الادريسى</v>
          </cell>
          <cell r="F1613">
            <v>45236</v>
          </cell>
          <cell r="G1613" t="str">
            <v>47700155</v>
          </cell>
          <cell r="H1613" t="str">
            <v>Finance Business Partner</v>
          </cell>
          <cell r="I1613" t="str">
            <v>شريك الأعمال المالية</v>
          </cell>
          <cell r="J1613" t="str">
            <v>On-Chart</v>
          </cell>
          <cell r="K1613" t="str">
            <v>Sundus</v>
          </cell>
          <cell r="L1613" t="str">
            <v>SU</v>
          </cell>
          <cell r="M1613" t="str">
            <v>Department of Culture and Tourism</v>
          </cell>
          <cell r="N1613" t="str">
            <v>Support Services</v>
          </cell>
          <cell r="O1613" t="str">
            <v>الخدمات المساندة</v>
          </cell>
          <cell r="P1613" t="str">
            <v>Finance</v>
          </cell>
          <cell r="Q1613" t="str">
            <v>إدارة المالية</v>
          </cell>
          <cell r="R1613" t="str">
            <v>Finance Business Partners</v>
          </cell>
          <cell r="S1613" t="str">
            <v>شركاء الأعمال المالية</v>
          </cell>
          <cell r="T1613" t="str">
            <v>Finance Business Partners</v>
          </cell>
          <cell r="U1613" t="str">
            <v>شركاء الأعمال المالية</v>
          </cell>
          <cell r="V1613" t="str">
            <v>Abu Dhabi</v>
          </cell>
          <cell r="W1613" t="str">
            <v/>
          </cell>
          <cell r="X1613" t="str">
            <v>4510210</v>
          </cell>
          <cell r="Y1613" t="str">
            <v>Finance_Financial Business Partners _Senior Professional</v>
          </cell>
          <cell r="Z1613" t="str">
            <v>Senior Professional</v>
          </cell>
          <cell r="AA1613" t="str">
            <v>3C</v>
          </cell>
        </row>
        <row r="1614">
          <cell r="A1614">
            <v>2001077</v>
          </cell>
          <cell r="B1614">
            <v>2001077</v>
          </cell>
          <cell r="C1614" t="str">
            <v>A</v>
          </cell>
          <cell r="D1614" t="str">
            <v>Mark Powell Kyffin</v>
          </cell>
          <cell r="E1614" t="str">
            <v>مارك بوويل  كيفي</v>
          </cell>
          <cell r="F1614">
            <v>45237</v>
          </cell>
          <cell r="G1614" t="str">
            <v>47700661</v>
          </cell>
          <cell r="H1614" t="str">
            <v>Architecture Director</v>
          </cell>
          <cell r="I1614" t="str">
            <v>مدير الهندسة المعمارية</v>
          </cell>
          <cell r="J1614" t="str">
            <v>On-Chart</v>
          </cell>
          <cell r="K1614" t="str">
            <v>Al Nahiya</v>
          </cell>
          <cell r="L1614" t="str">
            <v>N0</v>
          </cell>
          <cell r="M1614" t="str">
            <v>Department of Culture and Tourism</v>
          </cell>
          <cell r="N1614" t="str">
            <v>Project Management &amp; Engineering</v>
          </cell>
          <cell r="O1614" t="str">
            <v>مكتب وكيل الدائرة</v>
          </cell>
          <cell r="P1614" t="str">
            <v>Project Management &amp; Engineering</v>
          </cell>
          <cell r="Q1614" t="str">
            <v>هندسة وإدارة المشاريع</v>
          </cell>
          <cell r="R1614" t="str">
            <v>Architecture</v>
          </cell>
          <cell r="S1614" t="str">
            <v>الهندسة المعمارية</v>
          </cell>
          <cell r="T1614" t="str">
            <v/>
          </cell>
          <cell r="U1614" t="str">
            <v/>
          </cell>
          <cell r="V1614" t="str">
            <v>Abu Dhabi</v>
          </cell>
          <cell r="W1614" t="str">
            <v/>
          </cell>
          <cell r="X1614" t="str">
            <v>4510150</v>
          </cell>
          <cell r="Y1614" t="str">
            <v>Technical Safety &amp; Security_Engineering Project Management  _Section Head</v>
          </cell>
          <cell r="Z1614" t="str">
            <v>Section Manager</v>
          </cell>
          <cell r="AA1614" t="str">
            <v>2B</v>
          </cell>
        </row>
        <row r="1615">
          <cell r="A1615">
            <v>2001078</v>
          </cell>
          <cell r="B1615">
            <v>2001078</v>
          </cell>
          <cell r="C1615" t="str">
            <v>A</v>
          </cell>
          <cell r="D1615" t="str">
            <v>Ban Kattan</v>
          </cell>
          <cell r="E1615" t="str">
            <v>بان  قطان</v>
          </cell>
          <cell r="F1615">
            <v>45239</v>
          </cell>
          <cell r="G1615" t="str">
            <v>50004001</v>
          </cell>
          <cell r="H1615" t="str">
            <v>Gaming &amp; Comics Operations Section Head</v>
          </cell>
          <cell r="I1615" t="str">
            <v>رئيس قسم عمليات الألعاب والقصص المصورة</v>
          </cell>
          <cell r="J1615" t="str">
            <v>On-Chart</v>
          </cell>
          <cell r="K1615" t="str">
            <v>Al Nahiya</v>
          </cell>
          <cell r="L1615" t="str">
            <v>N0</v>
          </cell>
          <cell r="M1615" t="str">
            <v>Department of Culture and Tourism</v>
          </cell>
          <cell r="N1615" t="str">
            <v>Strategic Affairs</v>
          </cell>
          <cell r="O1615" t="str">
            <v>الشؤون الاستراتيجية</v>
          </cell>
          <cell r="P1615" t="str">
            <v>Gaming &amp; Comics Operations</v>
          </cell>
          <cell r="Q1615" t="str">
            <v>إدارة عمليات الرسوم الهزلية والألعاب</v>
          </cell>
          <cell r="R1615" t="str">
            <v/>
          </cell>
          <cell r="S1615" t="str">
            <v/>
          </cell>
          <cell r="T1615" t="str">
            <v/>
          </cell>
          <cell r="U1615" t="str">
            <v/>
          </cell>
          <cell r="V1615" t="str">
            <v>Abu Dhabi</v>
          </cell>
          <cell r="W1615" t="str">
            <v/>
          </cell>
          <cell r="X1615" t="str">
            <v>4518113</v>
          </cell>
          <cell r="Y1615" t="str">
            <v>Strategy, Planning, Project Mgt_Strategic Planning  delivery &amp; Reporting_Section Head</v>
          </cell>
          <cell r="Z1615" t="str">
            <v>Section Manager</v>
          </cell>
          <cell r="AA1615" t="str">
            <v>2C</v>
          </cell>
        </row>
        <row r="1616">
          <cell r="A1616">
            <v>2001079</v>
          </cell>
          <cell r="B1616">
            <v>2001079</v>
          </cell>
          <cell r="C1616" t="str">
            <v>A</v>
          </cell>
          <cell r="D1616" t="str">
            <v>Christopher Robert Haywood</v>
          </cell>
          <cell r="E1616" t="str">
            <v>كريستوفر  هايوود</v>
          </cell>
          <cell r="F1616">
            <v>45240</v>
          </cell>
          <cell r="G1616" t="str">
            <v>50003568</v>
          </cell>
          <cell r="H1616" t="str">
            <v>DCT Corporate Contracts Advisory Unit Head</v>
          </cell>
          <cell r="I1616" t="str">
            <v>رئيس وحدة الاستشارات القانونية للادارة</v>
          </cell>
          <cell r="J1616" t="str">
            <v>On-Chart</v>
          </cell>
          <cell r="K1616" t="str">
            <v>Sundus</v>
          </cell>
          <cell r="L1616" t="str">
            <v>SU</v>
          </cell>
          <cell r="M1616" t="str">
            <v>Department of Culture and Tourism</v>
          </cell>
          <cell r="N1616" t="str">
            <v>Legal &amp; Government Affairs</v>
          </cell>
          <cell r="O1616" t="str">
            <v>مكتب وكيل الدائرة</v>
          </cell>
          <cell r="P1616" t="str">
            <v>Legal &amp; Government Affairs</v>
          </cell>
          <cell r="Q1616" t="str">
            <v>الشؤون القانونية والحكومية</v>
          </cell>
          <cell r="R1616" t="str">
            <v>DCT Corporate &amp; Procurement Contracts Advisory</v>
          </cell>
          <cell r="S1616" t="str">
            <v>الاستشارات القانونية لعقود الدائرة والمشتريات</v>
          </cell>
          <cell r="T1616" t="str">
            <v/>
          </cell>
          <cell r="U1616" t="str">
            <v/>
          </cell>
          <cell r="V1616" t="str">
            <v>Abu Dhabi</v>
          </cell>
          <cell r="W1616" t="str">
            <v/>
          </cell>
          <cell r="X1616" t="str">
            <v>4510160</v>
          </cell>
          <cell r="Y1616" t="str">
            <v/>
          </cell>
          <cell r="Z1616" t="str">
            <v>Section Manager</v>
          </cell>
          <cell r="AA1616" t="str">
            <v>3B</v>
          </cell>
        </row>
        <row r="1617">
          <cell r="A1617">
            <v>2001081</v>
          </cell>
          <cell r="B1617">
            <v>2001081</v>
          </cell>
          <cell r="C1617" t="str">
            <v>A</v>
          </cell>
          <cell r="D1617" t="str">
            <v>Aranzazu Blat Burgues</v>
          </cell>
          <cell r="E1617" t="str">
            <v>ارانزازو  بلاط بيرغويس</v>
          </cell>
          <cell r="F1617">
            <v>45265</v>
          </cell>
          <cell r="G1617" t="str">
            <v>50002369</v>
          </cell>
          <cell r="H1617" t="str">
            <v>Paper Conservator</v>
          </cell>
          <cell r="I1617" t="str">
            <v>أخصائي حفظ الأوراق</v>
          </cell>
          <cell r="J1617" t="str">
            <v>On-Chart</v>
          </cell>
          <cell r="K1617" t="str">
            <v>Sundus</v>
          </cell>
          <cell r="L1617" t="str">
            <v>SU</v>
          </cell>
          <cell r="M1617" t="str">
            <v>Department of Culture and Tourism</v>
          </cell>
          <cell r="N1617" t="str">
            <v>Culture</v>
          </cell>
          <cell r="O1617" t="str">
            <v>الثقافة</v>
          </cell>
          <cell r="P1617" t="str">
            <v>Scientific, Curatorial and Collection Department</v>
          </cell>
          <cell r="Q1617" t="str">
            <v>إدارة البحث العلمي والمقتنيات</v>
          </cell>
          <cell r="R1617" t="str">
            <v>Collections</v>
          </cell>
          <cell r="S1617" t="str">
            <v>إدارة المقتنيات</v>
          </cell>
          <cell r="T1617" t="str">
            <v>Collections Conservation</v>
          </cell>
          <cell r="U1617" t="str">
            <v>حفظ المقتنيات</v>
          </cell>
          <cell r="V1617" t="str">
            <v>Abu Dhabi</v>
          </cell>
          <cell r="W1617" t="str">
            <v/>
          </cell>
          <cell r="X1617" t="str">
            <v>4511150</v>
          </cell>
          <cell r="Y1617" t="str">
            <v>Compliance,Governance&amp;Protocol_Policy (Culture/Tourism _Senior Professional</v>
          </cell>
          <cell r="Z1617" t="str">
            <v>Senior Professional</v>
          </cell>
          <cell r="AA1617" t="str">
            <v>3B</v>
          </cell>
        </row>
        <row r="1618">
          <cell r="A1618">
            <v>2001084</v>
          </cell>
          <cell r="B1618">
            <v>2001084</v>
          </cell>
          <cell r="C1618" t="str">
            <v>A</v>
          </cell>
          <cell r="D1618" t="str">
            <v>Mohamed Abdulla Almenhali</v>
          </cell>
          <cell r="E1618" t="str">
            <v>محمد عبدالله المنهالي</v>
          </cell>
          <cell r="F1618">
            <v>45247</v>
          </cell>
          <cell r="G1618" t="str">
            <v>41000555</v>
          </cell>
          <cell r="H1618" t="str">
            <v>Procurement Projects Unit Head</v>
          </cell>
          <cell r="I1618" t="str">
            <v>رئيس وحدة مشاريع المشتريات</v>
          </cell>
          <cell r="J1618" t="str">
            <v>On-Chart</v>
          </cell>
          <cell r="K1618" t="str">
            <v>Sundus</v>
          </cell>
          <cell r="L1618" t="str">
            <v>SU</v>
          </cell>
          <cell r="M1618" t="str">
            <v>Department of Culture and Tourism</v>
          </cell>
          <cell r="N1618" t="str">
            <v>Support Services</v>
          </cell>
          <cell r="O1618" t="str">
            <v>الخدمات المساندة</v>
          </cell>
          <cell r="P1618" t="str">
            <v>Supply Management</v>
          </cell>
          <cell r="Q1618" t="str">
            <v>إدارة الإمداد</v>
          </cell>
          <cell r="R1618" t="str">
            <v>Contracts, System &amp; Reporting</v>
          </cell>
          <cell r="S1618" t="str">
            <v>العقود والأنظمة والتقارير</v>
          </cell>
          <cell r="T1618" t="str">
            <v>Procurement Projects</v>
          </cell>
          <cell r="U1618" t="str">
            <v>مشاريع المشتريات</v>
          </cell>
          <cell r="V1618" t="str">
            <v>Abu Dhabi</v>
          </cell>
          <cell r="W1618" t="str">
            <v/>
          </cell>
          <cell r="X1618" t="str">
            <v>4510240</v>
          </cell>
          <cell r="Y1618" t="str">
            <v>Procurement_Procurement Projects _Unit Head</v>
          </cell>
          <cell r="Z1618" t="str">
            <v>Unit Head</v>
          </cell>
          <cell r="AA1618" t="str">
            <v>3B</v>
          </cell>
        </row>
        <row r="1619">
          <cell r="A1619">
            <v>2001085</v>
          </cell>
          <cell r="B1619">
            <v>2001085</v>
          </cell>
          <cell r="C1619" t="str">
            <v>A</v>
          </cell>
          <cell r="D1619" t="str">
            <v>Jiacheng Xu</v>
          </cell>
          <cell r="E1619" t="str">
            <v>جياتشنغ  اكسو</v>
          </cell>
          <cell r="F1619">
            <v>45250</v>
          </cell>
          <cell r="G1619" t="str">
            <v>10007286</v>
          </cell>
          <cell r="H1619" t="str">
            <v>Planning &amp; Operations (China &amp; Southeast Asia) Executive</v>
          </cell>
          <cell r="I1619" t="str">
            <v>تنفيذي التخطيط والعمليات (منطقة الصين وجنوب شرق آسيا)</v>
          </cell>
          <cell r="J1619" t="str">
            <v>On-Chart</v>
          </cell>
          <cell r="K1619" t="str">
            <v>Sundus</v>
          </cell>
          <cell r="L1619" t="str">
            <v>SU</v>
          </cell>
          <cell r="M1619" t="str">
            <v>Department of Culture and Tourism</v>
          </cell>
          <cell r="N1619" t="str">
            <v>Tourism</v>
          </cell>
          <cell r="O1619" t="str">
            <v>السياحة</v>
          </cell>
          <cell r="P1619" t="str">
            <v>International Operations</v>
          </cell>
          <cell r="Q1619" t="str">
            <v>العمليات الدولية</v>
          </cell>
          <cell r="R1619" t="str">
            <v>APAC</v>
          </cell>
          <cell r="S1619" t="str">
            <v>منطقة آسيا والمحيط الهادئ</v>
          </cell>
          <cell r="T1619" t="str">
            <v>China &amp; Southeast Asia</v>
          </cell>
          <cell r="U1619" t="str">
            <v>منطقة الصين وجنوب شرق آسيا</v>
          </cell>
          <cell r="V1619" t="str">
            <v>Abu Dhabi</v>
          </cell>
          <cell r="W1619" t="str">
            <v/>
          </cell>
          <cell r="X1619" t="str">
            <v>4515100</v>
          </cell>
          <cell r="Y1619" t="str">
            <v>Compliance,Governance&amp;Protocol_Policy (Culture/Tourism) _Professional</v>
          </cell>
          <cell r="Z1619" t="str">
            <v>Professional</v>
          </cell>
          <cell r="AA1619" t="str">
            <v>4B</v>
          </cell>
        </row>
        <row r="1620">
          <cell r="A1620">
            <v>2001091</v>
          </cell>
          <cell r="B1620">
            <v>2001091</v>
          </cell>
          <cell r="C1620" t="str">
            <v>A</v>
          </cell>
          <cell r="D1620" t="str">
            <v>Himanshu Kadam</v>
          </cell>
          <cell r="E1620" t="str">
            <v>هيمانشو  كادام</v>
          </cell>
          <cell r="F1620">
            <v>45343</v>
          </cell>
          <cell r="G1620" t="str">
            <v>50003130</v>
          </cell>
          <cell r="H1620" t="str">
            <v>Senior Curatorial Assistant</v>
          </cell>
          <cell r="I1620" t="str">
            <v>مساعد اول امين متحف</v>
          </cell>
          <cell r="J1620" t="str">
            <v>On-Chart</v>
          </cell>
          <cell r="K1620" t="str">
            <v>MSS Al Nahiya</v>
          </cell>
          <cell r="L1620" t="str">
            <v>M2</v>
          </cell>
          <cell r="M1620" t="str">
            <v>Louvre Abu Dhabi</v>
          </cell>
          <cell r="N1620" t="str">
            <v>Louvre Abu Dhabi</v>
          </cell>
          <cell r="O1620" t="str">
            <v>متحف اللوفر أبوظبي</v>
          </cell>
          <cell r="P1620" t="str">
            <v>Scientific, Curatorial &amp; Collection Management</v>
          </cell>
          <cell r="Q1620" t="str">
            <v>إدارة المقتنيات العلمية والتنظيمية</v>
          </cell>
          <cell r="R1620" t="str">
            <v/>
          </cell>
          <cell r="S1620" t="str">
            <v/>
          </cell>
          <cell r="T1620" t="str">
            <v/>
          </cell>
          <cell r="U1620" t="str">
            <v/>
          </cell>
          <cell r="V1620" t="str">
            <v>Abu Dhabi</v>
          </cell>
          <cell r="W1620" t="str">
            <v/>
          </cell>
          <cell r="X1620" t="str">
            <v>4510122</v>
          </cell>
          <cell r="Y1620" t="str">
            <v>Content &amp; Care_Curatorial  Management_Senior Professional</v>
          </cell>
          <cell r="Z1620" t="str">
            <v>Senior Professional</v>
          </cell>
          <cell r="AA1620" t="str">
            <v>3B</v>
          </cell>
        </row>
        <row r="1621">
          <cell r="A1621">
            <v>2001092</v>
          </cell>
          <cell r="B1621">
            <v>2001092</v>
          </cell>
          <cell r="C1621" t="str">
            <v>A</v>
          </cell>
          <cell r="D1621" t="str">
            <v>Orlane Claude Jeanne Lefeuvre</v>
          </cell>
          <cell r="E1621" t="str">
            <v>اورلن كلود جين لفيوفر</v>
          </cell>
          <cell r="F1621">
            <v>45301</v>
          </cell>
          <cell r="G1621" t="str">
            <v>10007555</v>
          </cell>
          <cell r="H1621" t="str">
            <v>Interpretation &amp; Creative Content Officer</v>
          </cell>
          <cell r="I1621" t="str">
            <v>ضابط التفسير و المحتوى الإبداعي</v>
          </cell>
          <cell r="J1621" t="str">
            <v>On-Chart</v>
          </cell>
          <cell r="K1621" t="str">
            <v>MSS Al Nahiya</v>
          </cell>
          <cell r="L1621" t="str">
            <v>M2</v>
          </cell>
          <cell r="M1621" t="str">
            <v>Louvre Abu Dhabi</v>
          </cell>
          <cell r="N1621" t="str">
            <v>Louvre Abu Dhabi</v>
          </cell>
          <cell r="O1621" t="str">
            <v>متحف اللوفر أبوظبي</v>
          </cell>
          <cell r="P1621" t="str">
            <v>External Affairs, Outreach and Cultural Engagement</v>
          </cell>
          <cell r="Q1621" t="str">
            <v>إدارة الشؤون الخارجية والتواصل، المشاركة الثقافية</v>
          </cell>
          <cell r="R1621" t="str">
            <v/>
          </cell>
          <cell r="S1621" t="str">
            <v/>
          </cell>
          <cell r="T1621" t="str">
            <v/>
          </cell>
          <cell r="U1621" t="str">
            <v/>
          </cell>
          <cell r="V1621" t="str">
            <v>Abu Dhabi</v>
          </cell>
          <cell r="W1621" t="str">
            <v/>
          </cell>
          <cell r="X1621" t="str">
            <v>4510123</v>
          </cell>
          <cell r="Y1621" t="str">
            <v>Interpretation &amp; Engagement_Outreach &amp; Cultural Engagement _Professional</v>
          </cell>
          <cell r="Z1621" t="str">
            <v>Professional</v>
          </cell>
          <cell r="AA1621" t="str">
            <v>4B</v>
          </cell>
        </row>
        <row r="1622">
          <cell r="A1622">
            <v>2001093</v>
          </cell>
          <cell r="B1622">
            <v>2001093</v>
          </cell>
          <cell r="C1622" t="str">
            <v>A</v>
          </cell>
          <cell r="D1622" t="str">
            <v>Hossam El-Derbi</v>
          </cell>
          <cell r="E1622" t="str">
            <v>حسام باسم الدربى</v>
          </cell>
          <cell r="F1622">
            <v>45554</v>
          </cell>
          <cell r="G1622" t="str">
            <v>50002876</v>
          </cell>
          <cell r="H1622" t="str">
            <v>Procurement Business Partner</v>
          </cell>
          <cell r="I1622" t="str">
            <v>شريك أعمال المشتريات</v>
          </cell>
          <cell r="J1622" t="str">
            <v>On-Chart</v>
          </cell>
          <cell r="K1622" t="str">
            <v>Dayton</v>
          </cell>
          <cell r="L1622" t="str">
            <v>D1</v>
          </cell>
          <cell r="M1622" t="str">
            <v>Department of Culture and Tourism</v>
          </cell>
          <cell r="N1622" t="str">
            <v>Support Services</v>
          </cell>
          <cell r="O1622" t="str">
            <v>الخدمات المساندة</v>
          </cell>
          <cell r="P1622" t="str">
            <v>Supply Management</v>
          </cell>
          <cell r="Q1622" t="str">
            <v>إدارة الإمداد</v>
          </cell>
          <cell r="R1622" t="str">
            <v>Business Partners</v>
          </cell>
          <cell r="S1622" t="str">
            <v>شركاء أعمال</v>
          </cell>
          <cell r="T1622" t="str">
            <v>Procurement Business Partners</v>
          </cell>
          <cell r="U1622" t="str">
            <v>شركاء أعمال المشتريات</v>
          </cell>
          <cell r="V1622" t="str">
            <v>Abu Dhabi</v>
          </cell>
          <cell r="W1622" t="str">
            <v/>
          </cell>
          <cell r="X1622" t="str">
            <v>4510240</v>
          </cell>
          <cell r="Y1622" t="str">
            <v>Procurement_Procurement Business Partner _Senior Professional</v>
          </cell>
          <cell r="Z1622" t="str">
            <v>Professional</v>
          </cell>
          <cell r="AA1622" t="str">
            <v>3C</v>
          </cell>
        </row>
        <row r="1623">
          <cell r="A1623">
            <v>2001095</v>
          </cell>
          <cell r="B1623">
            <v>2001095</v>
          </cell>
          <cell r="C1623" t="str">
            <v>A</v>
          </cell>
          <cell r="D1623" t="str">
            <v>Sambaiah Muvva</v>
          </cell>
          <cell r="E1623" t="str">
            <v>سامباياه  موفا</v>
          </cell>
          <cell r="F1623">
            <v>45245</v>
          </cell>
          <cell r="G1623" t="str">
            <v>50002459</v>
          </cell>
          <cell r="H1623" t="str">
            <v>People &amp; Performance Systems Unit Head</v>
          </cell>
          <cell r="I1623" t="str">
            <v>رئيس وحدة أنظمة الكوادر البشرية والأداء</v>
          </cell>
          <cell r="J1623" t="str">
            <v>On-Chart</v>
          </cell>
          <cell r="K1623" t="str">
            <v>Sundus</v>
          </cell>
          <cell r="L1623" t="str">
            <v>SU</v>
          </cell>
          <cell r="M1623" t="str">
            <v>Department of Culture and Tourism</v>
          </cell>
          <cell r="N1623" t="str">
            <v>Support Services</v>
          </cell>
          <cell r="O1623" t="str">
            <v>الخدمات المساندة</v>
          </cell>
          <cell r="P1623" t="str">
            <v>People &amp; Performance</v>
          </cell>
          <cell r="Q1623" t="str">
            <v>إدارة الكوادر البشرية والأداء</v>
          </cell>
          <cell r="R1623" t="str">
            <v>-</v>
          </cell>
          <cell r="S1623" t="str">
            <v>-</v>
          </cell>
          <cell r="T1623" t="str">
            <v>P&amp;P Systems</v>
          </cell>
          <cell r="U1623" t="str">
            <v>أنظمة الكوادر البشرية والأداء</v>
          </cell>
          <cell r="V1623" t="str">
            <v>Abu Dhabi</v>
          </cell>
          <cell r="W1623" t="str">
            <v/>
          </cell>
          <cell r="X1623" t="str">
            <v>4510220</v>
          </cell>
          <cell r="Y1623" t="str">
            <v>Information Technology_People &amp; Performance Systems _Unit Head</v>
          </cell>
          <cell r="Z1623" t="str">
            <v>Unit Head</v>
          </cell>
          <cell r="AA1623" t="str">
            <v>3B</v>
          </cell>
        </row>
        <row r="1624">
          <cell r="A1624">
            <v>2001096</v>
          </cell>
          <cell r="B1624">
            <v>2001096</v>
          </cell>
          <cell r="C1624" t="str">
            <v>A</v>
          </cell>
          <cell r="D1624" t="str">
            <v>Elizabeth Santos Bernardo</v>
          </cell>
          <cell r="E1624" t="str">
            <v>اليزابيث سانتوس بيرناردو</v>
          </cell>
          <cell r="F1624">
            <v>45246</v>
          </cell>
          <cell r="G1624" t="str">
            <v>50002509</v>
          </cell>
          <cell r="H1624" t="str">
            <v>Operations Specialist (Gaming)</v>
          </cell>
          <cell r="I1624" t="str">
            <v>(أخصائي عمليات (الألعاب</v>
          </cell>
          <cell r="J1624" t="str">
            <v>On-Chart</v>
          </cell>
          <cell r="K1624" t="str">
            <v>Al Nahiya</v>
          </cell>
          <cell r="L1624" t="str">
            <v>N0</v>
          </cell>
          <cell r="M1624" t="str">
            <v>Department of Culture and Tourism</v>
          </cell>
          <cell r="N1624" t="str">
            <v>Strategic Affairs</v>
          </cell>
          <cell r="O1624" t="str">
            <v>الشؤون الاستراتيجية</v>
          </cell>
          <cell r="P1624" t="str">
            <v>Gaming &amp; Comics Operations</v>
          </cell>
          <cell r="Q1624" t="str">
            <v>إدارة عمليات الرسوم الهزلية والألعاب</v>
          </cell>
          <cell r="R1624" t="str">
            <v>-</v>
          </cell>
          <cell r="S1624" t="str">
            <v>-</v>
          </cell>
          <cell r="T1624" t="str">
            <v>Gaming Operations</v>
          </cell>
          <cell r="U1624" t="str">
            <v>وحدة عمليات الألعاب</v>
          </cell>
          <cell r="V1624" t="str">
            <v>Abu Dhabi</v>
          </cell>
          <cell r="W1624" t="str">
            <v/>
          </cell>
          <cell r="X1624" t="str">
            <v>4518113</v>
          </cell>
          <cell r="Y1624" t="str">
            <v>Strategy, Planning, Project Mgt_Operational Planning &amp; Project Management _Professional</v>
          </cell>
          <cell r="Z1624" t="str">
            <v>Professional</v>
          </cell>
          <cell r="AA1624" t="str">
            <v>3B</v>
          </cell>
        </row>
        <row r="1625">
          <cell r="A1625">
            <v>2001097</v>
          </cell>
          <cell r="B1625">
            <v>2001097</v>
          </cell>
          <cell r="C1625" t="str">
            <v>A</v>
          </cell>
          <cell r="D1625" t="str">
            <v>Rana Ahmad</v>
          </cell>
          <cell r="E1625" t="str">
            <v>رنا  احمد</v>
          </cell>
          <cell r="F1625">
            <v>45265</v>
          </cell>
          <cell r="G1625" t="str">
            <v>10006226</v>
          </cell>
          <cell r="H1625" t="str">
            <v>Museum Affairs Coordinator</v>
          </cell>
          <cell r="I1625" t="str">
            <v>منسق علاقات المتحف</v>
          </cell>
          <cell r="J1625" t="str">
            <v>On-Chart</v>
          </cell>
          <cell r="K1625" t="str">
            <v>MSS Al Nahiya</v>
          </cell>
          <cell r="L1625" t="str">
            <v>M2</v>
          </cell>
          <cell r="M1625" t="str">
            <v>Louvre Abu Dhabi</v>
          </cell>
          <cell r="N1625" t="str">
            <v>Louvre Abu Dhabi</v>
          </cell>
          <cell r="O1625" t="str">
            <v>متحف اللوفر أبوظبي</v>
          </cell>
          <cell r="P1625" t="str">
            <v>Museum’s Director Office</v>
          </cell>
          <cell r="Q1625" t="str">
            <v>مكتب مدير المتحف</v>
          </cell>
          <cell r="R1625" t="str">
            <v/>
          </cell>
          <cell r="S1625" t="str">
            <v/>
          </cell>
          <cell r="T1625" t="str">
            <v/>
          </cell>
          <cell r="U1625" t="str">
            <v/>
          </cell>
          <cell r="V1625" t="str">
            <v>Abu Dhabi</v>
          </cell>
          <cell r="W1625" t="str">
            <v/>
          </cell>
          <cell r="X1625" t="str">
            <v>4510121</v>
          </cell>
          <cell r="Y1625" t="str">
            <v>Strategy, Planning, Project Mgt_Business Performance Management  &amp; Reporting _Professional</v>
          </cell>
          <cell r="Z1625" t="str">
            <v>Professional Assistant</v>
          </cell>
          <cell r="AA1625" t="str">
            <v>5B</v>
          </cell>
        </row>
        <row r="1626">
          <cell r="A1626">
            <v>2001099</v>
          </cell>
          <cell r="B1626">
            <v>2001099</v>
          </cell>
          <cell r="C1626" t="str">
            <v>A</v>
          </cell>
          <cell r="D1626" t="str">
            <v>Mohammed Oussama Mouhsine</v>
          </cell>
          <cell r="E1626" t="str">
            <v>محمد اسامه محسن</v>
          </cell>
          <cell r="F1626">
            <v>45271</v>
          </cell>
          <cell r="G1626" t="str">
            <v>50000895</v>
          </cell>
          <cell r="H1626" t="str">
            <v>Business Partnership Senior Specialist</v>
          </cell>
          <cell r="I1626" t="str">
            <v>أخصائي أول شراكات الأعمال</v>
          </cell>
          <cell r="J1626" t="str">
            <v>On-Chart</v>
          </cell>
          <cell r="K1626" t="str">
            <v>Al Nahiya</v>
          </cell>
          <cell r="L1626" t="str">
            <v>N0</v>
          </cell>
          <cell r="M1626" t="str">
            <v>Department of Culture and Tourism</v>
          </cell>
          <cell r="N1626" t="str">
            <v>Support Services</v>
          </cell>
          <cell r="O1626" t="str">
            <v>الخدمات المساندة</v>
          </cell>
          <cell r="P1626" t="str">
            <v>Technology</v>
          </cell>
          <cell r="Q1626" t="str">
            <v>التكنولوجيا</v>
          </cell>
          <cell r="R1626" t="str">
            <v>Business Partnership</v>
          </cell>
          <cell r="S1626" t="str">
            <v>شراكات الأعمال</v>
          </cell>
          <cell r="T1626" t="str">
            <v>Business Partnership</v>
          </cell>
          <cell r="U1626" t="str">
            <v>شراكات الأعمال</v>
          </cell>
          <cell r="V1626" t="str">
            <v>Abu Dhabi</v>
          </cell>
          <cell r="W1626" t="str">
            <v/>
          </cell>
          <cell r="X1626" t="str">
            <v>4510250</v>
          </cell>
          <cell r="Y1626" t="str">
            <v>Information Technology_Software Program Management _Senior Professional</v>
          </cell>
          <cell r="Z1626" t="str">
            <v>Senior Professional</v>
          </cell>
          <cell r="AA1626" t="str">
            <v>3B</v>
          </cell>
        </row>
        <row r="1627">
          <cell r="A1627">
            <v>2001100</v>
          </cell>
          <cell r="B1627">
            <v>2001100</v>
          </cell>
          <cell r="C1627" t="str">
            <v>A</v>
          </cell>
          <cell r="D1627" t="str">
            <v>Mohamed Hassan Osman</v>
          </cell>
          <cell r="E1627" t="str">
            <v>محمد حسن عثمان</v>
          </cell>
          <cell r="F1627">
            <v>45265</v>
          </cell>
          <cell r="G1627" t="str">
            <v>50002899</v>
          </cell>
          <cell r="H1627" t="str">
            <v>Projects Specialist</v>
          </cell>
          <cell r="I1627" t="str">
            <v>أخصائي مشاريع</v>
          </cell>
          <cell r="J1627" t="str">
            <v>On-Chart</v>
          </cell>
          <cell r="K1627" t="str">
            <v>Sundus</v>
          </cell>
          <cell r="L1627" t="str">
            <v>SU</v>
          </cell>
          <cell r="M1627" t="str">
            <v>Department of Culture and Tourism</v>
          </cell>
          <cell r="N1627" t="str">
            <v>Culture</v>
          </cell>
          <cell r="O1627" t="str">
            <v>الثقافة</v>
          </cell>
          <cell r="P1627" t="str">
            <v>Culture Festivals &amp; Platforms</v>
          </cell>
          <cell r="Q1627" t="str">
            <v>المهرجانات والمنصات الثقافية</v>
          </cell>
          <cell r="R1627" t="str">
            <v/>
          </cell>
          <cell r="S1627" t="str">
            <v/>
          </cell>
          <cell r="T1627" t="str">
            <v/>
          </cell>
          <cell r="U1627" t="str">
            <v/>
          </cell>
          <cell r="V1627" t="str">
            <v>Abu Dhabi</v>
          </cell>
          <cell r="W1627" t="str">
            <v/>
          </cell>
          <cell r="X1627" t="str">
            <v>4511750</v>
          </cell>
          <cell r="Y1627" t="str">
            <v>Commercial _Conventions, Exhibitions, Events &amp; Festivals Development &amp; Sales  _Professional</v>
          </cell>
          <cell r="Z1627" t="str">
            <v>Professional</v>
          </cell>
          <cell r="AA1627" t="str">
            <v>4B</v>
          </cell>
        </row>
        <row r="1628">
          <cell r="A1628">
            <v>2001101</v>
          </cell>
          <cell r="B1628">
            <v>2001101</v>
          </cell>
          <cell r="C1628" t="str">
            <v>A</v>
          </cell>
          <cell r="D1628" t="str">
            <v>Pavel Pascu</v>
          </cell>
          <cell r="E1628" t="str">
            <v>بافيل  باسكو</v>
          </cell>
          <cell r="F1628">
            <v>45267</v>
          </cell>
          <cell r="G1628" t="str">
            <v>50001968</v>
          </cell>
          <cell r="H1628" t="str">
            <v>Exhibitions Project Manager</v>
          </cell>
          <cell r="I1628" t="str">
            <v>مدير مشاريع المعارض</v>
          </cell>
          <cell r="J1628" t="str">
            <v>On-Chart</v>
          </cell>
          <cell r="K1628" t="str">
            <v>MSS Sundus</v>
          </cell>
          <cell r="L1628" t="str">
            <v>M3</v>
          </cell>
          <cell r="M1628" t="str">
            <v>Department of Culture and Tourism</v>
          </cell>
          <cell r="N1628" t="str">
            <v>Culture</v>
          </cell>
          <cell r="O1628" t="str">
            <v>الثقافة</v>
          </cell>
          <cell r="P1628" t="str">
            <v>Natural History Museum Abu Dhabi</v>
          </cell>
          <cell r="Q1628" t="str">
            <v>متحف التاريخ الطبيعي - أبوظبي</v>
          </cell>
          <cell r="R1628" t="str">
            <v/>
          </cell>
          <cell r="S1628" t="str">
            <v/>
          </cell>
          <cell r="T1628" t="str">
            <v/>
          </cell>
          <cell r="U1628" t="str">
            <v/>
          </cell>
          <cell r="V1628" t="str">
            <v>Abu Dhabi</v>
          </cell>
          <cell r="W1628" t="str">
            <v/>
          </cell>
          <cell r="X1628" t="str">
            <v>4510310</v>
          </cell>
          <cell r="Y1628" t="str">
            <v>Compliance,Governance&amp;Protocol_Policy  (Culture &amp; Tourism)_Unit Head</v>
          </cell>
          <cell r="Z1628" t="str">
            <v>Unit Head</v>
          </cell>
          <cell r="AA1628" t="str">
            <v>3B</v>
          </cell>
        </row>
        <row r="1629">
          <cell r="A1629">
            <v>2001103</v>
          </cell>
          <cell r="B1629">
            <v>2001103</v>
          </cell>
          <cell r="C1629" t="str">
            <v>A</v>
          </cell>
          <cell r="D1629" t="str">
            <v>Min Xu</v>
          </cell>
          <cell r="E1629" t="str">
            <v>مين  اكسو</v>
          </cell>
          <cell r="F1629">
            <v>45306</v>
          </cell>
          <cell r="G1629" t="str">
            <v>50002155</v>
          </cell>
          <cell r="H1629" t="str">
            <v>International Operations (APAC) Regional Head</v>
          </cell>
          <cell r="I1629" t="str">
            <v>رئيس القسم الإقليمي العمليات الدولية (منطقة آسيا والمحيط الهادئ))</v>
          </cell>
          <cell r="J1629" t="str">
            <v>On-Chart</v>
          </cell>
          <cell r="K1629" t="str">
            <v>Sundus</v>
          </cell>
          <cell r="L1629" t="str">
            <v>SU</v>
          </cell>
          <cell r="M1629" t="str">
            <v>Department of Culture and Tourism</v>
          </cell>
          <cell r="N1629" t="str">
            <v>Tourism</v>
          </cell>
          <cell r="O1629" t="str">
            <v>السياحة</v>
          </cell>
          <cell r="P1629" t="str">
            <v>International Operations</v>
          </cell>
          <cell r="Q1629" t="str">
            <v>العمليات الدولية</v>
          </cell>
          <cell r="R1629" t="str">
            <v>APAC</v>
          </cell>
          <cell r="S1629" t="str">
            <v>منطقة آسيا والمحيط الهادئ</v>
          </cell>
          <cell r="T1629" t="str">
            <v/>
          </cell>
          <cell r="U1629" t="str">
            <v/>
          </cell>
          <cell r="V1629" t="str">
            <v>Abu Dhabi</v>
          </cell>
          <cell r="W1629" t="str">
            <v/>
          </cell>
          <cell r="X1629" t="str">
            <v>4515100</v>
          </cell>
          <cell r="Y1629" t="str">
            <v>Design_Tourism Journey Design &amp; Development  (Tourism)_Section Head</v>
          </cell>
          <cell r="Z1629" t="str">
            <v>Section Manager</v>
          </cell>
          <cell r="AA1629" t="str">
            <v>2B</v>
          </cell>
        </row>
        <row r="1630">
          <cell r="A1630">
            <v>2001104</v>
          </cell>
          <cell r="B1630">
            <v>2001104</v>
          </cell>
          <cell r="C1630" t="str">
            <v>A</v>
          </cell>
          <cell r="D1630" t="str">
            <v>Maneesh Kumar</v>
          </cell>
          <cell r="E1630" t="str">
            <v>مانيش  كومار</v>
          </cell>
          <cell r="F1630">
            <v>45265</v>
          </cell>
          <cell r="G1630" t="str">
            <v>50002709</v>
          </cell>
          <cell r="H1630" t="str">
            <v>Digital Government Services Senior Specialist</v>
          </cell>
          <cell r="I1630" t="str">
            <v>اخصائي أول خدمات الحكومة الرقمية​</v>
          </cell>
          <cell r="J1630" t="str">
            <v>On-Chart</v>
          </cell>
          <cell r="K1630" t="str">
            <v>Sundus</v>
          </cell>
          <cell r="L1630" t="str">
            <v>SU</v>
          </cell>
          <cell r="M1630" t="str">
            <v>Department of Culture and Tourism</v>
          </cell>
          <cell r="N1630" t="str">
            <v>Support Services</v>
          </cell>
          <cell r="O1630" t="str">
            <v>الخدمات المساندة</v>
          </cell>
          <cell r="P1630" t="str">
            <v>Technology</v>
          </cell>
          <cell r="Q1630" t="str">
            <v>التكنولوجيا</v>
          </cell>
          <cell r="R1630" t="str">
            <v>Business Applications</v>
          </cell>
          <cell r="S1630" t="str">
            <v>التطبيقات المؤسسية</v>
          </cell>
          <cell r="T1630" t="str">
            <v>TAMM</v>
          </cell>
          <cell r="U1630" t="str">
            <v>منصة تم</v>
          </cell>
          <cell r="V1630" t="str">
            <v>Abu Dhabi</v>
          </cell>
          <cell r="W1630" t="str">
            <v/>
          </cell>
          <cell r="X1630" t="str">
            <v>4510250</v>
          </cell>
          <cell r="Y1630" t="str">
            <v>Information Technology_Technical Engineering _Senior Professional</v>
          </cell>
          <cell r="Z1630" t="str">
            <v>Senior Professional</v>
          </cell>
          <cell r="AA1630" t="str">
            <v>3B</v>
          </cell>
        </row>
        <row r="1631">
          <cell r="A1631">
            <v>2001105</v>
          </cell>
          <cell r="B1631">
            <v>2001105</v>
          </cell>
          <cell r="C1631" t="str">
            <v>A</v>
          </cell>
          <cell r="D1631" t="str">
            <v>Rakshit Mahajan</v>
          </cell>
          <cell r="E1631" t="str">
            <v>راكشيت  ماهاجان</v>
          </cell>
          <cell r="F1631">
            <v>45278</v>
          </cell>
          <cell r="G1631" t="str">
            <v>50002711</v>
          </cell>
          <cell r="H1631" t="str">
            <v>Back End Developer</v>
          </cell>
          <cell r="I1631" t="str">
            <v>مطور الواجهة الخلفية  للمستخدم</v>
          </cell>
          <cell r="J1631" t="str">
            <v>On-Chart</v>
          </cell>
          <cell r="K1631" t="str">
            <v>Al Nahiya</v>
          </cell>
          <cell r="L1631" t="str">
            <v>N0</v>
          </cell>
          <cell r="M1631" t="str">
            <v>Department of Culture and Tourism</v>
          </cell>
          <cell r="N1631" t="str">
            <v>Support Services</v>
          </cell>
          <cell r="O1631" t="str">
            <v>الخدمات المساندة</v>
          </cell>
          <cell r="P1631" t="str">
            <v>Technology</v>
          </cell>
          <cell r="Q1631" t="str">
            <v>التكنولوجيا</v>
          </cell>
          <cell r="R1631" t="str">
            <v>Business Applications</v>
          </cell>
          <cell r="S1631" t="str">
            <v>التطبيقات المؤسسية</v>
          </cell>
          <cell r="T1631" t="str">
            <v>TAMM</v>
          </cell>
          <cell r="U1631" t="str">
            <v>منصة تم</v>
          </cell>
          <cell r="V1631" t="str">
            <v>Abu Dhabi</v>
          </cell>
          <cell r="W1631" t="str">
            <v/>
          </cell>
          <cell r="X1631" t="str">
            <v>4510250</v>
          </cell>
          <cell r="Y1631" t="str">
            <v>Information Technology_Technical Support Engineer_Professional</v>
          </cell>
          <cell r="Z1631" t="str">
            <v>Professional</v>
          </cell>
          <cell r="AA1631" t="str">
            <v>4B</v>
          </cell>
        </row>
        <row r="1632">
          <cell r="A1632">
            <v>2001107</v>
          </cell>
          <cell r="B1632">
            <v>2001107</v>
          </cell>
          <cell r="C1632" t="str">
            <v>A</v>
          </cell>
          <cell r="D1632" t="str">
            <v>Ahmed Ma'ath Humaid</v>
          </cell>
          <cell r="E1632" t="str">
            <v>أحمد معاذ حميد</v>
          </cell>
          <cell r="F1632">
            <v>45316</v>
          </cell>
          <cell r="G1632" t="str">
            <v>50002282</v>
          </cell>
          <cell r="H1632" t="str">
            <v>Operations &amp; Commercial Development Director</v>
          </cell>
          <cell r="I1632" t="str">
            <v>مدير العمليات والتطوير التجاري</v>
          </cell>
          <cell r="J1632" t="str">
            <v>On-Chart</v>
          </cell>
          <cell r="K1632" t="str">
            <v>Sundus</v>
          </cell>
          <cell r="L1632" t="str">
            <v>SU</v>
          </cell>
          <cell r="M1632" t="str">
            <v>Department of Culture and Tourism</v>
          </cell>
          <cell r="N1632" t="str">
            <v>Culture</v>
          </cell>
          <cell r="O1632" t="str">
            <v>الثقافة</v>
          </cell>
          <cell r="P1632" t="str">
            <v>Culture Sites Management</v>
          </cell>
          <cell r="Q1632" t="str">
            <v>إدارة المواقع الثقافية</v>
          </cell>
          <cell r="R1632" t="str">
            <v/>
          </cell>
          <cell r="S1632" t="str">
            <v/>
          </cell>
          <cell r="T1632" t="str">
            <v/>
          </cell>
          <cell r="U1632" t="str">
            <v/>
          </cell>
          <cell r="V1632" t="str">
            <v>Abu Dhabi</v>
          </cell>
          <cell r="W1632" t="str">
            <v/>
          </cell>
          <cell r="X1632" t="str">
            <v>4511250</v>
          </cell>
          <cell r="Y1632" t="str">
            <v>Commercial _Culture Festivals &amp; Platforms Department Director</v>
          </cell>
          <cell r="Z1632" t="str">
            <v>Director</v>
          </cell>
          <cell r="AA1632" t="str">
            <v>1B</v>
          </cell>
        </row>
        <row r="1633">
          <cell r="A1633">
            <v>2001108</v>
          </cell>
          <cell r="B1633">
            <v>2001108</v>
          </cell>
          <cell r="C1633" t="str">
            <v>A</v>
          </cell>
          <cell r="D1633" t="str">
            <v>Filipe Manuel Costa Vaz</v>
          </cell>
          <cell r="E1633" t="str">
            <v>فيليبى مانويل  كوستا فاز</v>
          </cell>
          <cell r="F1633">
            <v>45306</v>
          </cell>
          <cell r="G1633" t="str">
            <v>50002374</v>
          </cell>
          <cell r="H1633" t="str">
            <v>Archaeobotanist</v>
          </cell>
          <cell r="I1633" t="str">
            <v>آثاري</v>
          </cell>
          <cell r="J1633" t="str">
            <v>On-Chart</v>
          </cell>
          <cell r="K1633" t="str">
            <v>Al Nahiya</v>
          </cell>
          <cell r="L1633" t="str">
            <v>N0</v>
          </cell>
          <cell r="M1633" t="str">
            <v>Department of Culture and Tourism</v>
          </cell>
          <cell r="N1633" t="str">
            <v>Culture</v>
          </cell>
          <cell r="O1633" t="str">
            <v>الثقافة</v>
          </cell>
          <cell r="P1633" t="str">
            <v>Historic Environment</v>
          </cell>
          <cell r="Q1633" t="str">
            <v>البيئة التاريخية</v>
          </cell>
          <cell r="R1633" t="str">
            <v>Archaeology &amp; Paleontology</v>
          </cell>
          <cell r="S1633" t="str">
            <v>علم الآثار</v>
          </cell>
          <cell r="T1633" t="str">
            <v>Archaeological Research (Al Ain)</v>
          </cell>
          <cell r="U1633" t="str">
            <v>البحوث الأثرية (العين)</v>
          </cell>
          <cell r="V1633" t="str">
            <v>Abu Dhabi</v>
          </cell>
          <cell r="W1633" t="str">
            <v/>
          </cell>
          <cell r="X1633" t="str">
            <v>4511300</v>
          </cell>
          <cell r="Y1633" t="str">
            <v>Compliance,Governance&amp;Protocol_Policy (Culture/Tourism _Senior Professional</v>
          </cell>
          <cell r="Z1633" t="str">
            <v>Senior Professional</v>
          </cell>
          <cell r="AA1633" t="str">
            <v>3B</v>
          </cell>
        </row>
        <row r="1634">
          <cell r="A1634">
            <v>2001109</v>
          </cell>
          <cell r="B1634">
            <v>2001109</v>
          </cell>
          <cell r="C1634" t="str">
            <v>A</v>
          </cell>
          <cell r="D1634" t="str">
            <v>Clemence Marie Bergal</v>
          </cell>
          <cell r="E1634" t="str">
            <v>كلمنس  بيرجال</v>
          </cell>
          <cell r="F1634">
            <v>45299</v>
          </cell>
          <cell r="G1634" t="str">
            <v>50002901</v>
          </cell>
          <cell r="H1634" t="str">
            <v>Abu Dhabi Public Art Section Head</v>
          </cell>
          <cell r="I1634" t="str">
            <v>رئيس قسم الفن العام - أبوظبي</v>
          </cell>
          <cell r="J1634" t="str">
            <v>On-Chart</v>
          </cell>
          <cell r="K1634" t="str">
            <v>Al Nahiya</v>
          </cell>
          <cell r="L1634" t="str">
            <v>N0</v>
          </cell>
          <cell r="M1634" t="str">
            <v>Department of Culture and Tourism</v>
          </cell>
          <cell r="N1634" t="str">
            <v>Culture</v>
          </cell>
          <cell r="O1634" t="str">
            <v>الثقافة</v>
          </cell>
          <cell r="P1634" t="str">
            <v>Culture Programming</v>
          </cell>
          <cell r="Q1634" t="str">
            <v>البرامج الثقافية</v>
          </cell>
          <cell r="R1634" t="str">
            <v>Abu Dhabi Public Art</v>
          </cell>
          <cell r="S1634" t="str">
            <v>الفن العام - أبوظبي</v>
          </cell>
          <cell r="T1634" t="str">
            <v/>
          </cell>
          <cell r="U1634" t="str">
            <v/>
          </cell>
          <cell r="V1634" t="str">
            <v>Abu Dhabi</v>
          </cell>
          <cell r="W1634" t="str">
            <v/>
          </cell>
          <cell r="X1634" t="str">
            <v>4511700</v>
          </cell>
          <cell r="Y1634" t="str">
            <v>Compliance,Governance&amp;Protocol_Policy (Culture &amp; Tourism)_Section Head</v>
          </cell>
          <cell r="Z1634" t="str">
            <v>Section Manager</v>
          </cell>
          <cell r="AA1634" t="str">
            <v>2B</v>
          </cell>
        </row>
        <row r="1635">
          <cell r="A1635">
            <v>2001111</v>
          </cell>
          <cell r="B1635">
            <v>2001111</v>
          </cell>
          <cell r="C1635" t="str">
            <v>A</v>
          </cell>
          <cell r="D1635" t="str">
            <v>Muhamed Haneesh</v>
          </cell>
          <cell r="E1635" t="str">
            <v>محمد  هنيش</v>
          </cell>
          <cell r="F1635">
            <v>45285</v>
          </cell>
          <cell r="G1635" t="str">
            <v>50000939</v>
          </cell>
          <cell r="H1635" t="str">
            <v>Data Compliance Specialist</v>
          </cell>
          <cell r="I1635" t="str">
            <v>أخصائي امتثال البيانات</v>
          </cell>
          <cell r="J1635" t="str">
            <v>On-Chart</v>
          </cell>
          <cell r="K1635" t="str">
            <v>Sundus</v>
          </cell>
          <cell r="L1635" t="str">
            <v>SU</v>
          </cell>
          <cell r="M1635" t="str">
            <v>Department of Culture and Tourism</v>
          </cell>
          <cell r="N1635" t="str">
            <v>Strategic Affairs</v>
          </cell>
          <cell r="O1635" t="str">
            <v>الشؤون الاستراتيجية</v>
          </cell>
          <cell r="P1635" t="str">
            <v>Data &amp; AI Department</v>
          </cell>
          <cell r="Q1635" t="str">
            <v>إدارة البيانات والذكاء الاصطناعي</v>
          </cell>
          <cell r="R1635" t="str">
            <v>Enterprise Data Management</v>
          </cell>
          <cell r="S1635" t="str">
            <v>قسم إدارة البيانات المؤسسية</v>
          </cell>
          <cell r="T1635" t="str">
            <v>Data Governance</v>
          </cell>
          <cell r="U1635" t="str">
            <v>حوكمة البيانات</v>
          </cell>
          <cell r="V1635" t="str">
            <v>Abu Dhabi</v>
          </cell>
          <cell r="W1635" t="str">
            <v/>
          </cell>
          <cell r="X1635" t="str">
            <v>4512200</v>
          </cell>
          <cell r="Y1635" t="str">
            <v>Strategy, Planning, Project Mgt_Business &amp; Market Intelligence  Analysis &amp; Planning_Professional</v>
          </cell>
          <cell r="Z1635" t="str">
            <v>Professional</v>
          </cell>
          <cell r="AA1635" t="str">
            <v>4B</v>
          </cell>
        </row>
        <row r="1636">
          <cell r="A1636">
            <v>2001112</v>
          </cell>
          <cell r="B1636">
            <v>2001112</v>
          </cell>
          <cell r="C1636" t="str">
            <v>A</v>
          </cell>
          <cell r="D1636" t="str">
            <v>Dream Viola Hurtada</v>
          </cell>
          <cell r="E1636" t="str">
            <v>دريم فيولا هرتادا</v>
          </cell>
          <cell r="F1636">
            <v>45308</v>
          </cell>
          <cell r="G1636" t="str">
            <v>10008263</v>
          </cell>
          <cell r="H1636" t="str">
            <v>Tendering Senior Specialist</v>
          </cell>
          <cell r="I1636" t="str">
            <v>أخصائي أول المناقصات</v>
          </cell>
          <cell r="J1636" t="str">
            <v>On-Chart</v>
          </cell>
          <cell r="K1636" t="str">
            <v>Al Nahiya</v>
          </cell>
          <cell r="L1636" t="str">
            <v>N0</v>
          </cell>
          <cell r="M1636" t="str">
            <v>Department of Culture and Tourism</v>
          </cell>
          <cell r="N1636" t="str">
            <v>Tendering &amp; Projects Control</v>
          </cell>
          <cell r="O1636" t="str">
            <v>مكتب وكيل الدائرة</v>
          </cell>
          <cell r="P1636" t="str">
            <v>Tendering &amp; Projects Control</v>
          </cell>
          <cell r="Q1636" t="str">
            <v>المناقصات ومراقبة المشاريع</v>
          </cell>
          <cell r="R1636" t="str">
            <v>Tendering</v>
          </cell>
          <cell r="S1636" t="str">
            <v>المناقصات</v>
          </cell>
          <cell r="T1636" t="str">
            <v/>
          </cell>
          <cell r="U1636" t="str">
            <v/>
          </cell>
          <cell r="V1636" t="str">
            <v>Abu Dhabi</v>
          </cell>
          <cell r="W1636" t="str">
            <v/>
          </cell>
          <cell r="X1636" t="str">
            <v>4510155</v>
          </cell>
          <cell r="Y1636" t="str">
            <v>Procurement_Tendering_Senior Professional</v>
          </cell>
          <cell r="Z1636" t="str">
            <v>Senior Professional</v>
          </cell>
          <cell r="AA1636" t="str">
            <v>3B</v>
          </cell>
        </row>
        <row r="1637">
          <cell r="A1637">
            <v>2001117</v>
          </cell>
          <cell r="B1637">
            <v>2001117</v>
          </cell>
          <cell r="C1637" t="str">
            <v>A</v>
          </cell>
          <cell r="D1637" t="str">
            <v>Crystal  Tsang</v>
          </cell>
          <cell r="E1637" t="str">
            <v>كريستال  تسالج</v>
          </cell>
          <cell r="F1637">
            <v>45313</v>
          </cell>
          <cell r="G1637" t="str">
            <v>47700653</v>
          </cell>
          <cell r="H1637" t="str">
            <v>Media &amp; Partnerships Section Head</v>
          </cell>
          <cell r="I1637" t="str">
            <v>رئيس قسم الإعلام والشراكات</v>
          </cell>
          <cell r="J1637" t="str">
            <v>On-Chart</v>
          </cell>
          <cell r="K1637" t="str">
            <v>Al Nahiya</v>
          </cell>
          <cell r="L1637" t="str">
            <v>N0</v>
          </cell>
          <cell r="M1637" t="str">
            <v>Department of Culture and Tourism</v>
          </cell>
          <cell r="N1637" t="str">
            <v>Strategic Marketing &amp; Communication</v>
          </cell>
          <cell r="O1637" t="str">
            <v>التسويق والاتصال الاستراتيجي</v>
          </cell>
          <cell r="P1637" t="str">
            <v>Planning, Strategy &amp; Operations</v>
          </cell>
          <cell r="Q1637" t="str">
            <v>التخطيط والاستراتيجية والعمليات</v>
          </cell>
          <cell r="R1637" t="str">
            <v>Media &amp; Partnerships</v>
          </cell>
          <cell r="S1637" t="str">
            <v>الإعلام والشراكات</v>
          </cell>
          <cell r="T1637" t="str">
            <v/>
          </cell>
          <cell r="U1637" t="str">
            <v/>
          </cell>
          <cell r="V1637" t="str">
            <v>Abu Dhabi</v>
          </cell>
          <cell r="W1637" t="str">
            <v/>
          </cell>
          <cell r="X1637" t="str">
            <v>4513130</v>
          </cell>
          <cell r="Y1637" t="str">
            <v>Strategy, Planning, Project Mgt_Operational Planning &amp; Project Management _Section Head</v>
          </cell>
          <cell r="Z1637" t="str">
            <v>Section Manager</v>
          </cell>
          <cell r="AA1637" t="str">
            <v>2B</v>
          </cell>
        </row>
        <row r="1638">
          <cell r="A1638">
            <v>2001118</v>
          </cell>
          <cell r="B1638">
            <v>2001118</v>
          </cell>
          <cell r="C1638" t="str">
            <v>A</v>
          </cell>
          <cell r="D1638" t="str">
            <v>Milos Vasic</v>
          </cell>
          <cell r="E1638" t="str">
            <v>ميلوس  فاسيك</v>
          </cell>
          <cell r="F1638">
            <v>45323</v>
          </cell>
          <cell r="G1638" t="str">
            <v>50002005</v>
          </cell>
          <cell r="H1638" t="str">
            <v>Strategy Development Section Head</v>
          </cell>
          <cell r="I1638" t="str">
            <v>رئيس قسم تطوير الاستراتيجية</v>
          </cell>
          <cell r="J1638" t="str">
            <v>On-Chart</v>
          </cell>
          <cell r="K1638" t="str">
            <v>Sundus</v>
          </cell>
          <cell r="L1638" t="str">
            <v>SU</v>
          </cell>
          <cell r="M1638" t="str">
            <v>Department of Culture and Tourism</v>
          </cell>
          <cell r="N1638" t="str">
            <v>Tourism</v>
          </cell>
          <cell r="O1638" t="str">
            <v>السياحة</v>
          </cell>
          <cell r="P1638" t="str">
            <v>Tourism Sector Management Office</v>
          </cell>
          <cell r="Q1638" t="str">
            <v>مكتب إدارة شؤون قطاع السياحة</v>
          </cell>
          <cell r="R1638" t="str">
            <v>Strategy Development</v>
          </cell>
          <cell r="S1638" t="str">
            <v>قسم تطوير الاستراتيجية</v>
          </cell>
          <cell r="T1638" t="str">
            <v/>
          </cell>
          <cell r="U1638" t="str">
            <v/>
          </cell>
          <cell r="V1638" t="str">
            <v>Abu Dhabi</v>
          </cell>
          <cell r="W1638" t="str">
            <v/>
          </cell>
          <cell r="X1638" t="str">
            <v>4515010</v>
          </cell>
          <cell r="Y1638" t="str">
            <v>Compliance,Governance&amp;Protocol_Policy (Culture &amp; Tourism)_Section Head</v>
          </cell>
          <cell r="Z1638" t="str">
            <v>Section Manager</v>
          </cell>
          <cell r="AA1638" t="str">
            <v>2B</v>
          </cell>
        </row>
        <row r="1639">
          <cell r="A1639">
            <v>2001119</v>
          </cell>
          <cell r="B1639">
            <v>2001119</v>
          </cell>
          <cell r="C1639" t="str">
            <v>A</v>
          </cell>
          <cell r="D1639" t="str">
            <v>Fariz Nayan Veettil</v>
          </cell>
          <cell r="E1639" t="str">
            <v>فائز  نايان فيتيل</v>
          </cell>
          <cell r="F1639">
            <v>45320</v>
          </cell>
          <cell r="G1639" t="str">
            <v>50002156</v>
          </cell>
          <cell r="H1639" t="str">
            <v>International Operations Unit Head (India Sub-Content)</v>
          </cell>
          <cell r="I1639" t="str">
            <v>رئيس وحدة  العمليات الدولية  (منطقة الهند والدول المجاورة)</v>
          </cell>
          <cell r="J1639" t="str">
            <v>On-Chart</v>
          </cell>
          <cell r="K1639" t="str">
            <v>Al Nahiya</v>
          </cell>
          <cell r="L1639" t="str">
            <v>N0</v>
          </cell>
          <cell r="M1639" t="str">
            <v>Department of Culture and Tourism</v>
          </cell>
          <cell r="N1639" t="str">
            <v>Tourism</v>
          </cell>
          <cell r="O1639" t="str">
            <v>السياحة</v>
          </cell>
          <cell r="P1639" t="str">
            <v>International Operations</v>
          </cell>
          <cell r="Q1639" t="str">
            <v>العمليات الدولية</v>
          </cell>
          <cell r="R1639" t="str">
            <v>APAC</v>
          </cell>
          <cell r="S1639" t="str">
            <v>منطقة آسيا والمحيط الهادئ</v>
          </cell>
          <cell r="T1639" t="str">
            <v>India Sub-Content</v>
          </cell>
          <cell r="U1639" t="str">
            <v>منطقة الهند والدول المجاورة</v>
          </cell>
          <cell r="V1639" t="str">
            <v>Abu Dhabi</v>
          </cell>
          <cell r="W1639" t="str">
            <v/>
          </cell>
          <cell r="X1639" t="str">
            <v>4515100</v>
          </cell>
          <cell r="Y1639" t="str">
            <v>Compliance,Governance&amp;Protocol_Policy  (Culture &amp; Tourism)_Unit Head</v>
          </cell>
          <cell r="Z1639" t="str">
            <v>Unit Head</v>
          </cell>
          <cell r="AA1639" t="str">
            <v>3B</v>
          </cell>
        </row>
        <row r="1640">
          <cell r="A1640">
            <v>2001120</v>
          </cell>
          <cell r="B1640">
            <v>2001120</v>
          </cell>
          <cell r="C1640" t="str">
            <v>A</v>
          </cell>
          <cell r="D1640" t="str">
            <v>Amandine Baumgartner</v>
          </cell>
          <cell r="E1640" t="str">
            <v>اماندين  باومجارتنر</v>
          </cell>
          <cell r="F1640">
            <v>45314</v>
          </cell>
          <cell r="G1640" t="str">
            <v>50004173</v>
          </cell>
          <cell r="H1640" t="str">
            <v>Acquisitions Lead</v>
          </cell>
          <cell r="I1640" t="str">
            <v>أخصائي رئيسي الاقتناء</v>
          </cell>
          <cell r="J1640" t="str">
            <v>On-Chart</v>
          </cell>
          <cell r="K1640" t="str">
            <v>Sundus</v>
          </cell>
          <cell r="L1640" t="str">
            <v>SU</v>
          </cell>
          <cell r="M1640" t="str">
            <v>Department of Culture and Tourism</v>
          </cell>
          <cell r="N1640" t="str">
            <v>Culture</v>
          </cell>
          <cell r="O1640" t="str">
            <v>الثقافة</v>
          </cell>
          <cell r="P1640" t="str">
            <v>Scientific, Curatorial and Collection Department</v>
          </cell>
          <cell r="Q1640" t="str">
            <v>إدارة البحث العلمي والمقتنيات</v>
          </cell>
          <cell r="R1640" t="str">
            <v>Collections</v>
          </cell>
          <cell r="S1640" t="str">
            <v>إدارة المقتنيات</v>
          </cell>
          <cell r="T1640" t="str">
            <v/>
          </cell>
          <cell r="U1640" t="str">
            <v/>
          </cell>
          <cell r="V1640" t="str">
            <v>Abu Dhabi</v>
          </cell>
          <cell r="W1640" t="str">
            <v/>
          </cell>
          <cell r="X1640" t="str">
            <v>4511150</v>
          </cell>
          <cell r="Y1640" t="str">
            <v/>
          </cell>
          <cell r="Z1640" t="str">
            <v>Unit Head</v>
          </cell>
          <cell r="AA1640" t="str">
            <v>3C</v>
          </cell>
        </row>
        <row r="1641">
          <cell r="A1641">
            <v>2001121</v>
          </cell>
          <cell r="B1641">
            <v>2001121</v>
          </cell>
          <cell r="C1641" t="str">
            <v>A</v>
          </cell>
          <cell r="D1641" t="str">
            <v>Jasmin Regidor Montales</v>
          </cell>
          <cell r="E1641" t="str">
            <v>جاسمين جاسمين مونتالس</v>
          </cell>
          <cell r="F1641">
            <v>45308</v>
          </cell>
          <cell r="G1641" t="str">
            <v>50001972</v>
          </cell>
          <cell r="H1641" t="str">
            <v>Administrative Assistant</v>
          </cell>
          <cell r="I1641" t="str">
            <v>مساعد إداري</v>
          </cell>
          <cell r="J1641" t="str">
            <v>On-Chart</v>
          </cell>
          <cell r="K1641" t="str">
            <v>MSS Al Nahiya</v>
          </cell>
          <cell r="L1641" t="str">
            <v>M2</v>
          </cell>
          <cell r="M1641" t="str">
            <v>Department of Culture and Tourism</v>
          </cell>
          <cell r="N1641" t="str">
            <v>Culture</v>
          </cell>
          <cell r="O1641" t="str">
            <v>الثقافة</v>
          </cell>
          <cell r="P1641" t="str">
            <v>Natural History Museum Abu Dhabi</v>
          </cell>
          <cell r="Q1641" t="str">
            <v>متحف التاريخ الطبيعي - أبوظبي</v>
          </cell>
          <cell r="R1641" t="str">
            <v/>
          </cell>
          <cell r="S1641" t="str">
            <v/>
          </cell>
          <cell r="T1641" t="str">
            <v/>
          </cell>
          <cell r="U1641" t="str">
            <v/>
          </cell>
          <cell r="V1641" t="str">
            <v>Abu Dhabi</v>
          </cell>
          <cell r="W1641" t="str">
            <v/>
          </cell>
          <cell r="X1641" t="str">
            <v>4510310</v>
          </cell>
          <cell r="Y1641" t="str">
            <v>Compliance,Governance&amp;Protocol_Policy (Culture/Tourism) _Professional</v>
          </cell>
          <cell r="Z1641" t="str">
            <v>Professional Assistant</v>
          </cell>
          <cell r="AA1641" t="str">
            <v>5B</v>
          </cell>
        </row>
        <row r="1642">
          <cell r="A1642">
            <v>2001122</v>
          </cell>
          <cell r="B1642">
            <v>2001122</v>
          </cell>
          <cell r="C1642" t="str">
            <v>A</v>
          </cell>
          <cell r="D1642" t="str">
            <v>Maryam Ali Obaid Alshehhi</v>
          </cell>
          <cell r="E1642" t="str">
            <v>مريم علي عبيد الشحي</v>
          </cell>
          <cell r="F1642">
            <v>45294</v>
          </cell>
          <cell r="G1642" t="str">
            <v>47700752</v>
          </cell>
          <cell r="H1642" t="str">
            <v>Artisan</v>
          </cell>
          <cell r="I1642" t="str">
            <v>حرفي</v>
          </cell>
          <cell r="J1642" t="str">
            <v>Off-Chart</v>
          </cell>
          <cell r="K1642" t="str">
            <v>Sundus</v>
          </cell>
          <cell r="L1642" t="str">
            <v>SU</v>
          </cell>
          <cell r="M1642" t="str">
            <v>Department of Culture and Tourism</v>
          </cell>
          <cell r="N1642" t="str">
            <v>Culture</v>
          </cell>
          <cell r="O1642" t="str">
            <v>الثقافة</v>
          </cell>
          <cell r="P1642" t="str">
            <v>Intangible Cultural Heritage</v>
          </cell>
          <cell r="Q1642" t="str">
            <v>التراث الثقافي المعنوي</v>
          </cell>
          <cell r="R1642" t="str">
            <v>Handicrafts Development</v>
          </cell>
          <cell r="S1642" t="str">
            <v>تطوير الحرف اليدوية</v>
          </cell>
          <cell r="T1642" t="str">
            <v>Artisans Administration - Al Ain</v>
          </cell>
          <cell r="U1642" t="str">
            <v>إدارة الحرفيين - العين</v>
          </cell>
          <cell r="V1642" t="str">
            <v>Abu Dhabi</v>
          </cell>
          <cell r="W1642" t="str">
            <v/>
          </cell>
          <cell r="X1642" t="str">
            <v>4511600</v>
          </cell>
          <cell r="Y1642" t="str">
            <v>Content &amp; Care_World Heritage Sites Planning &amp; Monitoring _Professional</v>
          </cell>
          <cell r="Z1642" t="str">
            <v>Assistant and Technical Staff</v>
          </cell>
          <cell r="AA1642" t="str">
            <v>7A</v>
          </cell>
        </row>
        <row r="1643">
          <cell r="A1643">
            <v>2001126</v>
          </cell>
          <cell r="B1643">
            <v>2001126</v>
          </cell>
          <cell r="C1643" t="str">
            <v>A</v>
          </cell>
          <cell r="D1643" t="str">
            <v>Ona Vileikis Tamayo</v>
          </cell>
          <cell r="E1643" t="str">
            <v>اونا  فيليكيس تامايو</v>
          </cell>
          <cell r="F1643">
            <v>45359</v>
          </cell>
          <cell r="G1643" t="str">
            <v>10012313</v>
          </cell>
          <cell r="H1643" t="str">
            <v>Conservation – Documentation &amp; Data Analytics Unit Head</v>
          </cell>
          <cell r="I1643" t="str">
            <v>رئيس وحدة التوثيق وتحليل البيانات</v>
          </cell>
          <cell r="J1643" t="str">
            <v>On-Chart</v>
          </cell>
          <cell r="K1643" t="str">
            <v>Sundus</v>
          </cell>
          <cell r="L1643" t="str">
            <v>SU</v>
          </cell>
          <cell r="M1643" t="str">
            <v>Department of Culture and Tourism</v>
          </cell>
          <cell r="N1643" t="str">
            <v>Culture</v>
          </cell>
          <cell r="O1643" t="str">
            <v>الثقافة</v>
          </cell>
          <cell r="P1643" t="str">
            <v>Historic Environment</v>
          </cell>
          <cell r="Q1643" t="str">
            <v>البيئة التاريخية</v>
          </cell>
          <cell r="R1643" t="str">
            <v>Conservation</v>
          </cell>
          <cell r="S1643" t="str">
            <v>الترميم</v>
          </cell>
          <cell r="T1643" t="str">
            <v>Conservation – Documentation &amp; Data Analytics</v>
          </cell>
          <cell r="U1643" t="str">
            <v>التوثيق وتحليل البيانات</v>
          </cell>
          <cell r="V1643" t="str">
            <v>Abu Dhabi</v>
          </cell>
          <cell r="W1643" t="str">
            <v/>
          </cell>
          <cell r="X1643" t="str">
            <v>4511300</v>
          </cell>
          <cell r="Y1643" t="str">
            <v>Compliance,Governance&amp;Protocol_Policy  (Culture &amp; Tourism)_Unit Head</v>
          </cell>
          <cell r="Z1643" t="str">
            <v>Unit Head</v>
          </cell>
          <cell r="AA1643" t="str">
            <v>3B</v>
          </cell>
        </row>
        <row r="1644">
          <cell r="A1644">
            <v>2001127</v>
          </cell>
          <cell r="B1644">
            <v>2001127</v>
          </cell>
          <cell r="C1644" t="str">
            <v>A</v>
          </cell>
          <cell r="D1644" t="str">
            <v>Maria Magdalena Gajewska</v>
          </cell>
          <cell r="E1644" t="str">
            <v>ماريا ماجدالينا  جاجيوسكا</v>
          </cell>
          <cell r="F1644">
            <v>45356</v>
          </cell>
          <cell r="G1644" t="str">
            <v>50002376</v>
          </cell>
          <cell r="H1644" t="str">
            <v>Late Pre-Islamic/Early Islamic Archaeologist</v>
          </cell>
          <cell r="I1644" t="str">
            <v>آثاري</v>
          </cell>
          <cell r="J1644" t="str">
            <v>On-Chart</v>
          </cell>
          <cell r="K1644" t="str">
            <v>Sundus</v>
          </cell>
          <cell r="L1644" t="str">
            <v>SU</v>
          </cell>
          <cell r="M1644" t="str">
            <v>Department of Culture and Tourism</v>
          </cell>
          <cell r="N1644" t="str">
            <v>Culture</v>
          </cell>
          <cell r="O1644" t="str">
            <v>الثقافة</v>
          </cell>
          <cell r="P1644" t="str">
            <v>Historic Environment</v>
          </cell>
          <cell r="Q1644" t="str">
            <v>البيئة التاريخية</v>
          </cell>
          <cell r="R1644" t="str">
            <v>Archaeology &amp; Paleontology</v>
          </cell>
          <cell r="S1644" t="str">
            <v>علم الآثار</v>
          </cell>
          <cell r="T1644" t="str">
            <v>Archaeological Research (Al Dhafra &amp; Abu Dhabi)</v>
          </cell>
          <cell r="U1644" t="str">
            <v>البحوث الأثرية (الظفرة وأبو ظبي)</v>
          </cell>
          <cell r="V1644" t="str">
            <v>Abu Dhabi</v>
          </cell>
          <cell r="W1644" t="str">
            <v/>
          </cell>
          <cell r="X1644" t="str">
            <v>4511300</v>
          </cell>
          <cell r="Y1644" t="str">
            <v>Compliance,Governance&amp;Protocol_Policy (Culture/Tourism _Senior Professional</v>
          </cell>
          <cell r="Z1644" t="str">
            <v>Senior Professional</v>
          </cell>
          <cell r="AA1644" t="str">
            <v>3B</v>
          </cell>
        </row>
        <row r="1645">
          <cell r="A1645">
            <v>2001132</v>
          </cell>
          <cell r="B1645">
            <v>2001132</v>
          </cell>
          <cell r="C1645" t="str">
            <v>A</v>
          </cell>
          <cell r="D1645" t="str">
            <v>Ludovic Ferriere</v>
          </cell>
          <cell r="E1645" t="str">
            <v>لودفيك  فيراري</v>
          </cell>
          <cell r="F1645">
            <v>45357</v>
          </cell>
          <cell r="G1645" t="str">
            <v>50001960</v>
          </cell>
          <cell r="H1645" t="str">
            <v>Curator</v>
          </cell>
          <cell r="I1645" t="str">
            <v>أمين متحف</v>
          </cell>
          <cell r="J1645" t="str">
            <v>On-Chart</v>
          </cell>
          <cell r="K1645" t="str">
            <v>MSS Sundus</v>
          </cell>
          <cell r="L1645" t="str">
            <v>M3</v>
          </cell>
          <cell r="M1645" t="str">
            <v>Department of Culture and Tourism</v>
          </cell>
          <cell r="N1645" t="str">
            <v>Culture</v>
          </cell>
          <cell r="O1645" t="str">
            <v>الثقافة</v>
          </cell>
          <cell r="P1645" t="str">
            <v>Natural History Museum Abu Dhabi</v>
          </cell>
          <cell r="Q1645" t="str">
            <v>متحف التاريخ الطبيعي - أبوظبي</v>
          </cell>
          <cell r="R1645" t="str">
            <v>Scientific, Curatorial, &amp; Collections Management</v>
          </cell>
          <cell r="S1645" t="str">
            <v>أمناء المتحف وإدارة المقتنيات</v>
          </cell>
          <cell r="T1645" t="str">
            <v/>
          </cell>
          <cell r="U1645" t="str">
            <v/>
          </cell>
          <cell r="V1645" t="str">
            <v>Abu Dhabi</v>
          </cell>
          <cell r="W1645" t="str">
            <v/>
          </cell>
          <cell r="X1645" t="str">
            <v>4510310</v>
          </cell>
          <cell r="Y1645" t="str">
            <v>Compliance,Governance&amp;Protocol_Policy (Culture/Tourism _Senior Professional</v>
          </cell>
          <cell r="Z1645" t="str">
            <v>Senior Professional</v>
          </cell>
          <cell r="AA1645" t="str">
            <v>3B</v>
          </cell>
        </row>
        <row r="1646">
          <cell r="A1646">
            <v>2001133</v>
          </cell>
          <cell r="B1646">
            <v>2001133</v>
          </cell>
          <cell r="C1646" t="str">
            <v>A</v>
          </cell>
          <cell r="D1646" t="str">
            <v>Steven Petkovski</v>
          </cell>
          <cell r="E1646" t="str">
            <v>ستيفين  بيتكوفيسكي</v>
          </cell>
          <cell r="F1646">
            <v>45376</v>
          </cell>
          <cell r="G1646" t="str">
            <v>50001967</v>
          </cell>
          <cell r="H1646" t="str">
            <v>Collections Research Lead</v>
          </cell>
          <cell r="I1646" t="str">
            <v>أخصائي رئيسي بحوث المقتنيات</v>
          </cell>
          <cell r="J1646" t="str">
            <v>On-Chart</v>
          </cell>
          <cell r="K1646" t="str">
            <v>MSS Sundus</v>
          </cell>
          <cell r="L1646" t="str">
            <v>M3</v>
          </cell>
          <cell r="M1646" t="str">
            <v>Department of Culture and Tourism</v>
          </cell>
          <cell r="N1646" t="str">
            <v>Culture</v>
          </cell>
          <cell r="O1646" t="str">
            <v>الثقافة</v>
          </cell>
          <cell r="P1646" t="str">
            <v>Natural History Museum Abu Dhabi</v>
          </cell>
          <cell r="Q1646" t="str">
            <v>متحف التاريخ الطبيعي - أبوظبي</v>
          </cell>
          <cell r="R1646" t="str">
            <v>Scientific, Curatorial, &amp; Collections Management</v>
          </cell>
          <cell r="S1646" t="str">
            <v>أمناء المتحف وإدارة المقتنيات</v>
          </cell>
          <cell r="T1646" t="str">
            <v/>
          </cell>
          <cell r="U1646" t="str">
            <v/>
          </cell>
          <cell r="V1646" t="str">
            <v>Abu Dhabi</v>
          </cell>
          <cell r="W1646" t="str">
            <v/>
          </cell>
          <cell r="X1646" t="str">
            <v>4510310</v>
          </cell>
          <cell r="Y1646" t="str">
            <v>Compliance,Governance&amp;Protocol_Policy  (Culture &amp; Tourism)_Unit Head</v>
          </cell>
          <cell r="Z1646" t="str">
            <v>Unit Head</v>
          </cell>
          <cell r="AA1646" t="str">
            <v>3B</v>
          </cell>
        </row>
        <row r="1647">
          <cell r="A1647">
            <v>2001134</v>
          </cell>
          <cell r="B1647">
            <v>2001134</v>
          </cell>
          <cell r="C1647" t="str">
            <v>A</v>
          </cell>
          <cell r="D1647" t="str">
            <v>Yousuf  Mohammed  Hasan</v>
          </cell>
          <cell r="E1647" t="str">
            <v>يوسف  محمد  حسن</v>
          </cell>
          <cell r="F1647">
            <v>45370</v>
          </cell>
          <cell r="G1647" t="str">
            <v>50003053</v>
          </cell>
          <cell r="H1647" t="str">
            <v>Facilities Management Engineer</v>
          </cell>
          <cell r="I1647" t="str">
            <v>مهندس إدارة المرافق</v>
          </cell>
          <cell r="J1647" t="str">
            <v>On-Chart</v>
          </cell>
          <cell r="K1647" t="str">
            <v>MSS Al Nahiya</v>
          </cell>
          <cell r="L1647" t="str">
            <v>M2</v>
          </cell>
          <cell r="M1647" t="str">
            <v>Department of Culture and Tourism</v>
          </cell>
          <cell r="N1647" t="str">
            <v>Abrahamic Family House Center</v>
          </cell>
          <cell r="O1647" t="str">
            <v>مركز بيت العائلة الإبراهيمية</v>
          </cell>
          <cell r="P1647" t="str">
            <v>-</v>
          </cell>
          <cell r="Q1647" t="str">
            <v>-</v>
          </cell>
          <cell r="R1647" t="str">
            <v>Sales &amp; Events</v>
          </cell>
          <cell r="S1647" t="str">
            <v>الفعاليات والمبيعات</v>
          </cell>
          <cell r="T1647" t="str">
            <v/>
          </cell>
          <cell r="U1647" t="str">
            <v/>
          </cell>
          <cell r="V1647" t="str">
            <v>Abu Dhabi</v>
          </cell>
          <cell r="W1647" t="str">
            <v/>
          </cell>
          <cell r="X1647" t="str">
            <v>4514121</v>
          </cell>
          <cell r="Y1647" t="str">
            <v>Technical Safety &amp; Security_Facilities Management &amp; Building Services _Senior Professional</v>
          </cell>
          <cell r="Z1647" t="str">
            <v>Professional</v>
          </cell>
          <cell r="AA1647" t="str">
            <v>4B</v>
          </cell>
        </row>
        <row r="1648">
          <cell r="A1648">
            <v>2001135</v>
          </cell>
          <cell r="B1648">
            <v>2001135</v>
          </cell>
          <cell r="C1648" t="str">
            <v>A</v>
          </cell>
          <cell r="D1648" t="str">
            <v>Chitrarasan Dhurisamy</v>
          </cell>
          <cell r="E1648" t="str">
            <v>شيتراراسان  دوريسامى</v>
          </cell>
          <cell r="F1648">
            <v>45397</v>
          </cell>
          <cell r="G1648" t="str">
            <v>50002712</v>
          </cell>
          <cell r="H1648" t="str">
            <v>Senior CRM Architect</v>
          </cell>
          <cell r="I1648" t="str">
            <v>مصمم أول نظم إدارة علاقات العملاء</v>
          </cell>
          <cell r="J1648" t="str">
            <v>On-Chart</v>
          </cell>
          <cell r="K1648" t="str">
            <v>Al Nahiya</v>
          </cell>
          <cell r="L1648" t="str">
            <v>N0</v>
          </cell>
          <cell r="M1648" t="str">
            <v>Department of Culture and Tourism</v>
          </cell>
          <cell r="N1648" t="str">
            <v>Support Services</v>
          </cell>
          <cell r="O1648" t="str">
            <v>الخدمات المساندة</v>
          </cell>
          <cell r="P1648" t="str">
            <v>Technology</v>
          </cell>
          <cell r="Q1648" t="str">
            <v>التكنولوجيا</v>
          </cell>
          <cell r="R1648" t="str">
            <v>Enterprise Architecture</v>
          </cell>
          <cell r="S1648" t="str">
            <v>البنية المؤسسية</v>
          </cell>
          <cell r="T1648" t="str">
            <v/>
          </cell>
          <cell r="U1648" t="str">
            <v/>
          </cell>
          <cell r="V1648" t="str">
            <v>Abu Dhabi</v>
          </cell>
          <cell r="W1648" t="str">
            <v/>
          </cell>
          <cell r="X1648" t="str">
            <v>4510250</v>
          </cell>
          <cell r="Y1648" t="str">
            <v>Information Technology_Technical Support  _Senior Professional</v>
          </cell>
          <cell r="Z1648" t="str">
            <v>Senior Professional</v>
          </cell>
          <cell r="AA1648" t="str">
            <v>3B</v>
          </cell>
        </row>
        <row r="1649">
          <cell r="A1649">
            <v>2001136</v>
          </cell>
          <cell r="B1649">
            <v>2001136</v>
          </cell>
          <cell r="C1649" t="str">
            <v>A</v>
          </cell>
          <cell r="D1649" t="str">
            <v>Baji Koteswara Boyanapalli</v>
          </cell>
          <cell r="E1649" t="str">
            <v>باجى كوتيسوارا  بويانابالي</v>
          </cell>
          <cell r="F1649">
            <v>45566</v>
          </cell>
          <cell r="G1649" t="str">
            <v>10008207</v>
          </cell>
          <cell r="H1649" t="str">
            <v>P&amp;P Systems Senior Specialist</v>
          </cell>
          <cell r="I1649" t="str">
            <v>أخصائي أول أنظمة الكوادر البشرية والأداء</v>
          </cell>
          <cell r="J1649" t="str">
            <v>On-Chart</v>
          </cell>
          <cell r="K1649" t="str">
            <v>Al Nahiya</v>
          </cell>
          <cell r="L1649" t="str">
            <v>N0</v>
          </cell>
          <cell r="M1649" t="str">
            <v>Department of Culture and Tourism</v>
          </cell>
          <cell r="N1649" t="str">
            <v>Support Services</v>
          </cell>
          <cell r="O1649" t="str">
            <v>الخدمات المساندة</v>
          </cell>
          <cell r="P1649" t="str">
            <v>People &amp; Performance</v>
          </cell>
          <cell r="Q1649" t="str">
            <v>إدارة الكوادر البشرية والأداء</v>
          </cell>
          <cell r="R1649" t="str">
            <v>-</v>
          </cell>
          <cell r="S1649" t="str">
            <v>-</v>
          </cell>
          <cell r="T1649" t="str">
            <v>P&amp;P Systems</v>
          </cell>
          <cell r="U1649" t="str">
            <v>أنظمة الكوادر البشرية والأداء</v>
          </cell>
          <cell r="V1649" t="str">
            <v>Abu Dhabi</v>
          </cell>
          <cell r="W1649" t="str">
            <v/>
          </cell>
          <cell r="X1649" t="str">
            <v>4510220</v>
          </cell>
          <cell r="Y1649" t="str">
            <v>Information Technology_People &amp; Performance Systems _Senior Professional</v>
          </cell>
          <cell r="Z1649" t="str">
            <v>Professional</v>
          </cell>
          <cell r="AA1649" t="str">
            <v>3C</v>
          </cell>
        </row>
        <row r="1650">
          <cell r="A1650">
            <v>2001139</v>
          </cell>
          <cell r="B1650">
            <v>2001139</v>
          </cell>
          <cell r="C1650" t="str">
            <v>A</v>
          </cell>
          <cell r="D1650" t="str">
            <v>Saji Asok Pillai</v>
          </cell>
          <cell r="E1650" t="str">
            <v>ساجي  أسوك بيلاي</v>
          </cell>
          <cell r="F1650">
            <v>45449</v>
          </cell>
          <cell r="G1650" t="str">
            <v>10010793</v>
          </cell>
          <cell r="H1650" t="str">
            <v>Vendor Management Unit Head</v>
          </cell>
          <cell r="I1650" t="str">
            <v>رئيس وحدة إدارة الموردين</v>
          </cell>
          <cell r="J1650" t="str">
            <v>On-Chart</v>
          </cell>
          <cell r="K1650" t="str">
            <v>Al Nahiya</v>
          </cell>
          <cell r="L1650" t="str">
            <v>N0</v>
          </cell>
          <cell r="M1650" t="str">
            <v>Department of Culture and Tourism</v>
          </cell>
          <cell r="N1650" t="str">
            <v>Support Services</v>
          </cell>
          <cell r="O1650" t="str">
            <v>الخدمات المساندة</v>
          </cell>
          <cell r="P1650" t="str">
            <v>Technology</v>
          </cell>
          <cell r="Q1650" t="str">
            <v>التكنولوجيا</v>
          </cell>
          <cell r="R1650" t="str">
            <v>-</v>
          </cell>
          <cell r="S1650" t="str">
            <v>-</v>
          </cell>
          <cell r="T1650" t="str">
            <v>Vendor Management</v>
          </cell>
          <cell r="U1650" t="str">
            <v>إدارة الموردين</v>
          </cell>
          <cell r="V1650" t="str">
            <v>Abu Dhabi</v>
          </cell>
          <cell r="W1650" t="str">
            <v/>
          </cell>
          <cell r="X1650" t="str">
            <v>4510250</v>
          </cell>
          <cell r="Y1650" t="str">
            <v>Information Technology_IT Operations _Unit Head</v>
          </cell>
          <cell r="Z1650" t="str">
            <v>Unit Head</v>
          </cell>
          <cell r="AA1650" t="str">
            <v>3C</v>
          </cell>
        </row>
        <row r="1651">
          <cell r="A1651">
            <v>2001141</v>
          </cell>
          <cell r="B1651">
            <v>2001141</v>
          </cell>
          <cell r="C1651" t="str">
            <v>A</v>
          </cell>
          <cell r="D1651" t="str">
            <v>David Millan Ruiz</v>
          </cell>
          <cell r="E1651" t="str">
            <v>ديفيد  ميليان رويز</v>
          </cell>
          <cell r="F1651">
            <v>45467</v>
          </cell>
          <cell r="G1651" t="str">
            <v>10009811</v>
          </cell>
          <cell r="H1651" t="str">
            <v>Data &amp; AI Department Director</v>
          </cell>
          <cell r="I1651" t="str">
            <v>مدير إدارة ذكاء الأعمال</v>
          </cell>
          <cell r="J1651" t="str">
            <v>On-Chart</v>
          </cell>
          <cell r="K1651" t="str">
            <v>Al Nahiya</v>
          </cell>
          <cell r="L1651" t="str">
            <v>N0</v>
          </cell>
          <cell r="M1651" t="str">
            <v>Department of Culture and Tourism</v>
          </cell>
          <cell r="N1651" t="str">
            <v>Strategic Affairs</v>
          </cell>
          <cell r="O1651" t="str">
            <v>الشؤون الاستراتيجية</v>
          </cell>
          <cell r="P1651" t="str">
            <v>Data &amp; AI Department</v>
          </cell>
          <cell r="Q1651" t="str">
            <v>إدارة البيانات والذكاء الاصطناعي</v>
          </cell>
          <cell r="R1651" t="str">
            <v/>
          </cell>
          <cell r="S1651" t="str">
            <v/>
          </cell>
          <cell r="T1651" t="str">
            <v/>
          </cell>
          <cell r="U1651" t="str">
            <v/>
          </cell>
          <cell r="V1651" t="str">
            <v>Abu Dhabi</v>
          </cell>
          <cell r="W1651" t="str">
            <v/>
          </cell>
          <cell r="X1651" t="str">
            <v>4512200</v>
          </cell>
          <cell r="Y1651" t="str">
            <v>Strategy, Planning, Project Mgt_Business &amp; Market Intelligence  Analysis &amp; Planning_Director</v>
          </cell>
          <cell r="Z1651" t="str">
            <v>Director</v>
          </cell>
          <cell r="AA1651" t="str">
            <v>1C</v>
          </cell>
        </row>
        <row r="1652">
          <cell r="A1652">
            <v>2001143</v>
          </cell>
          <cell r="B1652">
            <v>2001143</v>
          </cell>
          <cell r="C1652" t="str">
            <v>A</v>
          </cell>
          <cell r="D1652" t="str">
            <v>Weaam Osman Elataya</v>
          </cell>
          <cell r="E1652" t="str">
            <v>وئام عثمان العطايا</v>
          </cell>
          <cell r="F1652">
            <v>45575</v>
          </cell>
          <cell r="G1652" t="str">
            <v>50000725</v>
          </cell>
          <cell r="H1652" t="str">
            <v>Communications Unit Head</v>
          </cell>
          <cell r="I1652" t="str">
            <v>رئيس وحدة الاتصال</v>
          </cell>
          <cell r="J1652" t="str">
            <v>On-Chart</v>
          </cell>
          <cell r="K1652" t="str">
            <v>MSS Al Nahiya</v>
          </cell>
          <cell r="L1652" t="str">
            <v>M2</v>
          </cell>
          <cell r="M1652" t="str">
            <v>Department of Culture and Tourism</v>
          </cell>
          <cell r="N1652" t="str">
            <v>Zayed National Museum</v>
          </cell>
          <cell r="O1652" t="str">
            <v>متحف زايد الوطني</v>
          </cell>
          <cell r="P1652" t="str">
            <v>Marketing &amp; Communication</v>
          </cell>
          <cell r="Q1652" t="str">
            <v>التسويق والاتصال</v>
          </cell>
          <cell r="R1652" t="str">
            <v>Communications</v>
          </cell>
          <cell r="S1652" t="str">
            <v>الاتصال</v>
          </cell>
          <cell r="T1652" t="str">
            <v>Communications</v>
          </cell>
          <cell r="U1652" t="str">
            <v>الاتصال</v>
          </cell>
          <cell r="V1652" t="str">
            <v>Abu Dhabi</v>
          </cell>
          <cell r="W1652" t="str">
            <v/>
          </cell>
          <cell r="X1652" t="str">
            <v>4510185</v>
          </cell>
          <cell r="Y1652" t="str">
            <v>Comms &amp; Marketing _Communications (All Areas)_Unit Head</v>
          </cell>
          <cell r="Z1652" t="str">
            <v>Unit Head</v>
          </cell>
          <cell r="AA1652" t="str">
            <v>3C</v>
          </cell>
        </row>
        <row r="1653">
          <cell r="A1653">
            <v>2001145</v>
          </cell>
          <cell r="B1653">
            <v>2001145</v>
          </cell>
          <cell r="C1653" t="str">
            <v>A</v>
          </cell>
          <cell r="D1653" t="str">
            <v>Wen Xue</v>
          </cell>
          <cell r="E1653" t="str">
            <v>وين  اكسوى</v>
          </cell>
          <cell r="F1653">
            <v>45597</v>
          </cell>
          <cell r="G1653" t="str">
            <v>50003299</v>
          </cell>
          <cell r="H1653" t="str">
            <v>Category Analyst Lead</v>
          </cell>
          <cell r="I1653" t="str">
            <v>محلل رئيسي فئة المشتريات​</v>
          </cell>
          <cell r="J1653" t="str">
            <v>On-Chart</v>
          </cell>
          <cell r="K1653" t="str">
            <v>Dayton</v>
          </cell>
          <cell r="L1653" t="str">
            <v>D1</v>
          </cell>
          <cell r="M1653" t="str">
            <v>Department of Culture and Tourism</v>
          </cell>
          <cell r="N1653" t="str">
            <v>Support Services</v>
          </cell>
          <cell r="O1653" t="str">
            <v>الخدمات المساندة</v>
          </cell>
          <cell r="P1653" t="str">
            <v>Supply Management</v>
          </cell>
          <cell r="Q1653" t="str">
            <v>إدارة الإمداد</v>
          </cell>
          <cell r="R1653" t="str">
            <v/>
          </cell>
          <cell r="S1653" t="str">
            <v/>
          </cell>
          <cell r="T1653" t="str">
            <v/>
          </cell>
          <cell r="U1653" t="str">
            <v/>
          </cell>
          <cell r="V1653" t="str">
            <v>Abu Dhabi</v>
          </cell>
          <cell r="W1653" t="str">
            <v/>
          </cell>
          <cell r="X1653" t="str">
            <v>4510240</v>
          </cell>
          <cell r="Y1653" t="str">
            <v>Procurement_Procurement General_Senior Professional</v>
          </cell>
          <cell r="Z1653" t="str">
            <v>Unit Head</v>
          </cell>
          <cell r="AA1653" t="str">
            <v>3C</v>
          </cell>
        </row>
        <row r="1654">
          <cell r="A1654">
            <v>2001146</v>
          </cell>
          <cell r="B1654">
            <v>2001146</v>
          </cell>
          <cell r="C1654" t="str">
            <v>A</v>
          </cell>
          <cell r="D1654" t="str">
            <v>Peter Clemens Kjaergaard</v>
          </cell>
          <cell r="E1654" t="str">
            <v>بيتر كليمنس  جيرجارد</v>
          </cell>
          <cell r="F1654">
            <v>45474</v>
          </cell>
          <cell r="G1654" t="str">
            <v>50001956</v>
          </cell>
          <cell r="H1654" t="str">
            <v>Natural History Museum Abu Dhabi Director</v>
          </cell>
          <cell r="I1654" t="str">
            <v>مدير متحف التاريخ الطبيعي - أبوظبي</v>
          </cell>
          <cell r="J1654" t="str">
            <v>On-Chart</v>
          </cell>
          <cell r="K1654" t="str">
            <v>MSS Al Nahiya</v>
          </cell>
          <cell r="L1654" t="str">
            <v>M2</v>
          </cell>
          <cell r="M1654" t="str">
            <v>Department of Culture and Tourism</v>
          </cell>
          <cell r="N1654" t="str">
            <v>Culture</v>
          </cell>
          <cell r="O1654" t="str">
            <v>الثقافة</v>
          </cell>
          <cell r="P1654" t="str">
            <v>Natural History Museum Abu Dhabi</v>
          </cell>
          <cell r="Q1654" t="str">
            <v>متحف التاريخ الطبيعي - أبوظبي</v>
          </cell>
          <cell r="R1654" t="str">
            <v/>
          </cell>
          <cell r="S1654" t="str">
            <v/>
          </cell>
          <cell r="T1654" t="str">
            <v/>
          </cell>
          <cell r="U1654" t="str">
            <v/>
          </cell>
          <cell r="V1654" t="str">
            <v>Abu Dhabi</v>
          </cell>
          <cell r="W1654" t="str">
            <v/>
          </cell>
          <cell r="X1654" t="str">
            <v>4510310</v>
          </cell>
          <cell r="Y1654" t="str">
            <v>Compliance,Governance&amp;Protocol_Policy (Culture &amp;Tourism)_Director</v>
          </cell>
          <cell r="Z1654" t="str">
            <v>Director</v>
          </cell>
          <cell r="AA1654" t="str">
            <v>1A</v>
          </cell>
        </row>
        <row r="1655">
          <cell r="A1655">
            <v>2001149</v>
          </cell>
          <cell r="B1655">
            <v>2001149</v>
          </cell>
          <cell r="C1655" t="str">
            <v>A</v>
          </cell>
          <cell r="D1655" t="str">
            <v>Niharika  Sunil</v>
          </cell>
          <cell r="E1655" t="str">
            <v>نيهاريكا  سونيل</v>
          </cell>
          <cell r="F1655">
            <v>45880</v>
          </cell>
          <cell r="G1655" t="str">
            <v>50002845</v>
          </cell>
          <cell r="H1655" t="str">
            <v>Supply Management Business Partner</v>
          </cell>
          <cell r="I1655" t="str">
            <v>شركاء الأعمال لإدارة التوريدات</v>
          </cell>
          <cell r="J1655" t="str">
            <v>On-Chart</v>
          </cell>
          <cell r="K1655" t="str">
            <v>MSS Al Nahiya</v>
          </cell>
          <cell r="L1655" t="str">
            <v>M2</v>
          </cell>
          <cell r="M1655" t="str">
            <v>Department of Culture and Tourism</v>
          </cell>
          <cell r="N1655" t="str">
            <v>Museums Shared Services</v>
          </cell>
          <cell r="O1655" t="str">
            <v>الخدمات المشتركة للمتاحف</v>
          </cell>
          <cell r="P1655" t="str">
            <v>Supply Management - MSS</v>
          </cell>
          <cell r="Q1655" t="str">
            <v>إدارة الإمداد - الخدمات المشتركة للمتاحف</v>
          </cell>
          <cell r="R1655" t="str">
            <v>Business Partner Section</v>
          </cell>
          <cell r="S1655" t="str">
            <v>قسم شركاء أعمال المشتريات</v>
          </cell>
          <cell r="T1655" t="str">
            <v>Supply Management Business Partners Unit</v>
          </cell>
          <cell r="U1655" t="str">
            <v>وحدة شركاء أعمال إدارة الإمداد</v>
          </cell>
          <cell r="V1655" t="str">
            <v>Abu Dhabi</v>
          </cell>
          <cell r="W1655" t="str">
            <v/>
          </cell>
          <cell r="X1655" t="str">
            <v>4514160</v>
          </cell>
          <cell r="Y1655" t="str">
            <v>Specialization Procurement</v>
          </cell>
          <cell r="Z1655" t="str">
            <v>Professional</v>
          </cell>
          <cell r="AA1655" t="str">
            <v>3C</v>
          </cell>
        </row>
        <row r="1656">
          <cell r="A1656">
            <v>2001152</v>
          </cell>
          <cell r="B1656">
            <v>2001152</v>
          </cell>
          <cell r="C1656" t="str">
            <v>A</v>
          </cell>
          <cell r="D1656" t="str">
            <v>Marcos Muller Habig</v>
          </cell>
          <cell r="E1656" t="str">
            <v>ماركوس  مولر هابيج</v>
          </cell>
          <cell r="F1656">
            <v>45597</v>
          </cell>
          <cell r="G1656" t="str">
            <v>50004190</v>
          </cell>
          <cell r="H1656" t="str">
            <v>Sector Enablement Department Director</v>
          </cell>
          <cell r="I1656" t="str">
            <v>مدير إدارة تمكين القطاع</v>
          </cell>
          <cell r="J1656" t="str">
            <v>On-Chart</v>
          </cell>
          <cell r="K1656" t="str">
            <v>Al Nahiya</v>
          </cell>
          <cell r="L1656" t="str">
            <v>N0</v>
          </cell>
          <cell r="M1656" t="str">
            <v>Department of Culture and Tourism</v>
          </cell>
          <cell r="N1656" t="str">
            <v>Office Of Undersecretary</v>
          </cell>
          <cell r="O1656" t="str">
            <v>مكتب وكيل الدائرة</v>
          </cell>
          <cell r="P1656" t="str">
            <v>Office Of Undersecretary</v>
          </cell>
          <cell r="Q1656" t="str">
            <v>مكتب وكيل الدائرة</v>
          </cell>
          <cell r="R1656" t="str">
            <v/>
          </cell>
          <cell r="S1656" t="str">
            <v/>
          </cell>
          <cell r="T1656" t="str">
            <v/>
          </cell>
          <cell r="U1656" t="str">
            <v/>
          </cell>
          <cell r="V1656" t="str">
            <v>Abu Dhabi</v>
          </cell>
          <cell r="W1656" t="str">
            <v/>
          </cell>
          <cell r="X1656" t="str">
            <v>4510110</v>
          </cell>
          <cell r="Y1656" t="str">
            <v/>
          </cell>
          <cell r="Z1656" t="str">
            <v>Director</v>
          </cell>
          <cell r="AA1656" t="str">
            <v>1C</v>
          </cell>
        </row>
        <row r="1657">
          <cell r="A1657">
            <v>2001153</v>
          </cell>
          <cell r="B1657">
            <v>2001153</v>
          </cell>
          <cell r="C1657" t="str">
            <v>A</v>
          </cell>
          <cell r="D1657" t="str">
            <v>Seppe  Verheyen</v>
          </cell>
          <cell r="E1657" t="str">
            <v>سيبي  فيرحيان</v>
          </cell>
          <cell r="F1657">
            <v>45691</v>
          </cell>
          <cell r="G1657" t="str">
            <v>50003031</v>
          </cell>
          <cell r="H1657" t="str">
            <v>Education &amp; Dialogue Department Director</v>
          </cell>
          <cell r="I1657" t="str">
            <v>إدارة التعليم والحوار</v>
          </cell>
          <cell r="J1657" t="str">
            <v>On-Chart</v>
          </cell>
          <cell r="K1657" t="str">
            <v>MSS Al Nahiya</v>
          </cell>
          <cell r="L1657" t="str">
            <v>M2</v>
          </cell>
          <cell r="M1657" t="str">
            <v>Department of Culture and Tourism</v>
          </cell>
          <cell r="N1657" t="str">
            <v>Abrahamic Family House Center</v>
          </cell>
          <cell r="O1657" t="str">
            <v>مركز بيت العائلة الإبراهيمية</v>
          </cell>
          <cell r="P1657" t="str">
            <v>Education &amp; Dialogue</v>
          </cell>
          <cell r="Q1657" t="str">
            <v>التعليم والحوار</v>
          </cell>
          <cell r="R1657" t="str">
            <v/>
          </cell>
          <cell r="S1657" t="str">
            <v/>
          </cell>
          <cell r="T1657" t="str">
            <v/>
          </cell>
          <cell r="U1657" t="str">
            <v/>
          </cell>
          <cell r="V1657" t="str">
            <v>Abu Dhabi</v>
          </cell>
          <cell r="W1657" t="str">
            <v/>
          </cell>
          <cell r="X1657" t="str">
            <v>4514121</v>
          </cell>
          <cell r="Y1657" t="str">
            <v>Middle Management Operations</v>
          </cell>
          <cell r="Z1657" t="str">
            <v>Director</v>
          </cell>
          <cell r="AA1657" t="str">
            <v>1C</v>
          </cell>
        </row>
        <row r="1658">
          <cell r="A1658">
            <v>2001160</v>
          </cell>
          <cell r="B1658">
            <v>2001160</v>
          </cell>
          <cell r="C1658" t="str">
            <v>A</v>
          </cell>
          <cell r="D1658" t="str">
            <v>Balu Renganathan</v>
          </cell>
          <cell r="E1658" t="str">
            <v>بالو  رينجاناتان</v>
          </cell>
          <cell r="F1658">
            <v>45545</v>
          </cell>
          <cell r="G1658" t="str">
            <v>50002349</v>
          </cell>
          <cell r="H1658" t="str">
            <v>Senior BI Developer</v>
          </cell>
          <cell r="I1658" t="str">
            <v>أخصائي أول تطوير أدوات ذكاء الأعمال</v>
          </cell>
          <cell r="J1658" t="str">
            <v>On-Chart</v>
          </cell>
          <cell r="K1658" t="str">
            <v>Sundus</v>
          </cell>
          <cell r="L1658" t="str">
            <v>SU</v>
          </cell>
          <cell r="M1658" t="str">
            <v>Department of Culture and Tourism</v>
          </cell>
          <cell r="N1658" t="str">
            <v>Support Services</v>
          </cell>
          <cell r="O1658" t="str">
            <v>الخدمات المساندة</v>
          </cell>
          <cell r="P1658" t="str">
            <v>Office of the Support Services Executive Director</v>
          </cell>
          <cell r="Q1658" t="str">
            <v>مكتب المدير التنفيذي لقطاع الخدمات المساندة</v>
          </cell>
          <cell r="R1658" t="str">
            <v>Support Services Transformation</v>
          </cell>
          <cell r="S1658" t="str">
            <v>تحول الخدمات المساندة</v>
          </cell>
          <cell r="T1658" t="str">
            <v>Analytics &amp; Transformation</v>
          </cell>
          <cell r="U1658" t="str">
            <v>التحول والتحليل</v>
          </cell>
          <cell r="V1658" t="str">
            <v>Abu Dhabi</v>
          </cell>
          <cell r="W1658" t="str">
            <v/>
          </cell>
          <cell r="X1658" t="str">
            <v>4510201</v>
          </cell>
          <cell r="Y1658" t="str">
            <v>Admin &amp; Support_Business Operations &amp;
Support _Director</v>
          </cell>
          <cell r="Z1658" t="str">
            <v>Senior Professional</v>
          </cell>
          <cell r="AA1658" t="str">
            <v>3C</v>
          </cell>
        </row>
        <row r="1659">
          <cell r="A1659">
            <v>2001162</v>
          </cell>
          <cell r="B1659">
            <v>2001162</v>
          </cell>
          <cell r="C1659" t="str">
            <v>A</v>
          </cell>
          <cell r="D1659" t="str">
            <v>Hanns Maria Joachim Gierlichs</v>
          </cell>
          <cell r="E1659" t="str">
            <v>هانز ماريا يواكيم  جيرليكس</v>
          </cell>
          <cell r="F1659">
            <v>45546</v>
          </cell>
          <cell r="G1659" t="str">
            <v>50001682</v>
          </cell>
          <cell r="H1659" t="str">
            <v>Senior Curator</v>
          </cell>
          <cell r="I1659" t="str">
            <v>أمين متاحف أول</v>
          </cell>
          <cell r="J1659" t="str">
            <v>On-Chart</v>
          </cell>
          <cell r="K1659" t="str">
            <v>Al Nahiya</v>
          </cell>
          <cell r="L1659" t="str">
            <v>N0</v>
          </cell>
          <cell r="M1659" t="str">
            <v>Department of Culture and Tourism</v>
          </cell>
          <cell r="N1659" t="str">
            <v>Culture</v>
          </cell>
          <cell r="O1659" t="str">
            <v>الثقافة</v>
          </cell>
          <cell r="P1659" t="str">
            <v>Scientific, Curatorial and Collection Department</v>
          </cell>
          <cell r="Q1659" t="str">
            <v>إدارة البحث العلمي والمقتنيات</v>
          </cell>
          <cell r="R1659" t="str">
            <v>Curatorial Research</v>
          </cell>
          <cell r="S1659" t="str">
            <v>البحوث وأمناء المتاحف</v>
          </cell>
          <cell r="T1659" t="str">
            <v/>
          </cell>
          <cell r="U1659" t="str">
            <v/>
          </cell>
          <cell r="V1659" t="str">
            <v>Abu Dhabi</v>
          </cell>
          <cell r="W1659" t="str">
            <v/>
          </cell>
          <cell r="X1659" t="str">
            <v>4511150</v>
          </cell>
          <cell r="Y1659" t="str">
            <v>Compliance,Governance&amp;Protocol_Policy  (Culture &amp; Tourism)_Unit Head</v>
          </cell>
          <cell r="Z1659" t="str">
            <v>Unit Head</v>
          </cell>
          <cell r="AA1659" t="str">
            <v>3C</v>
          </cell>
        </row>
        <row r="1660">
          <cell r="A1660">
            <v>2001163</v>
          </cell>
          <cell r="B1660">
            <v>2001163</v>
          </cell>
          <cell r="C1660" t="str">
            <v>A</v>
          </cell>
          <cell r="D1660" t="str">
            <v>Samer George Haddad</v>
          </cell>
          <cell r="E1660" t="str">
            <v>سامر جورج حداد</v>
          </cell>
          <cell r="F1660">
            <v>45561</v>
          </cell>
          <cell r="G1660" t="str">
            <v>50002878</v>
          </cell>
          <cell r="H1660" t="str">
            <v>Customer Experience Section Head</v>
          </cell>
          <cell r="I1660" t="str">
            <v>رئيس قسم تجربة العميل</v>
          </cell>
          <cell r="J1660" t="str">
            <v>On-Chart</v>
          </cell>
          <cell r="K1660" t="str">
            <v>Al Nahiya</v>
          </cell>
          <cell r="L1660" t="str">
            <v>N0</v>
          </cell>
          <cell r="M1660" t="str">
            <v>Department of Culture and Tourism</v>
          </cell>
          <cell r="N1660" t="str">
            <v>Strategic Affairs</v>
          </cell>
          <cell r="O1660" t="str">
            <v>الشؤون الاستراتيجية</v>
          </cell>
          <cell r="P1660" t="str">
            <v>Business Excellence &amp; Continuity</v>
          </cell>
          <cell r="Q1660" t="str">
            <v>التميز المؤسسي واستمرارية الأعمال</v>
          </cell>
          <cell r="R1660" t="str">
            <v>Customer Experience</v>
          </cell>
          <cell r="S1660" t="str">
            <v>تجربة العميل</v>
          </cell>
          <cell r="T1660" t="str">
            <v/>
          </cell>
          <cell r="U1660" t="str">
            <v/>
          </cell>
          <cell r="V1660" t="str">
            <v>Abu Dhabi</v>
          </cell>
          <cell r="W1660" t="str">
            <v/>
          </cell>
          <cell r="X1660" t="str">
            <v>4512300</v>
          </cell>
          <cell r="Y1660" t="str">
            <v>Strategy, Planning, Project Mgt_Business Excellence &amp; Foresight Planning _Section Head</v>
          </cell>
          <cell r="Z1660" t="str">
            <v>Section Manager</v>
          </cell>
          <cell r="AA1660" t="str">
            <v>2C</v>
          </cell>
        </row>
        <row r="1661">
          <cell r="A1661">
            <v>2001165</v>
          </cell>
          <cell r="B1661">
            <v>2001165</v>
          </cell>
          <cell r="C1661" t="str">
            <v>A</v>
          </cell>
          <cell r="D1661" t="str">
            <v>Thomas Watson</v>
          </cell>
          <cell r="E1661" t="str">
            <v>توماس  واتسون</v>
          </cell>
          <cell r="F1661">
            <v>45565</v>
          </cell>
          <cell r="G1661" t="str">
            <v>50003020</v>
          </cell>
          <cell r="H1661" t="str">
            <v>Governance Section Head</v>
          </cell>
          <cell r="I1661" t="str">
            <v>رئيس قسم الحوكمة</v>
          </cell>
          <cell r="J1661" t="str">
            <v>On-Chart</v>
          </cell>
          <cell r="K1661" t="str">
            <v>Al Nahiya</v>
          </cell>
          <cell r="L1661" t="str">
            <v>N0</v>
          </cell>
          <cell r="M1661" t="str">
            <v>Department of Culture and Tourism</v>
          </cell>
          <cell r="N1661" t="str">
            <v>Strategic Affairs</v>
          </cell>
          <cell r="O1661" t="str">
            <v>الشؤون الاستراتيجية</v>
          </cell>
          <cell r="P1661" t="str">
            <v>Business Excellence &amp; Continuity</v>
          </cell>
          <cell r="Q1661" t="str">
            <v>التميز المؤسسي واستمرارية الأعمال</v>
          </cell>
          <cell r="R1661" t="str">
            <v>Governance</v>
          </cell>
          <cell r="S1661" t="str">
            <v>الحوكمة</v>
          </cell>
          <cell r="T1661" t="str">
            <v/>
          </cell>
          <cell r="U1661" t="str">
            <v/>
          </cell>
          <cell r="V1661" t="str">
            <v>Abu Dhabi</v>
          </cell>
          <cell r="W1661" t="str">
            <v/>
          </cell>
          <cell r="X1661" t="str">
            <v>4512300</v>
          </cell>
          <cell r="Y1661" t="str">
            <v>Strategy, Planning, Project Mgt_Business Excellence &amp; Foresight Planning _Section Head</v>
          </cell>
          <cell r="Z1661" t="str">
            <v>Section Manager</v>
          </cell>
          <cell r="AA1661" t="str">
            <v>2C</v>
          </cell>
        </row>
        <row r="1662">
          <cell r="A1662">
            <v>2001166</v>
          </cell>
          <cell r="B1662">
            <v>2001166</v>
          </cell>
          <cell r="C1662" t="str">
            <v>A</v>
          </cell>
          <cell r="D1662" t="str">
            <v>Seif Eddine Mouelhi</v>
          </cell>
          <cell r="E1662" t="str">
            <v>سيف الدين المولهى</v>
          </cell>
          <cell r="F1662">
            <v>45558</v>
          </cell>
          <cell r="G1662" t="str">
            <v>50002720</v>
          </cell>
          <cell r="H1662" t="str">
            <v>Technology Director</v>
          </cell>
          <cell r="I1662" t="str">
            <v>مدير إدارة التكنولوجيا</v>
          </cell>
          <cell r="J1662" t="str">
            <v>On-Chart</v>
          </cell>
          <cell r="K1662" t="str">
            <v>MSS Al Nahiya</v>
          </cell>
          <cell r="L1662" t="str">
            <v>M2</v>
          </cell>
          <cell r="M1662" t="str">
            <v>Department of Culture and Tourism</v>
          </cell>
          <cell r="N1662" t="str">
            <v>Museums Shared Services</v>
          </cell>
          <cell r="O1662" t="str">
            <v>الخدمات المشتركة للمتاحف</v>
          </cell>
          <cell r="P1662" t="str">
            <v>Technology - MSS</v>
          </cell>
          <cell r="Q1662" t="str">
            <v>إدارة التكنولوجيا - الخدمات المشتركة للمتاحف</v>
          </cell>
          <cell r="R1662" t="str">
            <v/>
          </cell>
          <cell r="S1662" t="str">
            <v/>
          </cell>
          <cell r="T1662" t="str">
            <v/>
          </cell>
          <cell r="U1662" t="str">
            <v/>
          </cell>
          <cell r="V1662" t="str">
            <v>Abu Dhabi</v>
          </cell>
          <cell r="W1662" t="str">
            <v/>
          </cell>
          <cell r="X1662" t="str">
            <v>4514180</v>
          </cell>
          <cell r="Y1662" t="str">
            <v>Information Technology_Technology Department Director</v>
          </cell>
          <cell r="Z1662" t="str">
            <v>Director</v>
          </cell>
          <cell r="AA1662" t="str">
            <v>1C</v>
          </cell>
        </row>
        <row r="1663">
          <cell r="A1663">
            <v>2001168</v>
          </cell>
          <cell r="B1663">
            <v>2001168</v>
          </cell>
          <cell r="C1663" t="str">
            <v>A</v>
          </cell>
          <cell r="D1663" t="str">
            <v>Obaid Ahmed Aldhanhani</v>
          </cell>
          <cell r="E1663" t="str">
            <v>عبيد أحمد الظنحاني</v>
          </cell>
          <cell r="F1663">
            <v>45719</v>
          </cell>
          <cell r="G1663" t="str">
            <v>50003029</v>
          </cell>
          <cell r="H1663" t="str">
            <v>Strategy Unit Head</v>
          </cell>
          <cell r="I1663" t="str">
            <v>رئيس وحدة الاستراتيجية</v>
          </cell>
          <cell r="J1663" t="str">
            <v>On-Chart</v>
          </cell>
          <cell r="K1663" t="str">
            <v>MSS Al Nahiya</v>
          </cell>
          <cell r="L1663" t="str">
            <v>M2</v>
          </cell>
          <cell r="M1663" t="str">
            <v>Department of Culture and Tourism</v>
          </cell>
          <cell r="N1663" t="str">
            <v>Abrahamic Family House Center</v>
          </cell>
          <cell r="O1663" t="str">
            <v>مركز بيت العائلة الإبراهيمية</v>
          </cell>
          <cell r="P1663" t="str">
            <v>Office of Executive Director</v>
          </cell>
          <cell r="Q1663" t="str">
            <v>مكتب المدير التنفيذي</v>
          </cell>
          <cell r="R1663" t="str">
            <v/>
          </cell>
          <cell r="S1663" t="str">
            <v/>
          </cell>
          <cell r="T1663" t="str">
            <v/>
          </cell>
          <cell r="U1663" t="str">
            <v/>
          </cell>
          <cell r="V1663" t="str">
            <v>Abu Dhabi</v>
          </cell>
          <cell r="W1663" t="str">
            <v/>
          </cell>
          <cell r="X1663" t="str">
            <v>4514121</v>
          </cell>
          <cell r="Y1663" t="str">
            <v>Senior Specialization Strategy &amp; Planning</v>
          </cell>
          <cell r="Z1663" t="str">
            <v>Unit Head</v>
          </cell>
          <cell r="AA1663" t="str">
            <v>3C</v>
          </cell>
        </row>
        <row r="1664">
          <cell r="A1664">
            <v>2001169</v>
          </cell>
          <cell r="B1664">
            <v>2001169</v>
          </cell>
          <cell r="C1664" t="str">
            <v>A</v>
          </cell>
          <cell r="D1664" t="str">
            <v>Mariam Yousif Alhosani</v>
          </cell>
          <cell r="E1664" t="str">
            <v>مريم يوسف الحوسني</v>
          </cell>
          <cell r="F1664">
            <v>45566</v>
          </cell>
          <cell r="G1664" t="str">
            <v>50002612</v>
          </cell>
          <cell r="H1664" t="str">
            <v>Talent Development Section Head</v>
          </cell>
          <cell r="I1664" t="str">
            <v>رئيس قسم تطوير المواهب</v>
          </cell>
          <cell r="J1664" t="str">
            <v>On-Chart</v>
          </cell>
          <cell r="K1664" t="str">
            <v>MSS Al Nahiya</v>
          </cell>
          <cell r="L1664" t="str">
            <v>M2</v>
          </cell>
          <cell r="M1664" t="str">
            <v>Department of Culture and Tourism</v>
          </cell>
          <cell r="N1664" t="str">
            <v>Museums Shared Services</v>
          </cell>
          <cell r="O1664" t="str">
            <v>الخدمات المشتركة للمتاحف</v>
          </cell>
          <cell r="P1664" t="str">
            <v>People and Performance - MSS</v>
          </cell>
          <cell r="Q1664" t="str">
            <v>إدارة الكوادر البشرية والأداء - الخدمات المشتركة للمتاحف</v>
          </cell>
          <cell r="R1664" t="str">
            <v>Talent Development Section - MSS</v>
          </cell>
          <cell r="S1664" t="str">
            <v>قسم تطوير المواهب</v>
          </cell>
          <cell r="T1664" t="str">
            <v/>
          </cell>
          <cell r="U1664" t="str">
            <v/>
          </cell>
          <cell r="V1664" t="str">
            <v>Abu Dhabi</v>
          </cell>
          <cell r="W1664" t="str">
            <v/>
          </cell>
          <cell r="X1664" t="str">
            <v>4514140</v>
          </cell>
          <cell r="Y1664" t="str">
            <v>People &amp; Performance _Learning, Talent &amp; Capability Development _Section Head</v>
          </cell>
          <cell r="Z1664" t="str">
            <v>Section Manager</v>
          </cell>
          <cell r="AA1664" t="str">
            <v>2C</v>
          </cell>
        </row>
        <row r="1665">
          <cell r="A1665">
            <v>2001170</v>
          </cell>
          <cell r="B1665">
            <v>2001170</v>
          </cell>
          <cell r="C1665" t="str">
            <v>A</v>
          </cell>
          <cell r="D1665" t="str">
            <v>Sadeq Saleh Alsadi</v>
          </cell>
          <cell r="E1665" t="str">
            <v>صادق صالح السعدي</v>
          </cell>
          <cell r="F1665">
            <v>45566</v>
          </cell>
          <cell r="G1665" t="str">
            <v>50000996</v>
          </cell>
          <cell r="H1665" t="str">
            <v>Books Design Manager</v>
          </cell>
          <cell r="I1665" t="str">
            <v>مدير تصميم الكتب</v>
          </cell>
          <cell r="J1665" t="str">
            <v>On-Chart</v>
          </cell>
          <cell r="K1665" t="str">
            <v>ALC Al Nahiya</v>
          </cell>
          <cell r="L1665" t="str">
            <v>AL2</v>
          </cell>
          <cell r="M1665" t="str">
            <v>Abu Dhabi Arabic Language Centre</v>
          </cell>
          <cell r="N1665" t="str">
            <v>Abu Dhabi Arabic Language Centre</v>
          </cell>
          <cell r="O1665" t="str">
            <v>مركز أبوظبي للغة العربية</v>
          </cell>
          <cell r="P1665" t="str">
            <v>Creative Content</v>
          </cell>
          <cell r="Q1665" t="str">
            <v>المحتوى الإبداعي</v>
          </cell>
          <cell r="R1665" t="str">
            <v>Publishing Programmes - ALC</v>
          </cell>
          <cell r="S1665" t="str">
            <v>برامج النشر</v>
          </cell>
          <cell r="T1665" t="str">
            <v/>
          </cell>
          <cell r="U1665" t="str">
            <v/>
          </cell>
          <cell r="V1665" t="str">
            <v>Abu Dhabi</v>
          </cell>
          <cell r="W1665" t="str">
            <v/>
          </cell>
          <cell r="X1665" t="str">
            <v>4519199</v>
          </cell>
          <cell r="Y1665" t="str">
            <v>Interpretation &amp; Engagement_Arabic Language Forum &amp; Events_Unit Head</v>
          </cell>
          <cell r="Z1665" t="str">
            <v>Unit Head</v>
          </cell>
          <cell r="AA1665" t="str">
            <v>3C</v>
          </cell>
        </row>
        <row r="1666">
          <cell r="A1666">
            <v>2001171</v>
          </cell>
          <cell r="B1666">
            <v>2001171</v>
          </cell>
          <cell r="C1666" t="str">
            <v>A</v>
          </cell>
          <cell r="D1666" t="str">
            <v>Danyal Nasser Anwar</v>
          </cell>
          <cell r="E1666" t="str">
            <v>دانيال ناصر أنور</v>
          </cell>
          <cell r="F1666">
            <v>45595</v>
          </cell>
          <cell r="G1666" t="str">
            <v>50002650</v>
          </cell>
          <cell r="H1666" t="str">
            <v>Process Improvement Unit Head</v>
          </cell>
          <cell r="I1666" t="str">
            <v>رئيس وحدة تحسين الإجراءت</v>
          </cell>
          <cell r="J1666" t="str">
            <v>On-Chart</v>
          </cell>
          <cell r="K1666" t="str">
            <v>Al Nahiya</v>
          </cell>
          <cell r="L1666" t="str">
            <v>N0</v>
          </cell>
          <cell r="M1666" t="str">
            <v>Department of Culture and Tourism</v>
          </cell>
          <cell r="N1666" t="str">
            <v>Strategic Affairs</v>
          </cell>
          <cell r="O1666" t="str">
            <v>الشؤون الاستراتيجية</v>
          </cell>
          <cell r="P1666" t="str">
            <v>Business Excellence &amp; Continuity</v>
          </cell>
          <cell r="Q1666" t="str">
            <v>التميز المؤسسي واستمرارية الأعمال</v>
          </cell>
          <cell r="R1666" t="str">
            <v>Governance</v>
          </cell>
          <cell r="S1666" t="str">
            <v>الحوكمة</v>
          </cell>
          <cell r="T1666" t="str">
            <v>Process Improvement</v>
          </cell>
          <cell r="U1666" t="str">
            <v>تحسين الإجراءات</v>
          </cell>
          <cell r="V1666" t="str">
            <v>Abu Dhabi</v>
          </cell>
          <cell r="W1666" t="str">
            <v/>
          </cell>
          <cell r="X1666" t="str">
            <v>4512300</v>
          </cell>
          <cell r="Y1666" t="str">
            <v>Strategy, Planning, Project Mgt_Business Excellence &amp; Foresight Planning _Unit Head</v>
          </cell>
          <cell r="Z1666" t="str">
            <v>Unit Head</v>
          </cell>
          <cell r="AA1666" t="str">
            <v>3C</v>
          </cell>
        </row>
        <row r="1667">
          <cell r="A1667">
            <v>2001172</v>
          </cell>
          <cell r="B1667">
            <v>2001172</v>
          </cell>
          <cell r="C1667" t="str">
            <v>A</v>
          </cell>
          <cell r="D1667" t="str">
            <v>Anwar Salem Almessabi</v>
          </cell>
          <cell r="E1667" t="str">
            <v>انوار سالم المصعبي</v>
          </cell>
          <cell r="F1667">
            <v>45574</v>
          </cell>
          <cell r="G1667" t="str">
            <v>50002915</v>
          </cell>
          <cell r="H1667" t="str">
            <v>Finance Business Partner</v>
          </cell>
          <cell r="I1667" t="str">
            <v>شريك الأعمال المالية</v>
          </cell>
          <cell r="J1667" t="str">
            <v>On-Chart</v>
          </cell>
          <cell r="K1667" t="str">
            <v>Al Nahiya</v>
          </cell>
          <cell r="L1667" t="str">
            <v>N0</v>
          </cell>
          <cell r="M1667" t="str">
            <v>Department of Culture and Tourism</v>
          </cell>
          <cell r="N1667" t="str">
            <v>Support Services</v>
          </cell>
          <cell r="O1667" t="str">
            <v>الخدمات المساندة</v>
          </cell>
          <cell r="P1667" t="str">
            <v>Finance</v>
          </cell>
          <cell r="Q1667" t="str">
            <v>إدارة المالية</v>
          </cell>
          <cell r="R1667" t="str">
            <v>Finance Business Partners</v>
          </cell>
          <cell r="S1667" t="str">
            <v>شركاء الأعمال المالية</v>
          </cell>
          <cell r="T1667" t="str">
            <v>Finance Business Partners</v>
          </cell>
          <cell r="U1667" t="str">
            <v>شركاء الأعمال المالية</v>
          </cell>
          <cell r="V1667" t="str">
            <v>Abu Dhabi</v>
          </cell>
          <cell r="W1667" t="str">
            <v/>
          </cell>
          <cell r="X1667" t="str">
            <v>4510210</v>
          </cell>
          <cell r="Y1667" t="str">
            <v>Finance_Financial Business Partners _Senior Professional</v>
          </cell>
          <cell r="Z1667" t="str">
            <v>Senior Professional</v>
          </cell>
          <cell r="AA1667" t="str">
            <v>3C</v>
          </cell>
        </row>
        <row r="1668">
          <cell r="A1668">
            <v>2001173</v>
          </cell>
          <cell r="B1668">
            <v>2001173</v>
          </cell>
          <cell r="C1668" t="str">
            <v>A</v>
          </cell>
          <cell r="D1668" t="str">
            <v>Faheem Faried Asvat</v>
          </cell>
          <cell r="E1668" t="str">
            <v>فهيم فريد اسفت</v>
          </cell>
          <cell r="F1668">
            <v>45566</v>
          </cell>
          <cell r="G1668" t="str">
            <v>50002643</v>
          </cell>
          <cell r="H1668" t="str">
            <v>Special Projects Senior Specialist</v>
          </cell>
          <cell r="I1668" t="str">
            <v>أخصائي أول المشاريع الخاصة</v>
          </cell>
          <cell r="J1668" t="str">
            <v>On-Chart</v>
          </cell>
          <cell r="K1668" t="str">
            <v>Al Nahiya</v>
          </cell>
          <cell r="L1668" t="str">
            <v>N0</v>
          </cell>
          <cell r="M1668" t="str">
            <v>Department of Culture and Tourism</v>
          </cell>
          <cell r="N1668" t="str">
            <v>Strategic Affairs</v>
          </cell>
          <cell r="O1668" t="str">
            <v>الشؤون الاستراتيجية</v>
          </cell>
          <cell r="P1668" t="str">
            <v>Strategic Planning</v>
          </cell>
          <cell r="Q1668" t="str">
            <v>التخطيط الاستراتيجي</v>
          </cell>
          <cell r="R1668" t="str">
            <v>Special Projects Strategic Planning</v>
          </cell>
          <cell r="S1668" t="str">
            <v>التخطيط الاستراتيجي للمشاريع الخاصة</v>
          </cell>
          <cell r="T1668" t="str">
            <v>Special Projects Strategic Planning</v>
          </cell>
          <cell r="U1668" t="str">
            <v>التخطيط الاستراتيجي للمشاريع الخاصة</v>
          </cell>
          <cell r="V1668" t="str">
            <v>Abu Dhabi</v>
          </cell>
          <cell r="W1668" t="str">
            <v/>
          </cell>
          <cell r="X1668" t="str">
            <v>4512100</v>
          </cell>
          <cell r="Y1668" t="str">
            <v>Strategy, Planning, Project Mgt_Operational Planning &amp; Project Management _Senior Professional</v>
          </cell>
          <cell r="Z1668" t="str">
            <v>Senior Professional</v>
          </cell>
          <cell r="AA1668" t="str">
            <v>3C</v>
          </cell>
        </row>
        <row r="1669">
          <cell r="A1669">
            <v>2001174</v>
          </cell>
          <cell r="B1669">
            <v>2001174</v>
          </cell>
          <cell r="C1669" t="str">
            <v>A</v>
          </cell>
          <cell r="D1669" t="str">
            <v xml:space="preserve">Majid  Ismail  </v>
          </cell>
          <cell r="E1669" t="str">
            <v xml:space="preserve">ماجد   إسماعيل  </v>
          </cell>
          <cell r="F1669">
            <v>45575</v>
          </cell>
          <cell r="G1669" t="str">
            <v>10011638</v>
          </cell>
          <cell r="H1669" t="str">
            <v>Projects Manager</v>
          </cell>
          <cell r="I1669" t="str">
            <v>مدير مشاريع</v>
          </cell>
          <cell r="J1669" t="str">
            <v>On-Chart</v>
          </cell>
          <cell r="K1669" t="str">
            <v>Al Nahiya</v>
          </cell>
          <cell r="L1669" t="str">
            <v>N0</v>
          </cell>
          <cell r="M1669" t="str">
            <v>Department of Culture and Tourism</v>
          </cell>
          <cell r="N1669" t="str">
            <v>Support Services</v>
          </cell>
          <cell r="O1669" t="str">
            <v>الخدمات المساندة</v>
          </cell>
          <cell r="P1669" t="str">
            <v>Technology</v>
          </cell>
          <cell r="Q1669" t="str">
            <v>التكنولوجيا</v>
          </cell>
          <cell r="R1669" t="str">
            <v>Technology PMO</v>
          </cell>
          <cell r="S1669" t="str">
            <v>مكتب إدارة مشاريع التكنولوجيا</v>
          </cell>
          <cell r="T1669" t="str">
            <v/>
          </cell>
          <cell r="U1669" t="str">
            <v/>
          </cell>
          <cell r="V1669" t="str">
            <v>Abu Dhabi</v>
          </cell>
          <cell r="W1669" t="str">
            <v/>
          </cell>
          <cell r="X1669" t="str">
            <v>4510250</v>
          </cell>
          <cell r="Y1669" t="str">
            <v>Information Technology_IT Operations _Unit Head</v>
          </cell>
          <cell r="Z1669" t="str">
            <v>Unit Head</v>
          </cell>
          <cell r="AA1669" t="str">
            <v>3C</v>
          </cell>
        </row>
        <row r="1670">
          <cell r="A1670">
            <v>2001175</v>
          </cell>
          <cell r="B1670">
            <v>2001175</v>
          </cell>
          <cell r="C1670" t="str">
            <v>A</v>
          </cell>
          <cell r="D1670" t="str">
            <v>Mohamed Ellithey Barghoth</v>
          </cell>
          <cell r="E1670" t="str">
            <v>محمد إليثي برغوث</v>
          </cell>
          <cell r="F1670">
            <v>45579</v>
          </cell>
          <cell r="G1670" t="str">
            <v>50000387</v>
          </cell>
          <cell r="H1670" t="str">
            <v>Projects Senior Specialist</v>
          </cell>
          <cell r="I1670" t="str">
            <v>أخصائي أول مشاريع</v>
          </cell>
          <cell r="J1670" t="str">
            <v>On-Chart</v>
          </cell>
          <cell r="K1670" t="str">
            <v>Al Nahiya</v>
          </cell>
          <cell r="L1670" t="str">
            <v>N0</v>
          </cell>
          <cell r="M1670" t="str">
            <v>Department of Culture and Tourism</v>
          </cell>
          <cell r="N1670" t="str">
            <v>Support Services</v>
          </cell>
          <cell r="O1670" t="str">
            <v>الخدمات المساندة</v>
          </cell>
          <cell r="P1670" t="str">
            <v>Technology</v>
          </cell>
          <cell r="Q1670" t="str">
            <v>التكنولوجيا</v>
          </cell>
          <cell r="R1670" t="str">
            <v>Technology PMO</v>
          </cell>
          <cell r="S1670" t="str">
            <v>مكتب إدارة مشاريع التكنولوجيا</v>
          </cell>
          <cell r="T1670" t="str">
            <v/>
          </cell>
          <cell r="U1670" t="str">
            <v/>
          </cell>
          <cell r="V1670" t="str">
            <v>Abu Dhabi</v>
          </cell>
          <cell r="W1670" t="str">
            <v/>
          </cell>
          <cell r="X1670" t="str">
            <v>4510250</v>
          </cell>
          <cell r="Y1670" t="str">
            <v>Information Technology_Software Program Management _Senior Professional</v>
          </cell>
          <cell r="Z1670" t="str">
            <v>Senior Professional</v>
          </cell>
          <cell r="AA1670" t="str">
            <v>3C</v>
          </cell>
        </row>
        <row r="1671">
          <cell r="A1671">
            <v>2001177</v>
          </cell>
          <cell r="B1671">
            <v>2001177</v>
          </cell>
          <cell r="C1671" t="str">
            <v>A</v>
          </cell>
          <cell r="D1671" t="str">
            <v>Erin Lucy Kelly</v>
          </cell>
          <cell r="E1671" t="str">
            <v>ايرين لوسي  كيلى</v>
          </cell>
          <cell r="F1671">
            <v>45572</v>
          </cell>
          <cell r="G1671" t="str">
            <v>50002679</v>
          </cell>
          <cell r="H1671" t="str">
            <v>Culture Marketing  Section Head</v>
          </cell>
          <cell r="I1671" t="str">
            <v>رئيس قسم التسويق الثقافي</v>
          </cell>
          <cell r="J1671" t="str">
            <v>On-Chart</v>
          </cell>
          <cell r="K1671" t="str">
            <v>Al Nahiya</v>
          </cell>
          <cell r="L1671" t="str">
            <v>N0</v>
          </cell>
          <cell r="M1671" t="str">
            <v>Department of Culture and Tourism</v>
          </cell>
          <cell r="N1671" t="str">
            <v>Strategic Marketing &amp; Communication</v>
          </cell>
          <cell r="O1671" t="str">
            <v>التسويق والاتصال الاستراتيجي</v>
          </cell>
          <cell r="P1671" t="str">
            <v>Sector Marketing</v>
          </cell>
          <cell r="Q1671" t="str">
            <v>التسويق الخاص بالقطاعات</v>
          </cell>
          <cell r="R1671" t="str">
            <v>Culture Marketing</v>
          </cell>
          <cell r="S1671" t="str">
            <v>التسويق الثقافي</v>
          </cell>
          <cell r="T1671" t="str">
            <v/>
          </cell>
          <cell r="U1671" t="str">
            <v/>
          </cell>
          <cell r="V1671" t="str">
            <v>Abu Dhabi</v>
          </cell>
          <cell r="W1671" t="str">
            <v/>
          </cell>
          <cell r="X1671" t="str">
            <v>4513140</v>
          </cell>
          <cell r="Y1671" t="str">
            <v>Comms &amp; Marketing _Marketing &amp; Communications (All Areas)_Section Head</v>
          </cell>
          <cell r="Z1671" t="str">
            <v>Section Manager</v>
          </cell>
          <cell r="AA1671" t="str">
            <v>2C</v>
          </cell>
        </row>
        <row r="1672">
          <cell r="A1672">
            <v>2001179</v>
          </cell>
          <cell r="B1672">
            <v>2001179</v>
          </cell>
          <cell r="C1672" t="str">
            <v>A</v>
          </cell>
          <cell r="D1672" t="str">
            <v>Mohammed Abuzaid Abdellah</v>
          </cell>
          <cell r="E1672" t="str">
            <v>محمد أبو زيد عبد الله</v>
          </cell>
          <cell r="F1672">
            <v>45573</v>
          </cell>
          <cell r="G1672" t="str">
            <v>50003131</v>
          </cell>
          <cell r="H1672" t="str">
            <v>Advisor</v>
          </cell>
          <cell r="I1672" t="str">
            <v>مستشار</v>
          </cell>
          <cell r="J1672" t="str">
            <v>Temporary</v>
          </cell>
          <cell r="K1672" t="str">
            <v>ALC Al Nahiya</v>
          </cell>
          <cell r="L1672" t="str">
            <v>AL2</v>
          </cell>
          <cell r="M1672" t="str">
            <v>Abu Dhabi Arabic Language Centre</v>
          </cell>
          <cell r="N1672" t="str">
            <v>Abu Dhabi Arabic Language Centre</v>
          </cell>
          <cell r="O1672" t="str">
            <v>مركز أبوظبي للغة العربية</v>
          </cell>
          <cell r="P1672" t="str">
            <v>ALC Chairman’s Office</v>
          </cell>
          <cell r="Q1672" t="str">
            <v>مكتب رئيس مركز أبوظبي للغة العربية</v>
          </cell>
          <cell r="R1672" t="str">
            <v/>
          </cell>
          <cell r="S1672" t="str">
            <v/>
          </cell>
          <cell r="T1672" t="str">
            <v/>
          </cell>
          <cell r="U1672" t="str">
            <v/>
          </cell>
          <cell r="V1672" t="str">
            <v>Abu Dhabi</v>
          </cell>
          <cell r="W1672" t="str">
            <v/>
          </cell>
          <cell r="X1672" t="str">
            <v>4510195</v>
          </cell>
          <cell r="Y1672" t="str">
            <v>Interpretation &amp; Engagement_Falconer_Technical Staff</v>
          </cell>
          <cell r="Z1672" t="str">
            <v>Section Manager</v>
          </cell>
          <cell r="AA1672" t="str">
            <v>2C</v>
          </cell>
        </row>
        <row r="1673">
          <cell r="A1673">
            <v>2001180</v>
          </cell>
          <cell r="B1673">
            <v>2001180</v>
          </cell>
          <cell r="C1673" t="str">
            <v>A</v>
          </cell>
          <cell r="D1673" t="str">
            <v>Philip Lars Manning</v>
          </cell>
          <cell r="E1673" t="str">
            <v>فيليب لارس مانينج</v>
          </cell>
          <cell r="F1673">
            <v>45590</v>
          </cell>
          <cell r="G1673" t="str">
            <v>50003138</v>
          </cell>
          <cell r="H1673" t="str">
            <v>Scientific, Curatorial, &amp; Collections Management Department Director</v>
          </cell>
          <cell r="I1673" t="str">
            <v>مدير إدارة أمناء المتحف وإدارة المقتنيات</v>
          </cell>
          <cell r="J1673" t="str">
            <v>Temporary</v>
          </cell>
          <cell r="K1673" t="str">
            <v>MSS Al Nahiya</v>
          </cell>
          <cell r="L1673" t="str">
            <v>M2</v>
          </cell>
          <cell r="M1673" t="str">
            <v>Department of Culture and Tourism</v>
          </cell>
          <cell r="N1673" t="str">
            <v>Culture</v>
          </cell>
          <cell r="O1673" t="str">
            <v>الثقافة</v>
          </cell>
          <cell r="P1673" t="str">
            <v>Natural History Museum Abu Dhabi</v>
          </cell>
          <cell r="Q1673" t="str">
            <v>متحف التاريخ الطبيعي - أبوظبي</v>
          </cell>
          <cell r="R1673" t="str">
            <v>Scientific, Curatorial, &amp; Collections Management</v>
          </cell>
          <cell r="S1673" t="str">
            <v>أمناء المتحف وإدارة المقتنيات</v>
          </cell>
          <cell r="T1673" t="str">
            <v/>
          </cell>
          <cell r="U1673" t="str">
            <v/>
          </cell>
          <cell r="V1673" t="str">
            <v>Abu Dhabi</v>
          </cell>
          <cell r="W1673" t="str">
            <v/>
          </cell>
          <cell r="X1673" t="str">
            <v>4510310</v>
          </cell>
          <cell r="Y1673" t="str">
            <v>Compliance,Governance&amp;Protocol_Policy (Culture &amp;Tourism)_Director</v>
          </cell>
          <cell r="Z1673" t="str">
            <v>Director</v>
          </cell>
          <cell r="AA1673" t="str">
            <v>1C</v>
          </cell>
        </row>
        <row r="1674">
          <cell r="A1674">
            <v>2001181</v>
          </cell>
          <cell r="B1674">
            <v>2001181</v>
          </cell>
          <cell r="C1674" t="str">
            <v>A</v>
          </cell>
          <cell r="D1674" t="str">
            <v>Ahmad Esam Abotawaheeneh</v>
          </cell>
          <cell r="E1674" t="str">
            <v>احمد عصام أبوطواحينة</v>
          </cell>
          <cell r="F1674">
            <v>45580</v>
          </cell>
          <cell r="G1674" t="str">
            <v>50000612</v>
          </cell>
          <cell r="H1674" t="str">
            <v>Economic Modeling Unit Head</v>
          </cell>
          <cell r="I1674" t="str">
            <v>رئيس وحدة النمذجة الاقتصادية</v>
          </cell>
          <cell r="J1674" t="str">
            <v>On-Chart</v>
          </cell>
          <cell r="K1674" t="str">
            <v>Al Nahiya</v>
          </cell>
          <cell r="L1674" t="str">
            <v>N0</v>
          </cell>
          <cell r="M1674" t="str">
            <v>Department of Culture and Tourism</v>
          </cell>
          <cell r="N1674" t="str">
            <v>Strategic Affairs</v>
          </cell>
          <cell r="O1674" t="str">
            <v>الشؤون الاستراتيجية</v>
          </cell>
          <cell r="P1674" t="str">
            <v>Data &amp; AI Department</v>
          </cell>
          <cell r="Q1674" t="str">
            <v>إدارة البيانات والذكاء الاصطناعي</v>
          </cell>
          <cell r="R1674" t="str">
            <v>Artificial Intelligence Section</v>
          </cell>
          <cell r="S1674" t="str">
            <v>التحليل وعلم البيانات</v>
          </cell>
          <cell r="T1674" t="str">
            <v>Economic Modelling</v>
          </cell>
          <cell r="U1674" t="str">
            <v>النمذجة الاقتصادية</v>
          </cell>
          <cell r="V1674" t="str">
            <v>Abu Dhabi</v>
          </cell>
          <cell r="W1674" t="str">
            <v/>
          </cell>
          <cell r="X1674" t="str">
            <v>4512200</v>
          </cell>
          <cell r="Y1674" t="str">
            <v>Strategy, Planning, Project Mgt_Business &amp; Market Intelligence  Analysis &amp; Planning_Unit Head</v>
          </cell>
          <cell r="Z1674" t="str">
            <v>Unit Head</v>
          </cell>
          <cell r="AA1674" t="str">
            <v>3C</v>
          </cell>
        </row>
        <row r="1675">
          <cell r="A1675">
            <v>2001182</v>
          </cell>
          <cell r="B1675">
            <v>2001182</v>
          </cell>
          <cell r="C1675" t="str">
            <v>A</v>
          </cell>
          <cell r="D1675" t="str">
            <v>James Cheetham</v>
          </cell>
          <cell r="E1675" t="str">
            <v>جميس  شارليس</v>
          </cell>
          <cell r="F1675">
            <v>45580</v>
          </cell>
          <cell r="G1675" t="str">
            <v>50002195</v>
          </cell>
          <cell r="H1675" t="str">
            <v>International Destination Marketing Specialist</v>
          </cell>
          <cell r="I1675" t="str">
            <v>أخصائي  أول التسويق الدولي للوجهات السياحية</v>
          </cell>
          <cell r="J1675" t="str">
            <v>On-Chart</v>
          </cell>
          <cell r="K1675" t="str">
            <v>Al Nahiya</v>
          </cell>
          <cell r="L1675" t="str">
            <v>N0</v>
          </cell>
          <cell r="M1675" t="str">
            <v>Department of Culture and Tourism</v>
          </cell>
          <cell r="N1675" t="str">
            <v>Strategic Marketing &amp; Communication</v>
          </cell>
          <cell r="O1675" t="str">
            <v>التسويق والاتصال الاستراتيجي</v>
          </cell>
          <cell r="P1675" t="str">
            <v>Sector Marketing</v>
          </cell>
          <cell r="Q1675" t="str">
            <v>التسويق الخاص بالقطاعات</v>
          </cell>
          <cell r="R1675" t="str">
            <v>Destination Marketing</v>
          </cell>
          <cell r="S1675" t="str">
            <v>تسويق الوجهات السياحية</v>
          </cell>
          <cell r="T1675" t="str">
            <v>International Destination Marketing</v>
          </cell>
          <cell r="U1675" t="str">
            <v>التسويق الدولي للوجهات السياحية</v>
          </cell>
          <cell r="V1675" t="str">
            <v>Abu Dhabi</v>
          </cell>
          <cell r="W1675" t="str">
            <v/>
          </cell>
          <cell r="X1675" t="str">
            <v>4513140</v>
          </cell>
          <cell r="Y1675" t="str">
            <v>Comms &amp; Marketing _Marketing &amp; Communications (All areas)_Senior Professional</v>
          </cell>
          <cell r="Z1675" t="str">
            <v>Senior Professional</v>
          </cell>
          <cell r="AA1675" t="str">
            <v>3C</v>
          </cell>
        </row>
        <row r="1676">
          <cell r="A1676">
            <v>2001183</v>
          </cell>
          <cell r="B1676">
            <v>2001183</v>
          </cell>
          <cell r="C1676" t="str">
            <v>A</v>
          </cell>
          <cell r="D1676" t="str">
            <v>Sergio Barbero Andreu</v>
          </cell>
          <cell r="E1676" t="str">
            <v>سيرجيو باربيرو اندريو</v>
          </cell>
          <cell r="F1676">
            <v>45580</v>
          </cell>
          <cell r="G1676" t="str">
            <v>50001114</v>
          </cell>
          <cell r="H1676" t="str">
            <v>Operations Unit Head</v>
          </cell>
          <cell r="I1676" t="str">
            <v>رئيس وحدة العمليات</v>
          </cell>
          <cell r="J1676" t="str">
            <v>On-Chart</v>
          </cell>
          <cell r="K1676" t="str">
            <v>MSS Al Nahiya</v>
          </cell>
          <cell r="L1676" t="str">
            <v>M2</v>
          </cell>
          <cell r="M1676" t="str">
            <v>Department of Culture and Tourism</v>
          </cell>
          <cell r="N1676" t="str">
            <v>Culture</v>
          </cell>
          <cell r="O1676" t="str">
            <v>الثقافة</v>
          </cell>
          <cell r="P1676" t="str">
            <v>Guggenheim Abu Dhabi Museum</v>
          </cell>
          <cell r="Q1676" t="str">
            <v>متحف جوجينهايم أبوظبي</v>
          </cell>
          <cell r="R1676" t="str">
            <v>Guggenheim Abu Dhabi</v>
          </cell>
          <cell r="S1676" t="str">
            <v>جوجينهايم أبوظبي</v>
          </cell>
          <cell r="T1676" t="str">
            <v>Operations</v>
          </cell>
          <cell r="U1676" t="str">
            <v>العمليات</v>
          </cell>
          <cell r="V1676" t="str">
            <v>Abu Dhabi</v>
          </cell>
          <cell r="W1676" t="str">
            <v/>
          </cell>
          <cell r="X1676" t="str">
            <v>4510410</v>
          </cell>
          <cell r="Y1676" t="str">
            <v>Compliance,Governance&amp;Protocol_Policy  (Culture &amp; Tourism)_Unit Head</v>
          </cell>
          <cell r="Z1676" t="str">
            <v>Unit Head</v>
          </cell>
          <cell r="AA1676" t="str">
            <v>3C</v>
          </cell>
        </row>
        <row r="1677">
          <cell r="A1677">
            <v>2001186</v>
          </cell>
          <cell r="B1677">
            <v>2001186</v>
          </cell>
          <cell r="C1677" t="str">
            <v>A</v>
          </cell>
          <cell r="D1677" t="str">
            <v>Feras Khaled Al-Srouri</v>
          </cell>
          <cell r="E1677" t="str">
            <v>فراس خالد السروري</v>
          </cell>
          <cell r="F1677">
            <v>45593</v>
          </cell>
          <cell r="G1677" t="str">
            <v>10009364</v>
          </cell>
          <cell r="H1677" t="str">
            <v>Senior Business Analyst</v>
          </cell>
          <cell r="I1677" t="str">
            <v>محلل أعمال أول</v>
          </cell>
          <cell r="J1677" t="str">
            <v>On-Chart</v>
          </cell>
          <cell r="K1677" t="str">
            <v>Al Nahiya</v>
          </cell>
          <cell r="L1677" t="str">
            <v>N0</v>
          </cell>
          <cell r="M1677" t="str">
            <v>Department of Culture and Tourism</v>
          </cell>
          <cell r="N1677" t="str">
            <v>Support Services</v>
          </cell>
          <cell r="O1677" t="str">
            <v>الخدمات المساندة</v>
          </cell>
          <cell r="P1677" t="str">
            <v>Technology</v>
          </cell>
          <cell r="Q1677" t="str">
            <v>التكنولوجيا</v>
          </cell>
          <cell r="R1677" t="str">
            <v>Business Partnership</v>
          </cell>
          <cell r="S1677" t="str">
            <v>شراكات الأعمال</v>
          </cell>
          <cell r="T1677" t="str">
            <v>Solutions Design</v>
          </cell>
          <cell r="U1677" t="str">
            <v>تصميم الحلول</v>
          </cell>
          <cell r="V1677" t="str">
            <v>Abu Dhabi</v>
          </cell>
          <cell r="W1677" t="str">
            <v/>
          </cell>
          <cell r="X1677" t="str">
            <v>4510250</v>
          </cell>
          <cell r="Y1677" t="str">
            <v>Information Technology_Technical Support  _Senior Professional</v>
          </cell>
          <cell r="Z1677" t="str">
            <v>Senior Professional</v>
          </cell>
          <cell r="AA1677" t="str">
            <v>3C</v>
          </cell>
        </row>
        <row r="1678">
          <cell r="A1678">
            <v>2001187</v>
          </cell>
          <cell r="B1678">
            <v>2001187</v>
          </cell>
          <cell r="C1678" t="str">
            <v>A</v>
          </cell>
          <cell r="D1678" t="str">
            <v>Salwa Salem Bakuhail</v>
          </cell>
          <cell r="E1678" t="str">
            <v>سلوى سالم باكحيل</v>
          </cell>
          <cell r="F1678">
            <v>45593</v>
          </cell>
          <cell r="G1678" t="str">
            <v>50002872</v>
          </cell>
          <cell r="H1678" t="str">
            <v>Sustainability Lead</v>
          </cell>
          <cell r="I1678" t="str">
            <v>أخصائي رئيسي الاستدامة</v>
          </cell>
          <cell r="J1678" t="str">
            <v>On-Chart</v>
          </cell>
          <cell r="K1678" t="str">
            <v>Al Nahiya</v>
          </cell>
          <cell r="L1678" t="str">
            <v>N0</v>
          </cell>
          <cell r="M1678" t="str">
            <v>Department of Culture and Tourism</v>
          </cell>
          <cell r="N1678" t="str">
            <v>Strategic Affairs</v>
          </cell>
          <cell r="O1678" t="str">
            <v>الشؤون الاستراتيجية</v>
          </cell>
          <cell r="P1678" t="str">
            <v>Business Excellence &amp; Continuity</v>
          </cell>
          <cell r="Q1678" t="str">
            <v>التميز المؤسسي واستمرارية الأعمال</v>
          </cell>
          <cell r="R1678" t="str">
            <v>Corporate Excellence &amp; Foresight Planning</v>
          </cell>
          <cell r="S1678" t="str">
            <v>التميز المؤسسي واستشراف المستقبل</v>
          </cell>
          <cell r="T1678" t="str">
            <v/>
          </cell>
          <cell r="U1678" t="str">
            <v/>
          </cell>
          <cell r="V1678" t="str">
            <v>Abu Dhabi</v>
          </cell>
          <cell r="W1678" t="str">
            <v/>
          </cell>
          <cell r="X1678" t="str">
            <v>4512300</v>
          </cell>
          <cell r="Y1678" t="str">
            <v>Strategy, Planning, Project Mgt_Business Excellence &amp; Foresight Planning _Senior Professional</v>
          </cell>
          <cell r="Z1678" t="str">
            <v>Unit Head</v>
          </cell>
          <cell r="AA1678" t="str">
            <v>3C</v>
          </cell>
        </row>
        <row r="1679">
          <cell r="A1679">
            <v>2001189</v>
          </cell>
          <cell r="B1679">
            <v>2001189</v>
          </cell>
          <cell r="C1679" t="str">
            <v>A</v>
          </cell>
          <cell r="D1679" t="str">
            <v>Anna Sara Thomas</v>
          </cell>
          <cell r="E1679" t="str">
            <v>آنا سارة  توماس</v>
          </cell>
          <cell r="F1679">
            <v>45588</v>
          </cell>
          <cell r="G1679" t="str">
            <v>50003181</v>
          </cell>
          <cell r="H1679" t="str">
            <v>Portfolio Management Officer</v>
          </cell>
          <cell r="I1679" t="str">
            <v>ضابط إدارة مجموعة الأعمال</v>
          </cell>
          <cell r="J1679" t="str">
            <v>On-Chart</v>
          </cell>
          <cell r="K1679" t="str">
            <v>Al Nahiya</v>
          </cell>
          <cell r="L1679" t="str">
            <v>N0</v>
          </cell>
          <cell r="M1679" t="str">
            <v>Department of Culture and Tourism</v>
          </cell>
          <cell r="N1679" t="str">
            <v>Strategic Affairs</v>
          </cell>
          <cell r="O1679" t="str">
            <v>الشؤون الاستراتيجية</v>
          </cell>
          <cell r="P1679" t="str">
            <v>-</v>
          </cell>
          <cell r="Q1679" t="str">
            <v>-</v>
          </cell>
          <cell r="R1679" t="str">
            <v>Portfolio Management</v>
          </cell>
          <cell r="S1679" t="str">
            <v>قسم إدارة مجموعة الأعمال</v>
          </cell>
          <cell r="T1679" t="str">
            <v/>
          </cell>
          <cell r="U1679" t="str">
            <v/>
          </cell>
          <cell r="V1679" t="str">
            <v>Abu Dhabi</v>
          </cell>
          <cell r="W1679" t="str">
            <v/>
          </cell>
          <cell r="X1679" t="str">
            <v>4512000</v>
          </cell>
          <cell r="Y1679" t="str">
            <v>Strategy, Planning, Project Mgt_Strategic Business Partnership _Senior Professional</v>
          </cell>
          <cell r="Z1679" t="str">
            <v>Professional</v>
          </cell>
          <cell r="AA1679" t="str">
            <v>4C</v>
          </cell>
        </row>
        <row r="1680">
          <cell r="A1680">
            <v>2001190</v>
          </cell>
          <cell r="B1680">
            <v>2001190</v>
          </cell>
          <cell r="C1680" t="str">
            <v>A</v>
          </cell>
          <cell r="D1680" t="str">
            <v>Ahmed Mohammed Al Aidaros</v>
          </cell>
          <cell r="E1680" t="str">
            <v>احمد محمد العيدروس</v>
          </cell>
          <cell r="F1680">
            <v>45553</v>
          </cell>
          <cell r="G1680" t="str">
            <v>50003172</v>
          </cell>
          <cell r="H1680" t="str">
            <v>Gaming Relations Unit Head</v>
          </cell>
          <cell r="I1680" t="str">
            <v>رئيس وحدة علاقات شركات الألعاب</v>
          </cell>
          <cell r="J1680" t="str">
            <v>On-Chart</v>
          </cell>
          <cell r="K1680" t="str">
            <v>Al Nahiya</v>
          </cell>
          <cell r="L1680" t="str">
            <v>N0</v>
          </cell>
          <cell r="M1680" t="str">
            <v>Department of Culture and Tourism</v>
          </cell>
          <cell r="N1680" t="str">
            <v>Strategic Affairs</v>
          </cell>
          <cell r="O1680" t="str">
            <v>الشؤون الاستراتيجية</v>
          </cell>
          <cell r="P1680" t="str">
            <v>AD Gaming</v>
          </cell>
          <cell r="Q1680" t="str">
            <v>إدارة الألعاب والتطوير الرقمي</v>
          </cell>
          <cell r="R1680" t="str">
            <v>Gaming Relations</v>
          </cell>
          <cell r="S1680" t="str">
            <v>وحدة علاقات شركات الألعاب</v>
          </cell>
          <cell r="T1680" t="str">
            <v>Gaming Relations</v>
          </cell>
          <cell r="U1680" t="str">
            <v>وحدة علاقات شركات الألعاب</v>
          </cell>
          <cell r="V1680" t="str">
            <v>Abu Dhabi</v>
          </cell>
          <cell r="W1680" t="str">
            <v/>
          </cell>
          <cell r="X1680" t="str">
            <v>4518113</v>
          </cell>
          <cell r="Y1680" t="str">
            <v>Senior Specialization Content &amp; Care</v>
          </cell>
          <cell r="Z1680" t="str">
            <v>Unit Head</v>
          </cell>
          <cell r="AA1680" t="str">
            <v>3C</v>
          </cell>
        </row>
        <row r="1681">
          <cell r="A1681">
            <v>2001191</v>
          </cell>
          <cell r="B1681">
            <v>2001191</v>
          </cell>
          <cell r="C1681" t="str">
            <v>A</v>
          </cell>
          <cell r="D1681" t="str">
            <v>Baha Khalil</v>
          </cell>
          <cell r="E1681" t="str">
            <v>بهاء  خليل</v>
          </cell>
          <cell r="F1681">
            <v>45593</v>
          </cell>
          <cell r="G1681" t="str">
            <v>50002603</v>
          </cell>
          <cell r="H1681" t="str">
            <v>P&amp;P Planning &amp; Data Analytics Unit Head</v>
          </cell>
          <cell r="I1681" t="str">
            <v>رئيس وحدة التخطيط وتحليل بيانات الكوادر البشرية والأداء</v>
          </cell>
          <cell r="J1681" t="str">
            <v>On-Chart</v>
          </cell>
          <cell r="K1681" t="str">
            <v>MSS Al Nahiya</v>
          </cell>
          <cell r="L1681" t="str">
            <v>M2</v>
          </cell>
          <cell r="M1681" t="str">
            <v>Department of Culture and Tourism</v>
          </cell>
          <cell r="N1681" t="str">
            <v>Museums Shared Services</v>
          </cell>
          <cell r="O1681" t="str">
            <v>الخدمات المشتركة للمتاحف</v>
          </cell>
          <cell r="P1681" t="str">
            <v>People and Performance - MSS</v>
          </cell>
          <cell r="Q1681" t="str">
            <v>إدارة الكوادر البشرية والأداء - الخدمات المشتركة للمتاحف</v>
          </cell>
          <cell r="R1681" t="str">
            <v>P&amp;P Planning and Business Partnership Section</v>
          </cell>
          <cell r="S1681" t="str">
            <v>قسم التخطيط وشركاء أعمال الكوادر البشرية والأداء</v>
          </cell>
          <cell r="T1681" t="str">
            <v>P&amp;P Planning &amp; Data Analytics Unit</v>
          </cell>
          <cell r="U1681" t="str">
            <v>وحدة التخطيط وتحليل بيانات الكوادر البشرية والأداء</v>
          </cell>
          <cell r="V1681" t="str">
            <v>Abu Dhabi</v>
          </cell>
          <cell r="W1681" t="str">
            <v/>
          </cell>
          <cell r="X1681" t="str">
            <v>4514140</v>
          </cell>
          <cell r="Y1681" t="str">
            <v>People &amp; Performance _Organisation Development_Unit Head</v>
          </cell>
          <cell r="Z1681" t="str">
            <v>Unit Head</v>
          </cell>
          <cell r="AA1681" t="str">
            <v>3C</v>
          </cell>
        </row>
        <row r="1682">
          <cell r="A1682">
            <v>2001193</v>
          </cell>
          <cell r="B1682">
            <v>2001193</v>
          </cell>
          <cell r="C1682" t="str">
            <v>A</v>
          </cell>
          <cell r="D1682" t="str">
            <v>Renato  Franchi</v>
          </cell>
          <cell r="E1682" t="str">
            <v>ريناتو  فرانشي</v>
          </cell>
          <cell r="F1682">
            <v>45614</v>
          </cell>
          <cell r="G1682" t="str">
            <v>50003168</v>
          </cell>
          <cell r="H1682" t="str">
            <v>Sandstorm Comics Department Director</v>
          </cell>
          <cell r="I1682" t="str">
            <v>مدير إدارة الرسوم الهزلية(ساندستورم)</v>
          </cell>
          <cell r="J1682" t="str">
            <v>On-Chart</v>
          </cell>
          <cell r="K1682" t="str">
            <v>Al Nahiya</v>
          </cell>
          <cell r="L1682" t="str">
            <v>N0</v>
          </cell>
          <cell r="M1682" t="str">
            <v>Department of Culture and Tourism</v>
          </cell>
          <cell r="N1682" t="str">
            <v>Strategic Affairs</v>
          </cell>
          <cell r="O1682" t="str">
            <v>الشؤون الاستراتيجية</v>
          </cell>
          <cell r="P1682" t="str">
            <v>Sandstorm Comics</v>
          </cell>
          <cell r="Q1682" t="str">
            <v>إدارة الرسوم الهزلية(ساندستورم)</v>
          </cell>
          <cell r="R1682" t="str">
            <v/>
          </cell>
          <cell r="S1682" t="str">
            <v/>
          </cell>
          <cell r="T1682" t="str">
            <v/>
          </cell>
          <cell r="U1682" t="str">
            <v/>
          </cell>
          <cell r="V1682" t="str">
            <v>Abu Dhabi</v>
          </cell>
          <cell r="W1682" t="str">
            <v/>
          </cell>
          <cell r="X1682" t="str">
            <v>4518113</v>
          </cell>
          <cell r="Y1682" t="str">
            <v>Strategy, Planning, Project Mgt_Strategic Planning Delivery &amp; Reporting _Director</v>
          </cell>
          <cell r="Z1682" t="str">
            <v>Director</v>
          </cell>
          <cell r="AA1682" t="str">
            <v>1C</v>
          </cell>
        </row>
        <row r="1683">
          <cell r="A1683">
            <v>2001194</v>
          </cell>
          <cell r="B1683">
            <v>2001194</v>
          </cell>
          <cell r="C1683" t="str">
            <v>A</v>
          </cell>
          <cell r="D1683" t="str">
            <v>Sultan Ali Alkhyeli</v>
          </cell>
          <cell r="E1683" t="str">
            <v>سلطان علي الخييلي</v>
          </cell>
          <cell r="F1683">
            <v>45601</v>
          </cell>
          <cell r="G1683" t="str">
            <v>50002572</v>
          </cell>
          <cell r="H1683" t="str">
            <v>Accountant</v>
          </cell>
          <cell r="I1683" t="str">
            <v>محاسب</v>
          </cell>
          <cell r="J1683" t="str">
            <v>On-Chart</v>
          </cell>
          <cell r="K1683" t="str">
            <v>MSS Al Nahiya</v>
          </cell>
          <cell r="L1683" t="str">
            <v>M2</v>
          </cell>
          <cell r="M1683" t="str">
            <v>Department of Culture and Tourism</v>
          </cell>
          <cell r="N1683" t="str">
            <v>Museums Shared Services</v>
          </cell>
          <cell r="O1683" t="str">
            <v>الخدمات المشتركة للمتاحف</v>
          </cell>
          <cell r="P1683" t="str">
            <v>Finance - MSS</v>
          </cell>
          <cell r="Q1683" t="str">
            <v>الإدارة المالية - الخدمات المشتركة للمتاحف</v>
          </cell>
          <cell r="R1683" t="str">
            <v>Finance Operation Section - MSS</v>
          </cell>
          <cell r="S1683" t="str">
            <v>قسم العمليات المالية</v>
          </cell>
          <cell r="T1683" t="str">
            <v>Fixed Assets Unit - MSS</v>
          </cell>
          <cell r="U1683" t="str">
            <v>وحدة إدارة الأصول الثابتة</v>
          </cell>
          <cell r="V1683" t="str">
            <v>Abu Dhabi</v>
          </cell>
          <cell r="W1683" t="str">
            <v/>
          </cell>
          <cell r="X1683" t="str">
            <v>4514120</v>
          </cell>
          <cell r="Y1683" t="str">
            <v>Finance_Accountant_Professional</v>
          </cell>
          <cell r="Z1683" t="str">
            <v>Professional</v>
          </cell>
          <cell r="AA1683" t="str">
            <v>4C</v>
          </cell>
        </row>
        <row r="1684">
          <cell r="A1684">
            <v>2001195</v>
          </cell>
          <cell r="B1684">
            <v>2001195</v>
          </cell>
          <cell r="C1684" t="str">
            <v>A</v>
          </cell>
          <cell r="D1684" t="str">
            <v>Sushil Karam</v>
          </cell>
          <cell r="E1684" t="str">
            <v>سوشيل  كرم</v>
          </cell>
          <cell r="F1684">
            <v>45597</v>
          </cell>
          <cell r="G1684" t="str">
            <v>50002893</v>
          </cell>
          <cell r="H1684" t="str">
            <v>Strategic Partnerships  Section Head</v>
          </cell>
          <cell r="I1684" t="str">
            <v>رئيس قسم الشراكات الاستراتيجية</v>
          </cell>
          <cell r="J1684" t="str">
            <v>On-Chart</v>
          </cell>
          <cell r="K1684" t="str">
            <v>Al Nahiya</v>
          </cell>
          <cell r="L1684" t="str">
            <v>N0</v>
          </cell>
          <cell r="M1684" t="str">
            <v>Department of Culture and Tourism</v>
          </cell>
          <cell r="N1684" t="str">
            <v>Strategic Affairs</v>
          </cell>
          <cell r="O1684" t="str">
            <v>الشؤون الاستراتيجية</v>
          </cell>
          <cell r="P1684" t="str">
            <v>Strategic Planning</v>
          </cell>
          <cell r="Q1684" t="str">
            <v>التخطيط الاستراتيجي</v>
          </cell>
          <cell r="R1684" t="str">
            <v>Strategic Partnerships</v>
          </cell>
          <cell r="S1684" t="str">
            <v>الشراكات الاستراتيجية</v>
          </cell>
          <cell r="T1684" t="str">
            <v/>
          </cell>
          <cell r="U1684" t="str">
            <v/>
          </cell>
          <cell r="V1684" t="str">
            <v>Abu Dhabi</v>
          </cell>
          <cell r="W1684" t="str">
            <v/>
          </cell>
          <cell r="X1684" t="str">
            <v>4512100</v>
          </cell>
          <cell r="Y1684" t="str">
            <v>Strategy, Planning, Project Mgt_Strategic Planning  delivery &amp; Reporting_Section Head</v>
          </cell>
          <cell r="Z1684" t="str">
            <v>Section Manager</v>
          </cell>
          <cell r="AA1684" t="str">
            <v>2C</v>
          </cell>
        </row>
        <row r="1685">
          <cell r="A1685">
            <v>2001196</v>
          </cell>
          <cell r="B1685">
            <v>2001196</v>
          </cell>
          <cell r="C1685" t="str">
            <v>A</v>
          </cell>
          <cell r="D1685" t="str">
            <v>Mohamed Abdelsamia Mohamed</v>
          </cell>
          <cell r="E1685" t="str">
            <v>محمد عبدالسميع محمد</v>
          </cell>
          <cell r="F1685">
            <v>45597</v>
          </cell>
          <cell r="G1685" t="str">
            <v>50004174</v>
          </cell>
          <cell r="H1685" t="str">
            <v>Planning &amp; Operations (South Europe) Executive</v>
          </cell>
          <cell r="I1685" t="str">
            <v>تنفيذي التخطيط والعمليات (جنوب اوروبا)</v>
          </cell>
          <cell r="J1685" t="str">
            <v>On-Chart</v>
          </cell>
          <cell r="K1685" t="str">
            <v>Al Nahiya</v>
          </cell>
          <cell r="L1685" t="str">
            <v>N0</v>
          </cell>
          <cell r="M1685" t="str">
            <v>Department of Culture and Tourism</v>
          </cell>
          <cell r="N1685" t="str">
            <v>Tourism</v>
          </cell>
          <cell r="O1685" t="str">
            <v>السياحة</v>
          </cell>
          <cell r="P1685" t="str">
            <v>International Operations</v>
          </cell>
          <cell r="Q1685" t="str">
            <v>العمليات الدولية</v>
          </cell>
          <cell r="R1685" t="str">
            <v>Europe</v>
          </cell>
          <cell r="S1685" t="str">
            <v>منطقة أوروبا</v>
          </cell>
          <cell r="T1685" t="str">
            <v>South Europe</v>
          </cell>
          <cell r="U1685" t="str">
            <v>منطقة جنوب أوروبا</v>
          </cell>
          <cell r="V1685" t="str">
            <v>Abu Dhabi</v>
          </cell>
          <cell r="W1685" t="str">
            <v/>
          </cell>
          <cell r="X1685" t="str">
            <v>4515100</v>
          </cell>
          <cell r="Y1685" t="str">
            <v>Operations_Planning &amp; Operations  (All regions/International)_Professional</v>
          </cell>
          <cell r="Z1685" t="str">
            <v>Professional</v>
          </cell>
          <cell r="AA1685" t="str">
            <v>4C</v>
          </cell>
        </row>
        <row r="1686">
          <cell r="A1686">
            <v>2001197</v>
          </cell>
          <cell r="B1686">
            <v>2001197</v>
          </cell>
          <cell r="C1686" t="str">
            <v>A</v>
          </cell>
          <cell r="D1686" t="str">
            <v>Ijaz Bhati Nathaniel</v>
          </cell>
          <cell r="E1686" t="str">
            <v>اعجاز بهاتى ناتانيل</v>
          </cell>
          <cell r="F1686">
            <v>45607</v>
          </cell>
          <cell r="G1686" t="str">
            <v>50001273</v>
          </cell>
          <cell r="H1686" t="str">
            <v>BIM Senior Specialist</v>
          </cell>
          <cell r="I1686" t="str">
            <v>ضابط أول نمذجة معلومات البناء</v>
          </cell>
          <cell r="J1686" t="str">
            <v>On-Chart</v>
          </cell>
          <cell r="K1686" t="str">
            <v>MSS Al Nahiya</v>
          </cell>
          <cell r="L1686" t="str">
            <v>M2</v>
          </cell>
          <cell r="M1686" t="str">
            <v>Louvre Abu Dhabi</v>
          </cell>
          <cell r="N1686" t="str">
            <v>Louvre Abu Dhabi</v>
          </cell>
          <cell r="O1686" t="str">
            <v>متحف اللوفر أبوظبي</v>
          </cell>
          <cell r="P1686" t="str">
            <v>Technical Operations</v>
          </cell>
          <cell r="Q1686" t="str">
            <v>العمليات الفنية</v>
          </cell>
          <cell r="R1686" t="str">
            <v>Technical Operations</v>
          </cell>
          <cell r="S1686" t="str">
            <v>العمليات الفنية</v>
          </cell>
          <cell r="T1686" t="str">
            <v>Building IT Infrastructure</v>
          </cell>
          <cell r="U1686" t="str">
            <v>تأسيس البنية التحتية لتقنية المعلومات</v>
          </cell>
          <cell r="V1686" t="str">
            <v>Abu Dhabi</v>
          </cell>
          <cell r="W1686" t="str">
            <v/>
          </cell>
          <cell r="X1686" t="str">
            <v>4510127</v>
          </cell>
          <cell r="Y1686" t="str">
            <v>Information Technology_IT Business Application _Senior Professional</v>
          </cell>
          <cell r="Z1686" t="str">
            <v>Senior Professional</v>
          </cell>
          <cell r="AA1686" t="str">
            <v>3C</v>
          </cell>
        </row>
        <row r="1687">
          <cell r="A1687">
            <v>2001198</v>
          </cell>
          <cell r="B1687">
            <v>2001198</v>
          </cell>
          <cell r="C1687" t="str">
            <v>A</v>
          </cell>
          <cell r="D1687" t="str">
            <v>Rohith  Rajeev</v>
          </cell>
          <cell r="E1687" t="str">
            <v xml:space="preserve">روهيت   راجيف  </v>
          </cell>
          <cell r="F1687">
            <v>45607</v>
          </cell>
          <cell r="G1687" t="str">
            <v>10009780</v>
          </cell>
          <cell r="H1687" t="str">
            <v>CRM Engineer</v>
          </cell>
          <cell r="I1687" t="str">
            <v>مهندس نظم إدارة علاقات العملاء</v>
          </cell>
          <cell r="J1687" t="str">
            <v>On-Chart</v>
          </cell>
          <cell r="K1687" t="str">
            <v>Al Nahiya</v>
          </cell>
          <cell r="L1687" t="str">
            <v>N0</v>
          </cell>
          <cell r="M1687" t="str">
            <v>Department of Culture and Tourism</v>
          </cell>
          <cell r="N1687" t="str">
            <v>Support Services</v>
          </cell>
          <cell r="O1687" t="str">
            <v>الخدمات المساندة</v>
          </cell>
          <cell r="P1687" t="str">
            <v>Technology</v>
          </cell>
          <cell r="Q1687" t="str">
            <v>التكنولوجيا</v>
          </cell>
          <cell r="R1687" t="str">
            <v>Business Applications</v>
          </cell>
          <cell r="S1687" t="str">
            <v>التطبيقات المؤسسية</v>
          </cell>
          <cell r="T1687" t="str">
            <v>Applications</v>
          </cell>
          <cell r="U1687" t="str">
            <v>التطبيقات</v>
          </cell>
          <cell r="V1687" t="str">
            <v>Abu Dhabi</v>
          </cell>
          <cell r="W1687" t="str">
            <v/>
          </cell>
          <cell r="X1687" t="str">
            <v>4510250</v>
          </cell>
          <cell r="Y1687" t="str">
            <v>Information Technology_Technical Support Engineer_Professional</v>
          </cell>
          <cell r="Z1687" t="str">
            <v>Professional</v>
          </cell>
          <cell r="AA1687" t="str">
            <v>4C</v>
          </cell>
        </row>
        <row r="1688">
          <cell r="A1688">
            <v>2001199</v>
          </cell>
          <cell r="B1688">
            <v>2001199</v>
          </cell>
          <cell r="C1688" t="str">
            <v>A</v>
          </cell>
          <cell r="D1688" t="str">
            <v>Thajuzaman Ellathkandi</v>
          </cell>
          <cell r="E1688" t="str">
            <v>ثاجوزامان  الاثكاندى</v>
          </cell>
          <cell r="F1688">
            <v>45607</v>
          </cell>
          <cell r="G1688" t="str">
            <v>50002510</v>
          </cell>
          <cell r="H1688" t="str">
            <v>Portfolio Management Lead</v>
          </cell>
          <cell r="I1688" t="str">
            <v>أخصائي رئيسي إدارة مجموعة الأعمال</v>
          </cell>
          <cell r="J1688" t="str">
            <v>On-Chart</v>
          </cell>
          <cell r="K1688" t="str">
            <v>Al Nahiya</v>
          </cell>
          <cell r="L1688" t="str">
            <v>N0</v>
          </cell>
          <cell r="M1688" t="str">
            <v>Department of Culture and Tourism</v>
          </cell>
          <cell r="N1688" t="str">
            <v>Strategic Affairs</v>
          </cell>
          <cell r="O1688" t="str">
            <v>الشؤون الاستراتيجية</v>
          </cell>
          <cell r="P1688" t="str">
            <v>-</v>
          </cell>
          <cell r="Q1688" t="str">
            <v>-</v>
          </cell>
          <cell r="R1688" t="str">
            <v>Portfolio Management</v>
          </cell>
          <cell r="S1688" t="str">
            <v>قسم إدارة مجموعة الأعمال</v>
          </cell>
          <cell r="T1688" t="str">
            <v/>
          </cell>
          <cell r="U1688" t="str">
            <v/>
          </cell>
          <cell r="V1688" t="str">
            <v>Abu Dhabi</v>
          </cell>
          <cell r="W1688" t="str">
            <v/>
          </cell>
          <cell r="X1688" t="str">
            <v>4512000</v>
          </cell>
          <cell r="Y1688" t="str">
            <v>Strategy, Planning, Project Mgt_Strategic Business Partnership_Unit Head</v>
          </cell>
          <cell r="Z1688" t="str">
            <v>Unit Head</v>
          </cell>
          <cell r="AA1688" t="str">
            <v>3C</v>
          </cell>
        </row>
        <row r="1689">
          <cell r="A1689">
            <v>2001200</v>
          </cell>
          <cell r="B1689">
            <v>2001200</v>
          </cell>
          <cell r="C1689" t="str">
            <v>A</v>
          </cell>
          <cell r="D1689" t="str">
            <v>Ekaterina Mikhlina</v>
          </cell>
          <cell r="E1689" t="str">
            <v>اكثرينا  ميكلينا</v>
          </cell>
          <cell r="F1689">
            <v>45610</v>
          </cell>
          <cell r="G1689" t="str">
            <v>10011260</v>
          </cell>
          <cell r="H1689" t="str">
            <v>Special Projects Strategic Planning Section Head</v>
          </cell>
          <cell r="I1689" t="str">
            <v>رئيس قسم التخطيط الاستراتيجي للمشاريع الخاصة</v>
          </cell>
          <cell r="J1689" t="str">
            <v>On-Chart</v>
          </cell>
          <cell r="K1689" t="str">
            <v>Al Nahiya</v>
          </cell>
          <cell r="L1689" t="str">
            <v>N0</v>
          </cell>
          <cell r="M1689" t="str">
            <v>Department of Culture and Tourism</v>
          </cell>
          <cell r="N1689" t="str">
            <v>Strategic Affairs</v>
          </cell>
          <cell r="O1689" t="str">
            <v>الشؤون الاستراتيجية</v>
          </cell>
          <cell r="P1689" t="str">
            <v>Strategic Planning</v>
          </cell>
          <cell r="Q1689" t="str">
            <v>التخطيط الاستراتيجي</v>
          </cell>
          <cell r="R1689" t="str">
            <v>Special Projects Strategic Planning</v>
          </cell>
          <cell r="S1689" t="str">
            <v>التخطيط الاستراتيجي للمشاريع الخاصة</v>
          </cell>
          <cell r="T1689" t="str">
            <v/>
          </cell>
          <cell r="U1689" t="str">
            <v/>
          </cell>
          <cell r="V1689" t="str">
            <v>Abu Dhabi</v>
          </cell>
          <cell r="W1689" t="str">
            <v/>
          </cell>
          <cell r="X1689" t="str">
            <v>4512100</v>
          </cell>
          <cell r="Y1689" t="str">
            <v>Strategy, Planning, Project Mgt_Strategic Planning  delivery &amp; Reporting_Section Head</v>
          </cell>
          <cell r="Z1689" t="str">
            <v>Section Manager</v>
          </cell>
          <cell r="AA1689" t="str">
            <v>2C</v>
          </cell>
        </row>
        <row r="1690">
          <cell r="A1690">
            <v>2001201</v>
          </cell>
          <cell r="B1690">
            <v>2001201</v>
          </cell>
          <cell r="C1690" t="str">
            <v>A</v>
          </cell>
          <cell r="D1690" t="str">
            <v>Hanna Alhassen</v>
          </cell>
          <cell r="E1690" t="str">
            <v>هناء  الحسن</v>
          </cell>
          <cell r="F1690">
            <v>45593</v>
          </cell>
          <cell r="G1690" t="str">
            <v>50001970</v>
          </cell>
          <cell r="H1690" t="str">
            <v>Project Coordinator</v>
          </cell>
          <cell r="I1690" t="str">
            <v>منسق مشاريع</v>
          </cell>
          <cell r="J1690" t="str">
            <v>On-Chart</v>
          </cell>
          <cell r="K1690" t="str">
            <v>MSS Al Nahiya</v>
          </cell>
          <cell r="L1690" t="str">
            <v>M2</v>
          </cell>
          <cell r="M1690" t="str">
            <v>Department of Culture and Tourism</v>
          </cell>
          <cell r="N1690" t="str">
            <v>Culture</v>
          </cell>
          <cell r="O1690" t="str">
            <v>الثقافة</v>
          </cell>
          <cell r="P1690" t="str">
            <v>Natural History Museum Abu Dhabi</v>
          </cell>
          <cell r="Q1690" t="str">
            <v>متحف التاريخ الطبيعي - أبوظبي</v>
          </cell>
          <cell r="R1690" t="str">
            <v/>
          </cell>
          <cell r="S1690" t="str">
            <v/>
          </cell>
          <cell r="T1690" t="str">
            <v/>
          </cell>
          <cell r="U1690" t="str">
            <v/>
          </cell>
          <cell r="V1690" t="str">
            <v>Abu Dhabi</v>
          </cell>
          <cell r="W1690" t="str">
            <v/>
          </cell>
          <cell r="X1690" t="str">
            <v>4510310</v>
          </cell>
          <cell r="Y1690" t="str">
            <v>Compliance,Governance&amp;Protocol_Policy (Culture/Tourism) _Professional</v>
          </cell>
          <cell r="Z1690" t="str">
            <v>Professional</v>
          </cell>
          <cell r="AA1690" t="str">
            <v>4C</v>
          </cell>
        </row>
        <row r="1691">
          <cell r="A1691">
            <v>2001202</v>
          </cell>
          <cell r="B1691">
            <v>2001202</v>
          </cell>
          <cell r="C1691" t="str">
            <v>A</v>
          </cell>
          <cell r="D1691" t="str">
            <v>Irene Cazalla Manceras</v>
          </cell>
          <cell r="E1691" t="str">
            <v>إيرين كازالا مانسيراس</v>
          </cell>
          <cell r="F1691">
            <v>45607</v>
          </cell>
          <cell r="G1691" t="str">
            <v>50003001</v>
          </cell>
          <cell r="H1691" t="str">
            <v>Conservator</v>
          </cell>
          <cell r="I1691" t="str">
            <v>أخصائي حفظ</v>
          </cell>
          <cell r="J1691" t="str">
            <v>On-Chart</v>
          </cell>
          <cell r="K1691" t="str">
            <v>MSS Al Nahiya</v>
          </cell>
          <cell r="L1691" t="str">
            <v>M2</v>
          </cell>
          <cell r="M1691" t="str">
            <v>Department of Culture and Tourism</v>
          </cell>
          <cell r="N1691" t="str">
            <v>Culture</v>
          </cell>
          <cell r="O1691" t="str">
            <v>الثقافة</v>
          </cell>
          <cell r="P1691" t="str">
            <v>Natural History Museum Abu Dhabi</v>
          </cell>
          <cell r="Q1691" t="str">
            <v>متحف التاريخ الطبيعي - أبوظبي</v>
          </cell>
          <cell r="R1691" t="str">
            <v>Scientific, Curatorial, &amp; Collections Management</v>
          </cell>
          <cell r="S1691" t="str">
            <v>أمناء المتحف وإدارة المقتنيات</v>
          </cell>
          <cell r="T1691" t="str">
            <v/>
          </cell>
          <cell r="U1691" t="str">
            <v/>
          </cell>
          <cell r="V1691" t="str">
            <v>Abu Dhabi</v>
          </cell>
          <cell r="W1691" t="str">
            <v/>
          </cell>
          <cell r="X1691" t="str">
            <v>4510310</v>
          </cell>
          <cell r="Y1691" t="str">
            <v>Compliance,Governance&amp;Protocol_Policy (Culture/Tourism _Senior Professional</v>
          </cell>
          <cell r="Z1691" t="str">
            <v>Senior Professional</v>
          </cell>
          <cell r="AA1691" t="str">
            <v>3C</v>
          </cell>
        </row>
        <row r="1692">
          <cell r="A1692">
            <v>2001204</v>
          </cell>
          <cell r="B1692">
            <v>2001204</v>
          </cell>
          <cell r="C1692" t="str">
            <v>A</v>
          </cell>
          <cell r="D1692" t="str">
            <v>Jake John Kean</v>
          </cell>
          <cell r="E1692" t="str">
            <v>جاكي جون كينن</v>
          </cell>
          <cell r="F1692">
            <v>45670</v>
          </cell>
          <cell r="G1692" t="str">
            <v>50003591</v>
          </cell>
          <cell r="H1692" t="str">
            <v>Research Lab Specialist</v>
          </cell>
          <cell r="I1692" t="str">
            <v>أخصائي مختبر البحوث</v>
          </cell>
          <cell r="J1692" t="str">
            <v>On-Chart</v>
          </cell>
          <cell r="K1692" t="str">
            <v>MSS Al Nahiya</v>
          </cell>
          <cell r="L1692" t="str">
            <v>M2</v>
          </cell>
          <cell r="M1692" t="str">
            <v>Department of Culture and Tourism</v>
          </cell>
          <cell r="N1692" t="str">
            <v>Culture</v>
          </cell>
          <cell r="O1692" t="str">
            <v>الثقافة</v>
          </cell>
          <cell r="P1692" t="str">
            <v>Natural History Museum Abu Dhabi</v>
          </cell>
          <cell r="Q1692" t="str">
            <v>متحف التاريخ الطبيعي - أبوظبي</v>
          </cell>
          <cell r="R1692" t="str">
            <v>Scientific, Curatorial, &amp; Collections Management</v>
          </cell>
          <cell r="S1692" t="str">
            <v>أمناء المتحف وإدارة المقتنيات</v>
          </cell>
          <cell r="T1692" t="str">
            <v/>
          </cell>
          <cell r="U1692" t="str">
            <v/>
          </cell>
          <cell r="V1692" t="str">
            <v>Abu Dhabi</v>
          </cell>
          <cell r="W1692" t="str">
            <v/>
          </cell>
          <cell r="X1692" t="str">
            <v>4510310</v>
          </cell>
          <cell r="Y1692" t="str">
            <v>Content &amp; Care_Researcher (All)_Professional</v>
          </cell>
          <cell r="Z1692" t="str">
            <v>Professional</v>
          </cell>
          <cell r="AA1692" t="str">
            <v>4C</v>
          </cell>
        </row>
        <row r="1693">
          <cell r="A1693">
            <v>2001205</v>
          </cell>
          <cell r="B1693">
            <v>2001205</v>
          </cell>
          <cell r="C1693" t="str">
            <v>A</v>
          </cell>
          <cell r="D1693" t="str">
            <v>Vishal Lakhani</v>
          </cell>
          <cell r="E1693" t="str">
            <v>فيشال  لاكهاني</v>
          </cell>
          <cell r="F1693">
            <v>45614</v>
          </cell>
          <cell r="G1693" t="str">
            <v>50003023</v>
          </cell>
          <cell r="H1693" t="str">
            <v>Data Analytics Senior Analyst</v>
          </cell>
          <cell r="I1693" t="str">
            <v>محلل أول تحليل بيانات</v>
          </cell>
          <cell r="J1693" t="str">
            <v>On-Chart</v>
          </cell>
          <cell r="K1693" t="str">
            <v>Al Nahiya</v>
          </cell>
          <cell r="L1693" t="str">
            <v>N0</v>
          </cell>
          <cell r="M1693" t="str">
            <v>Department of Culture and Tourism</v>
          </cell>
          <cell r="N1693" t="str">
            <v>Support Services</v>
          </cell>
          <cell r="O1693" t="str">
            <v>الخدمات المساندة</v>
          </cell>
          <cell r="P1693" t="str">
            <v>Office of the Support Services Executive Director</v>
          </cell>
          <cell r="Q1693" t="str">
            <v>مكتب المدير التنفيذي لقطاع الخدمات المساندة</v>
          </cell>
          <cell r="R1693" t="str">
            <v>Support Services Transformation</v>
          </cell>
          <cell r="S1693" t="str">
            <v>تحول الخدمات المساندة</v>
          </cell>
          <cell r="T1693" t="str">
            <v>Analytics &amp; Transformation</v>
          </cell>
          <cell r="U1693" t="str">
            <v>التحول والتحليل</v>
          </cell>
          <cell r="V1693" t="str">
            <v>Abu Dhabi</v>
          </cell>
          <cell r="W1693" t="str">
            <v/>
          </cell>
          <cell r="X1693" t="str">
            <v>4510201</v>
          </cell>
          <cell r="Y1693" t="str">
            <v>Admin &amp; Support_Business Operations &amp;
Support _Director</v>
          </cell>
          <cell r="Z1693" t="str">
            <v>Professional</v>
          </cell>
          <cell r="AA1693" t="str">
            <v>3C</v>
          </cell>
        </row>
        <row r="1694">
          <cell r="A1694">
            <v>2001209</v>
          </cell>
          <cell r="B1694">
            <v>2001209</v>
          </cell>
          <cell r="C1694" t="str">
            <v>A</v>
          </cell>
          <cell r="D1694" t="str">
            <v>Farah Shamma</v>
          </cell>
          <cell r="E1694" t="str">
            <v>فرح  شما</v>
          </cell>
          <cell r="F1694">
            <v>45712</v>
          </cell>
          <cell r="G1694" t="str">
            <v>50000722</v>
          </cell>
          <cell r="H1694" t="str">
            <v>Communications Section Head</v>
          </cell>
          <cell r="I1694" t="str">
            <v>رئيس قسم الاتصال</v>
          </cell>
          <cell r="J1694" t="str">
            <v>On-Chart</v>
          </cell>
          <cell r="K1694" t="str">
            <v>MSS Al Nahiya</v>
          </cell>
          <cell r="L1694" t="str">
            <v>M2</v>
          </cell>
          <cell r="M1694" t="str">
            <v>Department of Culture and Tourism</v>
          </cell>
          <cell r="N1694" t="str">
            <v>Zayed National Museum</v>
          </cell>
          <cell r="O1694" t="str">
            <v>متحف زايد الوطني</v>
          </cell>
          <cell r="P1694" t="str">
            <v>Marketing &amp; Communication</v>
          </cell>
          <cell r="Q1694" t="str">
            <v>التسويق والاتصال</v>
          </cell>
          <cell r="R1694" t="str">
            <v>Communications</v>
          </cell>
          <cell r="S1694" t="str">
            <v>الاتصال</v>
          </cell>
          <cell r="T1694" t="str">
            <v/>
          </cell>
          <cell r="U1694" t="str">
            <v/>
          </cell>
          <cell r="V1694" t="str">
            <v>Abu Dhabi</v>
          </cell>
          <cell r="W1694" t="str">
            <v/>
          </cell>
          <cell r="X1694" t="str">
            <v>4510185</v>
          </cell>
          <cell r="Y1694" t="str">
            <v>Middle Management Marketing &amp; Communications</v>
          </cell>
          <cell r="Z1694" t="str">
            <v>Section Manager</v>
          </cell>
          <cell r="AA1694" t="str">
            <v>2C</v>
          </cell>
        </row>
        <row r="1695">
          <cell r="A1695">
            <v>2001210</v>
          </cell>
          <cell r="B1695">
            <v>2001210</v>
          </cell>
          <cell r="C1695" t="str">
            <v>A</v>
          </cell>
          <cell r="D1695" t="str">
            <v>Nabeel Abdulla</v>
          </cell>
          <cell r="E1695" t="str">
            <v>نبيل  عبدالله</v>
          </cell>
          <cell r="F1695">
            <v>45602</v>
          </cell>
          <cell r="G1695" t="str">
            <v>50003406</v>
          </cell>
          <cell r="H1695" t="str">
            <v>Museography Project Support Specialist</v>
          </cell>
          <cell r="I1695" t="str">
            <v>أخصائي دعم المشاريع المتحفية</v>
          </cell>
          <cell r="J1695" t="str">
            <v>On-Chart</v>
          </cell>
          <cell r="K1695" t="str">
            <v>MSS Al Nahiya</v>
          </cell>
          <cell r="L1695" t="str">
            <v>M2</v>
          </cell>
          <cell r="M1695" t="str">
            <v>Louvre Abu Dhabi</v>
          </cell>
          <cell r="N1695" t="str">
            <v>Louvre Abu Dhabi</v>
          </cell>
          <cell r="O1695" t="str">
            <v>متحف اللوفر أبوظبي</v>
          </cell>
          <cell r="P1695" t="str">
            <v>Scientific, Curatorial &amp; Collection Management</v>
          </cell>
          <cell r="Q1695" t="str">
            <v>إدارة المقتنيات العلمية والتنظيمية</v>
          </cell>
          <cell r="R1695" t="str">
            <v>Museography &amp; Collection Management</v>
          </cell>
          <cell r="S1695" t="str">
            <v>إدارة المجموعات</v>
          </cell>
          <cell r="T1695" t="str">
            <v/>
          </cell>
          <cell r="U1695" t="str">
            <v/>
          </cell>
          <cell r="V1695" t="str">
            <v>Abu Dhabi</v>
          </cell>
          <cell r="W1695" t="str">
            <v/>
          </cell>
          <cell r="X1695" t="str">
            <v>4510122</v>
          </cell>
          <cell r="Y1695" t="str">
            <v>Content &amp; Care_Museography  Management _Senior Professional</v>
          </cell>
          <cell r="Z1695" t="str">
            <v>Senior Professional</v>
          </cell>
          <cell r="AA1695" t="str">
            <v>4C</v>
          </cell>
        </row>
        <row r="1696">
          <cell r="A1696">
            <v>2001211</v>
          </cell>
          <cell r="B1696">
            <v>2001211</v>
          </cell>
          <cell r="C1696" t="str">
            <v>A</v>
          </cell>
          <cell r="D1696" t="str">
            <v>Juan Guillermo Chacon Barrera</v>
          </cell>
          <cell r="E1696" t="str">
            <v>جوان جويلير  شاكون باريرا</v>
          </cell>
          <cell r="F1696">
            <v>45622</v>
          </cell>
          <cell r="G1696" t="str">
            <v>50002013</v>
          </cell>
          <cell r="H1696" t="str">
            <v>Special Projects &amp; Transformation Lead</v>
          </cell>
          <cell r="I1696" t="str">
            <v>أخصائي رئيسي المشاريع الخاصة والتحول الاستراتيجي</v>
          </cell>
          <cell r="J1696" t="str">
            <v>On-Chart</v>
          </cell>
          <cell r="K1696" t="str">
            <v>Al Nahiya</v>
          </cell>
          <cell r="L1696" t="str">
            <v>N0</v>
          </cell>
          <cell r="M1696" t="str">
            <v>Department of Culture and Tourism</v>
          </cell>
          <cell r="N1696" t="str">
            <v>Strategic Affairs</v>
          </cell>
          <cell r="O1696" t="str">
            <v>الشؤون الاستراتيجية</v>
          </cell>
          <cell r="P1696" t="str">
            <v>Strategic Planning</v>
          </cell>
          <cell r="Q1696" t="str">
            <v>التخطيط الاستراتيجي</v>
          </cell>
          <cell r="R1696" t="str">
            <v>Special Projects Strategic Planning</v>
          </cell>
          <cell r="S1696" t="str">
            <v>التخطيط الاستراتيجي للمشاريع الخاصة</v>
          </cell>
          <cell r="T1696" t="str">
            <v/>
          </cell>
          <cell r="U1696" t="str">
            <v/>
          </cell>
          <cell r="V1696" t="str">
            <v>Abu Dhabi</v>
          </cell>
          <cell r="W1696" t="str">
            <v/>
          </cell>
          <cell r="X1696" t="str">
            <v>4512100</v>
          </cell>
          <cell r="Y1696" t="str">
            <v>Strategy, Planning, Project Mgt_Visitor Experience Monitoring _Section Head</v>
          </cell>
          <cell r="Z1696" t="str">
            <v>Unit Head</v>
          </cell>
          <cell r="AA1696" t="str">
            <v>3C</v>
          </cell>
        </row>
        <row r="1697">
          <cell r="A1697">
            <v>2001212</v>
          </cell>
          <cell r="B1697">
            <v>2001212</v>
          </cell>
          <cell r="C1697" t="str">
            <v>A</v>
          </cell>
          <cell r="D1697" t="str">
            <v>Nawal Ibrahim Abdul Aziz</v>
          </cell>
          <cell r="E1697" t="str">
            <v>نوال ابراهيم عبدالعزيز</v>
          </cell>
          <cell r="F1697">
            <v>45610</v>
          </cell>
          <cell r="G1697" t="str">
            <v>47700038</v>
          </cell>
          <cell r="H1697" t="str">
            <v>Projects Senior Specialist</v>
          </cell>
          <cell r="I1697" t="str">
            <v>أخصائي أول مشاريع</v>
          </cell>
          <cell r="J1697" t="str">
            <v>On-Chart</v>
          </cell>
          <cell r="K1697" t="str">
            <v>Al Nahiya</v>
          </cell>
          <cell r="L1697" t="str">
            <v>N0</v>
          </cell>
          <cell r="M1697" t="str">
            <v>Department of Culture and Tourism</v>
          </cell>
          <cell r="N1697" t="str">
            <v>Tourism</v>
          </cell>
          <cell r="O1697" t="str">
            <v>السياحة</v>
          </cell>
          <cell r="P1697" t="str">
            <v>Director General Office</v>
          </cell>
          <cell r="Q1697" t="str">
            <v>مكتب المدير العام للسياحة</v>
          </cell>
          <cell r="R1697" t="str">
            <v/>
          </cell>
          <cell r="S1697" t="str">
            <v/>
          </cell>
          <cell r="T1697" t="str">
            <v/>
          </cell>
          <cell r="U1697" t="str">
            <v/>
          </cell>
          <cell r="V1697" t="str">
            <v>Abu Dhabi</v>
          </cell>
          <cell r="W1697" t="str">
            <v/>
          </cell>
          <cell r="X1697" t="str">
            <v>4515001</v>
          </cell>
          <cell r="Y1697" t="str">
            <v>Compliance,Governance&amp;Protocol_Policy  (Culture &amp; Tourism)_Unit Head</v>
          </cell>
          <cell r="Z1697" t="str">
            <v>Unit Head</v>
          </cell>
          <cell r="AA1697" t="str">
            <v>3C</v>
          </cell>
        </row>
        <row r="1698">
          <cell r="A1698">
            <v>2001213</v>
          </cell>
          <cell r="B1698">
            <v>2001213</v>
          </cell>
          <cell r="C1698" t="str">
            <v>A</v>
          </cell>
          <cell r="D1698" t="str">
            <v>Arvin Lloyd Orillaneda</v>
          </cell>
          <cell r="E1698" t="str">
            <v>ارفين لويد  أوريانيدا</v>
          </cell>
          <cell r="F1698">
            <v>45611</v>
          </cell>
          <cell r="G1698" t="str">
            <v>10011032</v>
          </cell>
          <cell r="H1698" t="str">
            <v>Fixed Assets Management  Accountant</v>
          </cell>
          <cell r="I1698" t="str">
            <v>محاسب إدارة الأصول الثابتة</v>
          </cell>
          <cell r="J1698" t="str">
            <v>On-Chart</v>
          </cell>
          <cell r="K1698" t="str">
            <v>Al Nahiya</v>
          </cell>
          <cell r="L1698" t="str">
            <v>N0</v>
          </cell>
          <cell r="M1698" t="str">
            <v>Department of Culture and Tourism</v>
          </cell>
          <cell r="N1698" t="str">
            <v>Support Services</v>
          </cell>
          <cell r="O1698" t="str">
            <v>الخدمات المساندة</v>
          </cell>
          <cell r="P1698" t="str">
            <v>Finance</v>
          </cell>
          <cell r="Q1698" t="str">
            <v>إدارة المالية</v>
          </cell>
          <cell r="R1698" t="str">
            <v>Finance Operations</v>
          </cell>
          <cell r="S1698" t="str">
            <v>العمليات المالية</v>
          </cell>
          <cell r="T1698" t="str">
            <v>Fixed Assets Management</v>
          </cell>
          <cell r="U1698" t="str">
            <v>إدارة الأصول الثابتة</v>
          </cell>
          <cell r="V1698" t="str">
            <v>Abu Dhabi</v>
          </cell>
          <cell r="W1698" t="str">
            <v/>
          </cell>
          <cell r="X1698" t="str">
            <v>4510210</v>
          </cell>
          <cell r="Y1698" t="str">
            <v>Finance_Accountant _Professional Assistant</v>
          </cell>
          <cell r="Z1698" t="str">
            <v>Professional</v>
          </cell>
          <cell r="AA1698" t="str">
            <v>4C</v>
          </cell>
        </row>
        <row r="1699">
          <cell r="A1699">
            <v>2001214</v>
          </cell>
          <cell r="B1699">
            <v>2001214</v>
          </cell>
          <cell r="C1699" t="str">
            <v>A</v>
          </cell>
          <cell r="D1699" t="str">
            <v>Rana Mohamed Elshafie</v>
          </cell>
          <cell r="E1699" t="str">
            <v>رنا محمد الشافعي</v>
          </cell>
          <cell r="F1699">
            <v>45610</v>
          </cell>
          <cell r="G1699" t="str">
            <v>50003279</v>
          </cell>
          <cell r="H1699" t="str">
            <v>Graphic Designer</v>
          </cell>
          <cell r="I1699" t="str">
            <v>مصمم جرافيك</v>
          </cell>
          <cell r="J1699" t="str">
            <v>On-Chart</v>
          </cell>
          <cell r="K1699" t="str">
            <v>Al Nahiya</v>
          </cell>
          <cell r="L1699" t="str">
            <v>N0</v>
          </cell>
          <cell r="M1699" t="str">
            <v>Department of Culture and Tourism</v>
          </cell>
          <cell r="N1699" t="str">
            <v>Support Services</v>
          </cell>
          <cell r="O1699" t="str">
            <v>الخدمات المساندة</v>
          </cell>
          <cell r="P1699" t="str">
            <v>People &amp; Performance</v>
          </cell>
          <cell r="Q1699" t="str">
            <v>إدارة الكوادر البشرية والأداء</v>
          </cell>
          <cell r="R1699" t="str">
            <v>Internal Communications</v>
          </cell>
          <cell r="S1699" t="str">
            <v>الاتصال الداخلي</v>
          </cell>
          <cell r="T1699" t="str">
            <v/>
          </cell>
          <cell r="U1699" t="str">
            <v/>
          </cell>
          <cell r="V1699" t="str">
            <v>Abu Dhabi</v>
          </cell>
          <cell r="W1699" t="str">
            <v/>
          </cell>
          <cell r="X1699" t="str">
            <v>4510220</v>
          </cell>
          <cell r="Y1699" t="str">
            <v>Comms &amp; Marketing _Marketing &amp; Communications (All)_Professional</v>
          </cell>
          <cell r="Z1699" t="str">
            <v>Professional</v>
          </cell>
          <cell r="AA1699" t="str">
            <v>4C</v>
          </cell>
        </row>
        <row r="1700">
          <cell r="A1700">
            <v>2001215</v>
          </cell>
          <cell r="B1700">
            <v>2001215</v>
          </cell>
          <cell r="C1700" t="str">
            <v>A</v>
          </cell>
          <cell r="D1700" t="str">
            <v>Afshan Jamal</v>
          </cell>
          <cell r="E1700" t="str">
            <v>افشان  جمال</v>
          </cell>
          <cell r="F1700">
            <v>45603</v>
          </cell>
          <cell r="G1700" t="str">
            <v>50003022</v>
          </cell>
          <cell r="H1700" t="str">
            <v>Digital Product Unit Head</v>
          </cell>
          <cell r="I1700" t="str">
            <v>رئيس وحدة المنتجات الرقمية</v>
          </cell>
          <cell r="J1700" t="str">
            <v>On-Chart</v>
          </cell>
          <cell r="K1700" t="str">
            <v>Al Nahiya</v>
          </cell>
          <cell r="L1700" t="str">
            <v>N0</v>
          </cell>
          <cell r="M1700" t="str">
            <v>Department of Culture and Tourism</v>
          </cell>
          <cell r="N1700" t="str">
            <v>Tourism</v>
          </cell>
          <cell r="O1700" t="str">
            <v>السياحة</v>
          </cell>
          <cell r="P1700" t="str">
            <v>Tourism Sector Management Office</v>
          </cell>
          <cell r="Q1700" t="str">
            <v>مكتب إدارة شؤون قطاع السياحة</v>
          </cell>
          <cell r="R1700" t="str">
            <v>Tourism PMO Section</v>
          </cell>
          <cell r="S1700" t="str">
            <v>قسم  مكتب إدارة مشاريع السياحة</v>
          </cell>
          <cell r="T1700" t="str">
            <v>Digital Product Unit</v>
          </cell>
          <cell r="U1700" t="str">
            <v>وحدة المنتجات الرقمية</v>
          </cell>
          <cell r="V1700" t="str">
            <v>Abu Dhabi</v>
          </cell>
          <cell r="W1700" t="str">
            <v/>
          </cell>
          <cell r="X1700" t="str">
            <v>4515010</v>
          </cell>
          <cell r="Y1700" t="str">
            <v>Compliance,Governance&amp;Protocol_Policy  (Culture &amp; Tourism)_Unit Head</v>
          </cell>
          <cell r="Z1700" t="str">
            <v>Unit Head</v>
          </cell>
          <cell r="AA1700" t="str">
            <v>3C</v>
          </cell>
        </row>
        <row r="1701">
          <cell r="A1701">
            <v>2001217</v>
          </cell>
          <cell r="B1701">
            <v>2001217</v>
          </cell>
          <cell r="C1701" t="str">
            <v>A</v>
          </cell>
          <cell r="D1701" t="str">
            <v>Roberta  Burksaite</v>
          </cell>
          <cell r="E1701" t="str">
            <v xml:space="preserve">روبيرتا   بروكسايتى  </v>
          </cell>
          <cell r="F1701">
            <v>45617</v>
          </cell>
          <cell r="G1701" t="str">
            <v>50004226</v>
          </cell>
          <cell r="H1701" t="str">
            <v>Events Partnerships Management Lead</v>
          </cell>
          <cell r="I1701" t="str">
            <v>أخصائي رئيسي إدارة شراكات الفعاليات</v>
          </cell>
          <cell r="J1701" t="str">
            <v>On-Chart</v>
          </cell>
          <cell r="K1701" t="str">
            <v>Al Nahiya</v>
          </cell>
          <cell r="L1701" t="str">
            <v>N0</v>
          </cell>
          <cell r="M1701" t="str">
            <v>Department of Culture and Tourism</v>
          </cell>
          <cell r="N1701" t="str">
            <v>Tourism</v>
          </cell>
          <cell r="O1701" t="str">
            <v>السياحة</v>
          </cell>
          <cell r="P1701" t="str">
            <v>Abu Dhabi Events Bureau</v>
          </cell>
          <cell r="Q1701" t="str">
            <v>مكتب أبوظبي للفعاليات</v>
          </cell>
          <cell r="R1701" t="str">
            <v>Events Partnerships Management</v>
          </cell>
          <cell r="S1701" t="str">
            <v>قسم تدقيق العائدات</v>
          </cell>
          <cell r="T1701" t="str">
            <v/>
          </cell>
          <cell r="U1701" t="str">
            <v/>
          </cell>
          <cell r="V1701" t="str">
            <v>Abu Dhabi</v>
          </cell>
          <cell r="W1701" t="str">
            <v/>
          </cell>
          <cell r="X1701" t="str">
            <v>4515500</v>
          </cell>
          <cell r="Y1701" t="str">
            <v>Senior Specialization Festivals &amp; Events</v>
          </cell>
          <cell r="Z1701" t="str">
            <v>Senior Professional</v>
          </cell>
          <cell r="AA1701" t="str">
            <v>3C</v>
          </cell>
        </row>
        <row r="1702">
          <cell r="A1702">
            <v>2001218</v>
          </cell>
          <cell r="B1702">
            <v>2001218</v>
          </cell>
          <cell r="C1702" t="str">
            <v>A</v>
          </cell>
          <cell r="D1702" t="str">
            <v>Narendra Babu Madala</v>
          </cell>
          <cell r="E1702" t="str">
            <v>ناريندرا بابو نجم الدين مادال</v>
          </cell>
          <cell r="F1702">
            <v>45617</v>
          </cell>
          <cell r="G1702" t="str">
            <v>50002153</v>
          </cell>
          <cell r="H1702" t="str">
            <v>Digital Experience Development Senior Specialist</v>
          </cell>
          <cell r="I1702" t="str">
            <v>أخصائي أول  تطوير التجربة الرقمية</v>
          </cell>
          <cell r="J1702" t="str">
            <v>On-Chart</v>
          </cell>
          <cell r="K1702" t="str">
            <v>Al Nahiya</v>
          </cell>
          <cell r="L1702" t="str">
            <v>N0</v>
          </cell>
          <cell r="M1702" t="str">
            <v>Department of Culture and Tourism</v>
          </cell>
          <cell r="N1702" t="str">
            <v>Tourism</v>
          </cell>
          <cell r="O1702" t="str">
            <v>السياحة</v>
          </cell>
          <cell r="P1702" t="str">
            <v>Visitors Experience</v>
          </cell>
          <cell r="Q1702" t="str">
            <v>تجربة الزوار</v>
          </cell>
          <cell r="R1702" t="str">
            <v>Digital Experience Development</v>
          </cell>
          <cell r="S1702" t="str">
            <v>تطوير التجربة الرقمية</v>
          </cell>
          <cell r="T1702" t="str">
            <v/>
          </cell>
          <cell r="U1702" t="str">
            <v/>
          </cell>
          <cell r="V1702" t="str">
            <v>Abu Dhabi</v>
          </cell>
          <cell r="W1702" t="str">
            <v/>
          </cell>
          <cell r="X1702" t="str">
            <v>4515300</v>
          </cell>
          <cell r="Y1702" t="str">
            <v>Design_Visitor Experience Design _Professional</v>
          </cell>
          <cell r="Z1702" t="str">
            <v>Professional</v>
          </cell>
          <cell r="AA1702" t="str">
            <v>3C</v>
          </cell>
        </row>
        <row r="1703">
          <cell r="A1703">
            <v>2001219</v>
          </cell>
          <cell r="B1703">
            <v>2001219</v>
          </cell>
          <cell r="C1703" t="str">
            <v>A</v>
          </cell>
          <cell r="D1703" t="str">
            <v>Anand Ishwarlal</v>
          </cell>
          <cell r="E1703" t="str">
            <v>اناند  اشوارلال</v>
          </cell>
          <cell r="F1703">
            <v>45635</v>
          </cell>
          <cell r="G1703" t="str">
            <v>50004210</v>
          </cell>
          <cell r="H1703" t="str">
            <v>Marketing &amp; Community Engagement Unit Head (Comics)</v>
          </cell>
          <cell r="I1703" t="str">
            <v>رئيس وحدة التسويق والمشاركة المجتمعية (الرسوم الهزلية)</v>
          </cell>
          <cell r="J1703" t="str">
            <v>On-Chart</v>
          </cell>
          <cell r="K1703" t="str">
            <v>Al Nahiya</v>
          </cell>
          <cell r="L1703" t="str">
            <v>N0</v>
          </cell>
          <cell r="M1703" t="str">
            <v>Department of Culture and Tourism</v>
          </cell>
          <cell r="N1703" t="str">
            <v>Office Of Undersecretary</v>
          </cell>
          <cell r="O1703" t="str">
            <v>مكتب وكيل الدائرة</v>
          </cell>
          <cell r="P1703" t="str">
            <v>Office Of Undersecretary</v>
          </cell>
          <cell r="Q1703" t="str">
            <v>مكتب وكيل الدائرة</v>
          </cell>
          <cell r="R1703" t="str">
            <v/>
          </cell>
          <cell r="S1703" t="str">
            <v/>
          </cell>
          <cell r="T1703" t="str">
            <v/>
          </cell>
          <cell r="U1703" t="str">
            <v/>
          </cell>
          <cell r="V1703" t="str">
            <v>Abu Dhabi</v>
          </cell>
          <cell r="W1703" t="str">
            <v/>
          </cell>
          <cell r="X1703" t="str">
            <v>4510110</v>
          </cell>
          <cell r="Y1703" t="str">
            <v/>
          </cell>
          <cell r="Z1703" t="str">
            <v>Unit Head</v>
          </cell>
          <cell r="AA1703" t="str">
            <v>3C</v>
          </cell>
        </row>
        <row r="1704">
          <cell r="A1704">
            <v>2001220</v>
          </cell>
          <cell r="B1704">
            <v>2001220</v>
          </cell>
          <cell r="C1704" t="str">
            <v>A</v>
          </cell>
          <cell r="D1704" t="str">
            <v>Safia Saleh Aljaberi</v>
          </cell>
          <cell r="E1704" t="str">
            <v>صفيه صالح الجابري</v>
          </cell>
          <cell r="F1704">
            <v>45625</v>
          </cell>
          <cell r="G1704" t="str">
            <v>50003386</v>
          </cell>
          <cell r="H1704" t="str">
            <v>Projects Manager</v>
          </cell>
          <cell r="I1704" t="str">
            <v>مدير مشاريع</v>
          </cell>
          <cell r="J1704" t="str">
            <v>On-Chart</v>
          </cell>
          <cell r="K1704" t="str">
            <v>Al Nahiya</v>
          </cell>
          <cell r="L1704" t="str">
            <v>N0</v>
          </cell>
          <cell r="M1704" t="str">
            <v>Department of Culture and Tourism</v>
          </cell>
          <cell r="N1704" t="str">
            <v>Support Services</v>
          </cell>
          <cell r="O1704" t="str">
            <v>الخدمات المساندة</v>
          </cell>
          <cell r="P1704" t="str">
            <v>Technology</v>
          </cell>
          <cell r="Q1704" t="str">
            <v>التكنولوجيا</v>
          </cell>
          <cell r="R1704" t="str">
            <v>Technology PMO</v>
          </cell>
          <cell r="S1704" t="str">
            <v>مكتب إدارة مشاريع التكنولوجيا</v>
          </cell>
          <cell r="T1704" t="str">
            <v/>
          </cell>
          <cell r="U1704" t="str">
            <v/>
          </cell>
          <cell r="V1704" t="str">
            <v>Abu Dhabi</v>
          </cell>
          <cell r="W1704" t="str">
            <v/>
          </cell>
          <cell r="X1704" t="str">
            <v>4510250</v>
          </cell>
          <cell r="Y1704" t="str">
            <v>Information Technology_IT Operations _Unit Head</v>
          </cell>
          <cell r="Z1704" t="str">
            <v>Unit Head</v>
          </cell>
          <cell r="AA1704" t="str">
            <v>3A</v>
          </cell>
        </row>
        <row r="1705">
          <cell r="A1705">
            <v>2001221</v>
          </cell>
          <cell r="B1705">
            <v>2001221</v>
          </cell>
          <cell r="C1705" t="str">
            <v>A</v>
          </cell>
          <cell r="D1705" t="str">
            <v>Christopher Ian Santos</v>
          </cell>
          <cell r="E1705" t="str">
            <v>كريستوفر ايان  سنتوس</v>
          </cell>
          <cell r="F1705">
            <v>45625</v>
          </cell>
          <cell r="G1705" t="str">
            <v>47700474</v>
          </cell>
          <cell r="H1705" t="str">
            <v>Senior Digital Designer</v>
          </cell>
          <cell r="I1705" t="str">
            <v>مصمم أول المحتوى الرقمي</v>
          </cell>
          <cell r="J1705" t="str">
            <v>On-Chart</v>
          </cell>
          <cell r="K1705" t="str">
            <v>Al Nahiya</v>
          </cell>
          <cell r="L1705" t="str">
            <v>N0</v>
          </cell>
          <cell r="M1705" t="str">
            <v>Department of Culture and Tourism</v>
          </cell>
          <cell r="N1705" t="str">
            <v>Strategic Marketing &amp; Communication</v>
          </cell>
          <cell r="O1705" t="str">
            <v>التسويق والاتصال الاستراتيجي</v>
          </cell>
          <cell r="P1705" t="str">
            <v>Creative &amp; Production</v>
          </cell>
          <cell r="Q1705" t="str">
            <v>الإبداع والإنتاج</v>
          </cell>
          <cell r="R1705" t="str">
            <v>Creative Content</v>
          </cell>
          <cell r="S1705" t="str">
            <v>المحتوى الإبداعي</v>
          </cell>
          <cell r="T1705" t="str">
            <v>Digital Design</v>
          </cell>
          <cell r="U1705" t="str">
            <v>تصميم المحتوى الرقمي</v>
          </cell>
          <cell r="V1705" t="str">
            <v>Abu Dhabi</v>
          </cell>
          <cell r="W1705" t="str">
            <v/>
          </cell>
          <cell r="X1705" t="str">
            <v>4513110</v>
          </cell>
          <cell r="Y1705" t="str">
            <v>Senior Specialization Design</v>
          </cell>
          <cell r="Z1705" t="str">
            <v>Senior Professional</v>
          </cell>
          <cell r="AA1705" t="str">
            <v>3C</v>
          </cell>
        </row>
        <row r="1706">
          <cell r="A1706">
            <v>2001222</v>
          </cell>
          <cell r="B1706">
            <v>2001222</v>
          </cell>
          <cell r="C1706" t="str">
            <v>A</v>
          </cell>
          <cell r="D1706" t="str">
            <v>Mohamed Jamal Khouli</v>
          </cell>
          <cell r="E1706" t="str">
            <v>محمد جمال الخولي</v>
          </cell>
          <cell r="F1706">
            <v>45631</v>
          </cell>
          <cell r="G1706" t="str">
            <v>50002541</v>
          </cell>
          <cell r="H1706" t="str">
            <v>Comics Operations Officer</v>
          </cell>
          <cell r="I1706" t="str">
            <v>ضابط عمليات الرسوم الهزلية</v>
          </cell>
          <cell r="J1706" t="str">
            <v>On-Chart</v>
          </cell>
          <cell r="K1706" t="str">
            <v>Al Nahiya</v>
          </cell>
          <cell r="L1706" t="str">
            <v>N0</v>
          </cell>
          <cell r="M1706" t="str">
            <v>Department of Culture and Tourism</v>
          </cell>
          <cell r="N1706" t="str">
            <v>Strategic Affairs</v>
          </cell>
          <cell r="O1706" t="str">
            <v>الشؤون الاستراتيجية</v>
          </cell>
          <cell r="P1706" t="str">
            <v>Gaming &amp; Comics Operations</v>
          </cell>
          <cell r="Q1706" t="str">
            <v>إدارة عمليات الرسوم الهزلية والألعاب</v>
          </cell>
          <cell r="R1706" t="str">
            <v>-</v>
          </cell>
          <cell r="S1706" t="str">
            <v>-</v>
          </cell>
          <cell r="T1706" t="str">
            <v>Comics Operations</v>
          </cell>
          <cell r="U1706" t="str">
            <v>وحدة عمليات الرسوم الهزلية</v>
          </cell>
          <cell r="V1706" t="str">
            <v>Abu Dhabi</v>
          </cell>
          <cell r="W1706" t="str">
            <v/>
          </cell>
          <cell r="X1706" t="str">
            <v>4518113</v>
          </cell>
          <cell r="Y1706" t="str">
            <v>Strategy, Planning, Project Mgt_Operational Planning &amp; Project Management _Professional</v>
          </cell>
          <cell r="Z1706" t="str">
            <v>Professional</v>
          </cell>
          <cell r="AA1706" t="str">
            <v>4C</v>
          </cell>
        </row>
        <row r="1707">
          <cell r="A1707">
            <v>2001223</v>
          </cell>
          <cell r="B1707">
            <v>2001223</v>
          </cell>
          <cell r="C1707" t="str">
            <v>A</v>
          </cell>
          <cell r="D1707" t="str">
            <v>Jubin John</v>
          </cell>
          <cell r="E1707" t="str">
            <v>جوبين  جون</v>
          </cell>
          <cell r="F1707">
            <v>45631</v>
          </cell>
          <cell r="G1707" t="str">
            <v>10009819</v>
          </cell>
          <cell r="H1707" t="str">
            <v>Influencers Management Specialist</v>
          </cell>
          <cell r="I1707" t="str">
            <v>أخصائي ادارة المؤثرين</v>
          </cell>
          <cell r="J1707" t="str">
            <v>On-Chart</v>
          </cell>
          <cell r="K1707" t="str">
            <v>Al Nahiya</v>
          </cell>
          <cell r="L1707" t="str">
            <v>N0</v>
          </cell>
          <cell r="M1707" t="str">
            <v>Department of Culture and Tourism</v>
          </cell>
          <cell r="N1707" t="str">
            <v>Strategic Marketing &amp; Communication</v>
          </cell>
          <cell r="O1707" t="str">
            <v>التسويق والاتصال الاستراتيجي</v>
          </cell>
          <cell r="P1707" t="str">
            <v>Planning, Strategy &amp; Operations</v>
          </cell>
          <cell r="Q1707" t="str">
            <v>التخطيط والاستراتيجية والعمليات</v>
          </cell>
          <cell r="R1707" t="str">
            <v>Media &amp; Partnerships</v>
          </cell>
          <cell r="S1707" t="str">
            <v>الإعلام والشراكات</v>
          </cell>
          <cell r="T1707" t="str">
            <v>Influencers Management</v>
          </cell>
          <cell r="U1707" t="str">
            <v>إدارة المؤثرين</v>
          </cell>
          <cell r="V1707" t="str">
            <v>Abu Dhabi</v>
          </cell>
          <cell r="W1707" t="str">
            <v/>
          </cell>
          <cell r="X1707" t="str">
            <v>4513130</v>
          </cell>
          <cell r="Y1707" t="str">
            <v>Strategy, Planning, Project Mgt_Business/Sector Performance Management  &amp; Reporting _Senior Professional</v>
          </cell>
          <cell r="Z1707" t="str">
            <v>Senior Professional</v>
          </cell>
          <cell r="AA1707" t="str">
            <v>3C</v>
          </cell>
        </row>
        <row r="1708">
          <cell r="A1708">
            <v>2001224</v>
          </cell>
          <cell r="B1708">
            <v>2001224</v>
          </cell>
          <cell r="C1708" t="str">
            <v>A</v>
          </cell>
          <cell r="D1708" t="str">
            <v>Luca Bellucci</v>
          </cell>
          <cell r="E1708" t="str">
            <v>لوكا  بيلوتشي</v>
          </cell>
          <cell r="F1708">
            <v>45649</v>
          </cell>
          <cell r="G1708" t="str">
            <v>50001961</v>
          </cell>
          <cell r="H1708" t="str">
            <v>Curator</v>
          </cell>
          <cell r="I1708" t="str">
            <v>أمين متحف</v>
          </cell>
          <cell r="J1708" t="str">
            <v>On-Chart</v>
          </cell>
          <cell r="K1708" t="str">
            <v>MSS Al Nahiya</v>
          </cell>
          <cell r="L1708" t="str">
            <v>M2</v>
          </cell>
          <cell r="M1708" t="str">
            <v>Department of Culture and Tourism</v>
          </cell>
          <cell r="N1708" t="str">
            <v>Culture</v>
          </cell>
          <cell r="O1708" t="str">
            <v>الثقافة</v>
          </cell>
          <cell r="P1708" t="str">
            <v>Natural History Museum Abu Dhabi</v>
          </cell>
          <cell r="Q1708" t="str">
            <v>متحف التاريخ الطبيعي - أبوظبي</v>
          </cell>
          <cell r="R1708" t="str">
            <v>Scientific, Curatorial, &amp; Collections Management</v>
          </cell>
          <cell r="S1708" t="str">
            <v>أمناء المتحف وإدارة المقتنيات</v>
          </cell>
          <cell r="T1708" t="str">
            <v/>
          </cell>
          <cell r="U1708" t="str">
            <v/>
          </cell>
          <cell r="V1708" t="str">
            <v>Abu Dhabi</v>
          </cell>
          <cell r="W1708" t="str">
            <v/>
          </cell>
          <cell r="X1708" t="str">
            <v>4510310</v>
          </cell>
          <cell r="Y1708" t="str">
            <v>Compliance,Governance&amp;Protocol_Policy (Culture/Tourism _Senior Professional</v>
          </cell>
          <cell r="Z1708" t="str">
            <v>Senior Professional</v>
          </cell>
          <cell r="AA1708" t="str">
            <v>3C</v>
          </cell>
        </row>
        <row r="1709">
          <cell r="A1709">
            <v>2001225</v>
          </cell>
          <cell r="B1709">
            <v>2001225</v>
          </cell>
          <cell r="C1709" t="str">
            <v>A</v>
          </cell>
          <cell r="D1709" t="str">
            <v>Rebecca Desjardins</v>
          </cell>
          <cell r="E1709" t="str">
            <v>ربسا  دسجاردينس</v>
          </cell>
          <cell r="F1709">
            <v>45656</v>
          </cell>
          <cell r="G1709" t="str">
            <v>50003595</v>
          </cell>
          <cell r="H1709" t="str">
            <v>Collections Management Senior Specialist</v>
          </cell>
          <cell r="I1709" t="str">
            <v>أخصائي أول إدارة المقتنيات</v>
          </cell>
          <cell r="J1709" t="str">
            <v>On-Chart</v>
          </cell>
          <cell r="K1709" t="str">
            <v>MSS Al Nahiya</v>
          </cell>
          <cell r="L1709" t="str">
            <v>M2</v>
          </cell>
          <cell r="M1709" t="str">
            <v>Department of Culture and Tourism</v>
          </cell>
          <cell r="N1709" t="str">
            <v>Culture</v>
          </cell>
          <cell r="O1709" t="str">
            <v>الثقافة</v>
          </cell>
          <cell r="P1709" t="str">
            <v>Natural History Museum Abu Dhabi</v>
          </cell>
          <cell r="Q1709" t="str">
            <v>متحف التاريخ الطبيعي - أبوظبي</v>
          </cell>
          <cell r="R1709" t="str">
            <v>Scientific, Curatorial, &amp; Collections Management</v>
          </cell>
          <cell r="S1709" t="str">
            <v>أمناء المتحف وإدارة المقتنيات</v>
          </cell>
          <cell r="T1709" t="str">
            <v/>
          </cell>
          <cell r="U1709" t="str">
            <v/>
          </cell>
          <cell r="V1709" t="str">
            <v>Abu Dhabi</v>
          </cell>
          <cell r="W1709" t="str">
            <v/>
          </cell>
          <cell r="X1709" t="str">
            <v>4510310</v>
          </cell>
          <cell r="Y1709" t="str">
            <v>Content &amp; Care_Collections  Conservation (All) _Senior Professional</v>
          </cell>
          <cell r="Z1709" t="str">
            <v>Senior Professional</v>
          </cell>
          <cell r="AA1709" t="str">
            <v>3C</v>
          </cell>
        </row>
        <row r="1710">
          <cell r="A1710">
            <v>2001226</v>
          </cell>
          <cell r="B1710">
            <v>2001226</v>
          </cell>
          <cell r="C1710" t="str">
            <v>A</v>
          </cell>
          <cell r="D1710" t="str">
            <v>Hanneke Jacobs</v>
          </cell>
          <cell r="E1710" t="str">
            <v>هانك  جاكوبس</v>
          </cell>
          <cell r="F1710">
            <v>45656</v>
          </cell>
          <cell r="G1710" t="str">
            <v>50003596</v>
          </cell>
          <cell r="H1710" t="str">
            <v>Collections Management Senior Specialist</v>
          </cell>
          <cell r="I1710" t="str">
            <v>أخصائي أول إدارة المقتنيات</v>
          </cell>
          <cell r="J1710" t="str">
            <v>On-Chart</v>
          </cell>
          <cell r="K1710" t="str">
            <v>MSS Al Nahiya</v>
          </cell>
          <cell r="L1710" t="str">
            <v>M2</v>
          </cell>
          <cell r="M1710" t="str">
            <v>Department of Culture and Tourism</v>
          </cell>
          <cell r="N1710" t="str">
            <v>Culture</v>
          </cell>
          <cell r="O1710" t="str">
            <v>الثقافة</v>
          </cell>
          <cell r="P1710" t="str">
            <v>Natural History Museum Abu Dhabi</v>
          </cell>
          <cell r="Q1710" t="str">
            <v>متحف التاريخ الطبيعي - أبوظبي</v>
          </cell>
          <cell r="R1710" t="str">
            <v>Scientific, Curatorial, &amp; Collections Management</v>
          </cell>
          <cell r="S1710" t="str">
            <v>أمناء المتحف وإدارة المقتنيات</v>
          </cell>
          <cell r="T1710" t="str">
            <v/>
          </cell>
          <cell r="U1710" t="str">
            <v/>
          </cell>
          <cell r="V1710" t="str">
            <v>Abu Dhabi</v>
          </cell>
          <cell r="W1710" t="str">
            <v/>
          </cell>
          <cell r="X1710" t="str">
            <v>4510310</v>
          </cell>
          <cell r="Y1710" t="str">
            <v>Content &amp; Care_Collections  Conservation (All) _Senior Professional</v>
          </cell>
          <cell r="Z1710" t="str">
            <v>Senior Professional</v>
          </cell>
          <cell r="AA1710" t="str">
            <v>3C</v>
          </cell>
        </row>
        <row r="1711">
          <cell r="A1711">
            <v>2001227</v>
          </cell>
          <cell r="B1711">
            <v>2001227</v>
          </cell>
          <cell r="C1711" t="str">
            <v>A</v>
          </cell>
          <cell r="D1711" t="str">
            <v>Dmytro Kotelnikov</v>
          </cell>
          <cell r="E1711" t="str">
            <v>دميترو  كوتيلنيكوف</v>
          </cell>
          <cell r="F1711">
            <v>45656</v>
          </cell>
          <cell r="G1711" t="str">
            <v>50003597</v>
          </cell>
          <cell r="H1711" t="str">
            <v>Multimedia Assets Senior Specialist</v>
          </cell>
          <cell r="I1711" t="str">
            <v>أخصائي أول الأصول متعددة الوسائط</v>
          </cell>
          <cell r="J1711" t="str">
            <v>On-Chart</v>
          </cell>
          <cell r="K1711" t="str">
            <v>MSS Al Nahiya</v>
          </cell>
          <cell r="L1711" t="str">
            <v>M2</v>
          </cell>
          <cell r="M1711" t="str">
            <v>Department of Culture and Tourism</v>
          </cell>
          <cell r="N1711" t="str">
            <v>Culture</v>
          </cell>
          <cell r="O1711" t="str">
            <v>الثقافة</v>
          </cell>
          <cell r="P1711" t="str">
            <v>Natural History Museum Abu Dhabi</v>
          </cell>
          <cell r="Q1711" t="str">
            <v>متحف التاريخ الطبيعي - أبوظبي</v>
          </cell>
          <cell r="R1711" t="str">
            <v>Scientific, Curatorial, &amp; Collections Management</v>
          </cell>
          <cell r="S1711" t="str">
            <v>أمناء المتحف وإدارة المقتنيات</v>
          </cell>
          <cell r="T1711" t="str">
            <v/>
          </cell>
          <cell r="U1711" t="str">
            <v/>
          </cell>
          <cell r="V1711" t="str">
            <v>Abu Dhabi</v>
          </cell>
          <cell r="W1711" t="str">
            <v/>
          </cell>
          <cell r="X1711" t="str">
            <v>4510310</v>
          </cell>
          <cell r="Y1711" t="str">
            <v>Digital_Digital Marketing &amp; Social Media Management _Senior Professional</v>
          </cell>
          <cell r="Z1711" t="str">
            <v>Senior Professional</v>
          </cell>
          <cell r="AA1711" t="str">
            <v>3C</v>
          </cell>
        </row>
        <row r="1712">
          <cell r="A1712">
            <v>2001228</v>
          </cell>
          <cell r="B1712">
            <v>2001228</v>
          </cell>
          <cell r="C1712" t="str">
            <v>A</v>
          </cell>
          <cell r="D1712" t="str">
            <v>Shaban Mukasa</v>
          </cell>
          <cell r="E1712" t="str">
            <v>شهبان  موكاسا</v>
          </cell>
          <cell r="F1712">
            <v>45656</v>
          </cell>
          <cell r="G1712" t="str">
            <v>50003586</v>
          </cell>
          <cell r="H1712" t="str">
            <v>Facilities Management Senior Specialist</v>
          </cell>
          <cell r="I1712" t="str">
            <v>أخصائي أول إدارة المرافق</v>
          </cell>
          <cell r="J1712" t="str">
            <v>On-Chart</v>
          </cell>
          <cell r="K1712" t="str">
            <v>MSS Al Nahiya</v>
          </cell>
          <cell r="L1712" t="str">
            <v>M2</v>
          </cell>
          <cell r="M1712" t="str">
            <v>Department of Culture and Tourism</v>
          </cell>
          <cell r="N1712" t="str">
            <v>Culture</v>
          </cell>
          <cell r="O1712" t="str">
            <v>الثقافة</v>
          </cell>
          <cell r="P1712" t="str">
            <v>Natural History Museum Abu Dhabi</v>
          </cell>
          <cell r="Q1712" t="str">
            <v>متحف التاريخ الطبيعي - أبوظبي</v>
          </cell>
          <cell r="R1712" t="str">
            <v/>
          </cell>
          <cell r="S1712" t="str">
            <v/>
          </cell>
          <cell r="T1712" t="str">
            <v/>
          </cell>
          <cell r="U1712" t="str">
            <v/>
          </cell>
          <cell r="V1712" t="str">
            <v>Abu Dhabi</v>
          </cell>
          <cell r="W1712" t="str">
            <v/>
          </cell>
          <cell r="X1712" t="str">
            <v>4510310</v>
          </cell>
          <cell r="Y1712" t="str">
            <v>Technical Safety &amp; Security_Facilities Management &amp; Building Services _Senior Professional</v>
          </cell>
          <cell r="Z1712" t="str">
            <v>Senior Professional</v>
          </cell>
          <cell r="AA1712" t="str">
            <v>3C</v>
          </cell>
        </row>
        <row r="1713">
          <cell r="A1713">
            <v>2001229</v>
          </cell>
          <cell r="B1713">
            <v>2001229</v>
          </cell>
          <cell r="C1713" t="str">
            <v>A</v>
          </cell>
          <cell r="D1713" t="str">
            <v>Mona Kamal Farag</v>
          </cell>
          <cell r="E1713" t="str">
            <v>منى كمال فرج</v>
          </cell>
          <cell r="F1713">
            <v>45656</v>
          </cell>
          <cell r="G1713" t="str">
            <v>50003606</v>
          </cell>
          <cell r="H1713" t="str">
            <v>Senior Editor</v>
          </cell>
          <cell r="I1713" t="str">
            <v>محرر أول</v>
          </cell>
          <cell r="J1713" t="str">
            <v>On-Chart</v>
          </cell>
          <cell r="K1713" t="str">
            <v>MSS Al Nahiya</v>
          </cell>
          <cell r="L1713" t="str">
            <v>M2</v>
          </cell>
          <cell r="M1713" t="str">
            <v>Department of Culture and Tourism</v>
          </cell>
          <cell r="N1713" t="str">
            <v>Culture</v>
          </cell>
          <cell r="O1713" t="str">
            <v>الثقافة</v>
          </cell>
          <cell r="P1713" t="str">
            <v>Natural History Museum Abu Dhabi</v>
          </cell>
          <cell r="Q1713" t="str">
            <v>متحف التاريخ الطبيعي - أبوظبي</v>
          </cell>
          <cell r="R1713" t="str">
            <v/>
          </cell>
          <cell r="S1713" t="str">
            <v/>
          </cell>
          <cell r="T1713" t="str">
            <v/>
          </cell>
          <cell r="U1713" t="str">
            <v/>
          </cell>
          <cell r="V1713" t="str">
            <v>Abu Dhabi</v>
          </cell>
          <cell r="W1713" t="str">
            <v/>
          </cell>
          <cell r="X1713" t="str">
            <v>4510310</v>
          </cell>
          <cell r="Y1713" t="str">
            <v>Comms &amp; Marketing _Editorial &amp; Publications _Senior Professional</v>
          </cell>
          <cell r="Z1713" t="str">
            <v>Senior Professional</v>
          </cell>
          <cell r="AA1713" t="str">
            <v>3C</v>
          </cell>
        </row>
        <row r="1714">
          <cell r="A1714">
            <v>2001230</v>
          </cell>
          <cell r="B1714">
            <v>2001230</v>
          </cell>
          <cell r="C1714" t="str">
            <v>A</v>
          </cell>
          <cell r="D1714" t="str">
            <v>Rowdha Mohamed Alnaqeeb</v>
          </cell>
          <cell r="E1714" t="str">
            <v>روضه محمد النقيب</v>
          </cell>
          <cell r="F1714">
            <v>45637</v>
          </cell>
          <cell r="G1714" t="str">
            <v>50002063</v>
          </cell>
          <cell r="H1714" t="str">
            <v>Production Management Unit Head</v>
          </cell>
          <cell r="I1714" t="str">
            <v>رئيس وحدة إدارة الإنتاج</v>
          </cell>
          <cell r="J1714" t="str">
            <v>On-Chart</v>
          </cell>
          <cell r="K1714" t="str">
            <v>Al Nahiya</v>
          </cell>
          <cell r="L1714" t="str">
            <v>N0</v>
          </cell>
          <cell r="M1714" t="str">
            <v>Department of Culture and Tourism</v>
          </cell>
          <cell r="N1714" t="str">
            <v>Culture</v>
          </cell>
          <cell r="O1714" t="str">
            <v>الثقافة</v>
          </cell>
          <cell r="P1714" t="str">
            <v>Culture Festivals &amp; Platforms</v>
          </cell>
          <cell r="Q1714" t="str">
            <v>المهرجانات والمنصات الثقافية</v>
          </cell>
          <cell r="R1714" t="str">
            <v>Production &amp; Operations Management</v>
          </cell>
          <cell r="S1714" t="str">
            <v>إدارة الإنتاج والعمليات</v>
          </cell>
          <cell r="T1714" t="str">
            <v>Production Management</v>
          </cell>
          <cell r="U1714" t="str">
            <v>إدارة الإنتاج</v>
          </cell>
          <cell r="V1714" t="str">
            <v>Abu Dhabi</v>
          </cell>
          <cell r="W1714" t="str">
            <v/>
          </cell>
          <cell r="X1714" t="str">
            <v>4511750</v>
          </cell>
          <cell r="Y1714" t="str">
            <v>Commercial _Conventions, Exhibitions, Events,Festivals Development &amp; Sales  _Unit Head</v>
          </cell>
          <cell r="Z1714" t="str">
            <v>Unit Head</v>
          </cell>
          <cell r="AA1714" t="str">
            <v>3C</v>
          </cell>
        </row>
        <row r="1715">
          <cell r="A1715">
            <v>2001231</v>
          </cell>
          <cell r="B1715">
            <v>2001231</v>
          </cell>
          <cell r="C1715" t="str">
            <v>A</v>
          </cell>
          <cell r="D1715" t="str">
            <v>Chitra Sudhakaran</v>
          </cell>
          <cell r="E1715" t="str">
            <v>شيترا  سوداكاران</v>
          </cell>
          <cell r="F1715">
            <v>45670</v>
          </cell>
          <cell r="G1715" t="str">
            <v>50003602</v>
          </cell>
          <cell r="H1715" t="str">
            <v>Education Specialist</v>
          </cell>
          <cell r="I1715" t="str">
            <v>أخصائي التعليم</v>
          </cell>
          <cell r="J1715" t="str">
            <v>On-Chart</v>
          </cell>
          <cell r="K1715" t="str">
            <v>MSS Al Nahiya</v>
          </cell>
          <cell r="L1715" t="str">
            <v>M2</v>
          </cell>
          <cell r="M1715" t="str">
            <v>Department of Culture and Tourism</v>
          </cell>
          <cell r="N1715" t="str">
            <v>Culture</v>
          </cell>
          <cell r="O1715" t="str">
            <v>الثقافة</v>
          </cell>
          <cell r="P1715" t="str">
            <v>Natural History Museum Abu Dhabi</v>
          </cell>
          <cell r="Q1715" t="str">
            <v>متحف التاريخ الطبيعي - أبوظبي</v>
          </cell>
          <cell r="R1715" t="str">
            <v/>
          </cell>
          <cell r="S1715" t="str">
            <v/>
          </cell>
          <cell r="T1715" t="str">
            <v/>
          </cell>
          <cell r="U1715" t="str">
            <v/>
          </cell>
          <cell r="V1715" t="str">
            <v>Abu Dhabi</v>
          </cell>
          <cell r="W1715" t="str">
            <v/>
          </cell>
          <cell r="X1715" t="str">
            <v>4510310</v>
          </cell>
          <cell r="Y1715" t="str">
            <v>Interpretation &amp; Engagement_Education &amp; Leaning Development &amp;  Engagement _Professional</v>
          </cell>
          <cell r="Z1715" t="str">
            <v>Professional</v>
          </cell>
          <cell r="AA1715" t="str">
            <v>4C</v>
          </cell>
        </row>
        <row r="1716">
          <cell r="A1716">
            <v>2001233</v>
          </cell>
          <cell r="B1716">
            <v>2001233</v>
          </cell>
          <cell r="C1716" t="str">
            <v>A</v>
          </cell>
          <cell r="D1716" t="str">
            <v>Mitra Birgani Nia</v>
          </cell>
          <cell r="E1716" t="str">
            <v>ميترا بيرغاني نيا</v>
          </cell>
          <cell r="F1716">
            <v>45656</v>
          </cell>
          <cell r="G1716" t="str">
            <v>50003632</v>
          </cell>
          <cell r="H1716" t="str">
            <v>Marketing Unit Head</v>
          </cell>
          <cell r="I1716" t="str">
            <v>رئيس وحدة التسويق</v>
          </cell>
          <cell r="J1716" t="str">
            <v>On-Chart</v>
          </cell>
          <cell r="K1716" t="str">
            <v>MSS Al Nahiya</v>
          </cell>
          <cell r="L1716" t="str">
            <v>M2</v>
          </cell>
          <cell r="M1716" t="str">
            <v>Department of Culture and Tourism</v>
          </cell>
          <cell r="N1716" t="str">
            <v>Culture</v>
          </cell>
          <cell r="O1716" t="str">
            <v>الثقافة</v>
          </cell>
          <cell r="P1716" t="str">
            <v>Guggenheim Abu Dhabi Museum</v>
          </cell>
          <cell r="Q1716" t="str">
            <v>متحف جوجينهايم أبوظبي</v>
          </cell>
          <cell r="R1716" t="str">
            <v/>
          </cell>
          <cell r="S1716" t="str">
            <v/>
          </cell>
          <cell r="T1716" t="str">
            <v/>
          </cell>
          <cell r="U1716" t="str">
            <v/>
          </cell>
          <cell r="V1716" t="str">
            <v>Abu Dhabi</v>
          </cell>
          <cell r="W1716" t="str">
            <v/>
          </cell>
          <cell r="X1716" t="str">
            <v>4510410</v>
          </cell>
          <cell r="Y1716" t="str">
            <v>Comms &amp; Marketing _Communications (All Areas)_Unit Head</v>
          </cell>
          <cell r="Z1716" t="str">
            <v>Unit Head</v>
          </cell>
          <cell r="AA1716" t="str">
            <v>3C</v>
          </cell>
        </row>
        <row r="1717">
          <cell r="A1717">
            <v>2001234</v>
          </cell>
          <cell r="B1717">
            <v>2001234</v>
          </cell>
          <cell r="C1717" t="str">
            <v>A</v>
          </cell>
          <cell r="D1717" t="str">
            <v>Jihana Poonthala Yahu</v>
          </cell>
          <cell r="E1717" t="str">
            <v>جهانه بونثالا ياهو</v>
          </cell>
          <cell r="F1717">
            <v>45649</v>
          </cell>
          <cell r="G1717" t="str">
            <v>50003618</v>
          </cell>
          <cell r="H1717" t="str">
            <v>Records Officer</v>
          </cell>
          <cell r="I1717" t="str">
            <v>ضابط السجلات</v>
          </cell>
          <cell r="J1717" t="str">
            <v>On-Chart</v>
          </cell>
          <cell r="K1717" t="str">
            <v>MSS Al Nahiya</v>
          </cell>
          <cell r="L1717" t="str">
            <v>M2</v>
          </cell>
          <cell r="M1717" t="str">
            <v>Department of Culture and Tourism</v>
          </cell>
          <cell r="N1717" t="str">
            <v>Culture</v>
          </cell>
          <cell r="O1717" t="str">
            <v>الثقافة</v>
          </cell>
          <cell r="P1717" t="str">
            <v>Guggenheim Abu Dhabi Museum</v>
          </cell>
          <cell r="Q1717" t="str">
            <v>متحف جوجينهايم أبوظبي</v>
          </cell>
          <cell r="R1717" t="str">
            <v/>
          </cell>
          <cell r="S1717" t="str">
            <v/>
          </cell>
          <cell r="T1717" t="str">
            <v/>
          </cell>
          <cell r="U1717" t="str">
            <v/>
          </cell>
          <cell r="V1717" t="str">
            <v>Abu Dhabi</v>
          </cell>
          <cell r="W1717" t="str">
            <v/>
          </cell>
          <cell r="X1717" t="str">
            <v>4510410</v>
          </cell>
          <cell r="Y1717" t="str">
            <v>Content &amp; Care_Cataloging Records &amp; Documentation  _Professional</v>
          </cell>
          <cell r="Z1717" t="str">
            <v>Professional</v>
          </cell>
          <cell r="AA1717" t="str">
            <v>4C</v>
          </cell>
        </row>
        <row r="1718">
          <cell r="A1718">
            <v>2001235</v>
          </cell>
          <cell r="B1718">
            <v>2001235</v>
          </cell>
          <cell r="C1718" t="str">
            <v>A</v>
          </cell>
          <cell r="D1718" t="str">
            <v>Kim Dayrren Andaya</v>
          </cell>
          <cell r="E1718" t="str">
            <v>كيم دايرين  اندايا</v>
          </cell>
          <cell r="F1718">
            <v>45636</v>
          </cell>
          <cell r="G1718" t="str">
            <v>50002214</v>
          </cell>
          <cell r="H1718" t="str">
            <v>Videographer / Photographer</v>
          </cell>
          <cell r="I1718" t="str">
            <v>مصور فوتوغرافي وفيديو</v>
          </cell>
          <cell r="J1718" t="str">
            <v>On-Chart</v>
          </cell>
          <cell r="K1718" t="str">
            <v>Al Nahiya</v>
          </cell>
          <cell r="L1718" t="str">
            <v>N0</v>
          </cell>
          <cell r="M1718" t="str">
            <v>Department of Culture and Tourism</v>
          </cell>
          <cell r="N1718" t="str">
            <v>Strategic Marketing &amp; Communication</v>
          </cell>
          <cell r="O1718" t="str">
            <v>التسويق والاتصال الاستراتيجي</v>
          </cell>
          <cell r="P1718" t="str">
            <v>Creative &amp; Production</v>
          </cell>
          <cell r="Q1718" t="str">
            <v>الإبداع والإنتاج</v>
          </cell>
          <cell r="R1718" t="str">
            <v>Creative Content</v>
          </cell>
          <cell r="S1718" t="str">
            <v>المحتوى الإبداعي</v>
          </cell>
          <cell r="T1718" t="str">
            <v>Multimedia Design</v>
          </cell>
          <cell r="U1718" t="str">
            <v>تصميم الوسائط المتعددة</v>
          </cell>
          <cell r="V1718" t="str">
            <v>Abu Dhabi</v>
          </cell>
          <cell r="W1718" t="str">
            <v/>
          </cell>
          <cell r="X1718" t="str">
            <v>4513110</v>
          </cell>
          <cell r="Y1718" t="str">
            <v>Specialization Marketing &amp; Communications</v>
          </cell>
          <cell r="Z1718" t="str">
            <v>Professional</v>
          </cell>
          <cell r="AA1718" t="str">
            <v>4C</v>
          </cell>
        </row>
        <row r="1719">
          <cell r="A1719">
            <v>2001236</v>
          </cell>
          <cell r="B1719">
            <v>2001236</v>
          </cell>
          <cell r="C1719" t="str">
            <v>A</v>
          </cell>
          <cell r="D1719" t="str">
            <v>Ameera Omar Altamimi</v>
          </cell>
          <cell r="E1719" t="str">
            <v>أميره عمر التميمي</v>
          </cell>
          <cell r="F1719">
            <v>45684</v>
          </cell>
          <cell r="G1719" t="str">
            <v>50000744</v>
          </cell>
          <cell r="H1719" t="str">
            <v>Senior FM Specialist</v>
          </cell>
          <cell r="I1719" t="str">
            <v>أخصائي أول، إدارة المرافق</v>
          </cell>
          <cell r="J1719" t="str">
            <v>On-Chart</v>
          </cell>
          <cell r="K1719" t="str">
            <v>MSS Al Nahiya</v>
          </cell>
          <cell r="L1719" t="str">
            <v>M2</v>
          </cell>
          <cell r="M1719" t="str">
            <v>Department of Culture and Tourism</v>
          </cell>
          <cell r="N1719" t="str">
            <v>Zayed National Museum</v>
          </cell>
          <cell r="O1719" t="str">
            <v>متحف زايد الوطني</v>
          </cell>
          <cell r="P1719" t="str">
            <v>Operations</v>
          </cell>
          <cell r="Q1719" t="str">
            <v>العمليات</v>
          </cell>
          <cell r="R1719" t="str">
            <v>FM</v>
          </cell>
          <cell r="S1719" t="str">
            <v>إدارة المرافق</v>
          </cell>
          <cell r="T1719" t="str">
            <v>FM Hard</v>
          </cell>
          <cell r="U1719" t="str">
            <v>إدارة المرافق (البنية التحتية)</v>
          </cell>
          <cell r="V1719" t="str">
            <v>Abu Dhabi</v>
          </cell>
          <cell r="W1719" t="str">
            <v/>
          </cell>
          <cell r="X1719" t="str">
            <v>4510184</v>
          </cell>
          <cell r="Y1719" t="str">
            <v>Senior Specialization Operations</v>
          </cell>
          <cell r="Z1719" t="str">
            <v>Senior Professional</v>
          </cell>
          <cell r="AA1719" t="str">
            <v>3C</v>
          </cell>
        </row>
        <row r="1720">
          <cell r="A1720">
            <v>2001237</v>
          </cell>
          <cell r="B1720">
            <v>2001237</v>
          </cell>
          <cell r="C1720" t="str">
            <v>A</v>
          </cell>
          <cell r="D1720" t="str">
            <v>Stefka Evgenieva Bargazova</v>
          </cell>
          <cell r="E1720" t="str">
            <v>ستيفكا ايفجينيفا بارجازوفا</v>
          </cell>
          <cell r="F1720">
            <v>45684</v>
          </cell>
          <cell r="G1720" t="str">
            <v>50000662</v>
          </cell>
          <cell r="H1720" t="str">
            <v>Senior Object Conservator</v>
          </cell>
          <cell r="I1720" t="str">
            <v>أخصائي أول حفظ</v>
          </cell>
          <cell r="J1720" t="str">
            <v>On-Chart</v>
          </cell>
          <cell r="K1720" t="str">
            <v>MSS Al Nahiya</v>
          </cell>
          <cell r="L1720" t="str">
            <v>M2</v>
          </cell>
          <cell r="M1720" t="str">
            <v>Department of Culture and Tourism</v>
          </cell>
          <cell r="N1720" t="str">
            <v>Zayed National Museum</v>
          </cell>
          <cell r="O1720" t="str">
            <v>متحف زايد الوطني</v>
          </cell>
          <cell r="P1720" t="str">
            <v>Curatorial &amp; Collection Management</v>
          </cell>
          <cell r="Q1720" t="str">
            <v>أمناء المتحف وإدارة المقتنيات</v>
          </cell>
          <cell r="R1720" t="str">
            <v>Curatorial</v>
          </cell>
          <cell r="S1720" t="str">
            <v>أمناء المتحف</v>
          </cell>
          <cell r="T1720" t="str">
            <v/>
          </cell>
          <cell r="U1720" t="str">
            <v/>
          </cell>
          <cell r="V1720" t="str">
            <v>Abu Dhabi</v>
          </cell>
          <cell r="W1720" t="str">
            <v/>
          </cell>
          <cell r="X1720" t="str">
            <v>4510181</v>
          </cell>
          <cell r="Y1720" t="str">
            <v>Senior Specialization Content &amp; Care</v>
          </cell>
          <cell r="Z1720" t="str">
            <v>Senior Professional</v>
          </cell>
          <cell r="AA1720" t="str">
            <v>3C</v>
          </cell>
        </row>
        <row r="1721">
          <cell r="A1721">
            <v>2001239</v>
          </cell>
          <cell r="B1721">
            <v>2001239</v>
          </cell>
          <cell r="C1721" t="str">
            <v>A</v>
          </cell>
          <cell r="D1721" t="str">
            <v>Sara Khalid Almazrouei</v>
          </cell>
          <cell r="E1721" t="str">
            <v>سارة خالد المزروعي</v>
          </cell>
          <cell r="F1721">
            <v>45754</v>
          </cell>
          <cell r="G1721" t="str">
            <v>50003609</v>
          </cell>
          <cell r="H1721" t="str">
            <v>Marketing Senior Specialist</v>
          </cell>
          <cell r="I1721" t="str">
            <v>أخصائي أول التسويق</v>
          </cell>
          <cell r="J1721" t="str">
            <v>On-Chart</v>
          </cell>
          <cell r="K1721" t="str">
            <v>MSS Al Nahiya</v>
          </cell>
          <cell r="L1721" t="str">
            <v>M2</v>
          </cell>
          <cell r="M1721" t="str">
            <v>Department of Culture and Tourism</v>
          </cell>
          <cell r="N1721" t="str">
            <v>Culture</v>
          </cell>
          <cell r="O1721" t="str">
            <v>الثقافة</v>
          </cell>
          <cell r="P1721" t="str">
            <v>Natural History Museum Abu Dhabi</v>
          </cell>
          <cell r="Q1721" t="str">
            <v>متحف التاريخ الطبيعي - أبوظبي</v>
          </cell>
          <cell r="R1721" t="str">
            <v/>
          </cell>
          <cell r="S1721" t="str">
            <v/>
          </cell>
          <cell r="T1721" t="str">
            <v/>
          </cell>
          <cell r="U1721" t="str">
            <v/>
          </cell>
          <cell r="V1721" t="str">
            <v>Abu Dhabi</v>
          </cell>
          <cell r="W1721" t="str">
            <v/>
          </cell>
          <cell r="X1721" t="str">
            <v>4510310</v>
          </cell>
          <cell r="Y1721" t="str">
            <v>Comms &amp; Marketing _Marketing &amp; Communications (All areas)_Senior Professional</v>
          </cell>
          <cell r="Z1721" t="str">
            <v>Senior Professional</v>
          </cell>
          <cell r="AA1721" t="str">
            <v>3C</v>
          </cell>
        </row>
        <row r="1722">
          <cell r="A1722">
            <v>2001240</v>
          </cell>
          <cell r="B1722">
            <v>2001240</v>
          </cell>
          <cell r="C1722" t="str">
            <v>A</v>
          </cell>
          <cell r="D1722" t="str">
            <v>Syed Raffay Kazim</v>
          </cell>
          <cell r="E1722" t="str">
            <v>سيد رفاي كاظم</v>
          </cell>
          <cell r="F1722">
            <v>45719</v>
          </cell>
          <cell r="G1722" t="str">
            <v>50003714</v>
          </cell>
          <cell r="H1722" t="str">
            <v>F&amp;B Senior Specialist</v>
          </cell>
          <cell r="I1722" t="str">
            <v>أخصائي أول الأغذية</v>
          </cell>
          <cell r="J1722" t="str">
            <v>On-Chart</v>
          </cell>
          <cell r="K1722" t="str">
            <v>MSS Al Nahiya</v>
          </cell>
          <cell r="L1722" t="str">
            <v>M2</v>
          </cell>
          <cell r="M1722" t="str">
            <v>Department of Culture and Tourism</v>
          </cell>
          <cell r="N1722" t="str">
            <v>Culture</v>
          </cell>
          <cell r="O1722" t="str">
            <v>الثقافة</v>
          </cell>
          <cell r="P1722" t="str">
            <v>Natural History Museum Abu Dhabi</v>
          </cell>
          <cell r="Q1722" t="str">
            <v>متحف التاريخ الطبيعي - أبوظبي</v>
          </cell>
          <cell r="R1722" t="str">
            <v/>
          </cell>
          <cell r="S1722" t="str">
            <v/>
          </cell>
          <cell r="T1722" t="str">
            <v/>
          </cell>
          <cell r="U1722" t="str">
            <v/>
          </cell>
          <cell r="V1722" t="str">
            <v>Abu Dhabi</v>
          </cell>
          <cell r="W1722" t="str">
            <v/>
          </cell>
          <cell r="X1722" t="str">
            <v>4510310</v>
          </cell>
          <cell r="Y1722" t="str">
            <v>Commercial _F&amp;B and Retail _Section Head</v>
          </cell>
          <cell r="Z1722" t="str">
            <v>Senior Professional</v>
          </cell>
          <cell r="AA1722" t="str">
            <v>3C</v>
          </cell>
        </row>
        <row r="1723">
          <cell r="A1723">
            <v>2001241</v>
          </cell>
          <cell r="B1723">
            <v>2001241</v>
          </cell>
          <cell r="C1723" t="str">
            <v>A</v>
          </cell>
          <cell r="D1723" t="str">
            <v>Bilal Nizar Almasri</v>
          </cell>
          <cell r="E1723" t="str">
            <v>بلال نزار المصري</v>
          </cell>
          <cell r="F1723">
            <v>45706</v>
          </cell>
          <cell r="G1723" t="str">
            <v>50003598</v>
          </cell>
          <cell r="H1723" t="str">
            <v>Visitor Services and Hospitality Senior Specialist</v>
          </cell>
          <cell r="I1723" t="str">
            <v>أخصائي أول خدمات الزواروالضيافة</v>
          </cell>
          <cell r="J1723" t="str">
            <v>On-Chart</v>
          </cell>
          <cell r="K1723" t="str">
            <v>MSS Al Nahiya</v>
          </cell>
          <cell r="L1723" t="str">
            <v>M2</v>
          </cell>
          <cell r="M1723" t="str">
            <v>Department of Culture and Tourism</v>
          </cell>
          <cell r="N1723" t="str">
            <v>Culture</v>
          </cell>
          <cell r="O1723" t="str">
            <v>الثقافة</v>
          </cell>
          <cell r="P1723" t="str">
            <v>Natural History Museum Abu Dhabi</v>
          </cell>
          <cell r="Q1723" t="str">
            <v>متحف التاريخ الطبيعي - أبوظبي</v>
          </cell>
          <cell r="R1723" t="str">
            <v/>
          </cell>
          <cell r="S1723" t="str">
            <v/>
          </cell>
          <cell r="T1723" t="str">
            <v/>
          </cell>
          <cell r="U1723" t="str">
            <v/>
          </cell>
          <cell r="V1723" t="str">
            <v>Abu Dhabi</v>
          </cell>
          <cell r="W1723" t="str">
            <v/>
          </cell>
          <cell r="X1723" t="str">
            <v>4510310</v>
          </cell>
          <cell r="Y1723" t="str">
            <v>Design_Visitor Experience Design_Senior Professional</v>
          </cell>
          <cell r="Z1723" t="str">
            <v>Senior Professional</v>
          </cell>
          <cell r="AA1723" t="str">
            <v>3C</v>
          </cell>
        </row>
        <row r="1724">
          <cell r="A1724">
            <v>2001243</v>
          </cell>
          <cell r="B1724">
            <v>2001243</v>
          </cell>
          <cell r="C1724" t="str">
            <v>A</v>
          </cell>
          <cell r="D1724" t="str">
            <v>Fatema Khaled Almarzooqi</v>
          </cell>
          <cell r="E1724" t="str">
            <v>فاطمه خالد المرزوقي</v>
          </cell>
          <cell r="F1724">
            <v>45712</v>
          </cell>
          <cell r="G1724" t="str">
            <v>50002835</v>
          </cell>
          <cell r="H1724" t="str">
            <v>Sourcing Senior Specialist</v>
          </cell>
          <cell r="I1724" t="str">
            <v>أخصائي أول التوريد</v>
          </cell>
          <cell r="J1724" t="str">
            <v>On-Chart</v>
          </cell>
          <cell r="K1724" t="str">
            <v>MSS Al Nahiya</v>
          </cell>
          <cell r="L1724" t="str">
            <v>M2</v>
          </cell>
          <cell r="M1724" t="str">
            <v>Department of Culture and Tourism</v>
          </cell>
          <cell r="N1724" t="str">
            <v>Museums Shared Services</v>
          </cell>
          <cell r="O1724" t="str">
            <v>الخدمات المشتركة للمتاحف</v>
          </cell>
          <cell r="P1724" t="str">
            <v>Supply Management - MSS</v>
          </cell>
          <cell r="Q1724" t="str">
            <v>إدارة الإمداد - الخدمات المشتركة للمتاحف</v>
          </cell>
          <cell r="R1724" t="str">
            <v>Supply Management Operations Section</v>
          </cell>
          <cell r="S1724" t="str">
            <v>قسم عمليات إدارة الإمداد</v>
          </cell>
          <cell r="T1724" t="str">
            <v>Sourcing Unit</v>
          </cell>
          <cell r="U1724" t="str">
            <v>وحدة التوريد</v>
          </cell>
          <cell r="V1724" t="str">
            <v>Abu Dhabi</v>
          </cell>
          <cell r="W1724" t="str">
            <v/>
          </cell>
          <cell r="X1724" t="str">
            <v>4514160</v>
          </cell>
          <cell r="Y1724" t="str">
            <v>Senior Specialization Procurement</v>
          </cell>
          <cell r="Z1724" t="str">
            <v>Senior Professional</v>
          </cell>
          <cell r="AA1724" t="str">
            <v>3C</v>
          </cell>
        </row>
        <row r="1725">
          <cell r="A1725">
            <v>2001244</v>
          </cell>
          <cell r="B1725">
            <v>2001244</v>
          </cell>
          <cell r="C1725" t="str">
            <v>A</v>
          </cell>
          <cell r="D1725" t="str">
            <v>Hazim Yousef Abu Alrous</v>
          </cell>
          <cell r="E1725" t="str">
            <v>حازم يوسف ابو الروس</v>
          </cell>
          <cell r="F1725">
            <v>45656</v>
          </cell>
          <cell r="G1725" t="str">
            <v>50002602</v>
          </cell>
          <cell r="H1725" t="str">
            <v>P&amp;P Planning and Business Partnership Section Head</v>
          </cell>
          <cell r="I1725" t="str">
            <v>رئيس قسم التخطيط وشركاء أعمال الكوادر البشرية والأداء</v>
          </cell>
          <cell r="J1725" t="str">
            <v>On-Chart</v>
          </cell>
          <cell r="K1725" t="str">
            <v>MSS Al Nahiya</v>
          </cell>
          <cell r="L1725" t="str">
            <v>M2</v>
          </cell>
          <cell r="M1725" t="str">
            <v>Department of Culture and Tourism</v>
          </cell>
          <cell r="N1725" t="str">
            <v>Museums Shared Services</v>
          </cell>
          <cell r="O1725" t="str">
            <v>الخدمات المشتركة للمتاحف</v>
          </cell>
          <cell r="P1725" t="str">
            <v>People and Performance - MSS</v>
          </cell>
          <cell r="Q1725" t="str">
            <v>إدارة الكوادر البشرية والأداء - الخدمات المشتركة للمتاحف</v>
          </cell>
          <cell r="R1725" t="str">
            <v>P&amp;P Planning and Business Partnership Section</v>
          </cell>
          <cell r="S1725" t="str">
            <v>قسم التخطيط وشركاء أعمال الكوادر البشرية والأداء</v>
          </cell>
          <cell r="T1725" t="str">
            <v/>
          </cell>
          <cell r="U1725" t="str">
            <v/>
          </cell>
          <cell r="V1725" t="str">
            <v>Abu Dhabi</v>
          </cell>
          <cell r="W1725" t="str">
            <v/>
          </cell>
          <cell r="X1725" t="str">
            <v>4514140</v>
          </cell>
          <cell r="Y1725" t="str">
            <v>People &amp; Performance _HR Resources Operations &amp; Administration _Section Head</v>
          </cell>
          <cell r="Z1725" t="str">
            <v>Section Manager</v>
          </cell>
          <cell r="AA1725" t="str">
            <v>2C</v>
          </cell>
        </row>
        <row r="1726">
          <cell r="A1726">
            <v>2001246</v>
          </cell>
          <cell r="B1726">
            <v>2001246</v>
          </cell>
          <cell r="C1726" t="str">
            <v>A</v>
          </cell>
          <cell r="D1726" t="str">
            <v>Fatema Hisham Khamis</v>
          </cell>
          <cell r="E1726" t="str">
            <v>فاطمه هشام خميس</v>
          </cell>
          <cell r="F1726">
            <v>45645</v>
          </cell>
          <cell r="G1726" t="str">
            <v>50003324</v>
          </cell>
          <cell r="H1726" t="str">
            <v>Conservation Scientist</v>
          </cell>
          <cell r="I1726" t="str">
            <v>عالم حفظ آثار</v>
          </cell>
          <cell r="J1726" t="str">
            <v>On-Chart</v>
          </cell>
          <cell r="K1726" t="str">
            <v>MSS Al Nahiya</v>
          </cell>
          <cell r="L1726" t="str">
            <v>M2</v>
          </cell>
          <cell r="M1726" t="str">
            <v>Louvre Abu Dhabi</v>
          </cell>
          <cell r="N1726" t="str">
            <v>Louvre Abu Dhabi</v>
          </cell>
          <cell r="O1726" t="str">
            <v>متحف اللوفر أبوظبي</v>
          </cell>
          <cell r="P1726" t="str">
            <v>Scientific, Curatorial &amp; Collection Management</v>
          </cell>
          <cell r="Q1726" t="str">
            <v>إدارة المقتنيات العلمية والتنظيمية</v>
          </cell>
          <cell r="R1726" t="str">
            <v>Research &amp; Documentation</v>
          </cell>
          <cell r="S1726" t="str">
            <v/>
          </cell>
          <cell r="T1726" t="str">
            <v/>
          </cell>
          <cell r="U1726" t="str">
            <v/>
          </cell>
          <cell r="V1726" t="str">
            <v>Abu Dhabi</v>
          </cell>
          <cell r="W1726" t="str">
            <v/>
          </cell>
          <cell r="X1726" t="str">
            <v>4510122</v>
          </cell>
          <cell r="Y1726" t="str">
            <v>Content &amp; Care_Collections  Conservation (All) _Senior Professional</v>
          </cell>
          <cell r="Z1726" t="str">
            <v>Senior Professional</v>
          </cell>
          <cell r="AA1726" t="str">
            <v>3C</v>
          </cell>
        </row>
        <row r="1727">
          <cell r="A1727">
            <v>2001247</v>
          </cell>
          <cell r="B1727">
            <v>2001247</v>
          </cell>
          <cell r="C1727" t="str">
            <v>A</v>
          </cell>
          <cell r="D1727" t="str">
            <v>Valentina Pintus</v>
          </cell>
          <cell r="E1727" t="str">
            <v>فالنتينا  بينتوس</v>
          </cell>
          <cell r="F1727">
            <v>45657</v>
          </cell>
          <cell r="G1727" t="str">
            <v>50003320</v>
          </cell>
          <cell r="H1727" t="str">
            <v>Senior Conservation Scientist</v>
          </cell>
          <cell r="I1727" t="str">
            <v>اخصائي اول علم الترميم</v>
          </cell>
          <cell r="J1727" t="str">
            <v>On-Chart</v>
          </cell>
          <cell r="K1727" t="str">
            <v>MSS Al Nahiya</v>
          </cell>
          <cell r="L1727" t="str">
            <v>M2</v>
          </cell>
          <cell r="M1727" t="str">
            <v>Louvre Abu Dhabi</v>
          </cell>
          <cell r="N1727" t="str">
            <v>Louvre Abu Dhabi</v>
          </cell>
          <cell r="O1727" t="str">
            <v>متحف اللوفر أبوظبي</v>
          </cell>
          <cell r="P1727" t="str">
            <v>Scientific, Curatorial &amp; Collection Management</v>
          </cell>
          <cell r="Q1727" t="str">
            <v>إدارة المقتنيات العلمية والتنظيمية</v>
          </cell>
          <cell r="R1727" t="str">
            <v>Research &amp; Documentation</v>
          </cell>
          <cell r="S1727" t="str">
            <v/>
          </cell>
          <cell r="T1727" t="str">
            <v/>
          </cell>
          <cell r="U1727" t="str">
            <v/>
          </cell>
          <cell r="V1727" t="str">
            <v>Abu Dhabi</v>
          </cell>
          <cell r="W1727" t="str">
            <v/>
          </cell>
          <cell r="X1727" t="str">
            <v>4510122</v>
          </cell>
          <cell r="Y1727" t="str">
            <v>Content &amp; Care_Collections  Conservation (All) _Senior Professional</v>
          </cell>
          <cell r="Z1727" t="str">
            <v>Senior Professional</v>
          </cell>
          <cell r="AA1727" t="str">
            <v>3C</v>
          </cell>
        </row>
        <row r="1728">
          <cell r="A1728">
            <v>2001248</v>
          </cell>
          <cell r="B1728">
            <v>2001248</v>
          </cell>
          <cell r="C1728" t="str">
            <v>A</v>
          </cell>
          <cell r="D1728" t="str">
            <v>David Marcus Smith</v>
          </cell>
          <cell r="E1728" t="str">
            <v>دافيد ماركوس سميث</v>
          </cell>
          <cell r="F1728">
            <v>45656</v>
          </cell>
          <cell r="G1728" t="str">
            <v>50003616</v>
          </cell>
          <cell r="H1728" t="str">
            <v>New Media Conservator</v>
          </cell>
          <cell r="I1728" t="str">
            <v>أخصائي حفظ</v>
          </cell>
          <cell r="J1728" t="str">
            <v>On-Chart</v>
          </cell>
          <cell r="K1728" t="str">
            <v>MSS Al Nahiya</v>
          </cell>
          <cell r="L1728" t="str">
            <v>M2</v>
          </cell>
          <cell r="M1728" t="str">
            <v>Department of Culture and Tourism</v>
          </cell>
          <cell r="N1728" t="str">
            <v>Culture</v>
          </cell>
          <cell r="O1728" t="str">
            <v>الثقافة</v>
          </cell>
          <cell r="P1728" t="str">
            <v>Guggenheim Abu Dhabi Museum</v>
          </cell>
          <cell r="Q1728" t="str">
            <v>متحف جوجينهايم أبوظبي</v>
          </cell>
          <cell r="R1728" t="str">
            <v/>
          </cell>
          <cell r="S1728" t="str">
            <v/>
          </cell>
          <cell r="T1728" t="str">
            <v/>
          </cell>
          <cell r="U1728" t="str">
            <v/>
          </cell>
          <cell r="V1728" t="str">
            <v>Abu Dhabi</v>
          </cell>
          <cell r="W1728" t="str">
            <v/>
          </cell>
          <cell r="X1728" t="str">
            <v>4510410</v>
          </cell>
          <cell r="Y1728" t="str">
            <v>Content &amp; Care_Collections  Conservation (All) _Senior Professional</v>
          </cell>
          <cell r="Z1728" t="str">
            <v>Senior Professional</v>
          </cell>
          <cell r="AA1728" t="str">
            <v>3C</v>
          </cell>
        </row>
        <row r="1729">
          <cell r="A1729">
            <v>2001250</v>
          </cell>
          <cell r="B1729">
            <v>2001250</v>
          </cell>
          <cell r="C1729" t="str">
            <v>A</v>
          </cell>
          <cell r="D1729" t="str">
            <v>Maria Julie Cedo</v>
          </cell>
          <cell r="E1729" t="str">
            <v>ماريا جولي  سيدو</v>
          </cell>
          <cell r="F1729">
            <v>45643</v>
          </cell>
          <cell r="G1729" t="str">
            <v>50003180</v>
          </cell>
          <cell r="H1729" t="str">
            <v>Operations Unit Head (Comics)</v>
          </cell>
          <cell r="I1729" t="str">
            <v>رئيس وحدة عمليات (الرسوم الهزلية)</v>
          </cell>
          <cell r="J1729" t="str">
            <v>On-Chart</v>
          </cell>
          <cell r="K1729" t="str">
            <v>Al Nahiya</v>
          </cell>
          <cell r="L1729" t="str">
            <v>N0</v>
          </cell>
          <cell r="M1729" t="str">
            <v>Department of Culture and Tourism</v>
          </cell>
          <cell r="N1729" t="str">
            <v>Strategic Affairs</v>
          </cell>
          <cell r="O1729" t="str">
            <v>الشؤون الاستراتيجية</v>
          </cell>
          <cell r="P1729" t="str">
            <v>Gaming &amp; Comics Operations</v>
          </cell>
          <cell r="Q1729" t="str">
            <v>إدارة عمليات الرسوم الهزلية والألعاب</v>
          </cell>
          <cell r="R1729" t="str">
            <v>-</v>
          </cell>
          <cell r="S1729" t="str">
            <v>-</v>
          </cell>
          <cell r="T1729" t="str">
            <v>Gaming Operations</v>
          </cell>
          <cell r="U1729" t="str">
            <v>وحدة عمليات الألعاب</v>
          </cell>
          <cell r="V1729" t="str">
            <v>Abu Dhabi</v>
          </cell>
          <cell r="W1729" t="str">
            <v/>
          </cell>
          <cell r="X1729" t="str">
            <v>4518113</v>
          </cell>
          <cell r="Y1729" t="str">
            <v>Senior Specialization Content &amp; Care</v>
          </cell>
          <cell r="Z1729" t="str">
            <v>Unit Head</v>
          </cell>
          <cell r="AA1729" t="str">
            <v>3C</v>
          </cell>
        </row>
        <row r="1730">
          <cell r="A1730">
            <v>2001252</v>
          </cell>
          <cell r="B1730">
            <v>2001252</v>
          </cell>
          <cell r="C1730" t="str">
            <v>A</v>
          </cell>
          <cell r="D1730" t="str">
            <v>Fahad Jamal Ali</v>
          </cell>
          <cell r="E1730" t="str">
            <v>فهد جمال علي</v>
          </cell>
          <cell r="F1730">
            <v>45643</v>
          </cell>
          <cell r="G1730" t="str">
            <v>50001664</v>
          </cell>
          <cell r="H1730" t="str">
            <v>Global Partnerships Executive</v>
          </cell>
          <cell r="I1730" t="str">
            <v>تنفيذي الشراكات العالمية</v>
          </cell>
          <cell r="J1730" t="str">
            <v>On-Chart</v>
          </cell>
          <cell r="K1730" t="str">
            <v>Al Nahiya</v>
          </cell>
          <cell r="L1730" t="str">
            <v>N0</v>
          </cell>
          <cell r="M1730" t="str">
            <v>Department of Culture and Tourism</v>
          </cell>
          <cell r="N1730" t="str">
            <v>Tourism</v>
          </cell>
          <cell r="O1730" t="str">
            <v>السياحة</v>
          </cell>
          <cell r="P1730" t="str">
            <v>Tourism Products Development</v>
          </cell>
          <cell r="Q1730" t="str">
            <v>تطوير المنتجات السياحية</v>
          </cell>
          <cell r="R1730" t="str">
            <v>Aviation, Cruise, &amp; Global Partnerships</v>
          </cell>
          <cell r="S1730" t="str">
            <v>الطيران والرحلات البحرية والشراكات العالمية</v>
          </cell>
          <cell r="T1730" t="str">
            <v>Global Partnerships</v>
          </cell>
          <cell r="U1730" t="str">
            <v>الشراكات العالمية</v>
          </cell>
          <cell r="V1730" t="str">
            <v>Abu Dhabi</v>
          </cell>
          <cell r="W1730" t="str">
            <v/>
          </cell>
          <cell r="X1730" t="str">
            <v>4515100</v>
          </cell>
          <cell r="Y1730" t="str">
            <v>Compliance,Governance&amp;Protocol_Policy (Culture/Tourism) _Professional</v>
          </cell>
          <cell r="Z1730" t="str">
            <v>Professional</v>
          </cell>
          <cell r="AA1730" t="str">
            <v>4C</v>
          </cell>
        </row>
        <row r="1731">
          <cell r="A1731">
            <v>2001254</v>
          </cell>
          <cell r="B1731">
            <v>2001254</v>
          </cell>
          <cell r="C1731" t="str">
            <v>A</v>
          </cell>
          <cell r="D1731" t="str">
            <v>Barry Mcgrath</v>
          </cell>
          <cell r="E1731" t="str">
            <v>باري  مكغراث</v>
          </cell>
          <cell r="F1731">
            <v>45644</v>
          </cell>
          <cell r="G1731" t="str">
            <v>50002683</v>
          </cell>
          <cell r="H1731" t="str">
            <v>Special Projects Marketing  Unit Head</v>
          </cell>
          <cell r="I1731" t="str">
            <v>رئيس وحدة تسويق المشاريع الخاصة</v>
          </cell>
          <cell r="J1731" t="str">
            <v>On-Chart</v>
          </cell>
          <cell r="K1731" t="str">
            <v>Al Nahiya</v>
          </cell>
          <cell r="L1731" t="str">
            <v>N0</v>
          </cell>
          <cell r="M1731" t="str">
            <v>Department of Culture and Tourism</v>
          </cell>
          <cell r="N1731" t="str">
            <v>Strategic Marketing &amp; Communication</v>
          </cell>
          <cell r="O1731" t="str">
            <v>التسويق والاتصال الاستراتيجي</v>
          </cell>
          <cell r="P1731" t="str">
            <v>Sector Marketing</v>
          </cell>
          <cell r="Q1731" t="str">
            <v>التسويق الخاص بالقطاعات</v>
          </cell>
          <cell r="R1731" t="str">
            <v>-</v>
          </cell>
          <cell r="S1731" t="str">
            <v>-</v>
          </cell>
          <cell r="T1731" t="str">
            <v>Special Projects Marketing</v>
          </cell>
          <cell r="U1731" t="str">
            <v>تسويق المشاريع الخاصة</v>
          </cell>
          <cell r="V1731" t="str">
            <v>Abu Dhabi</v>
          </cell>
          <cell r="W1731" t="str">
            <v/>
          </cell>
          <cell r="X1731" t="str">
            <v>4513140</v>
          </cell>
          <cell r="Y1731" t="str">
            <v>Comms &amp; Marketing _Marketing &amp; Communications _Unit Head</v>
          </cell>
          <cell r="Z1731" t="str">
            <v>Unit Head</v>
          </cell>
          <cell r="AA1731" t="str">
            <v>3C</v>
          </cell>
        </row>
        <row r="1732">
          <cell r="A1732">
            <v>2001255</v>
          </cell>
          <cell r="B1732">
            <v>2001255</v>
          </cell>
          <cell r="C1732" t="str">
            <v>A</v>
          </cell>
          <cell r="D1732" t="str">
            <v>Said Harib Al Alawi</v>
          </cell>
          <cell r="E1732" t="str">
            <v>سعيد حرب العلوي</v>
          </cell>
          <cell r="F1732">
            <v>45644</v>
          </cell>
          <cell r="G1732" t="str">
            <v>50002130</v>
          </cell>
          <cell r="H1732" t="str">
            <v>Senior Photojournalist</v>
          </cell>
          <cell r="I1732" t="str">
            <v>صحفي تصوير أول</v>
          </cell>
          <cell r="J1732" t="str">
            <v>On-Chart</v>
          </cell>
          <cell r="K1732" t="str">
            <v>ALC Al Nahiya</v>
          </cell>
          <cell r="L1732" t="str">
            <v>AL2</v>
          </cell>
          <cell r="M1732" t="str">
            <v>Abu Dhabi Arabic Language Centre</v>
          </cell>
          <cell r="N1732" t="str">
            <v>Abu Dhabi Arabic Language Centre</v>
          </cell>
          <cell r="O1732" t="str">
            <v>مركز أبوظبي للغة العربية</v>
          </cell>
          <cell r="P1732" t="str">
            <v>Marketing &amp; Communications</v>
          </cell>
          <cell r="Q1732" t="str">
            <v>التسويق والاتصال</v>
          </cell>
          <cell r="R1732" t="str">
            <v>-</v>
          </cell>
          <cell r="S1732" t="str">
            <v/>
          </cell>
          <cell r="T1732" t="str">
            <v>PR &amp; Communications</v>
          </cell>
          <cell r="U1732" t="str">
            <v>العلاقات العامة والاتصال</v>
          </cell>
          <cell r="V1732" t="str">
            <v>Abu Dhabi</v>
          </cell>
          <cell r="W1732" t="str">
            <v/>
          </cell>
          <cell r="X1732" t="str">
            <v>4519196</v>
          </cell>
          <cell r="Y1732" t="str">
            <v>Comms &amp; Marketing _Marketing &amp; Communications (All)_Professional</v>
          </cell>
          <cell r="Z1732" t="str">
            <v>Professional</v>
          </cell>
          <cell r="AA1732" t="str">
            <v>3C</v>
          </cell>
        </row>
        <row r="1733">
          <cell r="A1733">
            <v>2001256</v>
          </cell>
          <cell r="B1733">
            <v>2001256</v>
          </cell>
          <cell r="C1733" t="str">
            <v>A</v>
          </cell>
          <cell r="D1733" t="str">
            <v>Alin Toukhmanian</v>
          </cell>
          <cell r="E1733" t="str">
            <v>الين  طوخمانيان</v>
          </cell>
          <cell r="F1733">
            <v>45645</v>
          </cell>
          <cell r="G1733" t="str">
            <v>50002999</v>
          </cell>
          <cell r="H1733" t="str">
            <v>Registrar</v>
          </cell>
          <cell r="I1733" t="str">
            <v>أخصائي تسجيل مقتنيات</v>
          </cell>
          <cell r="J1733" t="str">
            <v>On-Chart</v>
          </cell>
          <cell r="K1733" t="str">
            <v>MSS Al Nahiya</v>
          </cell>
          <cell r="L1733" t="str">
            <v>M2</v>
          </cell>
          <cell r="M1733" t="str">
            <v>Department of Culture and Tourism</v>
          </cell>
          <cell r="N1733" t="str">
            <v>Culture</v>
          </cell>
          <cell r="O1733" t="str">
            <v>الثقافة</v>
          </cell>
          <cell r="P1733" t="str">
            <v>Natural History Museum Abu Dhabi</v>
          </cell>
          <cell r="Q1733" t="str">
            <v>متحف التاريخ الطبيعي - أبوظبي</v>
          </cell>
          <cell r="R1733" t="str">
            <v>Scientific, Curatorial, &amp; Collections Management</v>
          </cell>
          <cell r="S1733" t="str">
            <v>أمناء المتحف وإدارة المقتنيات</v>
          </cell>
          <cell r="T1733" t="str">
            <v/>
          </cell>
          <cell r="U1733" t="str">
            <v/>
          </cell>
          <cell r="V1733" t="str">
            <v>Abu Dhabi</v>
          </cell>
          <cell r="W1733" t="str">
            <v/>
          </cell>
          <cell r="X1733" t="str">
            <v>4510310</v>
          </cell>
          <cell r="Y1733" t="str">
            <v>Compliance,Governance&amp;Protocol_Policy (Culture/Tourism _Senior Professional</v>
          </cell>
          <cell r="Z1733" t="str">
            <v>Senior Professional</v>
          </cell>
          <cell r="AA1733" t="str">
            <v>3C</v>
          </cell>
        </row>
        <row r="1734">
          <cell r="A1734">
            <v>2001257</v>
          </cell>
          <cell r="B1734">
            <v>2001257</v>
          </cell>
          <cell r="C1734" t="str">
            <v>A</v>
          </cell>
          <cell r="D1734" t="str">
            <v>Dr.Karin Aghadjanian</v>
          </cell>
          <cell r="E1734" t="str">
            <v>كارين  اغاجاليان</v>
          </cell>
          <cell r="F1734">
            <v>45660</v>
          </cell>
          <cell r="G1734" t="str">
            <v>50000965</v>
          </cell>
          <cell r="H1734" t="str">
            <v>Strategic Planning Office Director</v>
          </cell>
          <cell r="I1734" t="str">
            <v>مدير مكتب التخطيط الاستراتيجي</v>
          </cell>
          <cell r="J1734" t="str">
            <v>On-Chart</v>
          </cell>
          <cell r="K1734" t="str">
            <v>ALC Al Nahiya</v>
          </cell>
          <cell r="L1734" t="str">
            <v>AL2</v>
          </cell>
          <cell r="M1734" t="str">
            <v>Abu Dhabi Arabic Language Centre</v>
          </cell>
          <cell r="N1734" t="str">
            <v>Abu Dhabi Arabic Language Centre</v>
          </cell>
          <cell r="O1734" t="str">
            <v>مركز أبوظبي للغة العربية</v>
          </cell>
          <cell r="P1734" t="str">
            <v>Strategic Planning Office - ALC</v>
          </cell>
          <cell r="Q1734" t="str">
            <v>مكتب التخطيط الاستراتيجي</v>
          </cell>
          <cell r="R1734" t="str">
            <v/>
          </cell>
          <cell r="S1734" t="str">
            <v/>
          </cell>
          <cell r="T1734" t="str">
            <v/>
          </cell>
          <cell r="U1734" t="str">
            <v/>
          </cell>
          <cell r="V1734" t="str">
            <v>Abu Dhabi</v>
          </cell>
          <cell r="W1734" t="str">
            <v/>
          </cell>
          <cell r="X1734" t="str">
            <v>4519203</v>
          </cell>
          <cell r="Y1734" t="str">
            <v>Interpretation &amp; Engagement_Arabic Language Education &amp; Research_Director</v>
          </cell>
          <cell r="Z1734" t="str">
            <v>Director</v>
          </cell>
          <cell r="AA1734" t="str">
            <v>1C</v>
          </cell>
        </row>
        <row r="1735">
          <cell r="A1735">
            <v>2001258</v>
          </cell>
          <cell r="B1735">
            <v>2001258</v>
          </cell>
          <cell r="C1735" t="str">
            <v>A</v>
          </cell>
          <cell r="D1735" t="str">
            <v>Mohamed  Faizal  Kayas</v>
          </cell>
          <cell r="E1735" t="str">
            <v xml:space="preserve">محمد فيصل   كياس </v>
          </cell>
          <cell r="F1735">
            <v>45656</v>
          </cell>
          <cell r="G1735" t="str">
            <v>10011990</v>
          </cell>
          <cell r="H1735" t="str">
            <v>Data Engineer</v>
          </cell>
          <cell r="I1735" t="str">
            <v>مهندس البيانات</v>
          </cell>
          <cell r="J1735" t="str">
            <v>On-Chart</v>
          </cell>
          <cell r="K1735" t="str">
            <v>Al Nahiya</v>
          </cell>
          <cell r="L1735" t="str">
            <v>N0</v>
          </cell>
          <cell r="M1735" t="str">
            <v>Department of Culture and Tourism</v>
          </cell>
          <cell r="N1735" t="str">
            <v>Strategic Affairs</v>
          </cell>
          <cell r="O1735" t="str">
            <v>الشؤون الاستراتيجية</v>
          </cell>
          <cell r="P1735" t="str">
            <v>Data &amp; AI Department</v>
          </cell>
          <cell r="Q1735" t="str">
            <v>إدارة البيانات والذكاء الاصطناعي</v>
          </cell>
          <cell r="R1735" t="str">
            <v>Enterprise Data Management</v>
          </cell>
          <cell r="S1735" t="str">
            <v>قسم إدارة البيانات المؤسسية</v>
          </cell>
          <cell r="T1735" t="str">
            <v>Data Management</v>
          </cell>
          <cell r="U1735" t="str">
            <v>إدارة البيانات</v>
          </cell>
          <cell r="V1735" t="str">
            <v>Abu Dhabi</v>
          </cell>
          <cell r="W1735" t="str">
            <v/>
          </cell>
          <cell r="X1735" t="str">
            <v>4512200</v>
          </cell>
          <cell r="Y1735" t="str">
            <v>Strategy, Planning, Project Mgt_Business &amp; Market Intelligence  Analysis &amp; Planning_Professional</v>
          </cell>
          <cell r="Z1735" t="str">
            <v>Professional</v>
          </cell>
          <cell r="AA1735" t="str">
            <v>4C</v>
          </cell>
        </row>
        <row r="1736">
          <cell r="A1736">
            <v>2001259</v>
          </cell>
          <cell r="B1736">
            <v>2001259</v>
          </cell>
          <cell r="C1736" t="str">
            <v>A</v>
          </cell>
          <cell r="D1736" t="str">
            <v>Rajeev Bhagat</v>
          </cell>
          <cell r="E1736" t="str">
            <v>راجيف  بهاجات</v>
          </cell>
          <cell r="F1736">
            <v>45665</v>
          </cell>
          <cell r="G1736" t="str">
            <v>50003311</v>
          </cell>
          <cell r="H1736" t="str">
            <v>Program Manager</v>
          </cell>
          <cell r="I1736" t="str">
            <v>مدير برامج التكنولوجيا</v>
          </cell>
          <cell r="J1736" t="str">
            <v>On-Chart</v>
          </cell>
          <cell r="K1736" t="str">
            <v>Al Nahiya</v>
          </cell>
          <cell r="L1736" t="str">
            <v>N0</v>
          </cell>
          <cell r="M1736" t="str">
            <v>Department of Culture and Tourism</v>
          </cell>
          <cell r="N1736" t="str">
            <v>Support Services</v>
          </cell>
          <cell r="O1736" t="str">
            <v>الخدمات المساندة</v>
          </cell>
          <cell r="P1736" t="str">
            <v>Technology</v>
          </cell>
          <cell r="Q1736" t="str">
            <v>التكنولوجيا</v>
          </cell>
          <cell r="R1736" t="str">
            <v>Business Applications</v>
          </cell>
          <cell r="S1736" t="str">
            <v>التطبيقات المؤسسية</v>
          </cell>
          <cell r="T1736" t="str">
            <v/>
          </cell>
          <cell r="U1736" t="str">
            <v/>
          </cell>
          <cell r="V1736" t="str">
            <v>Abu Dhabi</v>
          </cell>
          <cell r="W1736" t="str">
            <v/>
          </cell>
          <cell r="X1736" t="str">
            <v>4510250</v>
          </cell>
          <cell r="Y1736" t="str">
            <v>Information Technology_Business Applications _Unit Head</v>
          </cell>
          <cell r="Z1736" t="str">
            <v>Unit Head</v>
          </cell>
          <cell r="AA1736" t="str">
            <v>3C</v>
          </cell>
        </row>
        <row r="1737">
          <cell r="A1737">
            <v>2001260</v>
          </cell>
          <cell r="B1737">
            <v>2001260</v>
          </cell>
          <cell r="C1737" t="str">
            <v>A</v>
          </cell>
          <cell r="D1737" t="str">
            <v>Balavardhana Reddy Meka</v>
          </cell>
          <cell r="E1737" t="str">
            <v>بالافاردانا ريدى  ميكا</v>
          </cell>
          <cell r="F1737">
            <v>45670</v>
          </cell>
          <cell r="G1737" t="str">
            <v>50000938</v>
          </cell>
          <cell r="H1737" t="str">
            <v>Senior Data Engineer</v>
          </cell>
          <cell r="I1737" t="str">
            <v>مهندس بيانات أول</v>
          </cell>
          <cell r="J1737" t="str">
            <v>On-Chart</v>
          </cell>
          <cell r="K1737" t="str">
            <v>Al Nahiya</v>
          </cell>
          <cell r="L1737" t="str">
            <v>N0</v>
          </cell>
          <cell r="M1737" t="str">
            <v>Department of Culture and Tourism</v>
          </cell>
          <cell r="N1737" t="str">
            <v>Strategic Affairs</v>
          </cell>
          <cell r="O1737" t="str">
            <v>الشؤون الاستراتيجية</v>
          </cell>
          <cell r="P1737" t="str">
            <v>Data &amp; AI Department</v>
          </cell>
          <cell r="Q1737" t="str">
            <v>إدارة البيانات والذكاء الاصطناعي</v>
          </cell>
          <cell r="R1737" t="str">
            <v>Enterprise Data Management</v>
          </cell>
          <cell r="S1737" t="str">
            <v>قسم إدارة البيانات المؤسسية</v>
          </cell>
          <cell r="T1737" t="str">
            <v>Data Management</v>
          </cell>
          <cell r="U1737" t="str">
            <v>إدارة البيانات</v>
          </cell>
          <cell r="V1737" t="str">
            <v>Abu Dhabi</v>
          </cell>
          <cell r="W1737" t="str">
            <v/>
          </cell>
          <cell r="X1737" t="str">
            <v>4512200</v>
          </cell>
          <cell r="Y1737" t="str">
            <v>Senior Specialization IT &amp; Digital Services</v>
          </cell>
          <cell r="Z1737" t="str">
            <v>Senior Professional</v>
          </cell>
          <cell r="AA1737" t="str">
            <v>3C</v>
          </cell>
        </row>
        <row r="1738">
          <cell r="A1738">
            <v>2001261</v>
          </cell>
          <cell r="B1738">
            <v>2001261</v>
          </cell>
          <cell r="C1738" t="str">
            <v>A</v>
          </cell>
          <cell r="D1738" t="str">
            <v>Rawan A. A. Alghussein</v>
          </cell>
          <cell r="E1738" t="str">
            <v>روان أ.أ. الغصين</v>
          </cell>
          <cell r="F1738">
            <v>45667</v>
          </cell>
          <cell r="G1738" t="str">
            <v>50003850</v>
          </cell>
          <cell r="H1738" t="str">
            <v>Projects Coordinator</v>
          </cell>
          <cell r="I1738" t="str">
            <v>منسق المشاريع</v>
          </cell>
          <cell r="J1738" t="str">
            <v>On-Chart</v>
          </cell>
          <cell r="K1738" t="str">
            <v>ALC Al Nahiya</v>
          </cell>
          <cell r="L1738" t="str">
            <v>AL2</v>
          </cell>
          <cell r="M1738" t="str">
            <v>Abu Dhabi Arabic Language Centre</v>
          </cell>
          <cell r="N1738" t="str">
            <v>Abu Dhabi Arabic Language Centre</v>
          </cell>
          <cell r="O1738" t="str">
            <v>مركز أبوظبي للغة العربية</v>
          </cell>
          <cell r="P1738" t="str">
            <v>ALC Executive Director’s Office</v>
          </cell>
          <cell r="Q1738" t="str">
            <v>مكتب المدير التنفيذي لمركز أبوظبي للغة العربية</v>
          </cell>
          <cell r="R1738" t="str">
            <v/>
          </cell>
          <cell r="S1738" t="str">
            <v/>
          </cell>
          <cell r="T1738" t="str">
            <v/>
          </cell>
          <cell r="U1738" t="str">
            <v/>
          </cell>
          <cell r="V1738" t="str">
            <v>Abu Dhabi</v>
          </cell>
          <cell r="W1738" t="str">
            <v/>
          </cell>
          <cell r="X1738" t="str">
            <v>4510195</v>
          </cell>
          <cell r="Y1738" t="str">
            <v/>
          </cell>
          <cell r="Z1738" t="str">
            <v>Professional</v>
          </cell>
          <cell r="AA1738" t="str">
            <v>4A</v>
          </cell>
        </row>
        <row r="1739">
          <cell r="A1739">
            <v>2001262</v>
          </cell>
          <cell r="B1739">
            <v>2001262</v>
          </cell>
          <cell r="C1739" t="str">
            <v>A</v>
          </cell>
          <cell r="D1739" t="str">
            <v>Ahmad Nemr El Chami</v>
          </cell>
          <cell r="E1739" t="str">
            <v>احمد نمر الشامي</v>
          </cell>
          <cell r="F1739">
            <v>45677</v>
          </cell>
          <cell r="G1739" t="str">
            <v>50003084</v>
          </cell>
          <cell r="H1739" t="str">
            <v>Visitor Experience Supervisor</v>
          </cell>
          <cell r="I1739" t="str">
            <v>مشرف تجربة الزوار</v>
          </cell>
          <cell r="J1739" t="str">
            <v>On-Chart</v>
          </cell>
          <cell r="K1739" t="str">
            <v>Al Nahiya</v>
          </cell>
          <cell r="L1739" t="str">
            <v>N0</v>
          </cell>
          <cell r="M1739" t="str">
            <v>Department of Culture and Tourism</v>
          </cell>
          <cell r="N1739" t="str">
            <v>Culture</v>
          </cell>
          <cell r="O1739" t="str">
            <v>الثقافة</v>
          </cell>
          <cell r="P1739" t="str">
            <v>Culture Sites Management</v>
          </cell>
          <cell r="Q1739" t="str">
            <v>إدارة المواقع الثقافية</v>
          </cell>
          <cell r="R1739" t="str">
            <v>Al Ain Museum</v>
          </cell>
          <cell r="S1739" t="str">
            <v>متحف العين</v>
          </cell>
          <cell r="T1739" t="str">
            <v>Al Ain Museum</v>
          </cell>
          <cell r="U1739" t="str">
            <v>متحف العين</v>
          </cell>
          <cell r="V1739" t="str">
            <v>Abu Dhabi</v>
          </cell>
          <cell r="W1739" t="str">
            <v/>
          </cell>
          <cell r="X1739" t="str">
            <v>4511250</v>
          </cell>
          <cell r="Y1739" t="str">
            <v>Senior Specialization Visitor Services &amp; Protocol</v>
          </cell>
          <cell r="Z1739" t="str">
            <v>Senior Professional</v>
          </cell>
          <cell r="AA1739" t="str">
            <v>3C</v>
          </cell>
        </row>
        <row r="1740">
          <cell r="A1740">
            <v>2001264</v>
          </cell>
          <cell r="B1740">
            <v>2001264</v>
          </cell>
          <cell r="C1740" t="str">
            <v>A</v>
          </cell>
          <cell r="D1740" t="str">
            <v>Ismail Ben Jelloun Touimi</v>
          </cell>
          <cell r="E1740" t="str">
            <v>إسماعيل بن جلون التويمى</v>
          </cell>
          <cell r="F1740">
            <v>45684</v>
          </cell>
          <cell r="G1740" t="str">
            <v>50002211</v>
          </cell>
          <cell r="H1740" t="str">
            <v>Digital Marketing Specialist</v>
          </cell>
          <cell r="I1740" t="str">
            <v>أخصائي التسويق الرقمي</v>
          </cell>
          <cell r="J1740" t="str">
            <v>On-Chart</v>
          </cell>
          <cell r="K1740" t="str">
            <v>Al Nahiya</v>
          </cell>
          <cell r="L1740" t="str">
            <v>N0</v>
          </cell>
          <cell r="M1740" t="str">
            <v>Department of Culture and Tourism</v>
          </cell>
          <cell r="N1740" t="str">
            <v>Strategic Marketing &amp; Communication</v>
          </cell>
          <cell r="O1740" t="str">
            <v>التسويق والاتصال الاستراتيجي</v>
          </cell>
          <cell r="P1740" t="str">
            <v>Creative &amp; Production</v>
          </cell>
          <cell r="Q1740" t="str">
            <v>الإبداع والإنتاج</v>
          </cell>
          <cell r="R1740" t="str">
            <v>Digital &amp; Social Media</v>
          </cell>
          <cell r="S1740" t="str">
            <v>الإعلام الرقمي</v>
          </cell>
          <cell r="T1740" t="str">
            <v>Digital Marketing</v>
          </cell>
          <cell r="U1740" t="str">
            <v>التسويق الرقمي</v>
          </cell>
          <cell r="V1740" t="str">
            <v>Abu Dhabi</v>
          </cell>
          <cell r="W1740" t="str">
            <v/>
          </cell>
          <cell r="X1740" t="str">
            <v>4513110</v>
          </cell>
          <cell r="Y1740" t="str">
            <v>Senior Specialization Marketing &amp; Communications</v>
          </cell>
          <cell r="Z1740" t="str">
            <v>Senior Professional</v>
          </cell>
          <cell r="AA1740" t="str">
            <v>3C</v>
          </cell>
        </row>
        <row r="1741">
          <cell r="A1741">
            <v>2001267</v>
          </cell>
          <cell r="B1741">
            <v>2001267</v>
          </cell>
          <cell r="C1741" t="str">
            <v>A</v>
          </cell>
          <cell r="D1741" t="str">
            <v>Afnan Hasan Alhosani</v>
          </cell>
          <cell r="E1741" t="str">
            <v>افنان حسن الحوسني</v>
          </cell>
          <cell r="F1741">
            <v>45754</v>
          </cell>
          <cell r="G1741" t="str">
            <v>50002569</v>
          </cell>
          <cell r="H1741" t="str">
            <v>Senior Accountant</v>
          </cell>
          <cell r="I1741" t="str">
            <v>محاسب أول</v>
          </cell>
          <cell r="J1741" t="str">
            <v>On-Chart</v>
          </cell>
          <cell r="K1741" t="str">
            <v>MSS Al Nahiya</v>
          </cell>
          <cell r="L1741" t="str">
            <v>M2</v>
          </cell>
          <cell r="M1741" t="str">
            <v>Department of Culture and Tourism</v>
          </cell>
          <cell r="N1741" t="str">
            <v>Museums Shared Services</v>
          </cell>
          <cell r="O1741" t="str">
            <v>الخدمات المشتركة للمتاحف</v>
          </cell>
          <cell r="P1741" t="str">
            <v>Finance - MSS</v>
          </cell>
          <cell r="Q1741" t="str">
            <v>الإدارة المالية - الخدمات المشتركة للمتاحف</v>
          </cell>
          <cell r="R1741" t="str">
            <v>Finance Operation Section - MSS</v>
          </cell>
          <cell r="S1741" t="str">
            <v>قسم العمليات المالية</v>
          </cell>
          <cell r="T1741" t="str">
            <v>Treasury Unit - MSS</v>
          </cell>
          <cell r="U1741" t="str">
            <v>وحدة الخزينة</v>
          </cell>
          <cell r="V1741" t="str">
            <v>Abu Dhabi</v>
          </cell>
          <cell r="W1741" t="str">
            <v/>
          </cell>
          <cell r="X1741" t="str">
            <v>4514120</v>
          </cell>
          <cell r="Y1741" t="str">
            <v>Senior Specialization Finance</v>
          </cell>
          <cell r="Z1741" t="str">
            <v>Senior Professional</v>
          </cell>
          <cell r="AA1741" t="str">
            <v>3C</v>
          </cell>
        </row>
        <row r="1742">
          <cell r="A1742">
            <v>2001268</v>
          </cell>
          <cell r="B1742">
            <v>2001268</v>
          </cell>
          <cell r="C1742" t="str">
            <v>A</v>
          </cell>
          <cell r="D1742" t="str">
            <v>Daushant Sharma</v>
          </cell>
          <cell r="E1742" t="str">
            <v>دوشانت  شارما</v>
          </cell>
          <cell r="F1742">
            <v>45698</v>
          </cell>
          <cell r="G1742" t="str">
            <v>50002747</v>
          </cell>
          <cell r="H1742" t="str">
            <v>Network Senior Specialist</v>
          </cell>
          <cell r="I1742" t="str">
            <v>أخصائي أول شبكات</v>
          </cell>
          <cell r="J1742" t="str">
            <v>On-Chart</v>
          </cell>
          <cell r="K1742" t="str">
            <v>MSS Al Nahiya</v>
          </cell>
          <cell r="L1742" t="str">
            <v>M2</v>
          </cell>
          <cell r="M1742" t="str">
            <v>Department of Culture and Tourism</v>
          </cell>
          <cell r="N1742" t="str">
            <v>Museums Shared Services</v>
          </cell>
          <cell r="O1742" t="str">
            <v>الخدمات المشتركة للمتاحف</v>
          </cell>
          <cell r="P1742" t="str">
            <v>Technology - MSS</v>
          </cell>
          <cell r="Q1742" t="str">
            <v>إدارة التكنولوجيا - الخدمات المشتركة للمتاحف</v>
          </cell>
          <cell r="R1742" t="str">
            <v>Technical Operations Section</v>
          </cell>
          <cell r="S1742" t="str">
            <v>قسم العمليات التقنية</v>
          </cell>
          <cell r="T1742" t="str">
            <v>Technology Infrastructure Unit</v>
          </cell>
          <cell r="U1742" t="str">
            <v>وحدة البنية التحتية</v>
          </cell>
          <cell r="V1742" t="str">
            <v>Abu Dhabi</v>
          </cell>
          <cell r="W1742" t="str">
            <v/>
          </cell>
          <cell r="X1742" t="str">
            <v>4514180</v>
          </cell>
          <cell r="Y1742" t="str">
            <v>Senior Specialization IT &amp; Digital Services</v>
          </cell>
          <cell r="Z1742" t="str">
            <v>Senior Professional</v>
          </cell>
          <cell r="AA1742" t="str">
            <v>3C</v>
          </cell>
        </row>
        <row r="1743">
          <cell r="A1743">
            <v>2001269</v>
          </cell>
          <cell r="B1743">
            <v>2001269</v>
          </cell>
          <cell r="C1743" t="str">
            <v>A</v>
          </cell>
          <cell r="D1743" t="str">
            <v>Prashant Rajesh Tulsiani</v>
          </cell>
          <cell r="E1743" t="str">
            <v>بارشانت راجيش تولسياني</v>
          </cell>
          <cell r="F1743">
            <v>45698</v>
          </cell>
          <cell r="G1743" t="str">
            <v>50002739</v>
          </cell>
          <cell r="H1743" t="str">
            <v>Infrastructure Architect</v>
          </cell>
          <cell r="I1743" t="str">
            <v>مهندس البنية التحتية</v>
          </cell>
          <cell r="J1743" t="str">
            <v>On-Chart</v>
          </cell>
          <cell r="K1743" t="str">
            <v>MSS Al Nahiya</v>
          </cell>
          <cell r="L1743" t="str">
            <v>M2</v>
          </cell>
          <cell r="M1743" t="str">
            <v>Department of Culture and Tourism</v>
          </cell>
          <cell r="N1743" t="str">
            <v>Museums Shared Services</v>
          </cell>
          <cell r="O1743" t="str">
            <v>الخدمات المشتركة للمتاحف</v>
          </cell>
          <cell r="P1743" t="str">
            <v>Technology - MSS</v>
          </cell>
          <cell r="Q1743" t="str">
            <v>إدارة التكنولوجيا - الخدمات المشتركة للمتاحف</v>
          </cell>
          <cell r="R1743" t="str">
            <v>Enterprise Architecture Section</v>
          </cell>
          <cell r="S1743" t="str">
            <v>قسم البنية المؤسسية</v>
          </cell>
          <cell r="T1743" t="str">
            <v/>
          </cell>
          <cell r="U1743" t="str">
            <v/>
          </cell>
          <cell r="V1743" t="str">
            <v>Abu Dhabi</v>
          </cell>
          <cell r="W1743" t="str">
            <v/>
          </cell>
          <cell r="X1743" t="str">
            <v>4514180</v>
          </cell>
          <cell r="Y1743" t="str">
            <v>Specialization IT &amp; Digital Services</v>
          </cell>
          <cell r="Z1743" t="str">
            <v>Professional</v>
          </cell>
          <cell r="AA1743" t="str">
            <v>3C</v>
          </cell>
        </row>
        <row r="1744">
          <cell r="A1744">
            <v>2001271</v>
          </cell>
          <cell r="B1744">
            <v>2001271</v>
          </cell>
          <cell r="C1744" t="str">
            <v>A</v>
          </cell>
          <cell r="D1744" t="str">
            <v>Albert Babu Kolambel</v>
          </cell>
          <cell r="E1744" t="str">
            <v>البيرت بابو كولامبيل</v>
          </cell>
          <cell r="F1744">
            <v>45712</v>
          </cell>
          <cell r="G1744" t="str">
            <v>50003862</v>
          </cell>
          <cell r="H1744" t="str">
            <v>Exhibitions Production Specialist</v>
          </cell>
          <cell r="I1744" t="str">
            <v>أخصائي أنتاج المعرض</v>
          </cell>
          <cell r="J1744" t="str">
            <v>On-Chart</v>
          </cell>
          <cell r="K1744" t="str">
            <v>MSS Al Nahiya</v>
          </cell>
          <cell r="L1744" t="str">
            <v>M2</v>
          </cell>
          <cell r="M1744" t="str">
            <v>Department of Culture and Tourism</v>
          </cell>
          <cell r="N1744" t="str">
            <v>Culture</v>
          </cell>
          <cell r="O1744" t="str">
            <v>الثقافة</v>
          </cell>
          <cell r="P1744" t="str">
            <v>Guggenheim Abu Dhabi Museum</v>
          </cell>
          <cell r="Q1744" t="str">
            <v>متحف جوجينهايم أبوظبي</v>
          </cell>
          <cell r="R1744" t="str">
            <v>Guggenheim Abu Dhabi</v>
          </cell>
          <cell r="S1744" t="str">
            <v>جوجينهايم أبوظبي</v>
          </cell>
          <cell r="T1744" t="str">
            <v/>
          </cell>
          <cell r="U1744" t="str">
            <v/>
          </cell>
          <cell r="V1744" t="str">
            <v>Abu Dhabi</v>
          </cell>
          <cell r="W1744" t="str">
            <v/>
          </cell>
          <cell r="X1744" t="str">
            <v>4510410</v>
          </cell>
          <cell r="Y1744" t="str">
            <v>Operations_Exhibitions/Events/Festivals/Activations Operations _Professional</v>
          </cell>
          <cell r="Z1744" t="str">
            <v>Professional</v>
          </cell>
          <cell r="AA1744" t="str">
            <v>4C</v>
          </cell>
        </row>
        <row r="1745">
          <cell r="A1745">
            <v>2001272</v>
          </cell>
          <cell r="B1745">
            <v>2001272</v>
          </cell>
          <cell r="C1745" t="str">
            <v>A</v>
          </cell>
          <cell r="D1745" t="str">
            <v>Omar Obaid Aldhaheri</v>
          </cell>
          <cell r="E1745" t="str">
            <v>عمر عبيد الظاهري</v>
          </cell>
          <cell r="F1745">
            <v>45695</v>
          </cell>
          <cell r="G1745" t="str">
            <v>50002040</v>
          </cell>
          <cell r="H1745" t="str">
            <v>Stakeholder Engagement Section Head</v>
          </cell>
          <cell r="I1745" t="str">
            <v>رئيس قسم إشراك أصحاب المصلحة</v>
          </cell>
          <cell r="J1745" t="str">
            <v>On-Chart</v>
          </cell>
          <cell r="K1745" t="str">
            <v>Al Nahiya</v>
          </cell>
          <cell r="L1745" t="str">
            <v>N0</v>
          </cell>
          <cell r="M1745" t="str">
            <v>Department of Culture and Tourism</v>
          </cell>
          <cell r="N1745" t="str">
            <v>Tourism</v>
          </cell>
          <cell r="O1745" t="str">
            <v>السياحة</v>
          </cell>
          <cell r="P1745" t="str">
            <v>Tourism Sector Management Office</v>
          </cell>
          <cell r="Q1745" t="str">
            <v>مكتب إدارة شؤون قطاع السياحة</v>
          </cell>
          <cell r="R1745" t="str">
            <v>Stakeholder Engagement</v>
          </cell>
          <cell r="S1745" t="str">
            <v>إشراك أصحاب المصلحة</v>
          </cell>
          <cell r="T1745" t="str">
            <v/>
          </cell>
          <cell r="U1745" t="str">
            <v/>
          </cell>
          <cell r="V1745" t="str">
            <v>Abu Dhabi</v>
          </cell>
          <cell r="W1745" t="str">
            <v/>
          </cell>
          <cell r="X1745" t="str">
            <v>4515010</v>
          </cell>
          <cell r="Y1745" t="str">
            <v>Compliance,Governance&amp;Protocol_Policy (Culture &amp; Tourism)_Section Head</v>
          </cell>
          <cell r="Z1745" t="str">
            <v>Section Manager</v>
          </cell>
          <cell r="AA1745" t="str">
            <v>2A</v>
          </cell>
        </row>
        <row r="1746">
          <cell r="A1746">
            <v>2001273</v>
          </cell>
          <cell r="B1746">
            <v>2001273</v>
          </cell>
          <cell r="C1746" t="str">
            <v>A</v>
          </cell>
          <cell r="D1746" t="str">
            <v>Zahwa Muhammed Noufel</v>
          </cell>
          <cell r="E1746" t="str">
            <v>زهوه محمد نوفل</v>
          </cell>
          <cell r="F1746">
            <v>45706</v>
          </cell>
          <cell r="G1746" t="str">
            <v>47700312</v>
          </cell>
          <cell r="H1746" t="str">
            <v>Operational Project Officer</v>
          </cell>
          <cell r="I1746" t="str">
            <v>ضابط المشاريع التشغيلية</v>
          </cell>
          <cell r="J1746" t="str">
            <v>On-Chart</v>
          </cell>
          <cell r="K1746" t="str">
            <v>Sundus</v>
          </cell>
          <cell r="L1746" t="str">
            <v>SU</v>
          </cell>
          <cell r="M1746" t="str">
            <v>Department of Culture and Tourism</v>
          </cell>
          <cell r="N1746" t="str">
            <v>Strategic Marketing &amp; Communication</v>
          </cell>
          <cell r="O1746" t="str">
            <v>التسويق والاتصال الاستراتيجي</v>
          </cell>
          <cell r="P1746" t="str">
            <v>Planning, Strategy &amp; Operations</v>
          </cell>
          <cell r="Q1746" t="str">
            <v>التخطيط والاستراتيجية والعمليات</v>
          </cell>
          <cell r="R1746" t="str">
            <v>Planning, Research &amp; Insight</v>
          </cell>
          <cell r="S1746" t="str">
            <v>التخطيط والبحوث</v>
          </cell>
          <cell r="T1746" t="str">
            <v>Planning</v>
          </cell>
          <cell r="U1746" t="str">
            <v>التخطيط</v>
          </cell>
          <cell r="V1746" t="str">
            <v>Abu Dhabi</v>
          </cell>
          <cell r="W1746" t="str">
            <v/>
          </cell>
          <cell r="X1746" t="str">
            <v>4513130</v>
          </cell>
          <cell r="Y1746" t="str">
            <v>Specialization Marketing &amp; Communications</v>
          </cell>
          <cell r="Z1746" t="str">
            <v>Professional</v>
          </cell>
          <cell r="AA1746" t="str">
            <v>4C</v>
          </cell>
        </row>
        <row r="1747">
          <cell r="A1747">
            <v>2001274</v>
          </cell>
          <cell r="B1747">
            <v>2001274</v>
          </cell>
          <cell r="C1747" t="str">
            <v>A</v>
          </cell>
          <cell r="D1747" t="str">
            <v>Rami Imad Alkanafani</v>
          </cell>
          <cell r="E1747" t="str">
            <v>رامي عماد الكنفانى</v>
          </cell>
          <cell r="F1747">
            <v>45706</v>
          </cell>
          <cell r="G1747" t="str">
            <v>50002505</v>
          </cell>
          <cell r="H1747" t="str">
            <v>Portfolio Management Officer</v>
          </cell>
          <cell r="I1747" t="str">
            <v>ضابط إدارة مجموعة الأعمال</v>
          </cell>
          <cell r="J1747" t="str">
            <v>On-Chart</v>
          </cell>
          <cell r="K1747" t="str">
            <v>Al Nahiya</v>
          </cell>
          <cell r="L1747" t="str">
            <v>N0</v>
          </cell>
          <cell r="M1747" t="str">
            <v>Department of Culture and Tourism</v>
          </cell>
          <cell r="N1747" t="str">
            <v>Strategic Affairs</v>
          </cell>
          <cell r="O1747" t="str">
            <v>الشؤون الاستراتيجية</v>
          </cell>
          <cell r="P1747" t="str">
            <v>AD Gaming</v>
          </cell>
          <cell r="Q1747" t="str">
            <v>إدارة الألعاب والتطوير الرقمي</v>
          </cell>
          <cell r="R1747" t="str">
            <v>Gaming Relations</v>
          </cell>
          <cell r="S1747" t="str">
            <v>وحدة علاقات شركات الألعاب</v>
          </cell>
          <cell r="T1747" t="str">
            <v/>
          </cell>
          <cell r="U1747" t="str">
            <v/>
          </cell>
          <cell r="V1747" t="str">
            <v>Abu Dhabi</v>
          </cell>
          <cell r="W1747" t="str">
            <v/>
          </cell>
          <cell r="X1747" t="str">
            <v>4518113</v>
          </cell>
          <cell r="Y1747" t="str">
            <v>Specialization Content &amp; Care</v>
          </cell>
          <cell r="Z1747" t="str">
            <v>Professional</v>
          </cell>
          <cell r="AA1747" t="str">
            <v>4C</v>
          </cell>
        </row>
        <row r="1748">
          <cell r="A1748">
            <v>2001275</v>
          </cell>
          <cell r="B1748">
            <v>2001275</v>
          </cell>
          <cell r="C1748" t="str">
            <v>A</v>
          </cell>
          <cell r="D1748" t="str">
            <v>Laila Walid Khalifeh</v>
          </cell>
          <cell r="E1748" t="str">
            <v>ليلى وليد خليفه</v>
          </cell>
          <cell r="F1748">
            <v>45706</v>
          </cell>
          <cell r="G1748" t="str">
            <v>50002131</v>
          </cell>
          <cell r="H1748" t="str">
            <v>Content Development Specialist</v>
          </cell>
          <cell r="I1748" t="str">
            <v>أخصائي تطوير المحتوى</v>
          </cell>
          <cell r="J1748" t="str">
            <v>On-Chart</v>
          </cell>
          <cell r="K1748" t="str">
            <v>ALC Al Nahiya</v>
          </cell>
          <cell r="L1748" t="str">
            <v>AL2</v>
          </cell>
          <cell r="M1748" t="str">
            <v>Abu Dhabi Arabic Language Centre</v>
          </cell>
          <cell r="N1748" t="str">
            <v>Abu Dhabi Arabic Language Centre</v>
          </cell>
          <cell r="O1748" t="str">
            <v>مركز أبوظبي للغة العربية</v>
          </cell>
          <cell r="P1748" t="str">
            <v>Marketing &amp; Communications</v>
          </cell>
          <cell r="Q1748" t="str">
            <v>التسويق والاتصال</v>
          </cell>
          <cell r="R1748" t="str">
            <v>-</v>
          </cell>
          <cell r="S1748" t="str">
            <v/>
          </cell>
          <cell r="T1748" t="str">
            <v>PR &amp; Communications</v>
          </cell>
          <cell r="U1748" t="str">
            <v>العلاقات العامة والاتصال</v>
          </cell>
          <cell r="V1748" t="str">
            <v>Abu Dhabi</v>
          </cell>
          <cell r="W1748" t="str">
            <v/>
          </cell>
          <cell r="X1748" t="str">
            <v>4519196</v>
          </cell>
          <cell r="Y1748" t="str">
            <v>Senior Specialization Marketing &amp; Communications</v>
          </cell>
          <cell r="Z1748" t="str">
            <v>Senior Professional</v>
          </cell>
          <cell r="AA1748" t="str">
            <v>3C</v>
          </cell>
        </row>
        <row r="1749">
          <cell r="A1749">
            <v>2001276</v>
          </cell>
          <cell r="B1749">
            <v>2001276</v>
          </cell>
          <cell r="C1749" t="str">
            <v>A</v>
          </cell>
          <cell r="D1749" t="str">
            <v>Ebla Al Hawi</v>
          </cell>
          <cell r="E1749" t="str">
            <v>ايبلا  الحاوي</v>
          </cell>
          <cell r="F1749">
            <v>45754</v>
          </cell>
          <cell r="G1749" t="str">
            <v>50003601</v>
          </cell>
          <cell r="H1749" t="str">
            <v>Education Senior Specialist</v>
          </cell>
          <cell r="I1749" t="str">
            <v>أخصائي أول التعليم</v>
          </cell>
          <cell r="J1749" t="str">
            <v>On-Chart</v>
          </cell>
          <cell r="K1749" t="str">
            <v>MSS Al Nahiya</v>
          </cell>
          <cell r="L1749" t="str">
            <v>M2</v>
          </cell>
          <cell r="M1749" t="str">
            <v>Department of Culture and Tourism</v>
          </cell>
          <cell r="N1749" t="str">
            <v>Culture</v>
          </cell>
          <cell r="O1749" t="str">
            <v>الثقافة</v>
          </cell>
          <cell r="P1749" t="str">
            <v>Natural History Museum Abu Dhabi</v>
          </cell>
          <cell r="Q1749" t="str">
            <v>متحف التاريخ الطبيعي - أبوظبي</v>
          </cell>
          <cell r="R1749" t="str">
            <v/>
          </cell>
          <cell r="S1749" t="str">
            <v/>
          </cell>
          <cell r="T1749" t="str">
            <v/>
          </cell>
          <cell r="U1749" t="str">
            <v/>
          </cell>
          <cell r="V1749" t="str">
            <v>Abu Dhabi</v>
          </cell>
          <cell r="W1749" t="str">
            <v/>
          </cell>
          <cell r="X1749" t="str">
            <v>4510310</v>
          </cell>
          <cell r="Y1749" t="str">
            <v>Interpretation &amp; Engagement_Library &amp; Reference Education_Senior Professional</v>
          </cell>
          <cell r="Z1749" t="str">
            <v>Senior Professional</v>
          </cell>
          <cell r="AA1749" t="str">
            <v>3C</v>
          </cell>
        </row>
        <row r="1750">
          <cell r="A1750">
            <v>2001278</v>
          </cell>
          <cell r="B1750">
            <v>2001278</v>
          </cell>
          <cell r="C1750" t="str">
            <v>A</v>
          </cell>
          <cell r="D1750" t="str">
            <v>Sirelkhatim Abdelkariem Ali</v>
          </cell>
          <cell r="E1750" t="str">
            <v>سيرلخاتيم عبد الكريم علي</v>
          </cell>
          <cell r="F1750">
            <v>45689</v>
          </cell>
          <cell r="G1750" t="str">
            <v>50003636</v>
          </cell>
          <cell r="H1750" t="str">
            <v>Administrative Assistant</v>
          </cell>
          <cell r="I1750" t="str">
            <v>مساعد إداري</v>
          </cell>
          <cell r="J1750" t="str">
            <v>Off-Chart</v>
          </cell>
          <cell r="K1750" t="str">
            <v>Al Nahiya</v>
          </cell>
          <cell r="L1750" t="str">
            <v>N0</v>
          </cell>
          <cell r="M1750" t="str">
            <v>Department of Culture and Tourism</v>
          </cell>
          <cell r="N1750" t="str">
            <v>Culture</v>
          </cell>
          <cell r="O1750" t="str">
            <v>الثقافة</v>
          </cell>
          <cell r="P1750" t="str">
            <v>Culture Sites Management</v>
          </cell>
          <cell r="Q1750" t="str">
            <v>إدارة المواقع الثقافية</v>
          </cell>
          <cell r="R1750" t="str">
            <v/>
          </cell>
          <cell r="S1750" t="str">
            <v/>
          </cell>
          <cell r="T1750" t="str">
            <v/>
          </cell>
          <cell r="U1750" t="str">
            <v/>
          </cell>
          <cell r="V1750" t="str">
            <v>Abu Dhabi</v>
          </cell>
          <cell r="W1750" t="str">
            <v/>
          </cell>
          <cell r="X1750" t="str">
            <v>4511250</v>
          </cell>
          <cell r="Y1750" t="str">
            <v>Content &amp; Care_Historic Environment Worker_Assistant &amp; Technical Staff</v>
          </cell>
          <cell r="Z1750" t="str">
            <v>Professional Assistant</v>
          </cell>
          <cell r="AA1750" t="str">
            <v>7A</v>
          </cell>
        </row>
        <row r="1751">
          <cell r="A1751">
            <v>2001279</v>
          </cell>
          <cell r="B1751">
            <v>2001279</v>
          </cell>
          <cell r="C1751" t="str">
            <v>A</v>
          </cell>
          <cell r="D1751" t="str">
            <v>Angela Moreno Gaby</v>
          </cell>
          <cell r="E1751" t="str">
            <v>انجيلا  مورينو جابي</v>
          </cell>
          <cell r="F1751">
            <v>45716</v>
          </cell>
          <cell r="G1751" t="str">
            <v>50003480</v>
          </cell>
          <cell r="H1751" t="str">
            <v>Research &amp; Insight Specialist</v>
          </cell>
          <cell r="I1751" t="str">
            <v>أخصائي البحوث</v>
          </cell>
          <cell r="J1751" t="str">
            <v>On-Chart</v>
          </cell>
          <cell r="K1751" t="str">
            <v>Al Nahiya</v>
          </cell>
          <cell r="L1751" t="str">
            <v>N0</v>
          </cell>
          <cell r="M1751" t="str">
            <v>Department of Culture and Tourism</v>
          </cell>
          <cell r="N1751" t="str">
            <v>Strategic Marketing &amp; Communication</v>
          </cell>
          <cell r="O1751" t="str">
            <v>التسويق والاتصال الاستراتيجي</v>
          </cell>
          <cell r="P1751" t="str">
            <v>Planning, Strategy &amp; Operations</v>
          </cell>
          <cell r="Q1751" t="str">
            <v>التخطيط والاستراتيجية والعمليات</v>
          </cell>
          <cell r="R1751" t="str">
            <v>Planning, Research &amp; Insight</v>
          </cell>
          <cell r="S1751" t="str">
            <v>التخطيط والبحوث</v>
          </cell>
          <cell r="T1751" t="str">
            <v>Research &amp; Insight</v>
          </cell>
          <cell r="U1751" t="str">
            <v>البحوث</v>
          </cell>
          <cell r="V1751" t="str">
            <v>Abu Dhabi</v>
          </cell>
          <cell r="W1751" t="str">
            <v/>
          </cell>
          <cell r="X1751" t="str">
            <v>4513130</v>
          </cell>
          <cell r="Y1751" t="str">
            <v>Senior Specialization Marketing &amp; Communications</v>
          </cell>
          <cell r="Z1751" t="str">
            <v>Senior Professional</v>
          </cell>
          <cell r="AA1751" t="str">
            <v>3C</v>
          </cell>
        </row>
        <row r="1752">
          <cell r="A1752">
            <v>2001280</v>
          </cell>
          <cell r="B1752">
            <v>2001280</v>
          </cell>
          <cell r="C1752" t="str">
            <v>A</v>
          </cell>
          <cell r="D1752" t="str">
            <v xml:space="preserve">Hind  Salem  ALSalmi </v>
          </cell>
          <cell r="E1752" t="str">
            <v xml:space="preserve">هند  سالم  السالمي </v>
          </cell>
          <cell r="F1752">
            <v>45656</v>
          </cell>
          <cell r="G1752" t="str">
            <v>50001358</v>
          </cell>
          <cell r="H1752" t="str">
            <v>Executive Administrator</v>
          </cell>
          <cell r="I1752" t="str">
            <v>إداري تنفيذي</v>
          </cell>
          <cell r="J1752" t="str">
            <v>On-Chart</v>
          </cell>
          <cell r="K1752" t="str">
            <v>Al Nahiya</v>
          </cell>
          <cell r="L1752" t="str">
            <v>N0</v>
          </cell>
          <cell r="M1752" t="str">
            <v>Department of Culture and Tourism</v>
          </cell>
          <cell r="N1752" t="str">
            <v>Strategic Marketing &amp; Communication</v>
          </cell>
          <cell r="O1752" t="str">
            <v>التسويق والاتصال الاستراتيجي</v>
          </cell>
          <cell r="P1752" t="str">
            <v/>
          </cell>
          <cell r="Q1752" t="str">
            <v/>
          </cell>
          <cell r="R1752" t="str">
            <v/>
          </cell>
          <cell r="S1752" t="str">
            <v/>
          </cell>
          <cell r="T1752" t="str">
            <v/>
          </cell>
          <cell r="U1752" t="str">
            <v/>
          </cell>
          <cell r="V1752" t="str">
            <v>Abu Dhabi</v>
          </cell>
          <cell r="W1752" t="str">
            <v/>
          </cell>
          <cell r="X1752" t="str">
            <v>4513130</v>
          </cell>
          <cell r="Y1752" t="str">
            <v>Information Technology_People &amp; Performance Systems Specialist_Professional</v>
          </cell>
          <cell r="Z1752" t="str">
            <v>Professional</v>
          </cell>
          <cell r="AA1752" t="str">
            <v>4C</v>
          </cell>
        </row>
        <row r="1753">
          <cell r="A1753">
            <v>2001281</v>
          </cell>
          <cell r="B1753">
            <v>2001281</v>
          </cell>
          <cell r="C1753" t="str">
            <v>A</v>
          </cell>
          <cell r="D1753" t="str">
            <v xml:space="preserve">Belal  Ghassan </v>
          </cell>
          <cell r="E1753" t="str">
            <v xml:space="preserve">بلال   غسان </v>
          </cell>
          <cell r="F1753">
            <v>45649</v>
          </cell>
          <cell r="G1753" t="str">
            <v>50003239</v>
          </cell>
          <cell r="H1753" t="str">
            <v>Finance Business Partner</v>
          </cell>
          <cell r="I1753" t="str">
            <v>شريك الأعمال المالية</v>
          </cell>
          <cell r="J1753" t="str">
            <v>On-Chart</v>
          </cell>
          <cell r="K1753" t="str">
            <v>Al Nahiya</v>
          </cell>
          <cell r="L1753" t="str">
            <v>N0</v>
          </cell>
          <cell r="M1753" t="str">
            <v>Department of Culture and Tourism</v>
          </cell>
          <cell r="N1753" t="str">
            <v>Support Services</v>
          </cell>
          <cell r="O1753" t="str">
            <v>الخدمات المساندة</v>
          </cell>
          <cell r="P1753" t="str">
            <v>Finance</v>
          </cell>
          <cell r="Q1753" t="str">
            <v>إدارة المالية</v>
          </cell>
          <cell r="R1753" t="str">
            <v>Finance Business Partners</v>
          </cell>
          <cell r="S1753" t="str">
            <v>شركاء الأعمال المالية</v>
          </cell>
          <cell r="T1753" t="str">
            <v>Finance Business Partners</v>
          </cell>
          <cell r="U1753" t="str">
            <v>شركاء الأعمال المالية</v>
          </cell>
          <cell r="V1753" t="str">
            <v>Abu Dhabi</v>
          </cell>
          <cell r="W1753" t="str">
            <v/>
          </cell>
          <cell r="X1753" t="str">
            <v>4510210</v>
          </cell>
          <cell r="Y1753" t="str">
            <v>Finance_Financial Business Partners _Senior Professional</v>
          </cell>
          <cell r="Z1753" t="str">
            <v>Senior Professional</v>
          </cell>
          <cell r="AA1753" t="str">
            <v>3C</v>
          </cell>
        </row>
        <row r="1754">
          <cell r="A1754">
            <v>2001282</v>
          </cell>
          <cell r="B1754">
            <v>2001282</v>
          </cell>
          <cell r="C1754" t="str">
            <v>A</v>
          </cell>
          <cell r="D1754" t="str">
            <v>Hothaifa Mikhled Al-Dweikat</v>
          </cell>
          <cell r="E1754" t="str">
            <v>حذيفه مخلد الدويكات</v>
          </cell>
          <cell r="F1754">
            <v>45684</v>
          </cell>
          <cell r="G1754" t="str">
            <v>10008644</v>
          </cell>
          <cell r="H1754" t="str">
            <v>Organization Development Senior Specialist</v>
          </cell>
          <cell r="I1754" t="str">
            <v>أخصائي أول التطوير المؤسسي</v>
          </cell>
          <cell r="J1754" t="str">
            <v>On-Chart</v>
          </cell>
          <cell r="K1754" t="str">
            <v>Al Nahiya</v>
          </cell>
          <cell r="L1754" t="str">
            <v>N0</v>
          </cell>
          <cell r="M1754" t="str">
            <v>Department of Culture and Tourism</v>
          </cell>
          <cell r="N1754" t="str">
            <v>Strategic Affairs</v>
          </cell>
          <cell r="O1754" t="str">
            <v>الشؤون الاستراتيجية</v>
          </cell>
          <cell r="P1754" t="str">
            <v>Organization Strategy &amp; Transformation Department</v>
          </cell>
          <cell r="Q1754" t="str">
            <v/>
          </cell>
          <cell r="R1754" t="str">
            <v/>
          </cell>
          <cell r="S1754" t="str">
            <v/>
          </cell>
          <cell r="T1754" t="str">
            <v/>
          </cell>
          <cell r="U1754" t="str">
            <v/>
          </cell>
          <cell r="V1754" t="str">
            <v>Abu Dhabi</v>
          </cell>
          <cell r="W1754" t="str">
            <v/>
          </cell>
          <cell r="X1754" t="str">
            <v>4512300</v>
          </cell>
          <cell r="Y1754" t="str">
            <v>Senior Specialization Strategy &amp; Planning</v>
          </cell>
          <cell r="Z1754" t="str">
            <v>Senior Professional</v>
          </cell>
          <cell r="AA1754" t="str">
            <v>3C</v>
          </cell>
        </row>
        <row r="1755">
          <cell r="A1755">
            <v>2001283</v>
          </cell>
          <cell r="B1755">
            <v>2001283</v>
          </cell>
          <cell r="C1755" t="str">
            <v>A</v>
          </cell>
          <cell r="D1755" t="str">
            <v>Maryam Mohammed Alayderous</v>
          </cell>
          <cell r="E1755" t="str">
            <v>مريم محمد العيدروس</v>
          </cell>
          <cell r="F1755">
            <v>45656</v>
          </cell>
          <cell r="G1755" t="str">
            <v>10007039</v>
          </cell>
          <cell r="H1755" t="str">
            <v>Senior Designer</v>
          </cell>
          <cell r="I1755" t="str">
            <v>مصمم غرافيكي أول</v>
          </cell>
          <cell r="J1755" t="str">
            <v>On-Chart</v>
          </cell>
          <cell r="K1755" t="str">
            <v>MSS Al Nahiya</v>
          </cell>
          <cell r="L1755" t="str">
            <v>M2</v>
          </cell>
          <cell r="M1755" t="str">
            <v>Louvre Abu Dhabi</v>
          </cell>
          <cell r="N1755" t="str">
            <v>Louvre Abu Dhabi</v>
          </cell>
          <cell r="O1755" t="str">
            <v>متحف اللوفر أبوظبي</v>
          </cell>
          <cell r="P1755" t="str">
            <v>Development, Marketing &amp; Communications</v>
          </cell>
          <cell r="Q1755" t="str">
            <v>إدارة التطوير،التسويق والاتصال</v>
          </cell>
          <cell r="R1755" t="str">
            <v/>
          </cell>
          <cell r="S1755" t="str">
            <v/>
          </cell>
          <cell r="T1755" t="str">
            <v/>
          </cell>
          <cell r="U1755" t="str">
            <v/>
          </cell>
          <cell r="V1755" t="str">
            <v>Abu Dhabi</v>
          </cell>
          <cell r="W1755" t="str">
            <v/>
          </cell>
          <cell r="X1755" t="str">
            <v>4510124</v>
          </cell>
          <cell r="Y1755" t="str">
            <v>Comms &amp; Marketing _Marketing &amp; Communications (All areas)_Senior Professional</v>
          </cell>
          <cell r="Z1755" t="str">
            <v>Senior Professional</v>
          </cell>
          <cell r="AA1755" t="str">
            <v>3C</v>
          </cell>
        </row>
        <row r="1756">
          <cell r="A1756">
            <v>2001285</v>
          </cell>
          <cell r="B1756">
            <v>2001285</v>
          </cell>
          <cell r="C1756" t="str">
            <v>A</v>
          </cell>
          <cell r="D1756" t="str">
            <v>Moaz Khamis Ashour</v>
          </cell>
          <cell r="E1756" t="str">
            <v>معاذ خميس عاشور</v>
          </cell>
          <cell r="F1756">
            <v>45684</v>
          </cell>
          <cell r="G1756" t="str">
            <v>50002431</v>
          </cell>
          <cell r="H1756" t="str">
            <v>Finance Projects &amp; Transformation Senior Analyst</v>
          </cell>
          <cell r="I1756" t="str">
            <v>محلل أول التحول والمشاريع المالية</v>
          </cell>
          <cell r="J1756" t="str">
            <v>On-Chart</v>
          </cell>
          <cell r="K1756" t="str">
            <v>Al Nahiya</v>
          </cell>
          <cell r="L1756" t="str">
            <v>N0</v>
          </cell>
          <cell r="M1756" t="str">
            <v>Department of Culture and Tourism</v>
          </cell>
          <cell r="N1756" t="str">
            <v>Support Services</v>
          </cell>
          <cell r="O1756" t="str">
            <v>الخدمات المساندة</v>
          </cell>
          <cell r="P1756" t="str">
            <v>Office of the Support Services Executive Director</v>
          </cell>
          <cell r="Q1756" t="str">
            <v>مكتب المدير التنفيذي لقطاع الخدمات المساندة</v>
          </cell>
          <cell r="R1756" t="str">
            <v>Support Services Transformation</v>
          </cell>
          <cell r="S1756" t="str">
            <v>تحول الخدمات المساندة</v>
          </cell>
          <cell r="T1756" t="str">
            <v>Strategic Projects &amp; Transformation</v>
          </cell>
          <cell r="U1756" t="str">
            <v>التحول والمشاريع الاستراتيجية</v>
          </cell>
          <cell r="V1756" t="str">
            <v>Abu Dhabi</v>
          </cell>
          <cell r="W1756" t="str">
            <v/>
          </cell>
          <cell r="X1756" t="str">
            <v>4510201</v>
          </cell>
          <cell r="Y1756" t="str">
            <v>Senior Specialization Project Management</v>
          </cell>
          <cell r="Z1756" t="str">
            <v>Unit Head</v>
          </cell>
          <cell r="AA1756" t="str">
            <v>3C</v>
          </cell>
        </row>
        <row r="1757">
          <cell r="A1757">
            <v>2001286</v>
          </cell>
          <cell r="B1757">
            <v>2001286</v>
          </cell>
          <cell r="C1757" t="str">
            <v>A</v>
          </cell>
          <cell r="D1757" t="str">
            <v>Abelrahman Mostafa Seyam</v>
          </cell>
          <cell r="E1757" t="str">
            <v>عبدالرحمن مصطفى صيام</v>
          </cell>
          <cell r="F1757">
            <v>45691</v>
          </cell>
          <cell r="G1757" t="str">
            <v>50003139</v>
          </cell>
          <cell r="H1757" t="str">
            <v>Senior Cloud Architect</v>
          </cell>
          <cell r="I1757" t="str">
            <v>مصمم أول التقنية السحابية</v>
          </cell>
          <cell r="J1757" t="str">
            <v>On-Chart</v>
          </cell>
          <cell r="K1757" t="str">
            <v>Al Nahiya</v>
          </cell>
          <cell r="L1757" t="str">
            <v>N0</v>
          </cell>
          <cell r="M1757" t="str">
            <v>Department of Culture and Tourism</v>
          </cell>
          <cell r="N1757" t="str">
            <v>Support Services</v>
          </cell>
          <cell r="O1757" t="str">
            <v>الخدمات المساندة</v>
          </cell>
          <cell r="P1757" t="str">
            <v>Technology</v>
          </cell>
          <cell r="Q1757" t="str">
            <v>التكنولوجيا</v>
          </cell>
          <cell r="R1757" t="str">
            <v>Enterprise Architecture</v>
          </cell>
          <cell r="S1757" t="str">
            <v>البنية المؤسسية</v>
          </cell>
          <cell r="T1757" t="str">
            <v/>
          </cell>
          <cell r="U1757" t="str">
            <v/>
          </cell>
          <cell r="V1757" t="str">
            <v>Abu Dhabi</v>
          </cell>
          <cell r="W1757" t="str">
            <v/>
          </cell>
          <cell r="X1757" t="str">
            <v>4510250</v>
          </cell>
          <cell r="Y1757" t="str">
            <v>Senior Specialization IT &amp; Digital Services</v>
          </cell>
          <cell r="Z1757" t="str">
            <v>Senior Professional</v>
          </cell>
          <cell r="AA1757" t="str">
            <v>3C</v>
          </cell>
        </row>
        <row r="1758">
          <cell r="A1758">
            <v>2001287</v>
          </cell>
          <cell r="B1758">
            <v>2001287</v>
          </cell>
          <cell r="C1758" t="str">
            <v>A</v>
          </cell>
          <cell r="D1758" t="str">
            <v>Eric Malcolm Staples</v>
          </cell>
          <cell r="E1758" t="str">
            <v>إريك مالكولم  ستابلس</v>
          </cell>
          <cell r="F1758">
            <v>45691</v>
          </cell>
          <cell r="G1758" t="str">
            <v>47700067</v>
          </cell>
          <cell r="H1758" t="str">
            <v>Maritime &amp; Paleontology Unit Head</v>
          </cell>
          <cell r="I1758" t="str">
            <v>رئيس وحدة علم الحفريات والآثار البحرية</v>
          </cell>
          <cell r="J1758" t="str">
            <v>On-Chart</v>
          </cell>
          <cell r="K1758" t="str">
            <v>Al Nahiya</v>
          </cell>
          <cell r="L1758" t="str">
            <v>N0</v>
          </cell>
          <cell r="M1758" t="str">
            <v>Department of Culture and Tourism</v>
          </cell>
          <cell r="N1758" t="str">
            <v>Culture</v>
          </cell>
          <cell r="O1758" t="str">
            <v>الثقافة</v>
          </cell>
          <cell r="P1758" t="str">
            <v>Historic Environment</v>
          </cell>
          <cell r="Q1758" t="str">
            <v>البيئة التاريخية</v>
          </cell>
          <cell r="R1758" t="str">
            <v>Archaeology &amp; Paleontology</v>
          </cell>
          <cell r="S1758" t="str">
            <v>علم الآثار</v>
          </cell>
          <cell r="T1758" t="str">
            <v>Maritime &amp; Paleontology</v>
          </cell>
          <cell r="U1758" t="str">
            <v>علم الحفريات والآثار البحرية</v>
          </cell>
          <cell r="V1758" t="str">
            <v>Abu Dhabi</v>
          </cell>
          <cell r="W1758" t="str">
            <v/>
          </cell>
          <cell r="X1758" t="str">
            <v>4511300</v>
          </cell>
          <cell r="Y1758" t="str">
            <v>Senior Specialization Content &amp; Care</v>
          </cell>
          <cell r="Z1758" t="str">
            <v>Unit Head</v>
          </cell>
          <cell r="AA1758" t="str">
            <v>3C</v>
          </cell>
        </row>
        <row r="1759">
          <cell r="A1759">
            <v>2001288</v>
          </cell>
          <cell r="B1759">
            <v>2001288</v>
          </cell>
          <cell r="C1759" t="str">
            <v>A</v>
          </cell>
          <cell r="D1759" t="str">
            <v>Swapnadeep Raha</v>
          </cell>
          <cell r="E1759" t="str">
            <v>سوانبديب  راها</v>
          </cell>
          <cell r="F1759">
            <v>45692</v>
          </cell>
          <cell r="G1759" t="str">
            <v>10006266</v>
          </cell>
          <cell r="H1759" t="str">
            <v>Strategy and Market Intelligence Unit Head</v>
          </cell>
          <cell r="I1759" t="str">
            <v>رئيس وحدة الاستراتيجية واستخبارات السوق</v>
          </cell>
          <cell r="J1759" t="str">
            <v>On-Chart</v>
          </cell>
          <cell r="K1759" t="str">
            <v>ALC Al Nahiya</v>
          </cell>
          <cell r="L1759" t="str">
            <v>AL2</v>
          </cell>
          <cell r="M1759" t="str">
            <v>Abu Dhabi Arabic Language Centre</v>
          </cell>
          <cell r="N1759" t="str">
            <v>Abu Dhabi Arabic Language Centre</v>
          </cell>
          <cell r="O1759" t="str">
            <v>مركز أبوظبي للغة العربية</v>
          </cell>
          <cell r="P1759" t="str">
            <v>Strategic Planning Office - ALC</v>
          </cell>
          <cell r="Q1759" t="str">
            <v>مكتب التخطيط الاستراتيجي</v>
          </cell>
          <cell r="R1759" t="str">
            <v>Process &amp; Project Management</v>
          </cell>
          <cell r="S1759" t="str">
            <v>إدارة المشاريع والعميات</v>
          </cell>
          <cell r="T1759" t="str">
            <v/>
          </cell>
          <cell r="U1759" t="str">
            <v/>
          </cell>
          <cell r="V1759" t="str">
            <v>Abu Dhabi</v>
          </cell>
          <cell r="W1759" t="str">
            <v/>
          </cell>
          <cell r="X1759" t="str">
            <v>4519203</v>
          </cell>
          <cell r="Y1759" t="str">
            <v>Senior Specialization Operations</v>
          </cell>
          <cell r="Z1759" t="str">
            <v>Unit Head</v>
          </cell>
          <cell r="AA1759" t="str">
            <v>3C</v>
          </cell>
        </row>
        <row r="1760">
          <cell r="A1760">
            <v>2001290</v>
          </cell>
          <cell r="B1760">
            <v>2001290</v>
          </cell>
          <cell r="C1760" t="str">
            <v>A</v>
          </cell>
          <cell r="D1760" t="str">
            <v>Namarata Gupta</v>
          </cell>
          <cell r="E1760" t="str">
            <v>ناماراتا  جوبتا</v>
          </cell>
          <cell r="F1760">
            <v>45700</v>
          </cell>
          <cell r="G1760" t="str">
            <v>50002293</v>
          </cell>
          <cell r="H1760" t="str">
            <v>Strategic Planning Senior Specialist (International Operations &amp; Marketing)</v>
          </cell>
          <cell r="I1760" t="str">
            <v>أخصائي أول التخطيط الاستراتيجي (التسويق والعميات الدولية)</v>
          </cell>
          <cell r="J1760" t="str">
            <v>On-Chart</v>
          </cell>
          <cell r="K1760" t="str">
            <v>Al Nahiya</v>
          </cell>
          <cell r="L1760" t="str">
            <v>N0</v>
          </cell>
          <cell r="M1760" t="str">
            <v>Department of Culture and Tourism</v>
          </cell>
          <cell r="N1760" t="str">
            <v>Strategic Affairs</v>
          </cell>
          <cell r="O1760" t="str">
            <v>الشؤون الاستراتيجية</v>
          </cell>
          <cell r="P1760" t="str">
            <v>Strategic Planning</v>
          </cell>
          <cell r="Q1760" t="str">
            <v>التخطيط الاستراتيجي</v>
          </cell>
          <cell r="R1760" t="str">
            <v>Tourism &amp; Marketing Strategic Planning</v>
          </cell>
          <cell r="S1760" t="str">
            <v>التخطيط الاستراتيجي لقطاعي السياحة والتسويق</v>
          </cell>
          <cell r="T1760" t="str">
            <v>Strategic Planning (International Operations &amp; Marketing)</v>
          </cell>
          <cell r="U1760" t="str">
            <v>التخطيط الاستراتيجي (التسويق والعمليات الدولية)</v>
          </cell>
          <cell r="V1760" t="str">
            <v>Abu Dhabi</v>
          </cell>
          <cell r="W1760" t="str">
            <v/>
          </cell>
          <cell r="X1760" t="str">
            <v>4512100</v>
          </cell>
          <cell r="Y1760" t="str">
            <v>Senior Specialization Strategy &amp; Planning</v>
          </cell>
          <cell r="Z1760" t="str">
            <v>Senior Professional</v>
          </cell>
          <cell r="AA1760" t="str">
            <v>3C</v>
          </cell>
        </row>
        <row r="1761">
          <cell r="A1761">
            <v>2001292</v>
          </cell>
          <cell r="B1761">
            <v>2001292</v>
          </cell>
          <cell r="C1761" t="str">
            <v>A</v>
          </cell>
          <cell r="D1761" t="str">
            <v>Kate  Horvath</v>
          </cell>
          <cell r="E1761" t="str">
            <v>كاتى  هورفاث</v>
          </cell>
          <cell r="F1761">
            <v>45720</v>
          </cell>
          <cell r="G1761" t="str">
            <v>50002209</v>
          </cell>
          <cell r="H1761" t="str">
            <v>Digital &amp; Social Media Section Head</v>
          </cell>
          <cell r="I1761" t="str">
            <v>رئيس قسم الإعلام الرقمي</v>
          </cell>
          <cell r="J1761" t="str">
            <v>On-Chart</v>
          </cell>
          <cell r="K1761" t="str">
            <v>Al Nahiya</v>
          </cell>
          <cell r="L1761" t="str">
            <v>N0</v>
          </cell>
          <cell r="M1761" t="str">
            <v>Department of Culture and Tourism</v>
          </cell>
          <cell r="N1761" t="str">
            <v>Strategic Marketing &amp; Communication</v>
          </cell>
          <cell r="O1761" t="str">
            <v>التسويق والاتصال الاستراتيجي</v>
          </cell>
          <cell r="P1761" t="str">
            <v>Creative &amp; Production</v>
          </cell>
          <cell r="Q1761" t="str">
            <v>الإبداع والإنتاج</v>
          </cell>
          <cell r="R1761" t="str">
            <v>Digital &amp; Social Media</v>
          </cell>
          <cell r="S1761" t="str">
            <v>الإعلام الرقمي</v>
          </cell>
          <cell r="T1761" t="str">
            <v/>
          </cell>
          <cell r="U1761" t="str">
            <v/>
          </cell>
          <cell r="V1761" t="str">
            <v>Abu Dhabi</v>
          </cell>
          <cell r="W1761" t="str">
            <v/>
          </cell>
          <cell r="X1761" t="str">
            <v>4513110</v>
          </cell>
          <cell r="Y1761" t="str">
            <v>Middle Management Marketing &amp; Communications</v>
          </cell>
          <cell r="Z1761" t="str">
            <v>Section Manager</v>
          </cell>
          <cell r="AA1761" t="str">
            <v>2C</v>
          </cell>
        </row>
        <row r="1762">
          <cell r="A1762">
            <v>2001293</v>
          </cell>
          <cell r="B1762">
            <v>2001293</v>
          </cell>
          <cell r="C1762" t="str">
            <v>A</v>
          </cell>
          <cell r="D1762" t="str">
            <v>Kyrollos John Gayed</v>
          </cell>
          <cell r="E1762" t="str">
            <v>كيرلس جون جيد</v>
          </cell>
          <cell r="F1762">
            <v>45714</v>
          </cell>
          <cell r="G1762" t="str">
            <v>41000323</v>
          </cell>
          <cell r="H1762" t="str">
            <v>Motion Graphic Designer</v>
          </cell>
          <cell r="I1762" t="str">
            <v>مصمم جرافيك حركي</v>
          </cell>
          <cell r="J1762" t="str">
            <v>On-Chart</v>
          </cell>
          <cell r="K1762" t="str">
            <v>Al Nahiya</v>
          </cell>
          <cell r="L1762" t="str">
            <v>N0</v>
          </cell>
          <cell r="M1762" t="str">
            <v>Department of Culture and Tourism</v>
          </cell>
          <cell r="N1762" t="str">
            <v>Strategic Marketing &amp; Communication</v>
          </cell>
          <cell r="O1762" t="str">
            <v>التسويق والاتصال الاستراتيجي</v>
          </cell>
          <cell r="P1762" t="str">
            <v>Creative &amp; Production</v>
          </cell>
          <cell r="Q1762" t="str">
            <v>الإبداع والإنتاج</v>
          </cell>
          <cell r="R1762" t="str">
            <v>Creative Content</v>
          </cell>
          <cell r="S1762" t="str">
            <v>المحتوى الإبداعي</v>
          </cell>
          <cell r="T1762" t="str">
            <v>Multimedia Design</v>
          </cell>
          <cell r="U1762" t="str">
            <v>تصميم الوسائط المتعددة</v>
          </cell>
          <cell r="V1762" t="str">
            <v>Abu Dhabi</v>
          </cell>
          <cell r="W1762" t="str">
            <v/>
          </cell>
          <cell r="X1762" t="str">
            <v>4513110</v>
          </cell>
          <cell r="Y1762" t="str">
            <v>Specialization Marketing &amp; Communications</v>
          </cell>
          <cell r="Z1762" t="str">
            <v>Professional</v>
          </cell>
          <cell r="AA1762" t="str">
            <v>4C</v>
          </cell>
        </row>
        <row r="1763">
          <cell r="A1763">
            <v>2001295</v>
          </cell>
          <cell r="B1763">
            <v>2001295</v>
          </cell>
          <cell r="C1763" t="str">
            <v>A</v>
          </cell>
          <cell r="D1763" t="str">
            <v>Mariana Ribas</v>
          </cell>
          <cell r="E1763" t="str">
            <v>ماريانا  ريباس</v>
          </cell>
          <cell r="F1763">
            <v>45720</v>
          </cell>
          <cell r="G1763" t="str">
            <v>50002494</v>
          </cell>
          <cell r="H1763" t="str">
            <v>Marketing Campaign Strategy Lead</v>
          </cell>
          <cell r="I1763" t="str">
            <v>أخصائي رئيسي استيراتيجية حملات التسويق</v>
          </cell>
          <cell r="J1763" t="str">
            <v>On-Chart</v>
          </cell>
          <cell r="K1763" t="str">
            <v>Al Nahiya</v>
          </cell>
          <cell r="L1763" t="str">
            <v>N0</v>
          </cell>
          <cell r="M1763" t="str">
            <v>Department of Culture and Tourism</v>
          </cell>
          <cell r="N1763" t="str">
            <v>Strategic Marketing &amp; Communication</v>
          </cell>
          <cell r="O1763" t="str">
            <v>التسويق والاتصال الاستراتيجي</v>
          </cell>
          <cell r="P1763" t="str">
            <v>Sector Marketing</v>
          </cell>
          <cell r="Q1763" t="str">
            <v>التسويق الخاص بالقطاعات</v>
          </cell>
          <cell r="R1763" t="str">
            <v/>
          </cell>
          <cell r="S1763" t="str">
            <v/>
          </cell>
          <cell r="T1763" t="str">
            <v/>
          </cell>
          <cell r="U1763" t="str">
            <v/>
          </cell>
          <cell r="V1763" t="str">
            <v>Abu Dhabi</v>
          </cell>
          <cell r="W1763" t="str">
            <v/>
          </cell>
          <cell r="X1763" t="str">
            <v>4513140</v>
          </cell>
          <cell r="Y1763" t="str">
            <v>Middle Management Marketing &amp; Communications</v>
          </cell>
          <cell r="Z1763" t="str">
            <v>Unit Head</v>
          </cell>
          <cell r="AA1763" t="str">
            <v>3C</v>
          </cell>
        </row>
        <row r="1764">
          <cell r="A1764">
            <v>2001296</v>
          </cell>
          <cell r="B1764">
            <v>2001296</v>
          </cell>
          <cell r="C1764" t="str">
            <v>A</v>
          </cell>
          <cell r="D1764" t="str">
            <v>Michael  Turda</v>
          </cell>
          <cell r="E1764" t="str">
            <v>مايكل  توردا</v>
          </cell>
          <cell r="F1764">
            <v>45720</v>
          </cell>
          <cell r="G1764" t="str">
            <v>50003491</v>
          </cell>
          <cell r="H1764" t="str">
            <v>Brand Collaborations &amp; Sponsorships Officer</v>
          </cell>
          <cell r="I1764" t="str">
            <v>ضابط شراكات الهوية المؤسسية والرعاية</v>
          </cell>
          <cell r="J1764" t="str">
            <v>On-Chart</v>
          </cell>
          <cell r="K1764" t="str">
            <v>Sundus</v>
          </cell>
          <cell r="L1764" t="str">
            <v>SU</v>
          </cell>
          <cell r="M1764" t="str">
            <v>Department of Culture and Tourism</v>
          </cell>
          <cell r="N1764" t="str">
            <v>Strategic Marketing &amp; Communication</v>
          </cell>
          <cell r="O1764" t="str">
            <v>التسويق والاتصال الاستراتيجي</v>
          </cell>
          <cell r="P1764" t="str">
            <v>Planning, Strategy &amp; Operations</v>
          </cell>
          <cell r="Q1764" t="str">
            <v>التخطيط والاستراتيجية والعمليات</v>
          </cell>
          <cell r="R1764" t="str">
            <v>Media &amp; Partnerships</v>
          </cell>
          <cell r="S1764" t="str">
            <v>الإعلام والشراكات</v>
          </cell>
          <cell r="T1764" t="str">
            <v/>
          </cell>
          <cell r="U1764" t="str">
            <v/>
          </cell>
          <cell r="V1764" t="str">
            <v>Abu Dhabi</v>
          </cell>
          <cell r="W1764" t="str">
            <v/>
          </cell>
          <cell r="X1764" t="str">
            <v>4513130</v>
          </cell>
          <cell r="Y1764" t="str">
            <v>Strategy, Planning, Project Mgt_Operational Planning &amp; Project Management _Professional</v>
          </cell>
          <cell r="Z1764" t="str">
            <v>Professional</v>
          </cell>
          <cell r="AA1764" t="str">
            <v>4C</v>
          </cell>
        </row>
        <row r="1765">
          <cell r="A1765">
            <v>2001297</v>
          </cell>
          <cell r="B1765">
            <v>2001297</v>
          </cell>
          <cell r="C1765" t="str">
            <v>A</v>
          </cell>
          <cell r="D1765" t="str">
            <v xml:space="preserve">Leah Williams </v>
          </cell>
          <cell r="E1765" t="str">
            <v xml:space="preserve">لياه   ويليامس   </v>
          </cell>
          <cell r="F1765">
            <v>45720</v>
          </cell>
          <cell r="G1765" t="str">
            <v>50003482</v>
          </cell>
          <cell r="H1765" t="str">
            <v>Domestic Destination Marketing Specialist</v>
          </cell>
          <cell r="I1765" t="str">
            <v>أخصائي التسويق المحلي للوجهات السياحية</v>
          </cell>
          <cell r="J1765" t="str">
            <v>On-Chart</v>
          </cell>
          <cell r="K1765" t="str">
            <v>Sundus</v>
          </cell>
          <cell r="L1765" t="str">
            <v>SU</v>
          </cell>
          <cell r="M1765" t="str">
            <v>Department of Culture and Tourism</v>
          </cell>
          <cell r="N1765" t="str">
            <v>Strategic Marketing &amp; Communication</v>
          </cell>
          <cell r="O1765" t="str">
            <v>التسويق والاتصال الاستراتيجي</v>
          </cell>
          <cell r="P1765" t="str">
            <v>Sector Marketing</v>
          </cell>
          <cell r="Q1765" t="str">
            <v>التسويق الخاص بالقطاعات</v>
          </cell>
          <cell r="R1765" t="str">
            <v>Destination Marketing</v>
          </cell>
          <cell r="S1765" t="str">
            <v>تسويق الوجهات السياحية</v>
          </cell>
          <cell r="T1765" t="str">
            <v>Domestic Destination Marketing</v>
          </cell>
          <cell r="U1765" t="str">
            <v>التسويق المحلي للوجهات السياحية</v>
          </cell>
          <cell r="V1765" t="str">
            <v>Abu Dhabi</v>
          </cell>
          <cell r="W1765" t="str">
            <v/>
          </cell>
          <cell r="X1765" t="str">
            <v>4513140</v>
          </cell>
          <cell r="Y1765" t="str">
            <v>Senior Specialization Marketing &amp; Communications</v>
          </cell>
          <cell r="Z1765" t="str">
            <v>Senior Professional</v>
          </cell>
          <cell r="AA1765" t="str">
            <v>3C</v>
          </cell>
        </row>
        <row r="1766">
          <cell r="A1766">
            <v>2001298</v>
          </cell>
          <cell r="B1766">
            <v>2001298</v>
          </cell>
          <cell r="C1766" t="str">
            <v>A</v>
          </cell>
          <cell r="D1766" t="str">
            <v xml:space="preserve"> Ali  Dajani </v>
          </cell>
          <cell r="E1766" t="str">
            <v>على   الدجاني</v>
          </cell>
          <cell r="F1766">
            <v>45720</v>
          </cell>
          <cell r="G1766" t="str">
            <v>50003479</v>
          </cell>
          <cell r="H1766" t="str">
            <v>Business Development Lead</v>
          </cell>
          <cell r="I1766" t="str">
            <v>أخصائي رئيسي تطوير الأعمال</v>
          </cell>
          <cell r="J1766" t="str">
            <v>On-Chart</v>
          </cell>
          <cell r="K1766" t="str">
            <v>Al Nahiya</v>
          </cell>
          <cell r="L1766" t="str">
            <v>N0</v>
          </cell>
          <cell r="M1766" t="str">
            <v>Department of Culture and Tourism</v>
          </cell>
          <cell r="N1766" t="str">
            <v>Strategic Marketing &amp; Communication</v>
          </cell>
          <cell r="O1766" t="str">
            <v>التسويق والاتصال الاستراتيجي</v>
          </cell>
          <cell r="P1766" t="str">
            <v>Planning, Strategy &amp; Operations</v>
          </cell>
          <cell r="Q1766" t="str">
            <v>التخطيط والاستراتيجية والعمليات</v>
          </cell>
          <cell r="R1766" t="str">
            <v/>
          </cell>
          <cell r="S1766" t="str">
            <v/>
          </cell>
          <cell r="T1766" t="str">
            <v/>
          </cell>
          <cell r="U1766" t="str">
            <v/>
          </cell>
          <cell r="V1766" t="str">
            <v>Abu Dhabi</v>
          </cell>
          <cell r="W1766" t="str">
            <v/>
          </cell>
          <cell r="X1766" t="str">
            <v>4513130</v>
          </cell>
          <cell r="Y1766" t="str">
            <v>Commercial _E-Publishing Business Development _Senior Professional</v>
          </cell>
          <cell r="Z1766" t="str">
            <v>Unit Head</v>
          </cell>
          <cell r="AA1766" t="str">
            <v>3C</v>
          </cell>
        </row>
        <row r="1767">
          <cell r="A1767">
            <v>2001299</v>
          </cell>
          <cell r="B1767">
            <v>2001299</v>
          </cell>
          <cell r="C1767" t="str">
            <v>A</v>
          </cell>
          <cell r="D1767" t="str">
            <v>Sherine Noural Din AbdelGafar</v>
          </cell>
          <cell r="E1767" t="str">
            <v>شيرين نورالدين عبدالغفار</v>
          </cell>
          <cell r="F1767">
            <v>45720</v>
          </cell>
          <cell r="G1767" t="str">
            <v>50000329</v>
          </cell>
          <cell r="H1767" t="str">
            <v>Culture Sector Marketing Department Director</v>
          </cell>
          <cell r="I1767" t="str">
            <v>مدير إدارة التسويق لقطاع الثقافة</v>
          </cell>
          <cell r="J1767" t="str">
            <v>On-Chart</v>
          </cell>
          <cell r="K1767" t="str">
            <v>Al Nahiya</v>
          </cell>
          <cell r="L1767" t="str">
            <v>N0</v>
          </cell>
          <cell r="M1767" t="str">
            <v>Department of Culture and Tourism</v>
          </cell>
          <cell r="N1767" t="str">
            <v>Culture</v>
          </cell>
          <cell r="O1767" t="str">
            <v>الثقافة</v>
          </cell>
          <cell r="P1767" t="str">
            <v>Culture Sector Marketing</v>
          </cell>
          <cell r="Q1767" t="str">
            <v>التسويق لقطاع الثقافة</v>
          </cell>
          <cell r="R1767" t="str">
            <v/>
          </cell>
          <cell r="S1767" t="str">
            <v/>
          </cell>
          <cell r="T1767" t="str">
            <v/>
          </cell>
          <cell r="U1767" t="str">
            <v/>
          </cell>
          <cell r="V1767" t="str">
            <v>Abu Dhabi</v>
          </cell>
          <cell r="W1767" t="str">
            <v/>
          </cell>
          <cell r="X1767" t="str">
            <v>4511550</v>
          </cell>
          <cell r="Y1767" t="str">
            <v>Commercial _Culture Festivals &amp; Platforms Department Director</v>
          </cell>
          <cell r="Z1767" t="str">
            <v>Director</v>
          </cell>
          <cell r="AA1767" t="str">
            <v>1B</v>
          </cell>
        </row>
        <row r="1768">
          <cell r="A1768">
            <v>2001300</v>
          </cell>
          <cell r="B1768">
            <v>2001300</v>
          </cell>
          <cell r="C1768" t="str">
            <v>A</v>
          </cell>
          <cell r="D1768" t="str">
            <v xml:space="preserve"> Ady  Nabih Badawi</v>
          </cell>
          <cell r="E1768" t="str">
            <v>عدى  نبيه  بدوى</v>
          </cell>
          <cell r="F1768">
            <v>45720</v>
          </cell>
          <cell r="G1768" t="str">
            <v>50003484</v>
          </cell>
          <cell r="H1768" t="str">
            <v>Media Planning Specialist</v>
          </cell>
          <cell r="I1768" t="str">
            <v>أخصائي تخطيط وسائل الإعلام</v>
          </cell>
          <cell r="J1768" t="str">
            <v>On-Chart</v>
          </cell>
          <cell r="K1768" t="str">
            <v>Al Nahiya</v>
          </cell>
          <cell r="L1768" t="str">
            <v>N0</v>
          </cell>
          <cell r="M1768" t="str">
            <v>Department of Culture and Tourism</v>
          </cell>
          <cell r="N1768" t="str">
            <v>Strategic Marketing &amp; Communication</v>
          </cell>
          <cell r="O1768" t="str">
            <v>التسويق والاتصال الاستراتيجي</v>
          </cell>
          <cell r="P1768" t="str">
            <v>Planning, Strategy &amp; Operations</v>
          </cell>
          <cell r="Q1768" t="str">
            <v>التخطيط والاستراتيجية والعمليات</v>
          </cell>
          <cell r="R1768" t="str">
            <v>Media &amp; Partnerships</v>
          </cell>
          <cell r="S1768" t="str">
            <v>الإعلام والشراكات</v>
          </cell>
          <cell r="T1768" t="str">
            <v/>
          </cell>
          <cell r="U1768" t="str">
            <v/>
          </cell>
          <cell r="V1768" t="str">
            <v>Abu Dhabi</v>
          </cell>
          <cell r="W1768" t="str">
            <v/>
          </cell>
          <cell r="X1768" t="str">
            <v>4513130</v>
          </cell>
          <cell r="Y1768" t="str">
            <v>Commercial _Media Planning &amp; Buying _Senior Professional</v>
          </cell>
          <cell r="Z1768" t="str">
            <v>Professional</v>
          </cell>
          <cell r="AA1768" t="str">
            <v>3C</v>
          </cell>
        </row>
        <row r="1769">
          <cell r="A1769">
            <v>2001302</v>
          </cell>
          <cell r="B1769">
            <v>2001302</v>
          </cell>
          <cell r="C1769" t="str">
            <v>A</v>
          </cell>
          <cell r="D1769" t="str">
            <v>Ammar Humaid Alnuaimi</v>
          </cell>
          <cell r="E1769" t="str">
            <v>عمار حميد النعيمي</v>
          </cell>
          <cell r="F1769">
            <v>45754</v>
          </cell>
          <cell r="G1769" t="str">
            <v>50002585</v>
          </cell>
          <cell r="H1769" t="str">
            <v>Receivables Operations Section Head</v>
          </cell>
          <cell r="I1769" t="str">
            <v>رئيس قسم عمليات الحسابات المستحقة</v>
          </cell>
          <cell r="J1769" t="str">
            <v>On-Chart</v>
          </cell>
          <cell r="K1769" t="str">
            <v>MSS Al Nahiya</v>
          </cell>
          <cell r="L1769" t="str">
            <v>M2</v>
          </cell>
          <cell r="M1769" t="str">
            <v>Department of Culture and Tourism</v>
          </cell>
          <cell r="N1769" t="str">
            <v>Museums Shared Services</v>
          </cell>
          <cell r="O1769" t="str">
            <v>الخدمات المشتركة للمتاحف</v>
          </cell>
          <cell r="P1769" t="str">
            <v>Finance - MSS</v>
          </cell>
          <cell r="Q1769" t="str">
            <v>الإدارة المالية - الخدمات المشتركة للمتاحف</v>
          </cell>
          <cell r="R1769" t="str">
            <v>Receivables Operations Section - MSS</v>
          </cell>
          <cell r="S1769" t="str">
            <v>قسم عمليات الحسابات المستحقة</v>
          </cell>
          <cell r="T1769" t="str">
            <v/>
          </cell>
          <cell r="U1769" t="str">
            <v/>
          </cell>
          <cell r="V1769" t="str">
            <v>Abu Dhabi</v>
          </cell>
          <cell r="W1769" t="str">
            <v/>
          </cell>
          <cell r="X1769" t="str">
            <v>4514120</v>
          </cell>
          <cell r="Y1769" t="str">
            <v>Middle Management Finance</v>
          </cell>
          <cell r="Z1769" t="str">
            <v>Section Manager</v>
          </cell>
          <cell r="AA1769" t="str">
            <v>2C</v>
          </cell>
        </row>
        <row r="1770">
          <cell r="A1770">
            <v>2001303</v>
          </cell>
          <cell r="B1770">
            <v>2001303</v>
          </cell>
          <cell r="C1770" t="str">
            <v>A</v>
          </cell>
          <cell r="D1770" t="str">
            <v>Dia'eddin Abdullah Altawallbeh</v>
          </cell>
          <cell r="E1770" t="str">
            <v>ضياء الدين عبدلله الطوالبه</v>
          </cell>
          <cell r="F1770">
            <v>45811</v>
          </cell>
          <cell r="G1770" t="str">
            <v>50003512</v>
          </cell>
          <cell r="H1770" t="str">
            <v>Archaeologist</v>
          </cell>
          <cell r="I1770" t="str">
            <v>آثاري</v>
          </cell>
          <cell r="J1770" t="str">
            <v>Temporary</v>
          </cell>
          <cell r="K1770" t="str">
            <v>Al Nahiya</v>
          </cell>
          <cell r="L1770" t="str">
            <v>N0</v>
          </cell>
          <cell r="M1770" t="str">
            <v>Department of Culture and Tourism</v>
          </cell>
          <cell r="N1770" t="str">
            <v>Culture</v>
          </cell>
          <cell r="O1770" t="str">
            <v>الثقافة</v>
          </cell>
          <cell r="P1770" t="str">
            <v>Historic Environment</v>
          </cell>
          <cell r="Q1770" t="str">
            <v>البيئة التاريخية</v>
          </cell>
          <cell r="R1770" t="str">
            <v>Archaeology &amp; Paleontology</v>
          </cell>
          <cell r="S1770" t="str">
            <v>علم الآثار</v>
          </cell>
          <cell r="T1770" t="str">
            <v/>
          </cell>
          <cell r="U1770" t="str">
            <v/>
          </cell>
          <cell r="V1770" t="str">
            <v>Al Ain</v>
          </cell>
          <cell r="W1770" t="str">
            <v/>
          </cell>
          <cell r="X1770" t="str">
            <v>4511300</v>
          </cell>
          <cell r="Y1770" t="str">
            <v>Compliance,Governance&amp;Protocol_Policy (Culture/Tourism _Senior Professional</v>
          </cell>
          <cell r="Z1770" t="str">
            <v>Senior Professional</v>
          </cell>
          <cell r="AA1770" t="str">
            <v>3C</v>
          </cell>
        </row>
        <row r="1771">
          <cell r="A1771">
            <v>2001304</v>
          </cell>
          <cell r="B1771">
            <v>2001304</v>
          </cell>
          <cell r="C1771" t="str">
            <v>A</v>
          </cell>
          <cell r="D1771" t="str">
            <v>Daniel Ramos Fernandez</v>
          </cell>
          <cell r="E1771" t="str">
            <v>دانييل  فيرنانديز</v>
          </cell>
          <cell r="F1771">
            <v>45803</v>
          </cell>
          <cell r="G1771" t="str">
            <v>50003626</v>
          </cell>
          <cell r="H1771" t="str">
            <v>Projects Lead</v>
          </cell>
          <cell r="I1771" t="str">
            <v>أخصائي رئيسي المشاريع</v>
          </cell>
          <cell r="J1771" t="str">
            <v>On-Chart</v>
          </cell>
          <cell r="K1771" t="str">
            <v>MSS Al Nahiya</v>
          </cell>
          <cell r="L1771" t="str">
            <v>M2</v>
          </cell>
          <cell r="M1771" t="str">
            <v>Department of Culture and Tourism</v>
          </cell>
          <cell r="N1771" t="str">
            <v>Culture</v>
          </cell>
          <cell r="O1771" t="str">
            <v>الثقافة</v>
          </cell>
          <cell r="P1771" t="str">
            <v>Guggenheim Abu Dhabi Museum</v>
          </cell>
          <cell r="Q1771" t="str">
            <v>متحف جوجينهايم أبوظبي</v>
          </cell>
          <cell r="R1771" t="str">
            <v/>
          </cell>
          <cell r="S1771" t="str">
            <v/>
          </cell>
          <cell r="T1771" t="str">
            <v/>
          </cell>
          <cell r="U1771" t="str">
            <v/>
          </cell>
          <cell r="V1771" t="str">
            <v>Abu Dhabi</v>
          </cell>
          <cell r="W1771" t="str">
            <v/>
          </cell>
          <cell r="X1771" t="str">
            <v>4510410</v>
          </cell>
          <cell r="Y1771" t="str">
            <v>Strategy, Planning, Project Mgt_Operational Planning &amp; Project Management_Unit Head</v>
          </cell>
          <cell r="Z1771" t="str">
            <v>Senior Professional</v>
          </cell>
          <cell r="AA1771" t="str">
            <v>3C</v>
          </cell>
        </row>
        <row r="1772">
          <cell r="A1772">
            <v>2001305</v>
          </cell>
          <cell r="B1772">
            <v>2001305</v>
          </cell>
          <cell r="C1772" t="str">
            <v>A</v>
          </cell>
          <cell r="D1772" t="str">
            <v>Arni Mohammed Khan</v>
          </cell>
          <cell r="E1772" t="str">
            <v>ارني محمد خان</v>
          </cell>
          <cell r="F1772">
            <v>45768</v>
          </cell>
          <cell r="G1772" t="str">
            <v>50003628</v>
          </cell>
          <cell r="H1772" t="str">
            <v>Hard Services Unit Head</v>
          </cell>
          <cell r="I1772" t="str">
            <v>رئيس وحدة إدارة المرافق</v>
          </cell>
          <cell r="J1772" t="str">
            <v>On-Chart</v>
          </cell>
          <cell r="K1772" t="str">
            <v>MSS Al Nahiya</v>
          </cell>
          <cell r="L1772" t="str">
            <v>M2</v>
          </cell>
          <cell r="M1772" t="str">
            <v>Department of Culture and Tourism</v>
          </cell>
          <cell r="N1772" t="str">
            <v>Culture</v>
          </cell>
          <cell r="O1772" t="str">
            <v>الثقافة</v>
          </cell>
          <cell r="P1772" t="str">
            <v>Guggenheim Abu Dhabi Museum</v>
          </cell>
          <cell r="Q1772" t="str">
            <v>متحف جوجينهايم أبوظبي</v>
          </cell>
          <cell r="R1772" t="str">
            <v/>
          </cell>
          <cell r="S1772" t="str">
            <v/>
          </cell>
          <cell r="T1772" t="str">
            <v/>
          </cell>
          <cell r="U1772" t="str">
            <v/>
          </cell>
          <cell r="V1772" t="str">
            <v>Abu Dhabi</v>
          </cell>
          <cell r="W1772" t="str">
            <v/>
          </cell>
          <cell r="X1772" t="str">
            <v>4510410</v>
          </cell>
          <cell r="Y1772" t="str">
            <v>Technical Safety &amp; Security_Technical Operations_Unit Head</v>
          </cell>
          <cell r="Z1772" t="str">
            <v>Unit Head</v>
          </cell>
          <cell r="AA1772" t="str">
            <v>3C</v>
          </cell>
        </row>
        <row r="1773">
          <cell r="A1773">
            <v>2001306</v>
          </cell>
          <cell r="B1773">
            <v>2001306</v>
          </cell>
          <cell r="C1773" t="str">
            <v>A</v>
          </cell>
          <cell r="D1773" t="str">
            <v>MARLENE LIEU</v>
          </cell>
          <cell r="E1773" t="str">
            <v>مارلين  ليو</v>
          </cell>
          <cell r="F1773">
            <v>45763</v>
          </cell>
          <cell r="G1773" t="str">
            <v>50003611</v>
          </cell>
          <cell r="H1773" t="str">
            <v>Strategic Planning Lead</v>
          </cell>
          <cell r="I1773" t="str">
            <v>أخصائي رئيسي التخطيط الاستراتيجي</v>
          </cell>
          <cell r="J1773" t="str">
            <v>On-Chart</v>
          </cell>
          <cell r="K1773" t="str">
            <v>MSS Al Nahiya</v>
          </cell>
          <cell r="L1773" t="str">
            <v>M2</v>
          </cell>
          <cell r="M1773" t="str">
            <v>Department of Culture and Tourism</v>
          </cell>
          <cell r="N1773" t="str">
            <v>Culture</v>
          </cell>
          <cell r="O1773" t="str">
            <v>الثقافة</v>
          </cell>
          <cell r="P1773" t="str">
            <v>Guggenheim Abu Dhabi Museum</v>
          </cell>
          <cell r="Q1773" t="str">
            <v>متحف جوجينهايم أبوظبي</v>
          </cell>
          <cell r="R1773" t="str">
            <v/>
          </cell>
          <cell r="S1773" t="str">
            <v/>
          </cell>
          <cell r="T1773" t="str">
            <v/>
          </cell>
          <cell r="U1773" t="str">
            <v/>
          </cell>
          <cell r="V1773" t="str">
            <v>Abu Dhabi</v>
          </cell>
          <cell r="W1773" t="str">
            <v/>
          </cell>
          <cell r="X1773" t="str">
            <v>4510410</v>
          </cell>
          <cell r="Y1773" t="str">
            <v>Strategy, Planning, Project Mgt_Operational Planning &amp; Project Management_Unit Head</v>
          </cell>
          <cell r="Z1773" t="str">
            <v>Senior Professional</v>
          </cell>
          <cell r="AA1773" t="str">
            <v>3C</v>
          </cell>
        </row>
        <row r="1774">
          <cell r="A1774">
            <v>2001308</v>
          </cell>
          <cell r="B1774">
            <v>2001308</v>
          </cell>
          <cell r="C1774" t="str">
            <v>A</v>
          </cell>
          <cell r="D1774" t="str">
            <v>Roch Thibault</v>
          </cell>
          <cell r="E1774" t="str">
            <v>روش  ثيبالت</v>
          </cell>
          <cell r="F1774">
            <v>45776</v>
          </cell>
          <cell r="G1774" t="str">
            <v>50003630</v>
          </cell>
          <cell r="H1774" t="str">
            <v>Digital Content Lead</v>
          </cell>
          <cell r="I1774" t="str">
            <v>أخصائي رئيسي المحتوى الرقمي</v>
          </cell>
          <cell r="J1774" t="str">
            <v>On-Chart</v>
          </cell>
          <cell r="K1774" t="str">
            <v>MSS Al Nahiya</v>
          </cell>
          <cell r="L1774" t="str">
            <v>M2</v>
          </cell>
          <cell r="M1774" t="str">
            <v>Department of Culture and Tourism</v>
          </cell>
          <cell r="N1774" t="str">
            <v>Culture</v>
          </cell>
          <cell r="O1774" t="str">
            <v>الثقافة</v>
          </cell>
          <cell r="P1774" t="str">
            <v>Guggenheim Abu Dhabi Museum</v>
          </cell>
          <cell r="Q1774" t="str">
            <v>متحف جوجينهايم أبوظبي</v>
          </cell>
          <cell r="R1774" t="str">
            <v/>
          </cell>
          <cell r="S1774" t="str">
            <v/>
          </cell>
          <cell r="T1774" t="str">
            <v/>
          </cell>
          <cell r="U1774" t="str">
            <v/>
          </cell>
          <cell r="V1774" t="str">
            <v>Abu Dhabi</v>
          </cell>
          <cell r="W1774" t="str">
            <v/>
          </cell>
          <cell r="X1774" t="str">
            <v>4510410</v>
          </cell>
          <cell r="Y1774" t="str">
            <v>Digital_Digital Content Development_Unit Head</v>
          </cell>
          <cell r="Z1774" t="str">
            <v>Senior Professional</v>
          </cell>
          <cell r="AA1774" t="str">
            <v>3C</v>
          </cell>
        </row>
        <row r="1775">
          <cell r="A1775">
            <v>2001309</v>
          </cell>
          <cell r="B1775">
            <v>2001309</v>
          </cell>
          <cell r="C1775" t="str">
            <v>A</v>
          </cell>
          <cell r="D1775" t="str">
            <v>Tamani Almansoori</v>
          </cell>
          <cell r="E1775" t="str">
            <v>تماني  المنصوري</v>
          </cell>
          <cell r="F1775">
            <v>45782</v>
          </cell>
          <cell r="G1775" t="str">
            <v>50002724</v>
          </cell>
          <cell r="H1775" t="str">
            <v>IT Governance Senior Specialist</v>
          </cell>
          <cell r="I1775" t="str">
            <v>أخصائي أول حوكمة تكنولوجيا المعلومات</v>
          </cell>
          <cell r="J1775" t="str">
            <v>On-Chart</v>
          </cell>
          <cell r="K1775" t="str">
            <v>MSS Al Nahiya</v>
          </cell>
          <cell r="L1775" t="str">
            <v>M2</v>
          </cell>
          <cell r="M1775" t="str">
            <v>Department of Culture and Tourism</v>
          </cell>
          <cell r="N1775" t="str">
            <v>Museums Shared Services</v>
          </cell>
          <cell r="O1775" t="str">
            <v>الخدمات المشتركة للمتاحف</v>
          </cell>
          <cell r="P1775" t="str">
            <v>Technology - MSS</v>
          </cell>
          <cell r="Q1775" t="str">
            <v>إدارة التكنولوجيا - الخدمات المشتركة للمتاحف</v>
          </cell>
          <cell r="R1775" t="str">
            <v/>
          </cell>
          <cell r="S1775" t="str">
            <v/>
          </cell>
          <cell r="T1775" t="str">
            <v/>
          </cell>
          <cell r="U1775" t="str">
            <v/>
          </cell>
          <cell r="V1775" t="str">
            <v>Abu Dhabi</v>
          </cell>
          <cell r="W1775" t="str">
            <v/>
          </cell>
          <cell r="X1775" t="str">
            <v>4514180</v>
          </cell>
          <cell r="Y1775" t="str">
            <v>Specialization IT &amp; Digital Services</v>
          </cell>
          <cell r="Z1775" t="str">
            <v>Professional</v>
          </cell>
          <cell r="AA1775" t="str">
            <v>3C</v>
          </cell>
        </row>
        <row r="1776">
          <cell r="A1776">
            <v>2001310</v>
          </cell>
          <cell r="B1776">
            <v>2001310</v>
          </cell>
          <cell r="C1776" t="str">
            <v>A</v>
          </cell>
          <cell r="D1776" t="str">
            <v>Nasereddin Abid Abu Elian</v>
          </cell>
          <cell r="E1776" t="str">
            <v>نصر الدين عابد ابو عليان</v>
          </cell>
          <cell r="F1776">
            <v>45778</v>
          </cell>
          <cell r="G1776" t="str">
            <v>50003514</v>
          </cell>
          <cell r="H1776" t="str">
            <v>ICH Activations &amp; Operations Specialist</v>
          </cell>
          <cell r="I1776" t="str">
            <v>أخصائي عمليات وتفعيل التراث الثقافي المعنوي</v>
          </cell>
          <cell r="J1776" t="str">
            <v>On-Chart</v>
          </cell>
          <cell r="K1776" t="str">
            <v>Al Nahiya</v>
          </cell>
          <cell r="L1776" t="str">
            <v>N0</v>
          </cell>
          <cell r="M1776" t="str">
            <v>Department of Culture and Tourism</v>
          </cell>
          <cell r="N1776" t="str">
            <v>Culture</v>
          </cell>
          <cell r="O1776" t="str">
            <v>الثقافة</v>
          </cell>
          <cell r="P1776" t="str">
            <v>Intangible Cultural Heritage</v>
          </cell>
          <cell r="Q1776" t="str">
            <v>التراث الثقافي المعنوي</v>
          </cell>
          <cell r="R1776" t="str">
            <v>ICH Interpretation &amp; Public Engagement</v>
          </cell>
          <cell r="S1776" t="str">
            <v>تطوير محتوى التراث الثقافي المعنوي والمشاركة المجتمعية</v>
          </cell>
          <cell r="T1776" t="str">
            <v/>
          </cell>
          <cell r="U1776" t="str">
            <v/>
          </cell>
          <cell r="V1776" t="str">
            <v>Abu Dhabi</v>
          </cell>
          <cell r="W1776" t="str">
            <v/>
          </cell>
          <cell r="X1776" t="str">
            <v>4511600</v>
          </cell>
          <cell r="Y1776" t="str">
            <v>Content &amp; Care_World Heritage Sites Planning &amp; Monitoring _Professional</v>
          </cell>
          <cell r="Z1776" t="str">
            <v>Professional</v>
          </cell>
          <cell r="AA1776" t="str">
            <v>4C</v>
          </cell>
        </row>
        <row r="1777">
          <cell r="A1777">
            <v>2001311</v>
          </cell>
          <cell r="B1777">
            <v>2001311</v>
          </cell>
          <cell r="C1777" t="str">
            <v>A</v>
          </cell>
          <cell r="D1777" t="str">
            <v>Dana Nidal Hamdan</v>
          </cell>
          <cell r="E1777" t="str">
            <v>دانه نضال حمدان</v>
          </cell>
          <cell r="F1777">
            <v>45778</v>
          </cell>
          <cell r="G1777" t="str">
            <v>50003510</v>
          </cell>
          <cell r="H1777" t="str">
            <v>Circulation Senior Specialist</v>
          </cell>
          <cell r="I1777" t="str">
            <v>أخصائي أول إعارة</v>
          </cell>
          <cell r="J1777" t="str">
            <v>On-Chart</v>
          </cell>
          <cell r="K1777" t="str">
            <v>Al Nahiya</v>
          </cell>
          <cell r="L1777" t="str">
            <v>N0</v>
          </cell>
          <cell r="M1777" t="str">
            <v>Department of Culture and Tourism</v>
          </cell>
          <cell r="N1777" t="str">
            <v>Culture</v>
          </cell>
          <cell r="O1777" t="str">
            <v>الثقافة</v>
          </cell>
          <cell r="P1777" t="str">
            <v>Library Management</v>
          </cell>
          <cell r="Q1777" t="str">
            <v>إدارة المكتبات</v>
          </cell>
          <cell r="R1777" t="str">
            <v>Zayed Central Library - Al Ain</v>
          </cell>
          <cell r="S1777" t="str">
            <v>مكتبة زايد المركزية - العين</v>
          </cell>
          <cell r="T1777" t="str">
            <v/>
          </cell>
          <cell r="U1777" t="str">
            <v/>
          </cell>
          <cell r="V1777" t="str">
            <v>Abu Dhabi</v>
          </cell>
          <cell r="W1777" t="str">
            <v/>
          </cell>
          <cell r="X1777" t="str">
            <v>4516100</v>
          </cell>
          <cell r="Y1777" t="str">
            <v>Operations_Library Operational Management_Senior Professional</v>
          </cell>
          <cell r="Z1777" t="str">
            <v>Senior Professional</v>
          </cell>
          <cell r="AA1777" t="str">
            <v>3C</v>
          </cell>
        </row>
        <row r="1778">
          <cell r="A1778">
            <v>2001312</v>
          </cell>
          <cell r="B1778">
            <v>2001312</v>
          </cell>
          <cell r="C1778" t="str">
            <v>A</v>
          </cell>
          <cell r="D1778" t="str">
            <v>Nasser Mohammed Alblooshi</v>
          </cell>
          <cell r="E1778" t="str">
            <v>ناصر محمد البلوشي</v>
          </cell>
          <cell r="F1778">
            <v>45789</v>
          </cell>
          <cell r="G1778" t="str">
            <v>50003027</v>
          </cell>
          <cell r="H1778" t="str">
            <v>Strategy Specialist</v>
          </cell>
          <cell r="I1778" t="str">
            <v>أخصائي الإستراتيجية</v>
          </cell>
          <cell r="J1778" t="str">
            <v>On-Chart</v>
          </cell>
          <cell r="K1778" t="str">
            <v>MSS Al Nahiya</v>
          </cell>
          <cell r="L1778" t="str">
            <v>M2</v>
          </cell>
          <cell r="M1778" t="str">
            <v>Department of Culture and Tourism</v>
          </cell>
          <cell r="N1778" t="str">
            <v>Abrahamic Family House Center</v>
          </cell>
          <cell r="O1778" t="str">
            <v>مركز بيت العائلة الإبراهيمية</v>
          </cell>
          <cell r="P1778" t="str">
            <v>Office of Executive Director</v>
          </cell>
          <cell r="Q1778" t="str">
            <v>مكتب المدير التنفيذي</v>
          </cell>
          <cell r="R1778" t="str">
            <v/>
          </cell>
          <cell r="S1778" t="str">
            <v/>
          </cell>
          <cell r="T1778" t="str">
            <v/>
          </cell>
          <cell r="U1778" t="str">
            <v/>
          </cell>
          <cell r="V1778" t="str">
            <v>Abu Dhabi</v>
          </cell>
          <cell r="W1778" t="str">
            <v/>
          </cell>
          <cell r="X1778" t="str">
            <v>4514121</v>
          </cell>
          <cell r="Y1778" t="str">
            <v>Senior Specialization Strategy &amp; Planning</v>
          </cell>
          <cell r="Z1778" t="str">
            <v>Unit Head</v>
          </cell>
          <cell r="AA1778" t="str">
            <v>3C</v>
          </cell>
        </row>
        <row r="1779">
          <cell r="A1779">
            <v>2001315</v>
          </cell>
          <cell r="B1779">
            <v>2001315</v>
          </cell>
          <cell r="C1779" t="str">
            <v>A</v>
          </cell>
          <cell r="D1779" t="str">
            <v>Jue Lu</v>
          </cell>
          <cell r="E1779" t="str">
            <v>جو  لو</v>
          </cell>
          <cell r="F1779">
            <v>45803</v>
          </cell>
          <cell r="G1779" t="str">
            <v>50004070</v>
          </cell>
          <cell r="H1779" t="str">
            <v>Visitor Experience Strategy Director</v>
          </cell>
          <cell r="I1779" t="str">
            <v/>
          </cell>
          <cell r="J1779" t="str">
            <v>Off-Chart</v>
          </cell>
          <cell r="K1779" t="str">
            <v>Al Nahiya</v>
          </cell>
          <cell r="L1779" t="str">
            <v>N0</v>
          </cell>
          <cell r="M1779" t="str">
            <v>Department of Culture and Tourism</v>
          </cell>
          <cell r="N1779" t="str">
            <v>Tourism</v>
          </cell>
          <cell r="O1779" t="str">
            <v>مكتب وكيل الدائرة</v>
          </cell>
          <cell r="P1779" t="str">
            <v/>
          </cell>
          <cell r="Q1779" t="str">
            <v/>
          </cell>
          <cell r="R1779" t="str">
            <v/>
          </cell>
          <cell r="S1779" t="str">
            <v/>
          </cell>
          <cell r="T1779" t="str">
            <v/>
          </cell>
          <cell r="U1779" t="str">
            <v/>
          </cell>
          <cell r="V1779" t="str">
            <v>Abu Dhabi</v>
          </cell>
          <cell r="W1779" t="str">
            <v/>
          </cell>
          <cell r="X1779" t="str">
            <v>4510150</v>
          </cell>
          <cell r="Y1779" t="str">
            <v>Technical Safety &amp; Security_Engineering Project Management Department _Director</v>
          </cell>
          <cell r="Z1779" t="str">
            <v>Director</v>
          </cell>
          <cell r="AA1779" t="str">
            <v>1C</v>
          </cell>
        </row>
        <row r="1780">
          <cell r="A1780">
            <v>2001319</v>
          </cell>
          <cell r="B1780">
            <v>2001319</v>
          </cell>
          <cell r="C1780" t="str">
            <v>A</v>
          </cell>
          <cell r="D1780" t="str">
            <v>Khalid Fael Al Saa'di</v>
          </cell>
          <cell r="E1780" t="str">
            <v>خالد بن فائل الساعدي</v>
          </cell>
          <cell r="F1780">
            <v>45839</v>
          </cell>
          <cell r="G1780" t="str">
            <v>50001879</v>
          </cell>
          <cell r="H1780" t="str">
            <v>Library Officer</v>
          </cell>
          <cell r="I1780" t="str">
            <v>ضابط شؤون المكتبة</v>
          </cell>
          <cell r="J1780" t="str">
            <v>On-Chart</v>
          </cell>
          <cell r="K1780" t="str">
            <v>Sundus</v>
          </cell>
          <cell r="L1780" t="str">
            <v>SU</v>
          </cell>
          <cell r="M1780" t="str">
            <v>Department of Culture and Tourism</v>
          </cell>
          <cell r="N1780" t="str">
            <v>Culture</v>
          </cell>
          <cell r="O1780" t="str">
            <v>الثقافة</v>
          </cell>
          <cell r="P1780" t="str">
            <v>Library Management</v>
          </cell>
          <cell r="Q1780" t="str">
            <v>إدارة المكتبات</v>
          </cell>
          <cell r="R1780" t="str">
            <v>Branches Library</v>
          </cell>
          <cell r="S1780" t="str">
            <v>فروع المكتبات</v>
          </cell>
          <cell r="T1780" t="str">
            <v>Al Marfaa Library</v>
          </cell>
          <cell r="U1780" t="str">
            <v>مكتبة المرفى</v>
          </cell>
          <cell r="V1780" t="str">
            <v>Abu Dhabi</v>
          </cell>
          <cell r="W1780" t="str">
            <v/>
          </cell>
          <cell r="X1780" t="str">
            <v>4516100</v>
          </cell>
          <cell r="Y1780" t="str">
            <v>Specialization Visitor Services &amp; Protocol</v>
          </cell>
          <cell r="Z1780" t="str">
            <v>Professional</v>
          </cell>
          <cell r="AA1780" t="str">
            <v>4C</v>
          </cell>
        </row>
        <row r="1781">
          <cell r="A1781">
            <v>2001320</v>
          </cell>
          <cell r="B1781">
            <v>2001320</v>
          </cell>
          <cell r="C1781" t="str">
            <v>A</v>
          </cell>
          <cell r="D1781" t="str">
            <v>Maha Mohammed Al Shehhi</v>
          </cell>
          <cell r="E1781" t="str">
            <v>مها محمد الشحي</v>
          </cell>
          <cell r="F1781">
            <v>45839</v>
          </cell>
          <cell r="G1781" t="str">
            <v>50003516</v>
          </cell>
          <cell r="H1781" t="str">
            <v>Assistant Researcher</v>
          </cell>
          <cell r="I1781" t="str">
            <v>مساعد باحث</v>
          </cell>
          <cell r="J1781" t="str">
            <v>Temporary</v>
          </cell>
          <cell r="K1781" t="str">
            <v>Sundus</v>
          </cell>
          <cell r="L1781" t="str">
            <v>SU</v>
          </cell>
          <cell r="M1781" t="str">
            <v>Department of Culture and Tourism</v>
          </cell>
          <cell r="N1781" t="str">
            <v>Culture</v>
          </cell>
          <cell r="O1781" t="str">
            <v>الثقافة</v>
          </cell>
          <cell r="P1781" t="str">
            <v>Intangible Cultural Heritage</v>
          </cell>
          <cell r="Q1781" t="str">
            <v>التراث الثقافي المعنوي</v>
          </cell>
          <cell r="R1781" t="str">
            <v>ICH Research &amp; Documentation</v>
          </cell>
          <cell r="S1781" t="str">
            <v>بحوث وتوثيق التراث الثقافي المعنوي</v>
          </cell>
          <cell r="T1781" t="str">
            <v/>
          </cell>
          <cell r="U1781" t="str">
            <v/>
          </cell>
          <cell r="V1781" t="str">
            <v>Al Ain</v>
          </cell>
          <cell r="W1781" t="str">
            <v/>
          </cell>
          <cell r="X1781" t="str">
            <v>4511600</v>
          </cell>
          <cell r="Y1781" t="str">
            <v>Content &amp; Care_World Heritage Sites Planning &amp; Monitoring _Professional</v>
          </cell>
          <cell r="Z1781" t="str">
            <v>Professional Assistant</v>
          </cell>
          <cell r="AA1781" t="str">
            <v>5C</v>
          </cell>
        </row>
        <row r="1782">
          <cell r="A1782">
            <v>2001321</v>
          </cell>
          <cell r="B1782">
            <v>2001321</v>
          </cell>
          <cell r="C1782" t="str">
            <v>A</v>
          </cell>
          <cell r="D1782" t="str">
            <v>Jaineet Kaur Sethi</v>
          </cell>
          <cell r="E1782" t="str">
            <v>جاينيت كاور شيتى</v>
          </cell>
          <cell r="F1782">
            <v>45861</v>
          </cell>
          <cell r="G1782" t="str">
            <v>50000779</v>
          </cell>
          <cell r="H1782" t="str">
            <v>Senior Strategy Specialist</v>
          </cell>
          <cell r="I1782" t="str">
            <v>أخصائي أول، الاستراتيجية</v>
          </cell>
          <cell r="J1782" t="str">
            <v>On-Chart</v>
          </cell>
          <cell r="K1782" t="str">
            <v>MSS Al Nahiya</v>
          </cell>
          <cell r="L1782" t="str">
            <v>M2</v>
          </cell>
          <cell r="M1782" t="str">
            <v>Department of Culture and Tourism</v>
          </cell>
          <cell r="N1782" t="str">
            <v>Zayed National Museum</v>
          </cell>
          <cell r="O1782" t="str">
            <v>متحف زايد الوطني</v>
          </cell>
          <cell r="P1782" t="str">
            <v>Director’s Office</v>
          </cell>
          <cell r="Q1782" t="str">
            <v>مكتب مدير المتحف</v>
          </cell>
          <cell r="R1782" t="str">
            <v>Strategy</v>
          </cell>
          <cell r="S1782" t="str">
            <v>الاستراتيجية</v>
          </cell>
          <cell r="T1782" t="str">
            <v/>
          </cell>
          <cell r="U1782" t="str">
            <v/>
          </cell>
          <cell r="V1782" t="str">
            <v>Abu Dhabi</v>
          </cell>
          <cell r="W1782" t="str">
            <v/>
          </cell>
          <cell r="X1782" t="str">
            <v>4510180</v>
          </cell>
          <cell r="Y1782" t="str">
            <v>Senior Specialization Strategy &amp; Planning</v>
          </cell>
          <cell r="Z1782" t="str">
            <v>Senior Professional</v>
          </cell>
          <cell r="AA1782" t="str">
            <v>3C</v>
          </cell>
        </row>
        <row r="1783">
          <cell r="A1783">
            <v>2001322</v>
          </cell>
          <cell r="B1783">
            <v>2001322</v>
          </cell>
          <cell r="C1783" t="str">
            <v>A</v>
          </cell>
          <cell r="D1783" t="str">
            <v>Sara Mohammad Al Frehat</v>
          </cell>
          <cell r="E1783" t="str">
            <v>ساره محمد الفريحات</v>
          </cell>
          <cell r="F1783">
            <v>45931</v>
          </cell>
          <cell r="G1783" t="str">
            <v>50001929</v>
          </cell>
          <cell r="H1783" t="str">
            <v>Education &amp; Outreach Section Head</v>
          </cell>
          <cell r="I1783" t="str">
            <v>رئيس قسم التعليم والتوعية</v>
          </cell>
          <cell r="J1783" t="str">
            <v>On-Chart</v>
          </cell>
          <cell r="K1783" t="str">
            <v>MSS Al Nahiya</v>
          </cell>
          <cell r="L1783" t="str">
            <v>M2</v>
          </cell>
          <cell r="M1783" t="str">
            <v>Department of Culture and Tourism</v>
          </cell>
          <cell r="N1783" t="str">
            <v>Abrahamic Family House Center</v>
          </cell>
          <cell r="O1783" t="str">
            <v>مركز بيت العائلة الإبراهيمية</v>
          </cell>
          <cell r="P1783" t="str">
            <v>Education &amp; Dialogue</v>
          </cell>
          <cell r="Q1783" t="str">
            <v>التعليم والحوار</v>
          </cell>
          <cell r="R1783" t="str">
            <v>Education &amp; Outreach</v>
          </cell>
          <cell r="S1783" t="str">
            <v>التعليم والتوعية</v>
          </cell>
          <cell r="T1783" t="str">
            <v/>
          </cell>
          <cell r="U1783" t="str">
            <v/>
          </cell>
          <cell r="V1783" t="str">
            <v>Abu Dhabi</v>
          </cell>
          <cell r="W1783" t="str">
            <v/>
          </cell>
          <cell r="X1783" t="str">
            <v>4514121</v>
          </cell>
          <cell r="Y1783" t="str">
            <v>Interpretation &amp; Engagement_Education Learning &amp;  Engagement _Section Manager</v>
          </cell>
          <cell r="Z1783" t="str">
            <v>Section Manager</v>
          </cell>
          <cell r="AA1783" t="str">
            <v>2C</v>
          </cell>
        </row>
        <row r="1784">
          <cell r="A1784">
            <v>2001323</v>
          </cell>
          <cell r="B1784">
            <v>2001323</v>
          </cell>
          <cell r="C1784" t="str">
            <v>A</v>
          </cell>
          <cell r="D1784" t="str">
            <v>Faeqa Ghulam Muatamadi</v>
          </cell>
          <cell r="E1784" t="str">
            <v>فائقة غلام معتمدي</v>
          </cell>
          <cell r="F1784">
            <v>45908</v>
          </cell>
          <cell r="G1784" t="str">
            <v>50002589</v>
          </cell>
          <cell r="H1784" t="str">
            <v>Accounts Receivables Senior Accountant</v>
          </cell>
          <cell r="I1784" t="str">
            <v>محاسب أول الحسابات المستحقة</v>
          </cell>
          <cell r="J1784" t="str">
            <v>On-Chart</v>
          </cell>
          <cell r="K1784" t="str">
            <v>MSS Al Nahiya</v>
          </cell>
          <cell r="L1784" t="str">
            <v>M2</v>
          </cell>
          <cell r="M1784" t="str">
            <v>Department of Culture and Tourism</v>
          </cell>
          <cell r="N1784" t="str">
            <v>Museums Shared Services</v>
          </cell>
          <cell r="O1784" t="str">
            <v>الخدمات المشتركة للمتاحف</v>
          </cell>
          <cell r="P1784" t="str">
            <v>Finance - MSS</v>
          </cell>
          <cell r="Q1784" t="str">
            <v>الإدارة المالية - الخدمات المشتركة للمتاحف</v>
          </cell>
          <cell r="R1784" t="str">
            <v>Receivables Operations Section - MSS</v>
          </cell>
          <cell r="S1784" t="str">
            <v>قسم عمليات الحسابات المستحقة</v>
          </cell>
          <cell r="T1784" t="str">
            <v>Accounts Receivables Unit - MSS</v>
          </cell>
          <cell r="U1784" t="str">
            <v>وحدة الحسابات المستحقة</v>
          </cell>
          <cell r="V1784" t="str">
            <v>Abu Dhabi</v>
          </cell>
          <cell r="W1784" t="str">
            <v/>
          </cell>
          <cell r="X1784" t="str">
            <v>4514120</v>
          </cell>
          <cell r="Y1784" t="str">
            <v>Specialization Finance</v>
          </cell>
          <cell r="Z1784" t="str">
            <v>Senior Professional</v>
          </cell>
          <cell r="AA1784" t="str">
            <v>3C</v>
          </cell>
        </row>
        <row r="1785">
          <cell r="A1785">
            <v>2001325</v>
          </cell>
          <cell r="B1785">
            <v>2001325</v>
          </cell>
          <cell r="C1785" t="str">
            <v>A</v>
          </cell>
          <cell r="D1785" t="str">
            <v>Anastasia Rousopoulou</v>
          </cell>
          <cell r="E1785" t="str">
            <v>اناستازيا  روسوبولو</v>
          </cell>
          <cell r="F1785">
            <v>45873</v>
          </cell>
          <cell r="G1785" t="str">
            <v>50003620</v>
          </cell>
          <cell r="H1785" t="str">
            <v>Exhibitions Design Specialist</v>
          </cell>
          <cell r="I1785" t="str">
            <v>أخصائي تصميم المعارض</v>
          </cell>
          <cell r="J1785" t="str">
            <v>On-Chart</v>
          </cell>
          <cell r="K1785" t="str">
            <v>MSS Al Nahiya</v>
          </cell>
          <cell r="L1785" t="str">
            <v>M2</v>
          </cell>
          <cell r="M1785" t="str">
            <v>Department of Culture and Tourism</v>
          </cell>
          <cell r="N1785" t="str">
            <v>Culture</v>
          </cell>
          <cell r="O1785" t="str">
            <v>الثقافة</v>
          </cell>
          <cell r="P1785" t="str">
            <v>Guggenheim Abu Dhabi Museum</v>
          </cell>
          <cell r="Q1785" t="str">
            <v>متحف جوجينهايم أبوظبي</v>
          </cell>
          <cell r="R1785" t="str">
            <v/>
          </cell>
          <cell r="S1785" t="str">
            <v/>
          </cell>
          <cell r="T1785" t="str">
            <v/>
          </cell>
          <cell r="U1785" t="str">
            <v/>
          </cell>
          <cell r="V1785" t="str">
            <v>Abu Dhabi</v>
          </cell>
          <cell r="W1785" t="str">
            <v/>
          </cell>
          <cell r="X1785" t="str">
            <v>4510410</v>
          </cell>
          <cell r="Y1785" t="str">
            <v>Design_Exhibitions Design _Senior Professional</v>
          </cell>
          <cell r="Z1785" t="str">
            <v>Senior Professional</v>
          </cell>
          <cell r="AA1785" t="str">
            <v>3C</v>
          </cell>
        </row>
        <row r="1786">
          <cell r="A1786">
            <v>2001326</v>
          </cell>
          <cell r="B1786">
            <v>2001326</v>
          </cell>
          <cell r="C1786" t="str">
            <v>A</v>
          </cell>
          <cell r="D1786" t="str">
            <v>Zain Mahjoub</v>
          </cell>
          <cell r="E1786" t="str">
            <v>زين  محجوب</v>
          </cell>
          <cell r="F1786">
            <v>45873</v>
          </cell>
          <cell r="G1786" t="str">
            <v>50003623</v>
          </cell>
          <cell r="H1786" t="str">
            <v>Development and Partnership Unit Head</v>
          </cell>
          <cell r="I1786" t="str">
            <v>رئيس وحدة التطوير و الشراكات</v>
          </cell>
          <cell r="J1786" t="str">
            <v>On-Chart</v>
          </cell>
          <cell r="K1786" t="str">
            <v>MSS Al Nahiya</v>
          </cell>
          <cell r="L1786" t="str">
            <v>M2</v>
          </cell>
          <cell r="M1786" t="str">
            <v>Department of Culture and Tourism</v>
          </cell>
          <cell r="N1786" t="str">
            <v>Culture</v>
          </cell>
          <cell r="O1786" t="str">
            <v>الثقافة</v>
          </cell>
          <cell r="P1786" t="str">
            <v>Guggenheim Abu Dhabi Museum</v>
          </cell>
          <cell r="Q1786" t="str">
            <v>متحف جوجينهايم أبوظبي</v>
          </cell>
          <cell r="R1786" t="str">
            <v/>
          </cell>
          <cell r="S1786" t="str">
            <v/>
          </cell>
          <cell r="T1786" t="str">
            <v/>
          </cell>
          <cell r="U1786" t="str">
            <v/>
          </cell>
          <cell r="V1786" t="str">
            <v>Abu Dhabi</v>
          </cell>
          <cell r="W1786" t="str">
            <v/>
          </cell>
          <cell r="X1786" t="str">
            <v>4510410</v>
          </cell>
          <cell r="Y1786" t="str">
            <v>Comms &amp; Marketing _PR Communications and Marketing_Unit Head</v>
          </cell>
          <cell r="Z1786" t="str">
            <v>Unit Head</v>
          </cell>
          <cell r="AA1786" t="str">
            <v>3C</v>
          </cell>
        </row>
        <row r="1787">
          <cell r="A1787">
            <v>2001327</v>
          </cell>
          <cell r="B1787">
            <v>2001327</v>
          </cell>
          <cell r="C1787" t="str">
            <v>A</v>
          </cell>
          <cell r="D1787" t="str">
            <v>Sherin Aly Mohamed</v>
          </cell>
          <cell r="E1787" t="str">
            <v>شيرين علي محمد</v>
          </cell>
          <cell r="F1787">
            <v>45870</v>
          </cell>
          <cell r="G1787" t="str">
            <v>47700363</v>
          </cell>
          <cell r="H1787" t="str">
            <v>Teacher</v>
          </cell>
          <cell r="I1787" t="str">
            <v>مدرس</v>
          </cell>
          <cell r="J1787" t="str">
            <v>On-Chart</v>
          </cell>
          <cell r="K1787" t="str">
            <v>Sundus</v>
          </cell>
          <cell r="L1787" t="str">
            <v>SU</v>
          </cell>
          <cell r="M1787" t="str">
            <v>Department of Culture and Tourism</v>
          </cell>
          <cell r="N1787" t="str">
            <v>Culture</v>
          </cell>
          <cell r="O1787" t="str">
            <v>الثقافة</v>
          </cell>
          <cell r="P1787" t="str">
            <v>Culture Sites Management</v>
          </cell>
          <cell r="Q1787" t="str">
            <v>إدارة المواقع الثقافية</v>
          </cell>
          <cell r="R1787" t="str">
            <v>Bait Al Oud</v>
          </cell>
          <cell r="S1787" t="str">
            <v>بيت العود</v>
          </cell>
          <cell r="T1787" t="str">
            <v>Academic &amp; Performances</v>
          </cell>
          <cell r="U1787" t="str">
            <v>تعليم العود والأداء</v>
          </cell>
          <cell r="V1787" t="str">
            <v>Abu Dhabi</v>
          </cell>
          <cell r="W1787" t="str">
            <v/>
          </cell>
          <cell r="X1787" t="str">
            <v>4511250</v>
          </cell>
          <cell r="Y1787" t="str">
            <v>Compliance,Governance&amp;Protocol_Policy (Culture/Tourism) _Professional</v>
          </cell>
          <cell r="Z1787" t="str">
            <v>Professional</v>
          </cell>
          <cell r="AA1787" t="str">
            <v>5C</v>
          </cell>
        </row>
        <row r="1788">
          <cell r="A1788">
            <v>2001328</v>
          </cell>
          <cell r="B1788">
            <v>2001328</v>
          </cell>
          <cell r="C1788" t="str">
            <v>A</v>
          </cell>
          <cell r="D1788" t="str">
            <v>Khadija Abdullah Al Shehhi</v>
          </cell>
          <cell r="E1788" t="str">
            <v>خديجة عبدالله الشحي</v>
          </cell>
          <cell r="F1788">
            <v>45870</v>
          </cell>
          <cell r="G1788" t="str">
            <v>50003724</v>
          </cell>
          <cell r="H1788" t="str">
            <v>ICH Documentation Coordinator</v>
          </cell>
          <cell r="I1788" t="str">
            <v>منسق توثيق التراث الثقافي المعنوي</v>
          </cell>
          <cell r="J1788" t="str">
            <v>On-Chart</v>
          </cell>
          <cell r="K1788" t="str">
            <v>Sundus</v>
          </cell>
          <cell r="L1788" t="str">
            <v>SU</v>
          </cell>
          <cell r="M1788" t="str">
            <v>Department of Culture and Tourism</v>
          </cell>
          <cell r="N1788" t="str">
            <v>Culture</v>
          </cell>
          <cell r="O1788" t="str">
            <v>الثقافة</v>
          </cell>
          <cell r="P1788" t="str">
            <v>Intangible Cultural Heritage</v>
          </cell>
          <cell r="Q1788" t="str">
            <v>التراث الثقافي المعنوي</v>
          </cell>
          <cell r="R1788" t="str">
            <v>ICH Research &amp; Documentation</v>
          </cell>
          <cell r="S1788" t="str">
            <v>بحوث وتوثيق التراث الثقافي المعنوي</v>
          </cell>
          <cell r="T1788" t="str">
            <v>ICH Documentation</v>
          </cell>
          <cell r="U1788" t="str">
            <v>توثيق التراث الثقافي المعنوي</v>
          </cell>
          <cell r="V1788" t="str">
            <v>Abu Dhabi</v>
          </cell>
          <cell r="W1788" t="str">
            <v/>
          </cell>
          <cell r="X1788" t="str">
            <v>4511600</v>
          </cell>
          <cell r="Y1788" t="str">
            <v>Content &amp; Care_World Heritage Sites Planning &amp; Monitoring _Professional</v>
          </cell>
          <cell r="Z1788" t="str">
            <v>Professional Assistant</v>
          </cell>
          <cell r="AA1788" t="str">
            <v>5C</v>
          </cell>
        </row>
        <row r="1789">
          <cell r="A1789">
            <v>2001329</v>
          </cell>
          <cell r="B1789">
            <v>2001329</v>
          </cell>
          <cell r="C1789" t="str">
            <v>A</v>
          </cell>
          <cell r="D1789" t="str">
            <v>Nadia Sabry</v>
          </cell>
          <cell r="E1789" t="str">
            <v>نادية  صبري</v>
          </cell>
          <cell r="F1789">
            <v>45870</v>
          </cell>
          <cell r="G1789" t="str">
            <v>50000516</v>
          </cell>
          <cell r="H1789" t="str">
            <v>ICH Register Senior Specialist</v>
          </cell>
          <cell r="I1789" t="str">
            <v>أخصائي أول تسجيل التراث الثقافي المعنوي</v>
          </cell>
          <cell r="J1789" t="str">
            <v>On-Chart</v>
          </cell>
          <cell r="K1789" t="str">
            <v>Al Nahiya</v>
          </cell>
          <cell r="L1789" t="str">
            <v>N0</v>
          </cell>
          <cell r="M1789" t="str">
            <v>Department of Culture and Tourism</v>
          </cell>
          <cell r="N1789" t="str">
            <v>Culture</v>
          </cell>
          <cell r="O1789" t="str">
            <v>الثقافة</v>
          </cell>
          <cell r="P1789" t="str">
            <v>Intangible Cultural Heritage</v>
          </cell>
          <cell r="Q1789" t="str">
            <v>التراث الثقافي المعنوي</v>
          </cell>
          <cell r="R1789" t="str">
            <v>ICH Research &amp; Documentation</v>
          </cell>
          <cell r="S1789" t="str">
            <v>بحوث وتوثيق التراث الثقافي المعنوي</v>
          </cell>
          <cell r="T1789" t="str">
            <v>ICH Registrar</v>
          </cell>
          <cell r="U1789" t="str">
            <v>تسجيل التراث الثقافي المعنوي</v>
          </cell>
          <cell r="V1789" t="str">
            <v>Abu Dhabi</v>
          </cell>
          <cell r="W1789" t="str">
            <v/>
          </cell>
          <cell r="X1789" t="str">
            <v>4511600</v>
          </cell>
          <cell r="Y1789" t="str">
            <v>Senior Specialization Content &amp; Care</v>
          </cell>
          <cell r="Z1789" t="str">
            <v>Senior Professional</v>
          </cell>
          <cell r="AA1789" t="str">
            <v>3C</v>
          </cell>
        </row>
        <row r="1790">
          <cell r="A1790">
            <v>2001330</v>
          </cell>
          <cell r="B1790">
            <v>2001330</v>
          </cell>
          <cell r="C1790" t="str">
            <v>A</v>
          </cell>
          <cell r="D1790" t="str">
            <v>QaisH Hani Haddad</v>
          </cell>
          <cell r="E1790" t="str">
            <v>قيس هانى حداد</v>
          </cell>
          <cell r="F1790">
            <v>45882</v>
          </cell>
          <cell r="G1790" t="str">
            <v>50004270</v>
          </cell>
          <cell r="H1790" t="str">
            <v>Development &amp; Partnership Specialist</v>
          </cell>
          <cell r="I1790" t="str">
            <v>أخصائي التطوير والشراكات</v>
          </cell>
          <cell r="J1790" t="str">
            <v>On-Chart</v>
          </cell>
          <cell r="K1790" t="str">
            <v>MSS Al Nahiya</v>
          </cell>
          <cell r="L1790" t="str">
            <v>M2</v>
          </cell>
          <cell r="M1790" t="str">
            <v>Department of Culture and Tourism</v>
          </cell>
          <cell r="N1790" t="str">
            <v>Culture</v>
          </cell>
          <cell r="O1790" t="str">
            <v>الثقافة</v>
          </cell>
          <cell r="P1790" t="str">
            <v>Natural History Museum Abu Dhabi</v>
          </cell>
          <cell r="Q1790" t="str">
            <v>متحف التاريخ الطبيعي - أبوظبي</v>
          </cell>
          <cell r="R1790" t="str">
            <v/>
          </cell>
          <cell r="S1790" t="str">
            <v/>
          </cell>
          <cell r="T1790" t="str">
            <v/>
          </cell>
          <cell r="U1790" t="str">
            <v/>
          </cell>
          <cell r="V1790" t="str">
            <v>Abu Dhabi</v>
          </cell>
          <cell r="W1790" t="str">
            <v/>
          </cell>
          <cell r="X1790" t="str">
            <v>4510310</v>
          </cell>
          <cell r="Y1790" t="str">
            <v>Compliance,Governance&amp;Protocol_Policy  (Culture &amp; Tourism)_Unit Head</v>
          </cell>
          <cell r="Z1790" t="str">
            <v>Senior Professional</v>
          </cell>
          <cell r="AA1790" t="str">
            <v>3C</v>
          </cell>
        </row>
        <row r="1791">
          <cell r="A1791">
            <v>2001332</v>
          </cell>
          <cell r="B1791">
            <v>2001332</v>
          </cell>
          <cell r="C1791" t="str">
            <v>A</v>
          </cell>
          <cell r="D1791" t="str">
            <v>Ramzi Zohdi Al-Hamaidah</v>
          </cell>
          <cell r="E1791" t="str">
            <v>رمزي زهدي الحمايده</v>
          </cell>
          <cell r="F1791">
            <v>45902</v>
          </cell>
          <cell r="G1791" t="str">
            <v>47700192</v>
          </cell>
          <cell r="H1791" t="str">
            <v>Government Relations Specialist- Al Ain</v>
          </cell>
          <cell r="I1791" t="str">
            <v>أخصائي العلاقات الحكومية - العين</v>
          </cell>
          <cell r="J1791" t="str">
            <v>On-Chart</v>
          </cell>
          <cell r="K1791" t="str">
            <v>Al Nahiya</v>
          </cell>
          <cell r="L1791" t="str">
            <v>N0</v>
          </cell>
          <cell r="M1791" t="str">
            <v>Department of Culture and Tourism</v>
          </cell>
          <cell r="N1791" t="str">
            <v>Support Services</v>
          </cell>
          <cell r="O1791" t="str">
            <v>الخدمات المساندة</v>
          </cell>
          <cell r="P1791" t="str">
            <v>People &amp; Performance</v>
          </cell>
          <cell r="Q1791" t="str">
            <v>إدارة الكوادر البشرية والأداء</v>
          </cell>
          <cell r="R1791" t="str">
            <v>Employee Relations</v>
          </cell>
          <cell r="S1791" t="str">
            <v>شؤون الموظفين</v>
          </cell>
          <cell r="T1791" t="str">
            <v>Government Relations</v>
          </cell>
          <cell r="U1791" t="str">
            <v>العلاقات الحكومية</v>
          </cell>
          <cell r="V1791" t="str">
            <v>Al Ain</v>
          </cell>
          <cell r="W1791" t="str">
            <v/>
          </cell>
          <cell r="X1791" t="str">
            <v>4510220</v>
          </cell>
          <cell r="Y1791" t="str">
            <v>People &amp; Performance _Employee Relations _Professional</v>
          </cell>
          <cell r="Z1791" t="str">
            <v>Professional</v>
          </cell>
          <cell r="AA1791" t="str">
            <v>4C</v>
          </cell>
        </row>
        <row r="1792">
          <cell r="A1792">
            <v>2001333</v>
          </cell>
          <cell r="B1792">
            <v>2001333</v>
          </cell>
          <cell r="C1792" t="str">
            <v>A</v>
          </cell>
          <cell r="D1792" t="str">
            <v>Hanna Ahmed Bakr</v>
          </cell>
          <cell r="E1792" t="str">
            <v>هانه احمد بكر</v>
          </cell>
          <cell r="F1792">
            <v>45901</v>
          </cell>
          <cell r="G1792" t="str">
            <v>50002356</v>
          </cell>
          <cell r="H1792" t="str">
            <v>Corporate Communications Officer</v>
          </cell>
          <cell r="I1792" t="str">
            <v>ضابط التواصل المؤسسي</v>
          </cell>
          <cell r="J1792" t="str">
            <v>On-Chart</v>
          </cell>
          <cell r="K1792" t="str">
            <v>Sundus</v>
          </cell>
          <cell r="L1792" t="str">
            <v>SU</v>
          </cell>
          <cell r="M1792" t="str">
            <v>Department of Culture and Tourism</v>
          </cell>
          <cell r="N1792" t="str">
            <v>Strategic Marketing &amp; Communication</v>
          </cell>
          <cell r="O1792" t="str">
            <v>التسويق والاتصال الاستراتيجي</v>
          </cell>
          <cell r="P1792" t="str">
            <v>Strategic Communications</v>
          </cell>
          <cell r="Q1792" t="str">
            <v>الاتصال الاستراتيجي</v>
          </cell>
          <cell r="R1792" t="str">
            <v>Corporate Communications</v>
          </cell>
          <cell r="S1792" t="str">
            <v>الاتصال المؤسسي</v>
          </cell>
          <cell r="T1792" t="str">
            <v>Corporate Campaigns</v>
          </cell>
          <cell r="U1792" t="str">
            <v>الحملات المؤسسية</v>
          </cell>
          <cell r="V1792" t="str">
            <v>Abu Dhabi</v>
          </cell>
          <cell r="W1792" t="str">
            <v/>
          </cell>
          <cell r="X1792" t="str">
            <v>4513120</v>
          </cell>
          <cell r="Y1792" t="str">
            <v>Specialization Marketing &amp; Communications</v>
          </cell>
          <cell r="Z1792" t="str">
            <v>Professional</v>
          </cell>
          <cell r="AA1792" t="str">
            <v>4C</v>
          </cell>
        </row>
        <row r="1793">
          <cell r="A1793">
            <v>2001380</v>
          </cell>
          <cell r="B1793">
            <v>2001380</v>
          </cell>
          <cell r="C1793" t="str">
            <v>A</v>
          </cell>
          <cell r="D1793" t="str">
            <v>Vinod Kumar Menon</v>
          </cell>
          <cell r="E1793" t="str">
            <v>فينود  كومار</v>
          </cell>
          <cell r="F1793">
            <v>45726</v>
          </cell>
          <cell r="G1793" t="str">
            <v>10005253</v>
          </cell>
          <cell r="H1793" t="str">
            <v>IT Governance Specialist</v>
          </cell>
          <cell r="I1793" t="str">
            <v>أخصائي حوكمة تكنولوجيا المعلومات</v>
          </cell>
          <cell r="J1793" t="str">
            <v>On-Chart</v>
          </cell>
          <cell r="K1793" t="str">
            <v>Sundus</v>
          </cell>
          <cell r="L1793" t="str">
            <v>SU</v>
          </cell>
          <cell r="M1793" t="str">
            <v>Department of Culture and Tourism</v>
          </cell>
          <cell r="N1793" t="str">
            <v>Support Services</v>
          </cell>
          <cell r="O1793" t="str">
            <v>الخدمات المساندة</v>
          </cell>
          <cell r="P1793" t="str">
            <v>Technology</v>
          </cell>
          <cell r="Q1793" t="str">
            <v>التكنولوجيا</v>
          </cell>
          <cell r="R1793" t="str">
            <v>IT Governance</v>
          </cell>
          <cell r="S1793" t="str">
            <v>حوكمة تكنولوجيا المعلومات</v>
          </cell>
          <cell r="T1793" t="str">
            <v/>
          </cell>
          <cell r="U1793" t="str">
            <v/>
          </cell>
          <cell r="V1793" t="str">
            <v>Abu Dhabi</v>
          </cell>
          <cell r="W1793" t="str">
            <v/>
          </cell>
          <cell r="X1793" t="str">
            <v>4510250</v>
          </cell>
          <cell r="Y1793" t="str">
            <v>Specialization IT &amp; Digital Services</v>
          </cell>
          <cell r="Z1793" t="str">
            <v>Professional</v>
          </cell>
          <cell r="AA1793" t="str">
            <v>4C</v>
          </cell>
        </row>
        <row r="1794">
          <cell r="A1794">
            <v>2001381</v>
          </cell>
          <cell r="B1794">
            <v>2001381</v>
          </cell>
          <cell r="C1794" t="str">
            <v>A</v>
          </cell>
          <cell r="D1794" t="str">
            <v>Majdi Jamal Mohammad</v>
          </cell>
          <cell r="E1794" t="str">
            <v>مجدي جمال محمد</v>
          </cell>
          <cell r="F1794">
            <v>45755</v>
          </cell>
          <cell r="G1794" t="str">
            <v>50003318</v>
          </cell>
          <cell r="H1794" t="str">
            <v>Senior Applications Architect</v>
          </cell>
          <cell r="I1794" t="str">
            <v>مصمم أول تطبيقات</v>
          </cell>
          <cell r="J1794" t="str">
            <v>On-Chart</v>
          </cell>
          <cell r="K1794" t="str">
            <v>Al Nahiya</v>
          </cell>
          <cell r="L1794" t="str">
            <v>N0</v>
          </cell>
          <cell r="M1794" t="str">
            <v>Department of Culture and Tourism</v>
          </cell>
          <cell r="N1794" t="str">
            <v>Support Services</v>
          </cell>
          <cell r="O1794" t="str">
            <v>الخدمات المساندة</v>
          </cell>
          <cell r="P1794" t="str">
            <v>Technology</v>
          </cell>
          <cell r="Q1794" t="str">
            <v>التكنولوجيا</v>
          </cell>
          <cell r="R1794" t="str">
            <v>Enterprise Architecture</v>
          </cell>
          <cell r="S1794" t="str">
            <v>البنية المؤسسية</v>
          </cell>
          <cell r="T1794" t="str">
            <v/>
          </cell>
          <cell r="U1794" t="str">
            <v/>
          </cell>
          <cell r="V1794" t="str">
            <v>Abu Dhabi</v>
          </cell>
          <cell r="W1794" t="str">
            <v/>
          </cell>
          <cell r="X1794" t="str">
            <v>4510250</v>
          </cell>
          <cell r="Y1794" t="str">
            <v>Senior Specialization IT &amp; Digital Services</v>
          </cell>
          <cell r="Z1794" t="str">
            <v>Senior Professional</v>
          </cell>
          <cell r="AA1794" t="str">
            <v>3C</v>
          </cell>
        </row>
        <row r="1795">
          <cell r="A1795">
            <v>2001382</v>
          </cell>
          <cell r="B1795">
            <v>2001382</v>
          </cell>
          <cell r="C1795" t="str">
            <v>A</v>
          </cell>
          <cell r="D1795" t="str">
            <v>Mahmoud  Mehrez</v>
          </cell>
          <cell r="E1795" t="str">
            <v xml:space="preserve">محمود   محرز     </v>
          </cell>
          <cell r="F1795">
            <v>45729</v>
          </cell>
          <cell r="G1795" t="str">
            <v>41000386</v>
          </cell>
          <cell r="H1795" t="str">
            <v>Technical Support Engineer</v>
          </cell>
          <cell r="I1795" t="str">
            <v>مهندس الدعم التقني</v>
          </cell>
          <cell r="J1795" t="str">
            <v>On-Chart</v>
          </cell>
          <cell r="K1795" t="str">
            <v>Al Nahiya</v>
          </cell>
          <cell r="L1795" t="str">
            <v>N0</v>
          </cell>
          <cell r="M1795" t="str">
            <v>Department of Culture and Tourism</v>
          </cell>
          <cell r="N1795" t="str">
            <v>Support Services</v>
          </cell>
          <cell r="O1795" t="str">
            <v>الخدمات المساندة</v>
          </cell>
          <cell r="P1795" t="str">
            <v>Technology</v>
          </cell>
          <cell r="Q1795" t="str">
            <v>التكنولوجيا</v>
          </cell>
          <cell r="R1795" t="str">
            <v>Technology Infrastructure</v>
          </cell>
          <cell r="S1795" t="str">
            <v>البنية التحتية للتكنولوجيا</v>
          </cell>
          <cell r="T1795" t="str">
            <v>E Support</v>
          </cell>
          <cell r="U1795" t="str">
            <v>الدعم الإلكتروني</v>
          </cell>
          <cell r="V1795" t="str">
            <v>Abu Dhabi</v>
          </cell>
          <cell r="W1795" t="str">
            <v/>
          </cell>
          <cell r="X1795" t="str">
            <v>4510250</v>
          </cell>
          <cell r="Y1795" t="str">
            <v>Specialization IT &amp; Digital Services</v>
          </cell>
          <cell r="Z1795" t="str">
            <v>Professional</v>
          </cell>
          <cell r="AA1795" t="str">
            <v>4C</v>
          </cell>
        </row>
        <row r="1796">
          <cell r="A1796">
            <v>2001383</v>
          </cell>
          <cell r="B1796">
            <v>2001383</v>
          </cell>
          <cell r="C1796" t="str">
            <v>A</v>
          </cell>
          <cell r="D1796" t="str">
            <v>Jieun Jeung</v>
          </cell>
          <cell r="E1796" t="str">
            <v>جييون  جيونغ</v>
          </cell>
          <cell r="F1796">
            <v>45750</v>
          </cell>
          <cell r="G1796" t="str">
            <v>50002855</v>
          </cell>
          <cell r="H1796" t="str">
            <v>Committees Governance and Reporting Unit Head</v>
          </cell>
          <cell r="I1796" t="str">
            <v>رئيس وحدة إدارة اللجان واعداد التقارير</v>
          </cell>
          <cell r="J1796" t="str">
            <v>On-Chart</v>
          </cell>
          <cell r="K1796" t="str">
            <v>Al Nahiya</v>
          </cell>
          <cell r="L1796" t="str">
            <v>N0</v>
          </cell>
          <cell r="M1796" t="str">
            <v>Department of Culture and Tourism</v>
          </cell>
          <cell r="N1796" t="str">
            <v>Executive Affairs</v>
          </cell>
          <cell r="O1796" t="str">
            <v>مكتب رئيس الدائرة</v>
          </cell>
          <cell r="P1796" t="str">
            <v>Executive Affairs</v>
          </cell>
          <cell r="Q1796" t="str">
            <v>الشؤون التنفيذية</v>
          </cell>
          <cell r="R1796" t="str">
            <v>Executive Operations</v>
          </cell>
          <cell r="S1796" t="str">
            <v>العمليات التنفيذية</v>
          </cell>
          <cell r="T1796" t="str">
            <v>Committees Governance and Reporting</v>
          </cell>
          <cell r="U1796" t="str">
            <v>إدارة اللجان واعداد التقارير</v>
          </cell>
          <cell r="V1796" t="str">
            <v>Abu Dhabi</v>
          </cell>
          <cell r="W1796" t="str">
            <v/>
          </cell>
          <cell r="X1796" t="str">
            <v>4510011</v>
          </cell>
          <cell r="Y1796" t="str">
            <v>Senior Specialization General &amp; Administration</v>
          </cell>
          <cell r="Z1796" t="str">
            <v>Unit Head</v>
          </cell>
          <cell r="AA1796" t="str">
            <v>3C</v>
          </cell>
        </row>
        <row r="1797">
          <cell r="A1797">
            <v>2001384</v>
          </cell>
          <cell r="B1797">
            <v>2001384</v>
          </cell>
          <cell r="C1797" t="str">
            <v>A</v>
          </cell>
          <cell r="D1797" t="str">
            <v>Yazan Al Kayyali</v>
          </cell>
          <cell r="E1797" t="str">
            <v>يزن  الكيالى</v>
          </cell>
          <cell r="F1797">
            <v>45720</v>
          </cell>
          <cell r="G1797" t="str">
            <v>10004967</v>
          </cell>
          <cell r="H1797" t="str">
            <v>Social Media Specialist</v>
          </cell>
          <cell r="I1797" t="str">
            <v>أخصائي وسائل التواصل الاجتماعي</v>
          </cell>
          <cell r="J1797" t="str">
            <v>On-Chart</v>
          </cell>
          <cell r="K1797" t="str">
            <v>Al Nahiya</v>
          </cell>
          <cell r="L1797" t="str">
            <v>N0</v>
          </cell>
          <cell r="M1797" t="str">
            <v>Department of Culture and Tourism</v>
          </cell>
          <cell r="N1797" t="str">
            <v>Strategic Marketing &amp; Communication</v>
          </cell>
          <cell r="O1797" t="str">
            <v>التسويق والاتصال الاستراتيجي</v>
          </cell>
          <cell r="P1797" t="str">
            <v>Creative &amp; Production</v>
          </cell>
          <cell r="Q1797" t="str">
            <v>الإبداع والإنتاج</v>
          </cell>
          <cell r="R1797" t="str">
            <v>Digital &amp; Social Media</v>
          </cell>
          <cell r="S1797" t="str">
            <v>الإعلام الرقمي</v>
          </cell>
          <cell r="T1797" t="str">
            <v>Social Media</v>
          </cell>
          <cell r="U1797" t="str">
            <v>وسائل التواصل الاجتماعي</v>
          </cell>
          <cell r="V1797" t="str">
            <v>Abu Dhabi</v>
          </cell>
          <cell r="W1797" t="str">
            <v/>
          </cell>
          <cell r="X1797" t="str">
            <v>4513110</v>
          </cell>
          <cell r="Y1797" t="str">
            <v>Senior Specialization Marketing &amp; Communications</v>
          </cell>
          <cell r="Z1797" t="str">
            <v>Professional</v>
          </cell>
          <cell r="AA1797" t="str">
            <v>3C</v>
          </cell>
        </row>
        <row r="1798">
          <cell r="A1798">
            <v>2001386</v>
          </cell>
          <cell r="B1798">
            <v>2001386</v>
          </cell>
          <cell r="C1798" t="str">
            <v>A</v>
          </cell>
          <cell r="D1798" t="str">
            <v>Smruthiraj Athiringal Rajan</v>
          </cell>
          <cell r="E1798" t="str">
            <v>سمروثيراج  أثيرينجال راجان</v>
          </cell>
          <cell r="F1798">
            <v>45754</v>
          </cell>
          <cell r="G1798" t="str">
            <v>50003276</v>
          </cell>
          <cell r="H1798" t="str">
            <v>Senior Project Controls Engineer</v>
          </cell>
          <cell r="I1798" t="str">
            <v>مهندس أول مراقبة مشاريع</v>
          </cell>
          <cell r="J1798" t="str">
            <v>On-Chart</v>
          </cell>
          <cell r="K1798" t="str">
            <v>Al Nahiya</v>
          </cell>
          <cell r="L1798" t="str">
            <v>N0</v>
          </cell>
          <cell r="M1798" t="str">
            <v>Department of Culture and Tourism</v>
          </cell>
          <cell r="N1798" t="str">
            <v>Tendering &amp; Projects Control</v>
          </cell>
          <cell r="O1798" t="str">
            <v>مكتب وكيل الدائرة</v>
          </cell>
          <cell r="P1798" t="str">
            <v>Tendering &amp; Projects Control</v>
          </cell>
          <cell r="Q1798" t="str">
            <v>المناقصات ومراقبة المشاريع</v>
          </cell>
          <cell r="R1798" t="str">
            <v>Project Controls</v>
          </cell>
          <cell r="S1798" t="str">
            <v>مراقبة المشاريع</v>
          </cell>
          <cell r="T1798" t="str">
            <v/>
          </cell>
          <cell r="U1798" t="str">
            <v/>
          </cell>
          <cell r="V1798" t="str">
            <v>Abu Dhabi</v>
          </cell>
          <cell r="W1798" t="str">
            <v/>
          </cell>
          <cell r="X1798" t="str">
            <v>4510155</v>
          </cell>
          <cell r="Y1798" t="str">
            <v>Senior Specialization Project Management</v>
          </cell>
          <cell r="Z1798" t="str">
            <v>Senior Professional</v>
          </cell>
          <cell r="AA1798" t="str">
            <v>3C</v>
          </cell>
        </row>
        <row r="1799">
          <cell r="A1799">
            <v>2001387</v>
          </cell>
          <cell r="B1799">
            <v>2001387</v>
          </cell>
          <cell r="C1799" t="str">
            <v>A</v>
          </cell>
          <cell r="D1799" t="str">
            <v>Dr.  Zaki Aslan</v>
          </cell>
          <cell r="E1799" t="str">
            <v>د.زاكى  اصلان</v>
          </cell>
          <cell r="F1799">
            <v>45751</v>
          </cell>
          <cell r="G1799" t="str">
            <v>50000925</v>
          </cell>
          <cell r="H1799" t="str">
            <v>Advisor</v>
          </cell>
          <cell r="I1799" t="str">
            <v>مستشار</v>
          </cell>
          <cell r="J1799" t="str">
            <v>On-Chart</v>
          </cell>
          <cell r="K1799" t="str">
            <v>Al Nahiya</v>
          </cell>
          <cell r="L1799" t="str">
            <v>N0</v>
          </cell>
          <cell r="M1799" t="str">
            <v>Department of Culture and Tourism</v>
          </cell>
          <cell r="N1799" t="str">
            <v>Culture</v>
          </cell>
          <cell r="O1799" t="str">
            <v>الثقافة</v>
          </cell>
          <cell r="P1799" t="str">
            <v>Office of the Culture Executive Director</v>
          </cell>
          <cell r="Q1799" t="str">
            <v>مكتب المدير التنفيذي لقطاع الثقافة</v>
          </cell>
          <cell r="R1799" t="str">
            <v/>
          </cell>
          <cell r="S1799" t="str">
            <v/>
          </cell>
          <cell r="T1799" t="str">
            <v/>
          </cell>
          <cell r="U1799" t="str">
            <v/>
          </cell>
          <cell r="V1799" t="str">
            <v>Abu Dhabi</v>
          </cell>
          <cell r="W1799" t="str">
            <v/>
          </cell>
          <cell r="X1799" t="str">
            <v>4511010</v>
          </cell>
          <cell r="Y1799" t="str">
            <v>Middle Management General &amp; Administration</v>
          </cell>
          <cell r="Z1799" t="str">
            <v>Director</v>
          </cell>
          <cell r="AA1799" t="str">
            <v>1C</v>
          </cell>
        </row>
        <row r="1800">
          <cell r="A1800">
            <v>2001388</v>
          </cell>
          <cell r="B1800">
            <v>2001388</v>
          </cell>
          <cell r="C1800" t="str">
            <v>A</v>
          </cell>
          <cell r="D1800" t="str">
            <v>Dominic Alan Tomasi</v>
          </cell>
          <cell r="E1800" t="str">
            <v>دومينك آلان  توماس</v>
          </cell>
          <cell r="F1800">
            <v>45758</v>
          </cell>
          <cell r="G1800" t="str">
            <v>50000872</v>
          </cell>
          <cell r="H1800" t="str">
            <v>Marine Archaeologist</v>
          </cell>
          <cell r="I1800" t="str">
            <v>آثاري - الآثار البحرية</v>
          </cell>
          <cell r="J1800" t="str">
            <v>On-Chart</v>
          </cell>
          <cell r="K1800" t="str">
            <v>Al Nahiya</v>
          </cell>
          <cell r="L1800" t="str">
            <v>N0</v>
          </cell>
          <cell r="M1800" t="str">
            <v>Department of Culture and Tourism</v>
          </cell>
          <cell r="N1800" t="str">
            <v>Culture</v>
          </cell>
          <cell r="O1800" t="str">
            <v>الثقافة</v>
          </cell>
          <cell r="P1800" t="str">
            <v>Historic Environment</v>
          </cell>
          <cell r="Q1800" t="str">
            <v>البيئة التاريخية</v>
          </cell>
          <cell r="R1800" t="str">
            <v>Archaeology &amp; Paleontology</v>
          </cell>
          <cell r="S1800" t="str">
            <v>علم الآثار</v>
          </cell>
          <cell r="T1800" t="str">
            <v>Maritime &amp; Paleontology</v>
          </cell>
          <cell r="U1800" t="str">
            <v>علم الحفريات والآثار البحرية</v>
          </cell>
          <cell r="V1800" t="str">
            <v>Abu Dhabi</v>
          </cell>
          <cell r="W1800" t="str">
            <v/>
          </cell>
          <cell r="X1800" t="str">
            <v>4511300</v>
          </cell>
          <cell r="Y1800" t="str">
            <v>Senior Specialization Content &amp; Care</v>
          </cell>
          <cell r="Z1800" t="str">
            <v>Senior Professional</v>
          </cell>
          <cell r="AA1800" t="str">
            <v>3C</v>
          </cell>
        </row>
        <row r="1801">
          <cell r="A1801">
            <v>2001389</v>
          </cell>
          <cell r="B1801">
            <v>2001389</v>
          </cell>
          <cell r="C1801" t="str">
            <v>A</v>
          </cell>
          <cell r="D1801" t="str">
            <v>Jorge Alberto Villegas Carmona</v>
          </cell>
          <cell r="E1801" t="str">
            <v>خورخي ألبرتو  فيليجاس كارمونا</v>
          </cell>
          <cell r="F1801">
            <v>45789</v>
          </cell>
          <cell r="G1801" t="str">
            <v>50002902</v>
          </cell>
          <cell r="H1801" t="str">
            <v>Art Production Unit Head</v>
          </cell>
          <cell r="I1801" t="str">
            <v>رئيس وحدة الإنتاج الفني</v>
          </cell>
          <cell r="J1801" t="str">
            <v>On-Chart</v>
          </cell>
          <cell r="K1801" t="str">
            <v>Al Nahiya</v>
          </cell>
          <cell r="L1801" t="str">
            <v>N0</v>
          </cell>
          <cell r="M1801" t="str">
            <v>Department of Culture and Tourism</v>
          </cell>
          <cell r="N1801" t="str">
            <v>Culture</v>
          </cell>
          <cell r="O1801" t="str">
            <v>الثقافة</v>
          </cell>
          <cell r="P1801" t="str">
            <v>Culture Programming</v>
          </cell>
          <cell r="Q1801" t="str">
            <v>البرامج الثقافية</v>
          </cell>
          <cell r="R1801" t="str">
            <v>Abu Dhabi Public Art</v>
          </cell>
          <cell r="S1801" t="str">
            <v>الفن العام - أبوظبي</v>
          </cell>
          <cell r="T1801" t="str">
            <v>Art Production</v>
          </cell>
          <cell r="U1801" t="str">
            <v>الانتاج الفني</v>
          </cell>
          <cell r="V1801" t="str">
            <v>Abu Dhabi</v>
          </cell>
          <cell r="W1801" t="str">
            <v/>
          </cell>
          <cell r="X1801" t="str">
            <v>4511700</v>
          </cell>
          <cell r="Y1801" t="str">
            <v>Senior Specialization Content &amp; Care</v>
          </cell>
          <cell r="Z1801" t="str">
            <v>Unit Head</v>
          </cell>
          <cell r="AA1801" t="str">
            <v>3C</v>
          </cell>
        </row>
        <row r="1802">
          <cell r="A1802">
            <v>2001390</v>
          </cell>
          <cell r="B1802">
            <v>2001390</v>
          </cell>
          <cell r="C1802" t="str">
            <v>A</v>
          </cell>
          <cell r="D1802" t="str">
            <v>Kirti Kaushal</v>
          </cell>
          <cell r="E1802" t="str">
            <v>كیرتي  كاوشال</v>
          </cell>
          <cell r="F1802">
            <v>45785</v>
          </cell>
          <cell r="G1802" t="str">
            <v>10009813</v>
          </cell>
          <cell r="H1802" t="str">
            <v>Culture Business Development Unit Head</v>
          </cell>
          <cell r="I1802" t="str">
            <v>رئيس وحدة تطوير الأعمال الثقافية</v>
          </cell>
          <cell r="J1802" t="str">
            <v>On-Chart</v>
          </cell>
          <cell r="K1802" t="str">
            <v>Al Nahiya</v>
          </cell>
          <cell r="L1802" t="str">
            <v>N0</v>
          </cell>
          <cell r="M1802" t="str">
            <v>Department of Culture and Tourism</v>
          </cell>
          <cell r="N1802" t="str">
            <v>Culture</v>
          </cell>
          <cell r="O1802" t="str">
            <v>الثقافة</v>
          </cell>
          <cell r="P1802" t="str">
            <v>Culture Sector Policy and Development Office</v>
          </cell>
          <cell r="Q1802" t="str">
            <v>مكتب إدارة سياسة وتطوير قطاع الثقافة</v>
          </cell>
          <cell r="R1802" t="str">
            <v/>
          </cell>
          <cell r="S1802" t="str">
            <v/>
          </cell>
          <cell r="T1802" t="str">
            <v/>
          </cell>
          <cell r="U1802" t="str">
            <v/>
          </cell>
          <cell r="V1802" t="str">
            <v>Abu Dhabi</v>
          </cell>
          <cell r="W1802" t="str">
            <v/>
          </cell>
          <cell r="X1802" t="str">
            <v>4511010</v>
          </cell>
          <cell r="Y1802" t="str">
            <v>Senior Specialization Operations</v>
          </cell>
          <cell r="Z1802" t="str">
            <v>Unit Head</v>
          </cell>
          <cell r="AA1802" t="str">
            <v>3C</v>
          </cell>
        </row>
        <row r="1803">
          <cell r="A1803">
            <v>2001392</v>
          </cell>
          <cell r="B1803">
            <v>2001392</v>
          </cell>
          <cell r="C1803" t="str">
            <v>A</v>
          </cell>
          <cell r="D1803" t="str">
            <v>Josep Cervera Bou</v>
          </cell>
          <cell r="E1803" t="str">
            <v>جوزيب  سيرفيرا بو</v>
          </cell>
          <cell r="F1803">
            <v>45810</v>
          </cell>
          <cell r="G1803" t="str">
            <v>50000857</v>
          </cell>
          <cell r="H1803" t="str">
            <v>Archaeologist</v>
          </cell>
          <cell r="I1803" t="str">
            <v>آثاري</v>
          </cell>
          <cell r="J1803" t="str">
            <v>On-Chart</v>
          </cell>
          <cell r="K1803" t="str">
            <v>Al Nahiya</v>
          </cell>
          <cell r="L1803" t="str">
            <v>N0</v>
          </cell>
          <cell r="M1803" t="str">
            <v>Department of Culture and Tourism</v>
          </cell>
          <cell r="N1803" t="str">
            <v>Culture</v>
          </cell>
          <cell r="O1803" t="str">
            <v>الثقافة</v>
          </cell>
          <cell r="P1803" t="str">
            <v>Historic Environment</v>
          </cell>
          <cell r="Q1803" t="str">
            <v>البيئة التاريخية</v>
          </cell>
          <cell r="R1803" t="str">
            <v>Archaeology &amp; Paleontology</v>
          </cell>
          <cell r="S1803" t="str">
            <v>علم الآثار</v>
          </cell>
          <cell r="T1803" t="str">
            <v>Archaeological Rescue Survey &amp; Excavation</v>
          </cell>
          <cell r="U1803" t="str">
            <v>المسح والتنقيب الأثري</v>
          </cell>
          <cell r="V1803" t="str">
            <v>Al Ain</v>
          </cell>
          <cell r="W1803" t="str">
            <v/>
          </cell>
          <cell r="X1803" t="str">
            <v>4511300</v>
          </cell>
          <cell r="Y1803" t="str">
            <v>Senior Specialization Content &amp; Care</v>
          </cell>
          <cell r="Z1803" t="str">
            <v>Senior Professional</v>
          </cell>
          <cell r="AA1803" t="str">
            <v>3C</v>
          </cell>
        </row>
        <row r="1804">
          <cell r="A1804">
            <v>2001393</v>
          </cell>
          <cell r="B1804">
            <v>2001393</v>
          </cell>
          <cell r="C1804" t="str">
            <v>A</v>
          </cell>
          <cell r="D1804" t="str">
            <v>Mohammed Abdelwahed</v>
          </cell>
          <cell r="E1804" t="str">
            <v>محمد  عبدالواحد</v>
          </cell>
          <cell r="F1804">
            <v>45811</v>
          </cell>
          <cell r="G1804" t="str">
            <v>50001646</v>
          </cell>
          <cell r="H1804" t="str">
            <v>Marketing Strategy Specialist</v>
          </cell>
          <cell r="I1804" t="str">
            <v>أخصائي استراتيجيات التسويق</v>
          </cell>
          <cell r="J1804" t="str">
            <v>On-Chart</v>
          </cell>
          <cell r="K1804" t="str">
            <v>Al Nahiya</v>
          </cell>
          <cell r="L1804" t="str">
            <v>N0</v>
          </cell>
          <cell r="M1804" t="str">
            <v>Department of Culture and Tourism</v>
          </cell>
          <cell r="N1804" t="str">
            <v>Strategic Marketing &amp; Communication</v>
          </cell>
          <cell r="O1804" t="str">
            <v>التسويق والاتصال الاستراتيجي</v>
          </cell>
          <cell r="P1804" t="str">
            <v>Planning, Strategy &amp; Operations</v>
          </cell>
          <cell r="Q1804" t="str">
            <v>التخطيط والاستراتيجية والعمليات</v>
          </cell>
          <cell r="R1804" t="str">
            <v>Planning, Research &amp; Insight</v>
          </cell>
          <cell r="S1804" t="str">
            <v>التخطيط والبحوث</v>
          </cell>
          <cell r="T1804" t="str">
            <v>Research &amp; Insight</v>
          </cell>
          <cell r="U1804" t="str">
            <v>البحوث</v>
          </cell>
          <cell r="V1804" t="str">
            <v>Abu Dhabi</v>
          </cell>
          <cell r="W1804" t="str">
            <v/>
          </cell>
          <cell r="X1804" t="str">
            <v>4513130</v>
          </cell>
          <cell r="Y1804" t="str">
            <v>Senior Specialization Marketing &amp; Communications</v>
          </cell>
          <cell r="Z1804" t="str">
            <v>Unit Head</v>
          </cell>
          <cell r="AA1804" t="str">
            <v>3C</v>
          </cell>
        </row>
        <row r="1805">
          <cell r="A1805">
            <v>2001395</v>
          </cell>
          <cell r="B1805">
            <v>2001395</v>
          </cell>
          <cell r="C1805" t="str">
            <v>A</v>
          </cell>
          <cell r="D1805" t="str">
            <v>Moh"d Issa Azaizeh</v>
          </cell>
          <cell r="E1805" t="str">
            <v>محمد عيسى عزايزه</v>
          </cell>
          <cell r="F1805">
            <v>45820</v>
          </cell>
          <cell r="G1805" t="str">
            <v>50003255</v>
          </cell>
          <cell r="H1805" t="str">
            <v>Project Finance Unit Head</v>
          </cell>
          <cell r="I1805" t="str">
            <v>رئيس وحدة المشاريع المالية​</v>
          </cell>
          <cell r="J1805" t="str">
            <v>On-Chart</v>
          </cell>
          <cell r="K1805" t="str">
            <v>Al Nahiya</v>
          </cell>
          <cell r="L1805" t="str">
            <v>N0</v>
          </cell>
          <cell r="M1805" t="str">
            <v>Department of Culture and Tourism</v>
          </cell>
          <cell r="N1805" t="str">
            <v>Support Services</v>
          </cell>
          <cell r="O1805" t="str">
            <v>الخدمات المساندة</v>
          </cell>
          <cell r="P1805" t="str">
            <v>Finance</v>
          </cell>
          <cell r="Q1805" t="str">
            <v>إدارة المالية</v>
          </cell>
          <cell r="R1805" t="str">
            <v/>
          </cell>
          <cell r="S1805" t="str">
            <v/>
          </cell>
          <cell r="T1805" t="str">
            <v/>
          </cell>
          <cell r="U1805" t="str">
            <v/>
          </cell>
          <cell r="V1805" t="str">
            <v>Abu Dhabi</v>
          </cell>
          <cell r="W1805" t="str">
            <v/>
          </cell>
          <cell r="X1805" t="str">
            <v>4510210</v>
          </cell>
          <cell r="Y1805" t="str">
            <v>Finance_Financial Performance &amp; System Improvement _Unit Head</v>
          </cell>
          <cell r="Z1805" t="str">
            <v>Unit Head</v>
          </cell>
          <cell r="AA1805" t="str">
            <v>3C</v>
          </cell>
        </row>
        <row r="1806">
          <cell r="A1806">
            <v>2001396</v>
          </cell>
          <cell r="B1806">
            <v>2001396</v>
          </cell>
          <cell r="C1806" t="str">
            <v>A</v>
          </cell>
          <cell r="D1806" t="str">
            <v>Mulalo Liphosa</v>
          </cell>
          <cell r="E1806" t="str">
            <v>مولالو  ليبهوسا</v>
          </cell>
          <cell r="F1806">
            <v>45817</v>
          </cell>
          <cell r="G1806" t="str">
            <v>50000623</v>
          </cell>
          <cell r="H1806" t="str">
            <v>Special Projects Strategic Planning Unit Head</v>
          </cell>
          <cell r="I1806" t="str">
            <v>رئيس وحدة التخطيط الاستراتيجي للمشاريع الخاصة</v>
          </cell>
          <cell r="J1806" t="str">
            <v>On-Chart</v>
          </cell>
          <cell r="K1806" t="str">
            <v>Al Nahiya</v>
          </cell>
          <cell r="L1806" t="str">
            <v>N0</v>
          </cell>
          <cell r="M1806" t="str">
            <v>Department of Culture and Tourism</v>
          </cell>
          <cell r="N1806" t="str">
            <v>Strategic Affairs</v>
          </cell>
          <cell r="O1806" t="str">
            <v>الشؤون الاستراتيجية</v>
          </cell>
          <cell r="P1806" t="str">
            <v>Strategic Planning</v>
          </cell>
          <cell r="Q1806" t="str">
            <v>التخطيط الاستراتيجي</v>
          </cell>
          <cell r="R1806" t="str">
            <v>Special Projects Strategic Planning</v>
          </cell>
          <cell r="S1806" t="str">
            <v>التخطيط الاستراتيجي للمشاريع الخاصة</v>
          </cell>
          <cell r="T1806" t="str">
            <v>Special Projects Strategic Planning</v>
          </cell>
          <cell r="U1806" t="str">
            <v>التخطيط الاستراتيجي للمشاريع الخاصة</v>
          </cell>
          <cell r="V1806" t="str">
            <v>Abu Dhabi</v>
          </cell>
          <cell r="W1806" t="str">
            <v/>
          </cell>
          <cell r="X1806" t="str">
            <v>4512100</v>
          </cell>
          <cell r="Y1806" t="str">
            <v>Senior Specialization Strategy &amp; Planning</v>
          </cell>
          <cell r="Z1806" t="str">
            <v>Unit Head</v>
          </cell>
          <cell r="AA1806" t="str">
            <v>3C</v>
          </cell>
        </row>
        <row r="1807">
          <cell r="A1807">
            <v>2001397</v>
          </cell>
          <cell r="B1807">
            <v>2001397</v>
          </cell>
          <cell r="C1807" t="str">
            <v>A</v>
          </cell>
          <cell r="D1807" t="str">
            <v>Sara Ahmed Khalafalla</v>
          </cell>
          <cell r="E1807" t="str">
            <v>ساره  احمد خلف الل</v>
          </cell>
          <cell r="F1807">
            <v>45818</v>
          </cell>
          <cell r="G1807" t="str">
            <v>10011676</v>
          </cell>
          <cell r="H1807" t="str">
            <v>Technical Support Officer</v>
          </cell>
          <cell r="I1807" t="str">
            <v>ضابط الدعم الفني</v>
          </cell>
          <cell r="J1807" t="str">
            <v>On-Chart</v>
          </cell>
          <cell r="K1807" t="str">
            <v>Al Nahiya</v>
          </cell>
          <cell r="L1807" t="str">
            <v>N0</v>
          </cell>
          <cell r="M1807" t="str">
            <v>Department of Culture and Tourism</v>
          </cell>
          <cell r="N1807" t="str">
            <v>Legal &amp; Government Affairs</v>
          </cell>
          <cell r="O1807" t="str">
            <v>مكتب وكيل الدائرة</v>
          </cell>
          <cell r="P1807" t="str">
            <v>Legal &amp; Government Affairs</v>
          </cell>
          <cell r="Q1807" t="str">
            <v>الشؤون القانونية والحكومية</v>
          </cell>
          <cell r="R1807" t="str">
            <v>-</v>
          </cell>
          <cell r="S1807" t="str">
            <v/>
          </cell>
          <cell r="T1807" t="str">
            <v>Technical Support</v>
          </cell>
          <cell r="U1807" t="str">
            <v>الدعم الفني</v>
          </cell>
          <cell r="V1807" t="str">
            <v>Abu Dhabi</v>
          </cell>
          <cell r="W1807" t="str">
            <v/>
          </cell>
          <cell r="X1807" t="str">
            <v>4510160</v>
          </cell>
          <cell r="Y1807" t="str">
            <v>Specialization Legal</v>
          </cell>
          <cell r="Z1807" t="str">
            <v>Professional</v>
          </cell>
          <cell r="AA1807" t="str">
            <v>4C</v>
          </cell>
        </row>
        <row r="1808">
          <cell r="A1808">
            <v>2001398</v>
          </cell>
          <cell r="B1808">
            <v>2001398</v>
          </cell>
          <cell r="C1808" t="str">
            <v>A</v>
          </cell>
          <cell r="D1808" t="str">
            <v>Shabnam Amirova</v>
          </cell>
          <cell r="E1808" t="str">
            <v>شابنام  اميروفا</v>
          </cell>
          <cell r="F1808">
            <v>45839</v>
          </cell>
          <cell r="G1808" t="str">
            <v>50001483</v>
          </cell>
          <cell r="H1808" t="str">
            <v>Business Development &amp; Management Senior Specialist</v>
          </cell>
          <cell r="I1808" t="str">
            <v>أخصائي أول تطوير الأعمال الثقافية</v>
          </cell>
          <cell r="J1808" t="str">
            <v>On-Chart</v>
          </cell>
          <cell r="K1808" t="str">
            <v>Al Nahiya</v>
          </cell>
          <cell r="L1808" t="str">
            <v>N0</v>
          </cell>
          <cell r="M1808" t="str">
            <v>Department of Culture and Tourism</v>
          </cell>
          <cell r="N1808" t="str">
            <v>Culture</v>
          </cell>
          <cell r="O1808" t="str">
            <v>الثقافة</v>
          </cell>
          <cell r="P1808" t="str">
            <v>Culture Sector Policy and Development Office</v>
          </cell>
          <cell r="Q1808" t="str">
            <v>مكتب إدارة سياسة وتطوير قطاع الثقافة</v>
          </cell>
          <cell r="R1808" t="str">
            <v/>
          </cell>
          <cell r="S1808" t="str">
            <v/>
          </cell>
          <cell r="T1808" t="str">
            <v/>
          </cell>
          <cell r="U1808" t="str">
            <v/>
          </cell>
          <cell r="V1808" t="str">
            <v>Abu Dhabi</v>
          </cell>
          <cell r="W1808" t="str">
            <v/>
          </cell>
          <cell r="X1808" t="str">
            <v>4511010</v>
          </cell>
          <cell r="Y1808" t="str">
            <v>Senior Specialization Operations</v>
          </cell>
          <cell r="Z1808" t="str">
            <v>Senior Professional</v>
          </cell>
          <cell r="AA1808" t="str">
            <v>3C</v>
          </cell>
        </row>
        <row r="1809">
          <cell r="A1809">
            <v>2001399</v>
          </cell>
          <cell r="B1809">
            <v>2001399</v>
          </cell>
          <cell r="C1809" t="str">
            <v>A</v>
          </cell>
          <cell r="D1809" t="str">
            <v>Vladimir Bogomolov</v>
          </cell>
          <cell r="E1809" t="str">
            <v>فلادیمير  بوجومولوف</v>
          </cell>
          <cell r="F1809">
            <v>45839</v>
          </cell>
          <cell r="G1809" t="str">
            <v>50002858</v>
          </cell>
          <cell r="H1809" t="str">
            <v>Special Projects Section Head</v>
          </cell>
          <cell r="I1809" t="str">
            <v>رئيس قسم المشاريع الخاصة</v>
          </cell>
          <cell r="J1809" t="str">
            <v>On-Chart</v>
          </cell>
          <cell r="K1809" t="str">
            <v>Al Nahiya</v>
          </cell>
          <cell r="L1809" t="str">
            <v>N0</v>
          </cell>
          <cell r="M1809" t="str">
            <v>Department of Culture and Tourism</v>
          </cell>
          <cell r="N1809" t="str">
            <v>Executive Affairs</v>
          </cell>
          <cell r="O1809" t="str">
            <v>مكتب رئيس الدائرة</v>
          </cell>
          <cell r="P1809" t="str">
            <v>Executive Affairs</v>
          </cell>
          <cell r="Q1809" t="str">
            <v>الشؤون التنفيذية</v>
          </cell>
          <cell r="R1809" t="str">
            <v>Special Projects</v>
          </cell>
          <cell r="S1809" t="str">
            <v>المشاريع الخاصة</v>
          </cell>
          <cell r="T1809" t="str">
            <v/>
          </cell>
          <cell r="U1809" t="str">
            <v/>
          </cell>
          <cell r="V1809" t="str">
            <v>Abu Dhabi</v>
          </cell>
          <cell r="W1809" t="str">
            <v/>
          </cell>
          <cell r="X1809" t="str">
            <v>4510011</v>
          </cell>
          <cell r="Y1809" t="str">
            <v>Middle Management Project Management</v>
          </cell>
          <cell r="Z1809" t="str">
            <v>Section Manager</v>
          </cell>
          <cell r="AA1809" t="str">
            <v>2C</v>
          </cell>
        </row>
        <row r="1810">
          <cell r="A1810">
            <v>2001400</v>
          </cell>
          <cell r="B1810">
            <v>2001400</v>
          </cell>
          <cell r="C1810" t="str">
            <v>A</v>
          </cell>
          <cell r="D1810" t="str">
            <v>Sidarth Sondhi</v>
          </cell>
          <cell r="E1810" t="str">
            <v>سيدارث  سوندى</v>
          </cell>
          <cell r="F1810">
            <v>45910</v>
          </cell>
          <cell r="G1810" t="str">
            <v>50003570</v>
          </cell>
          <cell r="H1810" t="str">
            <v>DCT Procurement Contracts Advisory Unit Head</v>
          </cell>
          <cell r="I1810" t="str">
            <v>رئيس وحدة الاستشارات القانونية لعقود المشتريات</v>
          </cell>
          <cell r="J1810" t="str">
            <v>On-Chart</v>
          </cell>
          <cell r="K1810" t="str">
            <v>Al Nahiya</v>
          </cell>
          <cell r="L1810" t="str">
            <v>N0</v>
          </cell>
          <cell r="M1810" t="str">
            <v>Department of Culture and Tourism</v>
          </cell>
          <cell r="N1810" t="str">
            <v>Legal &amp; Government Affairs</v>
          </cell>
          <cell r="O1810" t="str">
            <v>مكتب وكيل الدائرة</v>
          </cell>
          <cell r="P1810" t="str">
            <v>Legal &amp; Government Affairs</v>
          </cell>
          <cell r="Q1810" t="str">
            <v>الشؤون القانونية والحكومية</v>
          </cell>
          <cell r="R1810" t="str">
            <v>DCT Corporate &amp; Procurement Contracts Advisory</v>
          </cell>
          <cell r="S1810" t="str">
            <v>الاستشارات القانونية لعقود الدائرة والمشتريات</v>
          </cell>
          <cell r="T1810" t="str">
            <v/>
          </cell>
          <cell r="U1810" t="str">
            <v/>
          </cell>
          <cell r="V1810" t="str">
            <v>Abu Dhabi</v>
          </cell>
          <cell r="W1810" t="str">
            <v/>
          </cell>
          <cell r="X1810" t="str">
            <v>4510160</v>
          </cell>
          <cell r="Y1810" t="str">
            <v/>
          </cell>
          <cell r="Z1810" t="str">
            <v>Section Manager</v>
          </cell>
          <cell r="AA1810" t="str">
            <v>3C</v>
          </cell>
        </row>
        <row r="1811">
          <cell r="A1811">
            <v>2001401</v>
          </cell>
          <cell r="B1811">
            <v>2001401</v>
          </cell>
          <cell r="C1811" t="str">
            <v>A</v>
          </cell>
          <cell r="D1811" t="str">
            <v>Musab Ibrahim Masad</v>
          </cell>
          <cell r="E1811" t="str">
            <v>مصعب ابراهيم مسعد</v>
          </cell>
          <cell r="F1811">
            <v>45880</v>
          </cell>
          <cell r="G1811" t="str">
            <v>10010921</v>
          </cell>
          <cell r="H1811" t="str">
            <v>Technology Infrastructure Section Head</v>
          </cell>
          <cell r="I1811" t="str">
            <v>رئيس قسم البنية التحتية للتكنولوجيا</v>
          </cell>
          <cell r="J1811" t="str">
            <v>On-Chart</v>
          </cell>
          <cell r="K1811" t="str">
            <v>Al Nahiya</v>
          </cell>
          <cell r="L1811" t="str">
            <v>N0</v>
          </cell>
          <cell r="M1811" t="str">
            <v>Department of Culture and Tourism</v>
          </cell>
          <cell r="N1811" t="str">
            <v>Support Services</v>
          </cell>
          <cell r="O1811" t="str">
            <v>الخدمات المساندة</v>
          </cell>
          <cell r="P1811" t="str">
            <v>Technology</v>
          </cell>
          <cell r="Q1811" t="str">
            <v>التكنولوجيا</v>
          </cell>
          <cell r="R1811" t="str">
            <v>Technology Infrastructure</v>
          </cell>
          <cell r="S1811" t="str">
            <v>البنية التحتية للتكنولوجيا</v>
          </cell>
          <cell r="T1811" t="str">
            <v/>
          </cell>
          <cell r="U1811" t="str">
            <v/>
          </cell>
          <cell r="V1811" t="str">
            <v>Abu Dhabi</v>
          </cell>
          <cell r="W1811" t="str">
            <v/>
          </cell>
          <cell r="X1811" t="str">
            <v>4510250</v>
          </cell>
          <cell r="Y1811" t="str">
            <v>Middle Management IT &amp; Digital Services</v>
          </cell>
          <cell r="Z1811" t="str">
            <v>Section Manager</v>
          </cell>
          <cell r="AA1811" t="str">
            <v>2C</v>
          </cell>
        </row>
        <row r="1812">
          <cell r="A1812">
            <v>2001402</v>
          </cell>
          <cell r="B1812">
            <v>2001402</v>
          </cell>
          <cell r="C1812" t="str">
            <v>A</v>
          </cell>
          <cell r="D1812" t="str">
            <v>Huda Issam Abu Amer</v>
          </cell>
          <cell r="E1812" t="str">
            <v>هدى عصام أبو عامر</v>
          </cell>
          <cell r="F1812">
            <v>45853</v>
          </cell>
          <cell r="G1812" t="str">
            <v>50001399</v>
          </cell>
          <cell r="H1812" t="str">
            <v>Collections Registrar</v>
          </cell>
          <cell r="I1812" t="str">
            <v>أخصائي تسجيل المقتنيات</v>
          </cell>
          <cell r="J1812" t="str">
            <v>On-Chart</v>
          </cell>
          <cell r="K1812" t="str">
            <v>Al Nahiya</v>
          </cell>
          <cell r="L1812" t="str">
            <v>N0</v>
          </cell>
          <cell r="M1812" t="str">
            <v>Department of Culture and Tourism</v>
          </cell>
          <cell r="N1812" t="str">
            <v>Culture</v>
          </cell>
          <cell r="O1812" t="str">
            <v>الثقافة</v>
          </cell>
          <cell r="P1812" t="str">
            <v>Scientific, Curatorial and Collection Department</v>
          </cell>
          <cell r="Q1812" t="str">
            <v>إدارة البحث العلمي والمقتنيات</v>
          </cell>
          <cell r="R1812" t="str">
            <v>Collections</v>
          </cell>
          <cell r="S1812" t="str">
            <v>إدارة المقتنيات</v>
          </cell>
          <cell r="T1812" t="str">
            <v>Collections Registration</v>
          </cell>
          <cell r="U1812" t="str">
            <v>تسجيل المقتنيات</v>
          </cell>
          <cell r="V1812" t="str">
            <v>Abu Dhabi</v>
          </cell>
          <cell r="W1812" t="str">
            <v/>
          </cell>
          <cell r="X1812" t="str">
            <v>4511150</v>
          </cell>
          <cell r="Y1812" t="str">
            <v>Compliance,Governance&amp;Protocol_Policy (Culture/Tourism) _Professional</v>
          </cell>
          <cell r="Z1812" t="str">
            <v>Professional</v>
          </cell>
          <cell r="AA1812" t="str">
            <v>3C</v>
          </cell>
        </row>
        <row r="1813">
          <cell r="A1813">
            <v>2001403</v>
          </cell>
          <cell r="B1813">
            <v>2001403</v>
          </cell>
          <cell r="C1813" t="str">
            <v>A</v>
          </cell>
          <cell r="D1813" t="str">
            <v>Nisreen O. M. Faris</v>
          </cell>
          <cell r="E1813" t="str">
            <v>نسرين  فارس</v>
          </cell>
          <cell r="F1813">
            <v>45853</v>
          </cell>
          <cell r="G1813" t="str">
            <v>10009778</v>
          </cell>
          <cell r="H1813" t="str">
            <v>Content Management Lead</v>
          </cell>
          <cell r="I1813" t="str">
            <v>تنفيذي رئيسي إدارة المحتوى</v>
          </cell>
          <cell r="J1813" t="str">
            <v>On-Chart</v>
          </cell>
          <cell r="K1813" t="str">
            <v>Al Nahiya</v>
          </cell>
          <cell r="L1813" t="str">
            <v>N0</v>
          </cell>
          <cell r="M1813" t="str">
            <v>Department of Culture and Tourism</v>
          </cell>
          <cell r="N1813" t="str">
            <v>Strategic Marketing &amp; Communication</v>
          </cell>
          <cell r="O1813" t="str">
            <v>التسويق والاتصال الاستراتيجي</v>
          </cell>
          <cell r="P1813" t="str">
            <v>Creative &amp; Production</v>
          </cell>
          <cell r="Q1813" t="str">
            <v>الإبداع والإنتاج</v>
          </cell>
          <cell r="R1813" t="str">
            <v>Creative Content</v>
          </cell>
          <cell r="S1813" t="str">
            <v>المحتوى الإبداعي</v>
          </cell>
          <cell r="T1813" t="str">
            <v/>
          </cell>
          <cell r="U1813" t="str">
            <v/>
          </cell>
          <cell r="V1813" t="str">
            <v>Abu Dhabi</v>
          </cell>
          <cell r="W1813" t="str">
            <v/>
          </cell>
          <cell r="X1813" t="str">
            <v>4513110</v>
          </cell>
          <cell r="Y1813" t="str">
            <v>Senior Specialization Marketing &amp; Communications</v>
          </cell>
          <cell r="Z1813" t="str">
            <v>Unit Head</v>
          </cell>
          <cell r="AA1813" t="str">
            <v>3C</v>
          </cell>
        </row>
        <row r="1814">
          <cell r="A1814">
            <v>2001404</v>
          </cell>
          <cell r="B1814">
            <v>2001404</v>
          </cell>
          <cell r="C1814" t="str">
            <v>A</v>
          </cell>
          <cell r="D1814" t="str">
            <v>Ala Jabr</v>
          </cell>
          <cell r="E1814" t="str">
            <v>علاء  جبر</v>
          </cell>
          <cell r="F1814">
            <v>45860</v>
          </cell>
          <cell r="G1814" t="str">
            <v>50000608</v>
          </cell>
          <cell r="H1814" t="str">
            <v>Contracts Administration &amp; Cost Estimation Manager</v>
          </cell>
          <cell r="I1814" t="str">
            <v>مدير العقود وتقدير التكاليف</v>
          </cell>
          <cell r="J1814" t="str">
            <v>On-Chart</v>
          </cell>
          <cell r="K1814" t="str">
            <v>Al Nahiya</v>
          </cell>
          <cell r="L1814" t="str">
            <v>N0</v>
          </cell>
          <cell r="M1814" t="str">
            <v>Department of Culture and Tourism</v>
          </cell>
          <cell r="N1814" t="str">
            <v>Tendering &amp; Projects Control</v>
          </cell>
          <cell r="O1814" t="str">
            <v>مكتب وكيل الدائرة</v>
          </cell>
          <cell r="P1814" t="str">
            <v>Tendering &amp; Projects Control</v>
          </cell>
          <cell r="Q1814" t="str">
            <v>المناقصات ومراقبة المشاريع</v>
          </cell>
          <cell r="R1814" t="str">
            <v>Contracts Administration &amp; Cost Estimation</v>
          </cell>
          <cell r="S1814" t="str">
            <v>إدارة العقود وتقدير التكاليف</v>
          </cell>
          <cell r="T1814" t="str">
            <v/>
          </cell>
          <cell r="U1814" t="str">
            <v/>
          </cell>
          <cell r="V1814" t="str">
            <v>Abu Dhabi</v>
          </cell>
          <cell r="W1814" t="str">
            <v/>
          </cell>
          <cell r="X1814" t="str">
            <v>4510155</v>
          </cell>
          <cell r="Y1814" t="str">
            <v>Senior Specialization Project Management</v>
          </cell>
          <cell r="Z1814" t="str">
            <v>Unit Head</v>
          </cell>
          <cell r="AA1814" t="str">
            <v>3C</v>
          </cell>
        </row>
        <row r="1815">
          <cell r="A1815">
            <v>2001405</v>
          </cell>
          <cell r="B1815">
            <v>2001405</v>
          </cell>
          <cell r="C1815" t="str">
            <v>A</v>
          </cell>
          <cell r="D1815" t="str">
            <v>Selim Mankai</v>
          </cell>
          <cell r="E1815" t="str">
            <v>سليم  المنقعى</v>
          </cell>
          <cell r="F1815">
            <v>45873</v>
          </cell>
          <cell r="G1815" t="str">
            <v>50001127</v>
          </cell>
          <cell r="H1815" t="str">
            <v>Strategic Planning Unit Head (Activation &amp; Product Development)</v>
          </cell>
          <cell r="I1815" t="str">
            <v>رئيس وحدة التخطيط الاستراتيجي (إدارة الأنشطة وتطوير المنتجات السياحية)</v>
          </cell>
          <cell r="J1815" t="str">
            <v>On-Chart</v>
          </cell>
          <cell r="K1815" t="str">
            <v>Al Nahiya</v>
          </cell>
          <cell r="L1815" t="str">
            <v>N0</v>
          </cell>
          <cell r="M1815" t="str">
            <v>Department of Culture and Tourism</v>
          </cell>
          <cell r="N1815" t="str">
            <v>Strategic Affairs</v>
          </cell>
          <cell r="O1815" t="str">
            <v>الشؤون الاستراتيجية</v>
          </cell>
          <cell r="P1815" t="str">
            <v>Strategic Planning</v>
          </cell>
          <cell r="Q1815" t="str">
            <v>التخطيط الاستراتيجي</v>
          </cell>
          <cell r="R1815" t="str">
            <v>Tourism &amp; Marketing Strategic Planning</v>
          </cell>
          <cell r="S1815" t="str">
            <v>التخطيط الاستراتيجي لقطاعي السياحة والتسويق</v>
          </cell>
          <cell r="T1815" t="str">
            <v>Strategic Planning (Activation &amp; Product Development)</v>
          </cell>
          <cell r="U1815" t="str">
            <v>التخطيط الاستراتيجي (إدارة الأنشطة وتطوير المنتجات السياحية)</v>
          </cell>
          <cell r="V1815" t="str">
            <v>Abu Dhabi</v>
          </cell>
          <cell r="W1815" t="str">
            <v/>
          </cell>
          <cell r="X1815" t="str">
            <v>4512100</v>
          </cell>
          <cell r="Y1815" t="str">
            <v>Strategy, Planning, Project Mgt_Visitor Experience Monitoring _Section Head</v>
          </cell>
          <cell r="Z1815" t="str">
            <v>Unit Head</v>
          </cell>
          <cell r="AA1815" t="str">
            <v>3C</v>
          </cell>
        </row>
        <row r="1816">
          <cell r="A1816">
            <v>2001407</v>
          </cell>
          <cell r="B1816">
            <v>2001407</v>
          </cell>
          <cell r="C1816" t="str">
            <v>A</v>
          </cell>
          <cell r="D1816" t="str">
            <v>Amro Fawzy Ismaeil</v>
          </cell>
          <cell r="E1816" t="str">
            <v>عمرو فوزى اسماعيل</v>
          </cell>
          <cell r="F1816">
            <v>45902</v>
          </cell>
          <cell r="G1816" t="str">
            <v>47700252</v>
          </cell>
          <cell r="H1816" t="str">
            <v>Oud Builder</v>
          </cell>
          <cell r="I1816" t="str">
            <v>صانع عود</v>
          </cell>
          <cell r="J1816" t="str">
            <v>On-Chart</v>
          </cell>
          <cell r="K1816" t="str">
            <v>Sundus</v>
          </cell>
          <cell r="L1816" t="str">
            <v>SU</v>
          </cell>
          <cell r="M1816" t="str">
            <v>Department of Culture and Tourism</v>
          </cell>
          <cell r="N1816" t="str">
            <v>Culture</v>
          </cell>
          <cell r="O1816" t="str">
            <v>الثقافة</v>
          </cell>
          <cell r="P1816" t="str">
            <v>Culture Sites Management</v>
          </cell>
          <cell r="Q1816" t="str">
            <v>إدارة المواقع الثقافية</v>
          </cell>
          <cell r="R1816" t="str">
            <v>Bait Al Oud</v>
          </cell>
          <cell r="S1816" t="str">
            <v>بيت العود</v>
          </cell>
          <cell r="T1816" t="str">
            <v>Academic &amp; Performances</v>
          </cell>
          <cell r="U1816" t="str">
            <v>تعليم العود والأداء</v>
          </cell>
          <cell r="V1816" t="str">
            <v>Abu Dhabi</v>
          </cell>
          <cell r="W1816" t="str">
            <v/>
          </cell>
          <cell r="X1816" t="str">
            <v>4511250</v>
          </cell>
          <cell r="Y1816" t="str">
            <v>Compliance,Governance&amp;Protocol_Policy (Culture/Tourism) _Professional</v>
          </cell>
          <cell r="Z1816" t="str">
            <v>Professional</v>
          </cell>
          <cell r="AA1816" t="str">
            <v>6C</v>
          </cell>
        </row>
        <row r="1817">
          <cell r="A1817">
            <v>2001408</v>
          </cell>
          <cell r="B1817">
            <v>2001408</v>
          </cell>
          <cell r="C1817" t="str">
            <v>A</v>
          </cell>
          <cell r="D1817" t="str">
            <v>Laila Ahmed Youssef</v>
          </cell>
          <cell r="E1817" t="str">
            <v>ليلى احمد يوسف</v>
          </cell>
          <cell r="F1817">
            <v>45870</v>
          </cell>
          <cell r="G1817" t="str">
            <v>10004562</v>
          </cell>
          <cell r="H1817" t="str">
            <v>Consumer PR Specialist</v>
          </cell>
          <cell r="I1817" t="str">
            <v>أخصائي العلاقات العامة مع المستهلكين</v>
          </cell>
          <cell r="J1817" t="str">
            <v>On-Chart</v>
          </cell>
          <cell r="K1817" t="str">
            <v>Sundus</v>
          </cell>
          <cell r="L1817" t="str">
            <v>SU</v>
          </cell>
          <cell r="M1817" t="str">
            <v>Department of Culture and Tourism</v>
          </cell>
          <cell r="N1817" t="str">
            <v>Strategic Marketing &amp; Communication</v>
          </cell>
          <cell r="O1817" t="str">
            <v>التسويق والاتصال الاستراتيجي</v>
          </cell>
          <cell r="P1817" t="str">
            <v>Strategic Communications</v>
          </cell>
          <cell r="Q1817" t="str">
            <v>الاتصال الاستراتيجي</v>
          </cell>
          <cell r="R1817" t="str">
            <v>Consumer Communications</v>
          </cell>
          <cell r="S1817" t="str">
            <v>اتصالات المستهلكين</v>
          </cell>
          <cell r="T1817" t="str">
            <v>Consumer PR</v>
          </cell>
          <cell r="U1817" t="str">
            <v>العلاقات العامة مع المستهلكين</v>
          </cell>
          <cell r="V1817" t="str">
            <v>Abu Dhabi</v>
          </cell>
          <cell r="W1817" t="str">
            <v/>
          </cell>
          <cell r="X1817" t="str">
            <v>4513120</v>
          </cell>
          <cell r="Y1817" t="str">
            <v>Senior Specialization Marketing &amp; Communications</v>
          </cell>
          <cell r="Z1817" t="str">
            <v>Professional</v>
          </cell>
          <cell r="AA1817" t="str">
            <v>3C</v>
          </cell>
        </row>
        <row r="1818">
          <cell r="A1818">
            <v>2001409</v>
          </cell>
          <cell r="B1818">
            <v>2001409</v>
          </cell>
          <cell r="C1818" t="str">
            <v>A</v>
          </cell>
          <cell r="D1818" t="str">
            <v>Mahdi Samhouri</v>
          </cell>
          <cell r="E1818" t="str">
            <v xml:space="preserve">مهدى   السمهورى </v>
          </cell>
          <cell r="F1818">
            <v>45918</v>
          </cell>
          <cell r="G1818" t="str">
            <v>50003688</v>
          </cell>
          <cell r="H1818" t="str">
            <v>Projects Director</v>
          </cell>
          <cell r="I1818" t="str">
            <v>مدير اول للمشاريع</v>
          </cell>
          <cell r="J1818" t="str">
            <v>On-Chart</v>
          </cell>
          <cell r="K1818" t="str">
            <v>Al Nahiya</v>
          </cell>
          <cell r="L1818" t="str">
            <v>N0</v>
          </cell>
          <cell r="M1818" t="str">
            <v>Department of Culture and Tourism</v>
          </cell>
          <cell r="N1818" t="str">
            <v>Project Management &amp; Engineering</v>
          </cell>
          <cell r="O1818" t="str">
            <v>مكتب وكيل الدائرة</v>
          </cell>
          <cell r="P1818" t="str">
            <v>Project Management &amp; Engineering</v>
          </cell>
          <cell r="Q1818" t="str">
            <v>هندسة وإدارة المشاريع</v>
          </cell>
          <cell r="R1818" t="str">
            <v/>
          </cell>
          <cell r="S1818" t="str">
            <v/>
          </cell>
          <cell r="T1818" t="str">
            <v/>
          </cell>
          <cell r="U1818" t="str">
            <v/>
          </cell>
          <cell r="V1818" t="str">
            <v>Abu Dhabi</v>
          </cell>
          <cell r="W1818" t="str">
            <v/>
          </cell>
          <cell r="X1818" t="str">
            <v>4510150</v>
          </cell>
          <cell r="Y1818" t="str">
            <v/>
          </cell>
          <cell r="Z1818" t="str">
            <v>Section Manager</v>
          </cell>
          <cell r="AA1818" t="str">
            <v>2C</v>
          </cell>
        </row>
        <row r="1819">
          <cell r="A1819">
            <v>2001410</v>
          </cell>
          <cell r="B1819">
            <v>2001410</v>
          </cell>
          <cell r="C1819" t="str">
            <v>A</v>
          </cell>
          <cell r="D1819" t="str">
            <v>Suraj Soni</v>
          </cell>
          <cell r="E1819" t="str">
            <v xml:space="preserve">سوراج   سوني </v>
          </cell>
          <cell r="F1819">
            <v>45915</v>
          </cell>
          <cell r="G1819" t="str">
            <v>50002553</v>
          </cell>
          <cell r="H1819" t="str">
            <v>Special Projects Lead</v>
          </cell>
          <cell r="I1819" t="str">
            <v>أخصائي رئيسي المشاريع الخاصة</v>
          </cell>
          <cell r="J1819" t="str">
            <v>On-Chart</v>
          </cell>
          <cell r="K1819" t="str">
            <v>Al Nahiya</v>
          </cell>
          <cell r="L1819" t="str">
            <v>N0</v>
          </cell>
          <cell r="M1819" t="str">
            <v>Department of Culture and Tourism</v>
          </cell>
          <cell r="N1819" t="str">
            <v>Strategic Affairs</v>
          </cell>
          <cell r="O1819" t="str">
            <v>الشؤون الاستراتيجية</v>
          </cell>
          <cell r="P1819" t="str">
            <v>Strategic Planning</v>
          </cell>
          <cell r="Q1819" t="str">
            <v>التخطيط الاستراتيجي</v>
          </cell>
          <cell r="R1819" t="str">
            <v>Special Projects Strategic Planning</v>
          </cell>
          <cell r="S1819" t="str">
            <v>التخطيط الاستراتيجي للمشاريع الخاصة</v>
          </cell>
          <cell r="T1819" t="str">
            <v/>
          </cell>
          <cell r="U1819" t="str">
            <v/>
          </cell>
          <cell r="V1819" t="str">
            <v>Abu Dhabi</v>
          </cell>
          <cell r="W1819" t="str">
            <v/>
          </cell>
          <cell r="X1819" t="str">
            <v>4512100</v>
          </cell>
          <cell r="Y1819" t="str">
            <v>Senior Specialization Strategy &amp; Planning</v>
          </cell>
          <cell r="Z1819" t="str">
            <v>Unit Head</v>
          </cell>
          <cell r="AA1819" t="str">
            <v>3C</v>
          </cell>
        </row>
        <row r="1820">
          <cell r="A1820">
            <v>2001411</v>
          </cell>
          <cell r="B1820">
            <v>2001411</v>
          </cell>
          <cell r="C1820" t="str">
            <v>A</v>
          </cell>
          <cell r="D1820" t="str">
            <v>Adrian McGregor</v>
          </cell>
          <cell r="E1820" t="str">
            <v>ادريان   مكجريجور</v>
          </cell>
          <cell r="F1820">
            <v>45916</v>
          </cell>
          <cell r="G1820" t="str">
            <v>50004261</v>
          </cell>
          <cell r="H1820" t="str">
            <v>Advisor</v>
          </cell>
          <cell r="I1820" t="str">
            <v>مستشار</v>
          </cell>
          <cell r="J1820" t="str">
            <v>On-Chart</v>
          </cell>
          <cell r="K1820" t="str">
            <v>Al Nahiya</v>
          </cell>
          <cell r="L1820" t="str">
            <v>N0</v>
          </cell>
          <cell r="M1820" t="str">
            <v>Department of Culture and Tourism</v>
          </cell>
          <cell r="N1820" t="str">
            <v>Strategic Marketing &amp; Communication</v>
          </cell>
          <cell r="O1820" t="str">
            <v>التسويق والاتصال الاستراتيجي</v>
          </cell>
          <cell r="P1820" t="str">
            <v/>
          </cell>
          <cell r="Q1820" t="str">
            <v/>
          </cell>
          <cell r="R1820" t="str">
            <v/>
          </cell>
          <cell r="S1820" t="str">
            <v/>
          </cell>
          <cell r="T1820" t="str">
            <v/>
          </cell>
          <cell r="U1820" t="str">
            <v/>
          </cell>
          <cell r="V1820" t="str">
            <v>Abu Dhabi</v>
          </cell>
          <cell r="W1820" t="str">
            <v/>
          </cell>
          <cell r="X1820" t="str">
            <v>4513130</v>
          </cell>
          <cell r="Y1820" t="str">
            <v>Executive Management _Advisor_Director</v>
          </cell>
          <cell r="Z1820" t="str">
            <v>Director</v>
          </cell>
          <cell r="AA1820" t="str">
            <v>2C</v>
          </cell>
        </row>
        <row r="1821">
          <cell r="A1821">
            <v>5000003</v>
          </cell>
          <cell r="B1821">
            <v>5000003</v>
          </cell>
          <cell r="C1821" t="str">
            <v>A</v>
          </cell>
          <cell r="D1821" t="str">
            <v>Mohammed Thayal Movval</v>
          </cell>
          <cell r="E1821" t="str">
            <v>محمد ثايال مدفال</v>
          </cell>
          <cell r="F1821">
            <v>39838</v>
          </cell>
          <cell r="G1821" t="str">
            <v>49500268</v>
          </cell>
          <cell r="H1821" t="str">
            <v>Office Messenger</v>
          </cell>
          <cell r="I1821" t="str">
            <v>مراسل مكتب</v>
          </cell>
          <cell r="J1821" t="str">
            <v>Off-Chart</v>
          </cell>
          <cell r="K1821" t="str">
            <v>Sawaeed Payroll</v>
          </cell>
          <cell r="L1821" t="str">
            <v>S1</v>
          </cell>
          <cell r="M1821" t="str">
            <v>Department of Culture and Tourism</v>
          </cell>
          <cell r="N1821" t="str">
            <v>Office Of Undersecretary</v>
          </cell>
          <cell r="O1821" t="str">
            <v>مكتب رئيس الدائرة</v>
          </cell>
          <cell r="P1821" t="str">
            <v/>
          </cell>
          <cell r="Q1821" t="str">
            <v/>
          </cell>
          <cell r="R1821" t="str">
            <v/>
          </cell>
          <cell r="S1821" t="str">
            <v/>
          </cell>
          <cell r="T1821" t="str">
            <v/>
          </cell>
          <cell r="U1821" t="str">
            <v/>
          </cell>
          <cell r="V1821" t="str">
            <v>Abu Dhabi</v>
          </cell>
          <cell r="W1821" t="str">
            <v/>
          </cell>
          <cell r="X1821" t="str">
            <v>4510110</v>
          </cell>
          <cell r="Y1821" t="str">
            <v>Information Technology_People &amp; Performance Systems Specialist_Professional</v>
          </cell>
          <cell r="Z1821" t="str">
            <v>Assistant and Technical Staff</v>
          </cell>
          <cell r="AA1821" t="str">
            <v>7A</v>
          </cell>
        </row>
        <row r="1822">
          <cell r="A1822">
            <v>5000004</v>
          </cell>
          <cell r="B1822">
            <v>5000004</v>
          </cell>
          <cell r="C1822" t="str">
            <v>A</v>
          </cell>
          <cell r="D1822" t="str">
            <v>Faizal Kandy</v>
          </cell>
          <cell r="E1822" t="str">
            <v>فيصل  كاندي</v>
          </cell>
          <cell r="F1822">
            <v>39884</v>
          </cell>
          <cell r="G1822" t="str">
            <v>49500281</v>
          </cell>
          <cell r="H1822" t="str">
            <v>Archives Clerk</v>
          </cell>
          <cell r="I1822" t="str">
            <v>مراسل مكتب</v>
          </cell>
          <cell r="J1822" t="str">
            <v>Off-Chart</v>
          </cell>
          <cell r="K1822" t="str">
            <v>Sawaeed Payroll</v>
          </cell>
          <cell r="L1822" t="str">
            <v>S1</v>
          </cell>
          <cell r="M1822" t="str">
            <v>Department of Culture and Tourism</v>
          </cell>
          <cell r="N1822" t="str">
            <v>Office Of Undersecretary</v>
          </cell>
          <cell r="O1822" t="str">
            <v>مكتب رئيس الدائرة</v>
          </cell>
          <cell r="P1822" t="str">
            <v/>
          </cell>
          <cell r="Q1822" t="str">
            <v/>
          </cell>
          <cell r="R1822" t="str">
            <v/>
          </cell>
          <cell r="S1822" t="str">
            <v/>
          </cell>
          <cell r="T1822" t="str">
            <v/>
          </cell>
          <cell r="U1822" t="str">
            <v/>
          </cell>
          <cell r="V1822" t="str">
            <v>Abu Dhabi</v>
          </cell>
          <cell r="W1822" t="str">
            <v/>
          </cell>
          <cell r="X1822" t="str">
            <v>4510110</v>
          </cell>
          <cell r="Y1822" t="str">
            <v>Information Technology_People &amp; Performance Systems Specialist_Professional</v>
          </cell>
          <cell r="Z1822" t="str">
            <v>Assistant and Technical Staff</v>
          </cell>
          <cell r="AA1822" t="str">
            <v>7A</v>
          </cell>
        </row>
        <row r="1823">
          <cell r="A1823">
            <v>5000009</v>
          </cell>
          <cell r="B1823">
            <v>5000009</v>
          </cell>
          <cell r="C1823" t="str">
            <v>A</v>
          </cell>
          <cell r="D1823" t="str">
            <v>Saji Ramakurup Gopinathan</v>
          </cell>
          <cell r="E1823" t="str">
            <v>ساجي راماكوروب جويبينان</v>
          </cell>
          <cell r="F1823">
            <v>40629</v>
          </cell>
          <cell r="G1823" t="str">
            <v>10001016</v>
          </cell>
          <cell r="H1823" t="str">
            <v>Production Officer</v>
          </cell>
          <cell r="I1823" t="str">
            <v>ضابط الإنتاج</v>
          </cell>
          <cell r="J1823" t="str">
            <v>On-Chart</v>
          </cell>
          <cell r="K1823" t="str">
            <v>Sawaeed Payroll</v>
          </cell>
          <cell r="L1823" t="str">
            <v>S1</v>
          </cell>
          <cell r="M1823" t="str">
            <v>Department of Culture and Tourism</v>
          </cell>
          <cell r="N1823" t="str">
            <v>Strategic Marketing &amp; Communication</v>
          </cell>
          <cell r="O1823" t="str">
            <v>التسويق والاتصال الاستراتيجي</v>
          </cell>
          <cell r="P1823" t="str">
            <v>Creative &amp; Production</v>
          </cell>
          <cell r="Q1823" t="str">
            <v>الإبداع والإنتاج</v>
          </cell>
          <cell r="R1823" t="str">
            <v>Creative Content</v>
          </cell>
          <cell r="S1823" t="str">
            <v>المحتوى الإبداعي</v>
          </cell>
          <cell r="T1823" t="str">
            <v>Digital Design</v>
          </cell>
          <cell r="U1823" t="str">
            <v>تصميم المحتوى الرقمي</v>
          </cell>
          <cell r="V1823" t="str">
            <v>Abu Dhabi</v>
          </cell>
          <cell r="W1823" t="str">
            <v/>
          </cell>
          <cell r="X1823" t="str">
            <v>4513110</v>
          </cell>
          <cell r="Y1823" t="str">
            <v>Specialization Marketing &amp; Communications</v>
          </cell>
          <cell r="Z1823" t="str">
            <v>Professional</v>
          </cell>
          <cell r="AA1823" t="str">
            <v>4A</v>
          </cell>
        </row>
        <row r="1824">
          <cell r="A1824">
            <v>5000013</v>
          </cell>
          <cell r="B1824">
            <v>5000013</v>
          </cell>
          <cell r="C1824" t="str">
            <v>A</v>
          </cell>
          <cell r="D1824" t="str">
            <v>Ahmed Hassan Hussein</v>
          </cell>
          <cell r="E1824" t="str">
            <v>أحمد حسن حسين</v>
          </cell>
          <cell r="F1824">
            <v>37345</v>
          </cell>
          <cell r="G1824" t="str">
            <v>49500026</v>
          </cell>
          <cell r="H1824" t="str">
            <v>Storekeeper - Abu Dhabi</v>
          </cell>
          <cell r="I1824" t="str">
            <v>أمين مخزن - أبوظبي</v>
          </cell>
          <cell r="J1824" t="str">
            <v>On-Chart</v>
          </cell>
          <cell r="K1824" t="str">
            <v>Sawaeed Payroll</v>
          </cell>
          <cell r="L1824" t="str">
            <v>S1</v>
          </cell>
          <cell r="M1824" t="str">
            <v>Department of Culture and Tourism</v>
          </cell>
          <cell r="N1824" t="str">
            <v>Support Services</v>
          </cell>
          <cell r="O1824" t="str">
            <v>الخدمات المساندة</v>
          </cell>
          <cell r="P1824" t="str">
            <v>Supply Management</v>
          </cell>
          <cell r="Q1824" t="str">
            <v>إدارة الإمداد</v>
          </cell>
          <cell r="R1824" t="str">
            <v>Facilities Management</v>
          </cell>
          <cell r="S1824" t="str">
            <v>إدارة المرافق</v>
          </cell>
          <cell r="T1824" t="str">
            <v>Stores &amp; Inventory</v>
          </cell>
          <cell r="U1824" t="str">
            <v>المخازن والمخزون</v>
          </cell>
          <cell r="V1824" t="str">
            <v>Al Ain</v>
          </cell>
          <cell r="W1824" t="str">
            <v/>
          </cell>
          <cell r="X1824" t="str">
            <v>4510240</v>
          </cell>
          <cell r="Y1824" t="str">
            <v>Procurement_Procurement General_Professional</v>
          </cell>
          <cell r="Z1824" t="str">
            <v>Professional</v>
          </cell>
          <cell r="AA1824" t="str">
            <v>7A</v>
          </cell>
        </row>
        <row r="1825">
          <cell r="A1825">
            <v>5000014</v>
          </cell>
          <cell r="B1825">
            <v>5000014</v>
          </cell>
          <cell r="C1825" t="str">
            <v>A</v>
          </cell>
          <cell r="D1825" t="str">
            <v>Raheel Abdul Lateef</v>
          </cell>
          <cell r="E1825" t="str">
            <v>رحيل أنجوم عبداللطيف</v>
          </cell>
          <cell r="F1825">
            <v>40100</v>
          </cell>
          <cell r="G1825" t="str">
            <v>50003457</v>
          </cell>
          <cell r="H1825" t="str">
            <v>Projects Follow-Up &amp; Reporting Executive</v>
          </cell>
          <cell r="I1825" t="str">
            <v>تنفيذي مراقبة ومتابعة المشاريع</v>
          </cell>
          <cell r="J1825" t="str">
            <v>On-Chart</v>
          </cell>
          <cell r="K1825" t="str">
            <v>Sawaeed Payroll</v>
          </cell>
          <cell r="L1825" t="str">
            <v>S1</v>
          </cell>
          <cell r="M1825" t="str">
            <v>Department of Culture and Tourism</v>
          </cell>
          <cell r="N1825" t="str">
            <v>Tourism</v>
          </cell>
          <cell r="O1825" t="str">
            <v>السياحة</v>
          </cell>
          <cell r="P1825" t="str">
            <v>Licensing &amp; Regulatory Compliance</v>
          </cell>
          <cell r="Q1825" t="str">
            <v>الرقابة والترخيص</v>
          </cell>
          <cell r="R1825" t="str">
            <v/>
          </cell>
          <cell r="S1825" t="str">
            <v/>
          </cell>
          <cell r="T1825" t="str">
            <v/>
          </cell>
          <cell r="U1825" t="str">
            <v/>
          </cell>
          <cell r="V1825" t="str">
            <v>Abu Dhabi</v>
          </cell>
          <cell r="W1825" t="str">
            <v/>
          </cell>
          <cell r="X1825" t="str">
            <v>4510170</v>
          </cell>
          <cell r="Y1825" t="str">
            <v>Compliance,Governance&amp;Protocol_Licensing &amp; Regulatory Compliance- (Follow-up and Reporting) _Professional Assistant</v>
          </cell>
          <cell r="Z1825" t="str">
            <v>Professional</v>
          </cell>
          <cell r="AA1825" t="str">
            <v>4C</v>
          </cell>
        </row>
        <row r="1826">
          <cell r="A1826">
            <v>5000018</v>
          </cell>
          <cell r="B1826">
            <v>5000018</v>
          </cell>
          <cell r="C1826" t="str">
            <v>A</v>
          </cell>
          <cell r="D1826" t="str">
            <v>Mohammed Talath Ali</v>
          </cell>
          <cell r="E1826" t="str">
            <v>محمد طلحت علي</v>
          </cell>
          <cell r="F1826">
            <v>41197</v>
          </cell>
          <cell r="G1826" t="str">
            <v>50003975</v>
          </cell>
          <cell r="H1826" t="str">
            <v>Technical Engineering Specialist</v>
          </cell>
          <cell r="I1826" t="str">
            <v/>
          </cell>
          <cell r="J1826" t="str">
            <v>On-Chart</v>
          </cell>
          <cell r="K1826" t="str">
            <v>Sawaeed Payroll</v>
          </cell>
          <cell r="L1826" t="str">
            <v>S1</v>
          </cell>
          <cell r="M1826" t="str">
            <v>Department of Culture and Tourism</v>
          </cell>
          <cell r="N1826" t="str">
            <v>Support Services</v>
          </cell>
          <cell r="O1826" t="str">
            <v>الخدمات المساندة</v>
          </cell>
          <cell r="P1826" t="str">
            <v>Technology</v>
          </cell>
          <cell r="Q1826" t="str">
            <v>التكنولوجيا</v>
          </cell>
          <cell r="R1826" t="str">
            <v>Technology Infrastructure</v>
          </cell>
          <cell r="S1826" t="str">
            <v>البنية التحتية للتكنولوجيا</v>
          </cell>
          <cell r="T1826" t="str">
            <v>Infrastructure &amp; Network</v>
          </cell>
          <cell r="U1826" t="str">
            <v>البنية التحتية والشبكات</v>
          </cell>
          <cell r="V1826" t="str">
            <v>Abu Dhabi</v>
          </cell>
          <cell r="W1826" t="str">
            <v/>
          </cell>
          <cell r="X1826" t="str">
            <v>4510250</v>
          </cell>
          <cell r="Y1826" t="str">
            <v>Specialization IT &amp; Digital Services</v>
          </cell>
          <cell r="Z1826" t="str">
            <v>Professional</v>
          </cell>
          <cell r="AA1826" t="str">
            <v>4C</v>
          </cell>
        </row>
        <row r="1827">
          <cell r="A1827">
            <v>5000020</v>
          </cell>
          <cell r="B1827">
            <v>5000020</v>
          </cell>
          <cell r="C1827" t="str">
            <v>A</v>
          </cell>
          <cell r="D1827" t="str">
            <v>Nasar Abdul Kharim</v>
          </cell>
          <cell r="E1827" t="str">
            <v>ناصر عبدالكريم عبدالكريم</v>
          </cell>
          <cell r="F1827">
            <v>41306</v>
          </cell>
          <cell r="G1827" t="str">
            <v>10001931</v>
          </cell>
          <cell r="H1827" t="str">
            <v>Driver</v>
          </cell>
          <cell r="I1827" t="str">
            <v>سائق</v>
          </cell>
          <cell r="J1827" t="str">
            <v>Off-Chart</v>
          </cell>
          <cell r="K1827" t="str">
            <v>Sawaeed Payroll</v>
          </cell>
          <cell r="L1827" t="str">
            <v>S1</v>
          </cell>
          <cell r="M1827" t="str">
            <v>Department of Culture and Tourism</v>
          </cell>
          <cell r="N1827" t="str">
            <v>Office Of Undersecretary</v>
          </cell>
          <cell r="O1827" t="str">
            <v>مكتب وكيل الدائرة</v>
          </cell>
          <cell r="P1827" t="str">
            <v>Office Of Undersecretary</v>
          </cell>
          <cell r="Q1827" t="str">
            <v>مكتب وكيل الدائرة</v>
          </cell>
          <cell r="R1827" t="str">
            <v>Office of Undersecretary</v>
          </cell>
          <cell r="S1827" t="str">
            <v>مكتب الوكيل</v>
          </cell>
          <cell r="T1827" t="str">
            <v/>
          </cell>
          <cell r="U1827" t="str">
            <v/>
          </cell>
          <cell r="V1827" t="str">
            <v>Abu Dhabi</v>
          </cell>
          <cell r="W1827" t="str">
            <v/>
          </cell>
          <cell r="X1827" t="str">
            <v>4510110</v>
          </cell>
          <cell r="Y1827" t="str">
            <v>GeneralSupport General &amp; Administration</v>
          </cell>
          <cell r="Z1827" t="str">
            <v>Assistant and Technical Staff</v>
          </cell>
          <cell r="AA1827" t="str">
            <v>7A</v>
          </cell>
        </row>
        <row r="1828">
          <cell r="A1828">
            <v>5000022</v>
          </cell>
          <cell r="B1828">
            <v>5000022</v>
          </cell>
          <cell r="C1828" t="str">
            <v>A</v>
          </cell>
          <cell r="D1828" t="str">
            <v>Asanka Thushara Lankapurage</v>
          </cell>
          <cell r="E1828" t="str">
            <v>أسانكا توشارا لانكابوراج</v>
          </cell>
          <cell r="F1828">
            <v>41378</v>
          </cell>
          <cell r="G1828" t="str">
            <v>10011629</v>
          </cell>
          <cell r="H1828" t="str">
            <v>Ecosystem Development Lead</v>
          </cell>
          <cell r="I1828" t="str">
            <v>تنفيذي رئيسي نظام الإدارة المتكامل</v>
          </cell>
          <cell r="J1828" t="str">
            <v>On-Chart</v>
          </cell>
          <cell r="K1828" t="str">
            <v>Sawaeed Payroll</v>
          </cell>
          <cell r="L1828" t="str">
            <v>S1</v>
          </cell>
          <cell r="M1828" t="str">
            <v>Department of Culture and Tourism</v>
          </cell>
          <cell r="N1828" t="str">
            <v>Tourism</v>
          </cell>
          <cell r="O1828" t="str">
            <v>السياحة</v>
          </cell>
          <cell r="P1828" t="str">
            <v>Abu Dhabi Conventions &amp; Exhibition Bureau</v>
          </cell>
          <cell r="Q1828" t="str">
            <v>مكتب أبوظبي للمؤتمرات والمعارض</v>
          </cell>
          <cell r="R1828" t="str">
            <v>Ecosystem Development</v>
          </cell>
          <cell r="S1828" t="str">
            <v>نظام الإدارة المتكامل</v>
          </cell>
          <cell r="T1828" t="str">
            <v/>
          </cell>
          <cell r="U1828" t="str">
            <v/>
          </cell>
          <cell r="V1828" t="str">
            <v>Abu Dhabi</v>
          </cell>
          <cell r="W1828" t="str">
            <v/>
          </cell>
          <cell r="X1828" t="str">
            <v>4515400</v>
          </cell>
          <cell r="Y1828" t="str">
            <v>Commercial _Conventions, Exhibitions, Events,Festivals Development &amp; Sales  _Senior Professional</v>
          </cell>
          <cell r="Z1828" t="str">
            <v>Unit Head</v>
          </cell>
          <cell r="AA1828" t="str">
            <v>3B</v>
          </cell>
        </row>
        <row r="1829">
          <cell r="A1829">
            <v>5000025</v>
          </cell>
          <cell r="B1829">
            <v>5000025</v>
          </cell>
          <cell r="C1829" t="str">
            <v>A</v>
          </cell>
          <cell r="D1829" t="str">
            <v>Jayapal Reddy Eigapuri</v>
          </cell>
          <cell r="E1829" t="str">
            <v>جايبال  ريدي</v>
          </cell>
          <cell r="F1829">
            <v>41407</v>
          </cell>
          <cell r="G1829" t="str">
            <v>50002119</v>
          </cell>
          <cell r="H1829" t="str">
            <v>Employee Relations Specialist</v>
          </cell>
          <cell r="I1829" t="str">
            <v>أخصائي شؤون الموظفين</v>
          </cell>
          <cell r="J1829" t="str">
            <v>On-Chart</v>
          </cell>
          <cell r="K1829" t="str">
            <v>Sawaeed Payroll</v>
          </cell>
          <cell r="L1829" t="str">
            <v>S1</v>
          </cell>
          <cell r="M1829" t="str">
            <v>Department of Culture and Tourism</v>
          </cell>
          <cell r="N1829" t="str">
            <v>Support Services</v>
          </cell>
          <cell r="O1829" t="str">
            <v>الخدمات المساندة</v>
          </cell>
          <cell r="P1829" t="str">
            <v>People &amp; Performance</v>
          </cell>
          <cell r="Q1829" t="str">
            <v>إدارة الكوادر البشرية والأداء</v>
          </cell>
          <cell r="R1829" t="str">
            <v>Employee Relations</v>
          </cell>
          <cell r="S1829" t="str">
            <v>شؤون الموظفين</v>
          </cell>
          <cell r="T1829" t="str">
            <v>Employee Relations</v>
          </cell>
          <cell r="U1829" t="str">
            <v>شؤون الموظفين</v>
          </cell>
          <cell r="V1829" t="str">
            <v>Abu Dhabi</v>
          </cell>
          <cell r="W1829" t="str">
            <v/>
          </cell>
          <cell r="X1829" t="str">
            <v>4510220</v>
          </cell>
          <cell r="Y1829" t="str">
            <v>People &amp; Performance _Employee Relations _Professional</v>
          </cell>
          <cell r="Z1829" t="str">
            <v>Professional</v>
          </cell>
          <cell r="AA1829" t="str">
            <v>4A</v>
          </cell>
        </row>
        <row r="1830">
          <cell r="A1830">
            <v>5000028</v>
          </cell>
          <cell r="B1830">
            <v>5000028</v>
          </cell>
          <cell r="C1830" t="str">
            <v>A</v>
          </cell>
          <cell r="D1830" t="str">
            <v>Abdul Rahman Ali Pour</v>
          </cell>
          <cell r="E1830" t="str">
            <v>عبدالرحمن علي بور</v>
          </cell>
          <cell r="F1830">
            <v>39173</v>
          </cell>
          <cell r="G1830" t="str">
            <v>47700781</v>
          </cell>
          <cell r="H1830" t="str">
            <v>Historic Environment Worker</v>
          </cell>
          <cell r="I1830" t="str">
            <v>عامل البيئة التاريخية</v>
          </cell>
          <cell r="J1830" t="str">
            <v>Off-Chart</v>
          </cell>
          <cell r="K1830" t="str">
            <v>DCT Payroll</v>
          </cell>
          <cell r="L1830" t="str">
            <v>A1</v>
          </cell>
          <cell r="M1830" t="str">
            <v>Department of Culture and Tourism</v>
          </cell>
          <cell r="N1830" t="str">
            <v>Culture</v>
          </cell>
          <cell r="O1830" t="str">
            <v>الثقافة</v>
          </cell>
          <cell r="P1830" t="str">
            <v>Historic Environment</v>
          </cell>
          <cell r="Q1830" t="str">
            <v>البيئة التاريخية</v>
          </cell>
          <cell r="R1830" t="str">
            <v>Historic Buildings &amp; Landscapes</v>
          </cell>
          <cell r="S1830" t="str">
            <v>المباني والمسطحات التاريخية</v>
          </cell>
          <cell r="T1830" t="str">
            <v>Culture Sites Protection</v>
          </cell>
          <cell r="U1830" t="str">
            <v>حماية المواقع الثقافية</v>
          </cell>
          <cell r="V1830" t="str">
            <v>Al Ain</v>
          </cell>
          <cell r="W1830" t="str">
            <v/>
          </cell>
          <cell r="X1830" t="str">
            <v>4511300</v>
          </cell>
          <cell r="Y1830" t="str">
            <v>Content &amp; Care_Culture Sites Protection_Assistant &amp; Technical Staff</v>
          </cell>
          <cell r="Z1830" t="str">
            <v>Assistant and Technical Staff</v>
          </cell>
          <cell r="AA1830" t="str">
            <v>10</v>
          </cell>
        </row>
        <row r="1831">
          <cell r="A1831">
            <v>5000031</v>
          </cell>
          <cell r="B1831">
            <v>5000031</v>
          </cell>
          <cell r="C1831" t="str">
            <v>A</v>
          </cell>
          <cell r="D1831" t="str">
            <v>Abdollah Mohammad Dayal</v>
          </cell>
          <cell r="E1831" t="str">
            <v>عبدالله محمد ديال</v>
          </cell>
          <cell r="F1831">
            <v>39173</v>
          </cell>
          <cell r="G1831" t="str">
            <v>47700784</v>
          </cell>
          <cell r="H1831" t="str">
            <v>Historic Environment Worker</v>
          </cell>
          <cell r="I1831" t="str">
            <v>عامل البيئة التاريخية</v>
          </cell>
          <cell r="J1831" t="str">
            <v>Off-Chart</v>
          </cell>
          <cell r="K1831" t="str">
            <v>DCT Payroll</v>
          </cell>
          <cell r="L1831" t="str">
            <v>A1</v>
          </cell>
          <cell r="M1831" t="str">
            <v>Department of Culture and Tourism</v>
          </cell>
          <cell r="N1831" t="str">
            <v>Culture</v>
          </cell>
          <cell r="O1831" t="str">
            <v>الثقافة</v>
          </cell>
          <cell r="P1831" t="str">
            <v>Historic Environment</v>
          </cell>
          <cell r="Q1831" t="str">
            <v>البيئة التاريخية</v>
          </cell>
          <cell r="R1831" t="str">
            <v>Historic Buildings &amp; Landscapes</v>
          </cell>
          <cell r="S1831" t="str">
            <v>المباني والمسطحات التاريخية</v>
          </cell>
          <cell r="T1831" t="str">
            <v>Culture Sites Protection</v>
          </cell>
          <cell r="U1831" t="str">
            <v>حماية المواقع الثقافية</v>
          </cell>
          <cell r="V1831" t="str">
            <v>Al Ain</v>
          </cell>
          <cell r="W1831" t="str">
            <v/>
          </cell>
          <cell r="X1831" t="str">
            <v>4511300</v>
          </cell>
          <cell r="Y1831" t="str">
            <v>Content &amp; Care_Culture Sites Protection_Assistant &amp; Technical Staff</v>
          </cell>
          <cell r="Z1831" t="str">
            <v>Assistant and Technical Staff</v>
          </cell>
          <cell r="AA1831" t="str">
            <v>10</v>
          </cell>
        </row>
        <row r="1832">
          <cell r="A1832">
            <v>5000033</v>
          </cell>
          <cell r="B1832">
            <v>5000033</v>
          </cell>
          <cell r="C1832" t="str">
            <v>A</v>
          </cell>
          <cell r="D1832" t="str">
            <v>Abdullah Hakim Dad</v>
          </cell>
          <cell r="E1832" t="str">
            <v>عبدالله حكيم داد</v>
          </cell>
          <cell r="F1832">
            <v>39173</v>
          </cell>
          <cell r="G1832" t="str">
            <v>47700786</v>
          </cell>
          <cell r="H1832" t="str">
            <v>Historic Environment Worker</v>
          </cell>
          <cell r="I1832" t="str">
            <v>عامل البيئة التاريخية</v>
          </cell>
          <cell r="J1832" t="str">
            <v>Off-Chart</v>
          </cell>
          <cell r="K1832" t="str">
            <v>Non-Payroll</v>
          </cell>
          <cell r="L1832" t="str">
            <v>99</v>
          </cell>
          <cell r="M1832" t="str">
            <v>Department of Culture and Tourism</v>
          </cell>
          <cell r="N1832" t="str">
            <v>Culture</v>
          </cell>
          <cell r="O1832" t="str">
            <v>الثقافة</v>
          </cell>
          <cell r="P1832" t="str">
            <v>Historic Environment</v>
          </cell>
          <cell r="Q1832" t="str">
            <v>البيئة التاريخية</v>
          </cell>
          <cell r="R1832" t="str">
            <v>Historic Buildings &amp; Landscapes</v>
          </cell>
          <cell r="S1832" t="str">
            <v>المباني والمسطحات التاريخية</v>
          </cell>
          <cell r="T1832" t="str">
            <v>Culture Sites Protection</v>
          </cell>
          <cell r="U1832" t="str">
            <v>حماية المواقع الثقافية</v>
          </cell>
          <cell r="V1832" t="str">
            <v>Al Ain</v>
          </cell>
          <cell r="W1832" t="str">
            <v/>
          </cell>
          <cell r="X1832" t="str">
            <v>4511300</v>
          </cell>
          <cell r="Y1832" t="str">
            <v>Content &amp; Care_Culture Sites Protection_Assistant &amp; Technical Staff</v>
          </cell>
          <cell r="Z1832" t="str">
            <v>Assistant and Technical Staff</v>
          </cell>
          <cell r="AA1832" t="str">
            <v>7A</v>
          </cell>
        </row>
        <row r="1833">
          <cell r="A1833">
            <v>5000034</v>
          </cell>
          <cell r="B1833">
            <v>5000034</v>
          </cell>
          <cell r="C1833" t="str">
            <v>A</v>
          </cell>
          <cell r="D1833" t="str">
            <v>Dino Joseph</v>
          </cell>
          <cell r="E1833" t="str">
            <v>جوزيف أم دينو</v>
          </cell>
          <cell r="F1833">
            <v>39173</v>
          </cell>
          <cell r="G1833" t="str">
            <v>47700787</v>
          </cell>
          <cell r="H1833" t="str">
            <v>Mechanical &amp; Electrical Works Technician</v>
          </cell>
          <cell r="I1833" t="str">
            <v>فني أعمال ميكانيكية وكهربائية</v>
          </cell>
          <cell r="J1833" t="str">
            <v>Off-Chart</v>
          </cell>
          <cell r="K1833" t="str">
            <v>DCT Payroll</v>
          </cell>
          <cell r="L1833" t="str">
            <v>A1</v>
          </cell>
          <cell r="M1833" t="str">
            <v>Department of Culture and Tourism</v>
          </cell>
          <cell r="N1833" t="str">
            <v>Culture</v>
          </cell>
          <cell r="O1833" t="str">
            <v>الثقافة</v>
          </cell>
          <cell r="P1833" t="str">
            <v>Historic Environment</v>
          </cell>
          <cell r="Q1833" t="str">
            <v>البيئة التاريخية</v>
          </cell>
          <cell r="R1833" t="str">
            <v>Historic Buildings &amp; Landscapes</v>
          </cell>
          <cell r="S1833" t="str">
            <v>المباني والمسطحات التاريخية</v>
          </cell>
          <cell r="T1833" t="str">
            <v>Culture Sites Protection</v>
          </cell>
          <cell r="U1833" t="str">
            <v>حماية المواقع الثقافية</v>
          </cell>
          <cell r="V1833" t="str">
            <v>Al Ain</v>
          </cell>
          <cell r="W1833" t="str">
            <v/>
          </cell>
          <cell r="X1833" t="str">
            <v>4511300</v>
          </cell>
          <cell r="Y1833" t="str">
            <v>Content &amp; Care_Culture Sites Protection_Assistant &amp; Technical Staff</v>
          </cell>
          <cell r="Z1833" t="str">
            <v>Assistant and Technical Staff</v>
          </cell>
          <cell r="AA1833" t="str">
            <v>08</v>
          </cell>
        </row>
        <row r="1834">
          <cell r="A1834">
            <v>5000036</v>
          </cell>
          <cell r="B1834">
            <v>5000036</v>
          </cell>
          <cell r="C1834" t="str">
            <v>A</v>
          </cell>
          <cell r="D1834" t="str">
            <v>Kakkuzil Mohamed Shereef</v>
          </cell>
          <cell r="E1834" t="str">
            <v>كاكوزيل محمد شريف</v>
          </cell>
          <cell r="F1834">
            <v>31259</v>
          </cell>
          <cell r="G1834" t="str">
            <v>47700789</v>
          </cell>
          <cell r="H1834" t="str">
            <v>Digitization Specialist</v>
          </cell>
          <cell r="I1834" t="str">
            <v>أخصائي رقمنة المحتوى</v>
          </cell>
          <cell r="J1834" t="str">
            <v>On-Chart</v>
          </cell>
          <cell r="K1834" t="str">
            <v>Non-Payroll</v>
          </cell>
          <cell r="L1834" t="str">
            <v>99</v>
          </cell>
          <cell r="M1834" t="str">
            <v>Department of Culture and Tourism</v>
          </cell>
          <cell r="N1834" t="str">
            <v>Culture</v>
          </cell>
          <cell r="O1834" t="str">
            <v>الثقافة</v>
          </cell>
          <cell r="P1834" t="str">
            <v>Scientific, Curatorial and Collection Department</v>
          </cell>
          <cell r="Q1834" t="str">
            <v>إدارة البحث العلمي والمقتنيات</v>
          </cell>
          <cell r="R1834" t="str">
            <v>Collections</v>
          </cell>
          <cell r="S1834" t="str">
            <v>إدارة المقتنيات</v>
          </cell>
          <cell r="T1834" t="str">
            <v>Collections Registration</v>
          </cell>
          <cell r="U1834" t="str">
            <v>تسجيل المقتنيات</v>
          </cell>
          <cell r="V1834" t="str">
            <v>Abu Dhabi</v>
          </cell>
          <cell r="W1834" t="str">
            <v/>
          </cell>
          <cell r="X1834" t="str">
            <v>4511150</v>
          </cell>
          <cell r="Y1834" t="str">
            <v>Compliance,Governance&amp;Protocol_Policy (Culture/Tourism) _Professional</v>
          </cell>
          <cell r="Z1834" t="str">
            <v>Professional</v>
          </cell>
          <cell r="AA1834" t="str">
            <v>4A</v>
          </cell>
        </row>
        <row r="1835">
          <cell r="A1835">
            <v>5000038</v>
          </cell>
          <cell r="B1835">
            <v>5000038</v>
          </cell>
          <cell r="C1835" t="str">
            <v>A</v>
          </cell>
          <cell r="D1835" t="str">
            <v>Mahmoud Al Imawi</v>
          </cell>
          <cell r="E1835" t="str">
            <v>محمود اسماعيل العماوي</v>
          </cell>
          <cell r="F1835">
            <v>39173</v>
          </cell>
          <cell r="G1835" t="str">
            <v>47700791</v>
          </cell>
          <cell r="H1835" t="str">
            <v>Storekeeper - Al Ain</v>
          </cell>
          <cell r="I1835" t="str">
            <v>أمين مخزن - العين</v>
          </cell>
          <cell r="J1835" t="str">
            <v>On-Chart</v>
          </cell>
          <cell r="K1835" t="str">
            <v>DCT Payroll</v>
          </cell>
          <cell r="L1835" t="str">
            <v>A1</v>
          </cell>
          <cell r="M1835" t="str">
            <v>Department of Culture and Tourism</v>
          </cell>
          <cell r="N1835" t="str">
            <v>Support Services</v>
          </cell>
          <cell r="O1835" t="str">
            <v>الخدمات المساندة</v>
          </cell>
          <cell r="P1835" t="str">
            <v>Supply Management</v>
          </cell>
          <cell r="Q1835" t="str">
            <v>إدارة الإمداد</v>
          </cell>
          <cell r="R1835" t="str">
            <v>Facilities Management</v>
          </cell>
          <cell r="S1835" t="str">
            <v>إدارة المرافق</v>
          </cell>
          <cell r="T1835" t="str">
            <v>Stores &amp; Inventory</v>
          </cell>
          <cell r="U1835" t="str">
            <v>المخازن والمخزون</v>
          </cell>
          <cell r="V1835" t="str">
            <v>Al Ain</v>
          </cell>
          <cell r="W1835" t="str">
            <v/>
          </cell>
          <cell r="X1835" t="str">
            <v>4510240</v>
          </cell>
          <cell r="Y1835" t="str">
            <v>Procurement_Procurement General_Professional</v>
          </cell>
          <cell r="Z1835" t="str">
            <v>Professional</v>
          </cell>
          <cell r="AA1835" t="str">
            <v>08</v>
          </cell>
        </row>
        <row r="1836">
          <cell r="A1836">
            <v>5000040</v>
          </cell>
          <cell r="B1836">
            <v>5000040</v>
          </cell>
          <cell r="C1836" t="str">
            <v>A</v>
          </cell>
          <cell r="D1836" t="str">
            <v>Mohammed Ali Siraj Din</v>
          </cell>
          <cell r="E1836" t="str">
            <v>محمد علي سراج</v>
          </cell>
          <cell r="F1836">
            <v>39173</v>
          </cell>
          <cell r="G1836" t="str">
            <v>47700793</v>
          </cell>
          <cell r="H1836" t="str">
            <v>Heavy Equipment Driver</v>
          </cell>
          <cell r="I1836" t="str">
            <v>سائق معدات ثقيلة</v>
          </cell>
          <cell r="J1836" t="str">
            <v>Off-Chart</v>
          </cell>
          <cell r="K1836" t="str">
            <v>Non-Payroll</v>
          </cell>
          <cell r="L1836" t="str">
            <v>99</v>
          </cell>
          <cell r="M1836" t="str">
            <v>Department of Culture and Tourism</v>
          </cell>
          <cell r="N1836" t="str">
            <v>Culture</v>
          </cell>
          <cell r="O1836" t="str">
            <v>الثقافة</v>
          </cell>
          <cell r="P1836" t="str">
            <v>Historic Environment</v>
          </cell>
          <cell r="Q1836" t="str">
            <v>البيئة التاريخية</v>
          </cell>
          <cell r="R1836" t="str">
            <v>Historic Buildings &amp; Landscapes</v>
          </cell>
          <cell r="S1836" t="str">
            <v>المباني والمسطحات التاريخية</v>
          </cell>
          <cell r="T1836" t="str">
            <v>Culture Sites Protection</v>
          </cell>
          <cell r="U1836" t="str">
            <v>حماية المواقع الثقافية</v>
          </cell>
          <cell r="V1836" t="str">
            <v>Al Ain</v>
          </cell>
          <cell r="W1836" t="str">
            <v/>
          </cell>
          <cell r="X1836" t="str">
            <v>4511300</v>
          </cell>
          <cell r="Y1836" t="str">
            <v>Content &amp; Care_Culture Sites Protection_Assistant &amp; Technical Staff</v>
          </cell>
          <cell r="Z1836" t="str">
            <v>Assistant and Technical Staff</v>
          </cell>
          <cell r="AA1836" t="str">
            <v>7A</v>
          </cell>
        </row>
        <row r="1837">
          <cell r="A1837">
            <v>5000041</v>
          </cell>
          <cell r="B1837">
            <v>5000041</v>
          </cell>
          <cell r="C1837" t="str">
            <v>A</v>
          </cell>
          <cell r="D1837" t="str">
            <v>Noor Bux Muhammad Baloch</v>
          </cell>
          <cell r="E1837" t="str">
            <v>نوربخش علي بلوش</v>
          </cell>
          <cell r="F1837">
            <v>39173</v>
          </cell>
          <cell r="G1837" t="str">
            <v>47700794</v>
          </cell>
          <cell r="H1837" t="str">
            <v>Historic Environment Worker</v>
          </cell>
          <cell r="I1837" t="str">
            <v>عامل البيئة التاريخية</v>
          </cell>
          <cell r="J1837" t="str">
            <v>Off-Chart</v>
          </cell>
          <cell r="K1837" t="str">
            <v>Non-Payroll</v>
          </cell>
          <cell r="L1837" t="str">
            <v>99</v>
          </cell>
          <cell r="M1837" t="str">
            <v>Department of Culture and Tourism</v>
          </cell>
          <cell r="N1837" t="str">
            <v>Culture</v>
          </cell>
          <cell r="O1837" t="str">
            <v>الثقافة</v>
          </cell>
          <cell r="P1837" t="str">
            <v>Historic Environment</v>
          </cell>
          <cell r="Q1837" t="str">
            <v>البيئة التاريخية</v>
          </cell>
          <cell r="R1837" t="str">
            <v>Historic Buildings &amp; Landscapes</v>
          </cell>
          <cell r="S1837" t="str">
            <v>المباني والمسطحات التاريخية</v>
          </cell>
          <cell r="T1837" t="str">
            <v>Culture Sites Protection</v>
          </cell>
          <cell r="U1837" t="str">
            <v>حماية المواقع الثقافية</v>
          </cell>
          <cell r="V1837" t="str">
            <v>Al Ain</v>
          </cell>
          <cell r="W1837" t="str">
            <v/>
          </cell>
          <cell r="X1837" t="str">
            <v>4511300</v>
          </cell>
          <cell r="Y1837" t="str">
            <v>Content &amp; Care_Culture Sites Protection_Assistant &amp; Technical Staff</v>
          </cell>
          <cell r="Z1837" t="str">
            <v>Assistant and Technical Staff</v>
          </cell>
          <cell r="AA1837" t="str">
            <v>7A</v>
          </cell>
        </row>
        <row r="1838">
          <cell r="A1838">
            <v>5000047</v>
          </cell>
          <cell r="B1838">
            <v>5000047</v>
          </cell>
          <cell r="C1838" t="str">
            <v>A</v>
          </cell>
          <cell r="D1838" t="str">
            <v>Afzal Salam Mahboob</v>
          </cell>
          <cell r="E1838" t="str">
            <v>أفضال سلام محبوب</v>
          </cell>
          <cell r="F1838">
            <v>39449</v>
          </cell>
          <cell r="G1838" t="str">
            <v>47700800</v>
          </cell>
          <cell r="H1838" t="str">
            <v>Historic Environment Worker</v>
          </cell>
          <cell r="I1838" t="str">
            <v>عامل البيئة التاريخية</v>
          </cell>
          <cell r="J1838" t="str">
            <v>Off-Chart</v>
          </cell>
          <cell r="K1838" t="str">
            <v>Non-Payroll</v>
          </cell>
          <cell r="L1838" t="str">
            <v>99</v>
          </cell>
          <cell r="M1838" t="str">
            <v>Department of Culture and Tourism</v>
          </cell>
          <cell r="N1838" t="str">
            <v>Culture</v>
          </cell>
          <cell r="O1838" t="str">
            <v>الثقافة</v>
          </cell>
          <cell r="P1838" t="str">
            <v>Historic Environment</v>
          </cell>
          <cell r="Q1838" t="str">
            <v>البيئة التاريخية</v>
          </cell>
          <cell r="R1838" t="str">
            <v>Historic Buildings &amp; Landscapes</v>
          </cell>
          <cell r="S1838" t="str">
            <v>المباني والمسطحات التاريخية</v>
          </cell>
          <cell r="T1838" t="str">
            <v>Culture Sites Protection</v>
          </cell>
          <cell r="U1838" t="str">
            <v>حماية المواقع الثقافية</v>
          </cell>
          <cell r="V1838" t="str">
            <v>Al Ain</v>
          </cell>
          <cell r="W1838" t="str">
            <v/>
          </cell>
          <cell r="X1838" t="str">
            <v>4511300</v>
          </cell>
          <cell r="Y1838" t="str">
            <v>Content &amp; Care_Culture Sites Protection_Assistant &amp; Technical Staff</v>
          </cell>
          <cell r="Z1838" t="str">
            <v>Assistant and Technical Staff</v>
          </cell>
          <cell r="AA1838" t="str">
            <v>7A</v>
          </cell>
        </row>
        <row r="1839">
          <cell r="A1839">
            <v>5000048</v>
          </cell>
          <cell r="B1839">
            <v>5000048</v>
          </cell>
          <cell r="C1839" t="str">
            <v>A</v>
          </cell>
          <cell r="D1839" t="str">
            <v>Ali Thiloyikkal Mohamed</v>
          </cell>
          <cell r="E1839" t="str">
            <v>علي ثيلابيكال محمد</v>
          </cell>
          <cell r="F1839">
            <v>39449</v>
          </cell>
          <cell r="G1839" t="str">
            <v>47700801</v>
          </cell>
          <cell r="H1839" t="str">
            <v>Office Boy</v>
          </cell>
          <cell r="I1839" t="str">
            <v>مراسل مكتب</v>
          </cell>
          <cell r="J1839" t="str">
            <v>Off-Chart</v>
          </cell>
          <cell r="K1839" t="str">
            <v>Non-Payroll</v>
          </cell>
          <cell r="L1839" t="str">
            <v>99</v>
          </cell>
          <cell r="M1839" t="str">
            <v>Department of Culture and Tourism</v>
          </cell>
          <cell r="N1839" t="str">
            <v>Support Services</v>
          </cell>
          <cell r="O1839" t="str">
            <v>الخدمات المساندة</v>
          </cell>
          <cell r="P1839" t="str">
            <v>People &amp; Performance</v>
          </cell>
          <cell r="Q1839" t="str">
            <v>إدارة الكوادر البشرية والأداء</v>
          </cell>
          <cell r="R1839" t="str">
            <v/>
          </cell>
          <cell r="S1839" t="str">
            <v/>
          </cell>
          <cell r="T1839" t="str">
            <v/>
          </cell>
          <cell r="U1839" t="str">
            <v/>
          </cell>
          <cell r="V1839" t="str">
            <v>Al Ain</v>
          </cell>
          <cell r="W1839" t="str">
            <v/>
          </cell>
          <cell r="X1839" t="str">
            <v>4510220</v>
          </cell>
          <cell r="Y1839" t="str">
            <v>Admin &amp; Support_Travel &amp; Hospitality (People &amp; Performance)_Senior Professional</v>
          </cell>
          <cell r="Z1839" t="str">
            <v>Professional</v>
          </cell>
          <cell r="AA1839" t="str">
            <v>7A</v>
          </cell>
        </row>
        <row r="1840">
          <cell r="A1840">
            <v>5000049</v>
          </cell>
          <cell r="B1840">
            <v>5000049</v>
          </cell>
          <cell r="C1840" t="str">
            <v>A</v>
          </cell>
          <cell r="D1840" t="str">
            <v>Aslam Din Muhammad</v>
          </cell>
          <cell r="E1840" t="str">
            <v>أسلم دين محمد</v>
          </cell>
          <cell r="F1840">
            <v>39449</v>
          </cell>
          <cell r="G1840" t="str">
            <v>47700802</v>
          </cell>
          <cell r="H1840" t="str">
            <v>Labourer</v>
          </cell>
          <cell r="I1840" t="str">
            <v>عامل</v>
          </cell>
          <cell r="J1840" t="str">
            <v>Off-Chart</v>
          </cell>
          <cell r="K1840" t="str">
            <v>Non-Payroll</v>
          </cell>
          <cell r="L1840" t="str">
            <v>99</v>
          </cell>
          <cell r="M1840" t="str">
            <v>Department of Culture and Tourism</v>
          </cell>
          <cell r="N1840" t="str">
            <v>Culture</v>
          </cell>
          <cell r="O1840" t="str">
            <v>الثقافة</v>
          </cell>
          <cell r="P1840" t="str">
            <v>Historic Environment</v>
          </cell>
          <cell r="Q1840" t="str">
            <v>البيئة التاريخية</v>
          </cell>
          <cell r="R1840" t="str">
            <v>Historic Buildings &amp; Landscapes</v>
          </cell>
          <cell r="S1840" t="str">
            <v>المباني والمسطحات التاريخية</v>
          </cell>
          <cell r="T1840" t="str">
            <v>Culture Sites Protection</v>
          </cell>
          <cell r="U1840" t="str">
            <v>حماية المواقع الثقافية</v>
          </cell>
          <cell r="V1840" t="str">
            <v>Abu Dhabi</v>
          </cell>
          <cell r="W1840" t="str">
            <v/>
          </cell>
          <cell r="X1840" t="str">
            <v>4511300</v>
          </cell>
          <cell r="Y1840" t="str">
            <v>Content &amp; Care_Culture Sites Protection_Assistant &amp; Technical Staff</v>
          </cell>
          <cell r="Z1840" t="str">
            <v>Assistant and Technical Staff</v>
          </cell>
          <cell r="AA1840" t="str">
            <v>7A</v>
          </cell>
        </row>
        <row r="1841">
          <cell r="A1841">
            <v>5000052</v>
          </cell>
          <cell r="B1841">
            <v>5000052</v>
          </cell>
          <cell r="C1841" t="str">
            <v>A</v>
          </cell>
          <cell r="D1841" t="str">
            <v>Behram Bahi Jan</v>
          </cell>
          <cell r="E1841" t="str">
            <v>بهرام باهي جان</v>
          </cell>
          <cell r="F1841">
            <v>39449</v>
          </cell>
          <cell r="G1841" t="str">
            <v>47700805</v>
          </cell>
          <cell r="H1841" t="str">
            <v>Historic Environment Worker</v>
          </cell>
          <cell r="I1841" t="str">
            <v>عامل البيئة التاريخية</v>
          </cell>
          <cell r="J1841" t="str">
            <v>Off-Chart</v>
          </cell>
          <cell r="K1841" t="str">
            <v>Non-Payroll</v>
          </cell>
          <cell r="L1841" t="str">
            <v>99</v>
          </cell>
          <cell r="M1841" t="str">
            <v>Department of Culture and Tourism</v>
          </cell>
          <cell r="N1841" t="str">
            <v>Culture</v>
          </cell>
          <cell r="O1841" t="str">
            <v>الثقافة</v>
          </cell>
          <cell r="P1841" t="str">
            <v>Historic Environment</v>
          </cell>
          <cell r="Q1841" t="str">
            <v>البيئة التاريخية</v>
          </cell>
          <cell r="R1841" t="str">
            <v>Historic Buildings &amp; Landscapes</v>
          </cell>
          <cell r="S1841" t="str">
            <v>المباني والمسطحات التاريخية</v>
          </cell>
          <cell r="T1841" t="str">
            <v>Culture Sites Protection</v>
          </cell>
          <cell r="U1841" t="str">
            <v>حماية المواقع الثقافية</v>
          </cell>
          <cell r="V1841" t="str">
            <v>Al Ain</v>
          </cell>
          <cell r="W1841" t="str">
            <v/>
          </cell>
          <cell r="X1841" t="str">
            <v>4511300</v>
          </cell>
          <cell r="Y1841" t="str">
            <v>Content &amp; Care_Culture Sites Protection_Assistant &amp; Technical Staff</v>
          </cell>
          <cell r="Z1841" t="str">
            <v>Assistant and Technical Staff</v>
          </cell>
          <cell r="AA1841" t="str">
            <v>7A</v>
          </cell>
        </row>
        <row r="1842">
          <cell r="A1842">
            <v>5000053</v>
          </cell>
          <cell r="B1842">
            <v>5000053</v>
          </cell>
          <cell r="C1842" t="str">
            <v>A</v>
          </cell>
          <cell r="D1842" t="str">
            <v>Bismila Shad Muhammed</v>
          </cell>
          <cell r="E1842" t="str">
            <v>بسم الله شاد محمد</v>
          </cell>
          <cell r="F1842">
            <v>39449</v>
          </cell>
          <cell r="G1842" t="str">
            <v>47700806</v>
          </cell>
          <cell r="H1842" t="str">
            <v>Historic Environment Worker</v>
          </cell>
          <cell r="I1842" t="str">
            <v>عامل البيئة التاريخية</v>
          </cell>
          <cell r="J1842" t="str">
            <v>Off-Chart</v>
          </cell>
          <cell r="K1842" t="str">
            <v>Non-Payroll</v>
          </cell>
          <cell r="L1842" t="str">
            <v>99</v>
          </cell>
          <cell r="M1842" t="str">
            <v>Department of Culture and Tourism</v>
          </cell>
          <cell r="N1842" t="str">
            <v>Culture</v>
          </cell>
          <cell r="O1842" t="str">
            <v>الثقافة</v>
          </cell>
          <cell r="P1842" t="str">
            <v>Historic Environment</v>
          </cell>
          <cell r="Q1842" t="str">
            <v>البيئة التاريخية</v>
          </cell>
          <cell r="R1842" t="str">
            <v>Historic Buildings &amp; Landscapes</v>
          </cell>
          <cell r="S1842" t="str">
            <v>المباني والمسطحات التاريخية</v>
          </cell>
          <cell r="T1842" t="str">
            <v>Culture Sites Protection</v>
          </cell>
          <cell r="U1842" t="str">
            <v>حماية المواقع الثقافية</v>
          </cell>
          <cell r="V1842" t="str">
            <v>Al Ain</v>
          </cell>
          <cell r="W1842" t="str">
            <v/>
          </cell>
          <cell r="X1842" t="str">
            <v>4511300</v>
          </cell>
          <cell r="Y1842" t="str">
            <v>Content &amp; Care_Culture Sites Protection_Assistant &amp; Technical Staff</v>
          </cell>
          <cell r="Z1842" t="str">
            <v>Assistant and Technical Staff</v>
          </cell>
          <cell r="AA1842" t="str">
            <v>7A</v>
          </cell>
        </row>
        <row r="1843">
          <cell r="A1843">
            <v>5000055</v>
          </cell>
          <cell r="B1843">
            <v>5000055</v>
          </cell>
          <cell r="C1843" t="str">
            <v>A</v>
          </cell>
          <cell r="D1843" t="str">
            <v>Habib Salah Mohammad</v>
          </cell>
          <cell r="E1843" t="str">
            <v>حبيب صالح محمد</v>
          </cell>
          <cell r="F1843">
            <v>39449</v>
          </cell>
          <cell r="G1843" t="str">
            <v>47700808</v>
          </cell>
          <cell r="H1843" t="str">
            <v>Historic Environment Worker</v>
          </cell>
          <cell r="I1843" t="str">
            <v>عامل البيئة التاريخية</v>
          </cell>
          <cell r="J1843" t="str">
            <v>Off-Chart</v>
          </cell>
          <cell r="K1843" t="str">
            <v>Non-Payroll</v>
          </cell>
          <cell r="L1843" t="str">
            <v>99</v>
          </cell>
          <cell r="M1843" t="str">
            <v>Department of Culture and Tourism</v>
          </cell>
          <cell r="N1843" t="str">
            <v>Culture</v>
          </cell>
          <cell r="O1843" t="str">
            <v>الثقافة</v>
          </cell>
          <cell r="P1843" t="str">
            <v>Historic Environment</v>
          </cell>
          <cell r="Q1843" t="str">
            <v>البيئة التاريخية</v>
          </cell>
          <cell r="R1843" t="str">
            <v>Historic Buildings &amp; Landscapes</v>
          </cell>
          <cell r="S1843" t="str">
            <v>المباني والمسطحات التاريخية</v>
          </cell>
          <cell r="T1843" t="str">
            <v>Culture Sites Protection</v>
          </cell>
          <cell r="U1843" t="str">
            <v>حماية المواقع الثقافية</v>
          </cell>
          <cell r="V1843" t="str">
            <v>Al Ain</v>
          </cell>
          <cell r="W1843" t="str">
            <v/>
          </cell>
          <cell r="X1843" t="str">
            <v>4511300</v>
          </cell>
          <cell r="Y1843" t="str">
            <v>Content &amp; Care_Culture Sites Protection_Assistant &amp; Technical Staff</v>
          </cell>
          <cell r="Z1843" t="str">
            <v>Assistant and Technical Staff</v>
          </cell>
          <cell r="AA1843" t="str">
            <v>7A</v>
          </cell>
        </row>
        <row r="1844">
          <cell r="A1844">
            <v>5000056</v>
          </cell>
          <cell r="B1844">
            <v>5000056</v>
          </cell>
          <cell r="C1844" t="str">
            <v>A</v>
          </cell>
          <cell r="D1844" t="str">
            <v>Hafiz MD.Joynul Islam</v>
          </cell>
          <cell r="E1844" t="str">
            <v>حافظ محمد اسلام</v>
          </cell>
          <cell r="F1844">
            <v>39449</v>
          </cell>
          <cell r="G1844" t="str">
            <v>47700809</v>
          </cell>
          <cell r="H1844" t="str">
            <v>Watchman</v>
          </cell>
          <cell r="I1844" t="str">
            <v>حارس</v>
          </cell>
          <cell r="J1844" t="str">
            <v>Off-Chart</v>
          </cell>
          <cell r="K1844" t="str">
            <v>DCT Payroll</v>
          </cell>
          <cell r="L1844" t="str">
            <v>A1</v>
          </cell>
          <cell r="M1844" t="str">
            <v>Department of Culture and Tourism</v>
          </cell>
          <cell r="N1844" t="str">
            <v>Culture</v>
          </cell>
          <cell r="O1844" t="str">
            <v>الثقافة</v>
          </cell>
          <cell r="P1844" t="str">
            <v>Historic Environment</v>
          </cell>
          <cell r="Q1844" t="str">
            <v>البيئة التاريخية</v>
          </cell>
          <cell r="R1844" t="str">
            <v>Historic Buildings &amp; Landscapes</v>
          </cell>
          <cell r="S1844" t="str">
            <v>المباني والمسطحات التاريخية</v>
          </cell>
          <cell r="T1844" t="str">
            <v>Culture Sites Protection</v>
          </cell>
          <cell r="U1844" t="str">
            <v>حماية المواقع الثقافية</v>
          </cell>
          <cell r="V1844" t="str">
            <v>Al Ain</v>
          </cell>
          <cell r="W1844" t="str">
            <v/>
          </cell>
          <cell r="X1844" t="str">
            <v>4511300</v>
          </cell>
          <cell r="Y1844" t="str">
            <v>Content &amp; Care_Culture Sites Protection_Assistant &amp; Technical Staff</v>
          </cell>
          <cell r="Z1844" t="str">
            <v>Assistant and Technical Staff</v>
          </cell>
          <cell r="AA1844" t="str">
            <v>14</v>
          </cell>
        </row>
        <row r="1845">
          <cell r="A1845">
            <v>5000059</v>
          </cell>
          <cell r="B1845">
            <v>5000059</v>
          </cell>
          <cell r="C1845" t="str">
            <v>A</v>
          </cell>
          <cell r="D1845" t="str">
            <v>Karumara Thodika Abdul Jaleel</v>
          </cell>
          <cell r="E1845" t="str">
            <v>كارومارا ثوديكا عبدالجليل</v>
          </cell>
          <cell r="F1845">
            <v>39449</v>
          </cell>
          <cell r="G1845" t="str">
            <v>47700812</v>
          </cell>
          <cell r="H1845" t="str">
            <v>Historic Environment Worker</v>
          </cell>
          <cell r="I1845" t="str">
            <v>عامل البيئة التاريخية</v>
          </cell>
          <cell r="J1845" t="str">
            <v>Off-Chart</v>
          </cell>
          <cell r="K1845" t="str">
            <v>Non-Payroll</v>
          </cell>
          <cell r="L1845" t="str">
            <v>99</v>
          </cell>
          <cell r="M1845" t="str">
            <v>Department of Culture and Tourism</v>
          </cell>
          <cell r="N1845" t="str">
            <v>Culture</v>
          </cell>
          <cell r="O1845" t="str">
            <v>الثقافة</v>
          </cell>
          <cell r="P1845" t="str">
            <v>Historic Environment</v>
          </cell>
          <cell r="Q1845" t="str">
            <v>البيئة التاريخية</v>
          </cell>
          <cell r="R1845" t="str">
            <v>Historic Buildings &amp; Landscapes</v>
          </cell>
          <cell r="S1845" t="str">
            <v>المباني والمسطحات التاريخية</v>
          </cell>
          <cell r="T1845" t="str">
            <v>Culture Sites Protection</v>
          </cell>
          <cell r="U1845" t="str">
            <v>حماية المواقع الثقافية</v>
          </cell>
          <cell r="V1845" t="str">
            <v>Al Ain</v>
          </cell>
          <cell r="W1845" t="str">
            <v/>
          </cell>
          <cell r="X1845" t="str">
            <v>4511300</v>
          </cell>
          <cell r="Y1845" t="str">
            <v>Content &amp; Care_Culture Sites Protection_Assistant &amp; Technical Staff</v>
          </cell>
          <cell r="Z1845" t="str">
            <v>Assistant and Technical Staff</v>
          </cell>
          <cell r="AA1845" t="str">
            <v>7A</v>
          </cell>
        </row>
        <row r="1846">
          <cell r="A1846">
            <v>5000060</v>
          </cell>
          <cell r="B1846">
            <v>5000060</v>
          </cell>
          <cell r="C1846" t="str">
            <v>A</v>
          </cell>
          <cell r="D1846" t="str">
            <v>Khuda Bakhsh Baloch</v>
          </cell>
          <cell r="E1846" t="str">
            <v>خودا بخش بلوش</v>
          </cell>
          <cell r="F1846">
            <v>39449</v>
          </cell>
          <cell r="G1846" t="str">
            <v>47700813</v>
          </cell>
          <cell r="H1846" t="str">
            <v>Historic Environment Worker</v>
          </cell>
          <cell r="I1846" t="str">
            <v>عامل البيئة التاريخية</v>
          </cell>
          <cell r="J1846" t="str">
            <v>Off-Chart</v>
          </cell>
          <cell r="K1846" t="str">
            <v>Non-Payroll</v>
          </cell>
          <cell r="L1846" t="str">
            <v>99</v>
          </cell>
          <cell r="M1846" t="str">
            <v>Department of Culture and Tourism</v>
          </cell>
          <cell r="N1846" t="str">
            <v>Culture</v>
          </cell>
          <cell r="O1846" t="str">
            <v>الثقافة</v>
          </cell>
          <cell r="P1846" t="str">
            <v>Historic Environment</v>
          </cell>
          <cell r="Q1846" t="str">
            <v>البيئة التاريخية</v>
          </cell>
          <cell r="R1846" t="str">
            <v>Historic Buildings &amp; Landscapes</v>
          </cell>
          <cell r="S1846" t="str">
            <v>المباني والمسطحات التاريخية</v>
          </cell>
          <cell r="T1846" t="str">
            <v>Culture Sites Protection</v>
          </cell>
          <cell r="U1846" t="str">
            <v>حماية المواقع الثقافية</v>
          </cell>
          <cell r="V1846" t="str">
            <v>Al Ain</v>
          </cell>
          <cell r="W1846" t="str">
            <v/>
          </cell>
          <cell r="X1846" t="str">
            <v>4511300</v>
          </cell>
          <cell r="Y1846" t="str">
            <v>Content &amp; Care_Culture Sites Protection_Assistant &amp; Technical Staff</v>
          </cell>
          <cell r="Z1846" t="str">
            <v>Assistant and Technical Staff</v>
          </cell>
          <cell r="AA1846" t="str">
            <v>7A</v>
          </cell>
        </row>
        <row r="1847">
          <cell r="A1847">
            <v>5000066</v>
          </cell>
          <cell r="B1847">
            <v>5000066</v>
          </cell>
          <cell r="C1847" t="str">
            <v>A</v>
          </cell>
          <cell r="D1847" t="str">
            <v>Mohammed Akber Mohammed</v>
          </cell>
          <cell r="E1847" t="str">
            <v>محمد أكبر محمد</v>
          </cell>
          <cell r="F1847">
            <v>39449</v>
          </cell>
          <cell r="G1847" t="str">
            <v>47700819</v>
          </cell>
          <cell r="H1847" t="str">
            <v>Historic Environment Worker</v>
          </cell>
          <cell r="I1847" t="str">
            <v>عامل البيئة التاريخية</v>
          </cell>
          <cell r="J1847" t="str">
            <v>Off-Chart</v>
          </cell>
          <cell r="K1847" t="str">
            <v>Non-Payroll</v>
          </cell>
          <cell r="L1847" t="str">
            <v>99</v>
          </cell>
          <cell r="M1847" t="str">
            <v>Department of Culture and Tourism</v>
          </cell>
          <cell r="N1847" t="str">
            <v>Culture</v>
          </cell>
          <cell r="O1847" t="str">
            <v>الثقافة</v>
          </cell>
          <cell r="P1847" t="str">
            <v>Historic Environment</v>
          </cell>
          <cell r="Q1847" t="str">
            <v>البيئة التاريخية</v>
          </cell>
          <cell r="R1847" t="str">
            <v>Historic Buildings &amp; Landscapes</v>
          </cell>
          <cell r="S1847" t="str">
            <v>المباني والمسطحات التاريخية</v>
          </cell>
          <cell r="T1847" t="str">
            <v>Culture Sites Protection</v>
          </cell>
          <cell r="U1847" t="str">
            <v>حماية المواقع الثقافية</v>
          </cell>
          <cell r="V1847" t="str">
            <v>Al Ain</v>
          </cell>
          <cell r="W1847" t="str">
            <v/>
          </cell>
          <cell r="X1847" t="str">
            <v>4511300</v>
          </cell>
          <cell r="Y1847" t="str">
            <v>Content &amp; Care_Culture Sites Protection_Assistant &amp; Technical Staff</v>
          </cell>
          <cell r="Z1847" t="str">
            <v>Assistant and Technical Staff</v>
          </cell>
          <cell r="AA1847" t="str">
            <v>7A</v>
          </cell>
        </row>
        <row r="1848">
          <cell r="A1848">
            <v>5000070</v>
          </cell>
          <cell r="B1848">
            <v>5000070</v>
          </cell>
          <cell r="C1848" t="str">
            <v>A</v>
          </cell>
          <cell r="D1848" t="str">
            <v>Mohammed Mohanur Islam</v>
          </cell>
          <cell r="E1848" t="str">
            <v>محمد موها نور الاسلام</v>
          </cell>
          <cell r="F1848">
            <v>39449</v>
          </cell>
          <cell r="G1848" t="str">
            <v>47700823</v>
          </cell>
          <cell r="H1848" t="str">
            <v>Watchman</v>
          </cell>
          <cell r="I1848" t="str">
            <v>حارس</v>
          </cell>
          <cell r="J1848" t="str">
            <v>Off-Chart</v>
          </cell>
          <cell r="K1848" t="str">
            <v>DCT Payroll</v>
          </cell>
          <cell r="L1848" t="str">
            <v>A1</v>
          </cell>
          <cell r="M1848" t="str">
            <v>Department of Culture and Tourism</v>
          </cell>
          <cell r="N1848" t="str">
            <v>Culture</v>
          </cell>
          <cell r="O1848" t="str">
            <v>الثقافة</v>
          </cell>
          <cell r="P1848" t="str">
            <v>Historic Environment</v>
          </cell>
          <cell r="Q1848" t="str">
            <v>البيئة التاريخية</v>
          </cell>
          <cell r="R1848" t="str">
            <v>Historic Buildings &amp; Landscapes</v>
          </cell>
          <cell r="S1848" t="str">
            <v>المباني والمسطحات التاريخية</v>
          </cell>
          <cell r="T1848" t="str">
            <v>Culture Sites Protection</v>
          </cell>
          <cell r="U1848" t="str">
            <v>حماية المواقع الثقافية</v>
          </cell>
          <cell r="V1848" t="str">
            <v>Al Ain</v>
          </cell>
          <cell r="W1848" t="str">
            <v/>
          </cell>
          <cell r="X1848" t="str">
            <v>4511300</v>
          </cell>
          <cell r="Y1848" t="str">
            <v>Content &amp; Care_Culture Sites Protection_Assistant &amp; Technical Staff</v>
          </cell>
          <cell r="Z1848" t="str">
            <v>Assistant and Technical Staff</v>
          </cell>
          <cell r="AA1848" t="str">
            <v>14</v>
          </cell>
        </row>
        <row r="1849">
          <cell r="A1849">
            <v>5000072</v>
          </cell>
          <cell r="B1849">
            <v>5000072</v>
          </cell>
          <cell r="C1849" t="str">
            <v>A</v>
          </cell>
          <cell r="D1849" t="str">
            <v>Mohammed Musa Mukbul</v>
          </cell>
          <cell r="E1849" t="str">
            <v>محمد موسى مقبول</v>
          </cell>
          <cell r="F1849">
            <v>39449</v>
          </cell>
          <cell r="G1849" t="str">
            <v>47700825</v>
          </cell>
          <cell r="H1849" t="str">
            <v>Historic Environment Worker</v>
          </cell>
          <cell r="I1849" t="str">
            <v>عامل البيئة التاريخية</v>
          </cell>
          <cell r="J1849" t="str">
            <v>Off-Chart</v>
          </cell>
          <cell r="K1849" t="str">
            <v>DCT Payroll</v>
          </cell>
          <cell r="L1849" t="str">
            <v>A1</v>
          </cell>
          <cell r="M1849" t="str">
            <v>Department of Culture and Tourism</v>
          </cell>
          <cell r="N1849" t="str">
            <v>Culture</v>
          </cell>
          <cell r="O1849" t="str">
            <v>الثقافة</v>
          </cell>
          <cell r="P1849" t="str">
            <v>Historic Environment</v>
          </cell>
          <cell r="Q1849" t="str">
            <v>البيئة التاريخية</v>
          </cell>
          <cell r="R1849" t="str">
            <v>Historic Buildings &amp; Landscapes</v>
          </cell>
          <cell r="S1849" t="str">
            <v>المباني والمسطحات التاريخية</v>
          </cell>
          <cell r="T1849" t="str">
            <v>Culture Sites Protection</v>
          </cell>
          <cell r="U1849" t="str">
            <v>حماية المواقع الثقافية</v>
          </cell>
          <cell r="V1849" t="str">
            <v>Al Ain</v>
          </cell>
          <cell r="W1849" t="str">
            <v/>
          </cell>
          <cell r="X1849" t="str">
            <v>4511300</v>
          </cell>
          <cell r="Y1849" t="str">
            <v>Content &amp; Care_Culture Sites Protection_Assistant &amp; Technical Staff</v>
          </cell>
          <cell r="Z1849" t="str">
            <v>Assistant and Technical Staff</v>
          </cell>
          <cell r="AA1849" t="str">
            <v>14</v>
          </cell>
        </row>
        <row r="1850">
          <cell r="A1850">
            <v>5000073</v>
          </cell>
          <cell r="B1850">
            <v>5000073</v>
          </cell>
          <cell r="C1850" t="str">
            <v>A</v>
          </cell>
          <cell r="D1850" t="str">
            <v>Mohammed Rayhanuddin</v>
          </cell>
          <cell r="E1850" t="str">
            <v>محمد  ريحان الدين</v>
          </cell>
          <cell r="F1850">
            <v>39449</v>
          </cell>
          <cell r="G1850" t="str">
            <v>47700826</v>
          </cell>
          <cell r="H1850" t="str">
            <v>Historic Environment Worker</v>
          </cell>
          <cell r="I1850" t="str">
            <v>عامل البيئة التاريخية</v>
          </cell>
          <cell r="J1850" t="str">
            <v>Off-Chart</v>
          </cell>
          <cell r="K1850" t="str">
            <v>DCT Payroll</v>
          </cell>
          <cell r="L1850" t="str">
            <v>A1</v>
          </cell>
          <cell r="M1850" t="str">
            <v>Department of Culture and Tourism</v>
          </cell>
          <cell r="N1850" t="str">
            <v>Culture</v>
          </cell>
          <cell r="O1850" t="str">
            <v>الثقافة</v>
          </cell>
          <cell r="P1850" t="str">
            <v>Historic Environment</v>
          </cell>
          <cell r="Q1850" t="str">
            <v>البيئة التاريخية</v>
          </cell>
          <cell r="R1850" t="str">
            <v>Historic Buildings &amp; Landscapes</v>
          </cell>
          <cell r="S1850" t="str">
            <v>المباني والمسطحات التاريخية</v>
          </cell>
          <cell r="T1850" t="str">
            <v>Culture Sites Protection</v>
          </cell>
          <cell r="U1850" t="str">
            <v>حماية المواقع الثقافية</v>
          </cell>
          <cell r="V1850" t="str">
            <v>Al Ain</v>
          </cell>
          <cell r="W1850" t="str">
            <v/>
          </cell>
          <cell r="X1850" t="str">
            <v>4511300</v>
          </cell>
          <cell r="Y1850" t="str">
            <v>Content &amp; Care_Culture Sites Protection_Assistant &amp; Technical Staff</v>
          </cell>
          <cell r="Z1850" t="str">
            <v>Assistant and Technical Staff</v>
          </cell>
          <cell r="AA1850" t="str">
            <v>14</v>
          </cell>
        </row>
        <row r="1851">
          <cell r="A1851">
            <v>5000078</v>
          </cell>
          <cell r="B1851">
            <v>5000078</v>
          </cell>
          <cell r="C1851" t="str">
            <v>A</v>
          </cell>
          <cell r="D1851" t="str">
            <v>Parveez Malik Aman</v>
          </cell>
          <cell r="E1851" t="str">
            <v>برويز مالك أمان</v>
          </cell>
          <cell r="F1851">
            <v>39449</v>
          </cell>
          <cell r="G1851" t="str">
            <v>47700831</v>
          </cell>
          <cell r="H1851" t="str">
            <v>Labourer</v>
          </cell>
          <cell r="I1851" t="str">
            <v>عامل</v>
          </cell>
          <cell r="J1851" t="str">
            <v>Off-Chart</v>
          </cell>
          <cell r="K1851" t="str">
            <v>Non-Payroll</v>
          </cell>
          <cell r="L1851" t="str">
            <v>99</v>
          </cell>
          <cell r="M1851" t="str">
            <v>Department of Culture and Tourism</v>
          </cell>
          <cell r="N1851" t="str">
            <v>Culture</v>
          </cell>
          <cell r="O1851" t="str">
            <v>الثقافة</v>
          </cell>
          <cell r="P1851" t="str">
            <v>Historic Environment</v>
          </cell>
          <cell r="Q1851" t="str">
            <v>البيئة التاريخية</v>
          </cell>
          <cell r="R1851" t="str">
            <v>Historic Buildings &amp; Landscapes</v>
          </cell>
          <cell r="S1851" t="str">
            <v>المباني والمسطحات التاريخية</v>
          </cell>
          <cell r="T1851" t="str">
            <v>Culture Sites Protection</v>
          </cell>
          <cell r="U1851" t="str">
            <v>حماية المواقع الثقافية</v>
          </cell>
          <cell r="V1851" t="str">
            <v>Al Ain</v>
          </cell>
          <cell r="W1851" t="str">
            <v/>
          </cell>
          <cell r="X1851" t="str">
            <v>4511300</v>
          </cell>
          <cell r="Y1851" t="str">
            <v>Content &amp; Care_Culture Sites Protection_Assistant &amp; Technical Staff</v>
          </cell>
          <cell r="Z1851" t="str">
            <v>Assistant and Technical Staff</v>
          </cell>
          <cell r="AA1851" t="str">
            <v>7A</v>
          </cell>
        </row>
        <row r="1852">
          <cell r="A1852">
            <v>5000081</v>
          </cell>
          <cell r="B1852">
            <v>5000081</v>
          </cell>
          <cell r="C1852" t="str">
            <v>A</v>
          </cell>
          <cell r="D1852" t="str">
            <v>Said Alayi Chakala Kunnan</v>
          </cell>
          <cell r="E1852" t="str">
            <v>سيد علوي كونان</v>
          </cell>
          <cell r="F1852">
            <v>39449</v>
          </cell>
          <cell r="G1852" t="str">
            <v>47700834</v>
          </cell>
          <cell r="H1852" t="str">
            <v>Office Boy</v>
          </cell>
          <cell r="I1852" t="str">
            <v>مراسل مكتب</v>
          </cell>
          <cell r="J1852" t="str">
            <v>Off-Chart</v>
          </cell>
          <cell r="K1852" t="str">
            <v>Non-Payroll</v>
          </cell>
          <cell r="L1852" t="str">
            <v>99</v>
          </cell>
          <cell r="M1852" t="str">
            <v>Department of Culture and Tourism</v>
          </cell>
          <cell r="N1852" t="str">
            <v>Support Services</v>
          </cell>
          <cell r="O1852" t="str">
            <v>الخدمات المساندة</v>
          </cell>
          <cell r="P1852" t="str">
            <v>People &amp; Performance</v>
          </cell>
          <cell r="Q1852" t="str">
            <v>إدارة الكوادر البشرية والأداء</v>
          </cell>
          <cell r="R1852" t="str">
            <v/>
          </cell>
          <cell r="S1852" t="str">
            <v/>
          </cell>
          <cell r="T1852" t="str">
            <v/>
          </cell>
          <cell r="U1852" t="str">
            <v/>
          </cell>
          <cell r="V1852" t="str">
            <v>Al Ain</v>
          </cell>
          <cell r="W1852" t="str">
            <v/>
          </cell>
          <cell r="X1852" t="str">
            <v>4510220</v>
          </cell>
          <cell r="Y1852" t="str">
            <v>Admin &amp; Support_Travel &amp; Hospitality (People &amp; Performance)_Senior Professional</v>
          </cell>
          <cell r="Z1852" t="str">
            <v>Professional</v>
          </cell>
          <cell r="AA1852" t="str">
            <v>7A</v>
          </cell>
        </row>
        <row r="1853">
          <cell r="A1853">
            <v>5000083</v>
          </cell>
          <cell r="B1853">
            <v>5000083</v>
          </cell>
          <cell r="C1853" t="str">
            <v>A</v>
          </cell>
          <cell r="D1853" t="str">
            <v>Zaher Khan Gul Rasool</v>
          </cell>
          <cell r="E1853" t="str">
            <v>ظاهر خان رسول</v>
          </cell>
          <cell r="F1853">
            <v>39449</v>
          </cell>
          <cell r="G1853" t="str">
            <v>47700836</v>
          </cell>
          <cell r="H1853" t="str">
            <v>Historic Environment Worker</v>
          </cell>
          <cell r="I1853" t="str">
            <v>عامل البيئة التاريخية</v>
          </cell>
          <cell r="J1853" t="str">
            <v>Off-Chart</v>
          </cell>
          <cell r="K1853" t="str">
            <v>Non-Payroll</v>
          </cell>
          <cell r="L1853" t="str">
            <v>99</v>
          </cell>
          <cell r="M1853" t="str">
            <v>Department of Culture and Tourism</v>
          </cell>
          <cell r="N1853" t="str">
            <v>Culture</v>
          </cell>
          <cell r="O1853" t="str">
            <v>الثقافة</v>
          </cell>
          <cell r="P1853" t="str">
            <v>Historic Environment</v>
          </cell>
          <cell r="Q1853" t="str">
            <v>البيئة التاريخية</v>
          </cell>
          <cell r="R1853" t="str">
            <v>Historic Buildings &amp; Landscapes</v>
          </cell>
          <cell r="S1853" t="str">
            <v>المباني والمسطحات التاريخية</v>
          </cell>
          <cell r="T1853" t="str">
            <v>Culture Sites Protection</v>
          </cell>
          <cell r="U1853" t="str">
            <v>حماية المواقع الثقافية</v>
          </cell>
          <cell r="V1853" t="str">
            <v>Al Ain</v>
          </cell>
          <cell r="W1853" t="str">
            <v/>
          </cell>
          <cell r="X1853" t="str">
            <v>4511300</v>
          </cell>
          <cell r="Y1853" t="str">
            <v>Content &amp; Care_Culture Sites Protection_Assistant &amp; Technical Staff</v>
          </cell>
          <cell r="Z1853" t="str">
            <v>Assistant and Technical Staff</v>
          </cell>
          <cell r="AA1853" t="str">
            <v>7A</v>
          </cell>
        </row>
        <row r="1854">
          <cell r="A1854">
            <v>5000084</v>
          </cell>
          <cell r="B1854">
            <v>5000084</v>
          </cell>
          <cell r="C1854" t="str">
            <v>A</v>
          </cell>
          <cell r="D1854" t="str">
            <v>Zubair Parampat</v>
          </cell>
          <cell r="E1854" t="str">
            <v>زبير  بارامبات</v>
          </cell>
          <cell r="F1854">
            <v>39449</v>
          </cell>
          <cell r="G1854" t="str">
            <v>47700837</v>
          </cell>
          <cell r="H1854" t="str">
            <v>Office Boy</v>
          </cell>
          <cell r="I1854" t="str">
            <v>مراسل مكتب</v>
          </cell>
          <cell r="J1854" t="str">
            <v>Off-Chart</v>
          </cell>
          <cell r="K1854" t="str">
            <v>Non-Payroll</v>
          </cell>
          <cell r="L1854" t="str">
            <v>99</v>
          </cell>
          <cell r="M1854" t="str">
            <v>Department of Culture and Tourism</v>
          </cell>
          <cell r="N1854" t="str">
            <v>Support Services</v>
          </cell>
          <cell r="O1854" t="str">
            <v>الخدمات المساندة</v>
          </cell>
          <cell r="P1854" t="str">
            <v>People &amp; Performance</v>
          </cell>
          <cell r="Q1854" t="str">
            <v>إدارة الكوادر البشرية والأداء</v>
          </cell>
          <cell r="R1854" t="str">
            <v/>
          </cell>
          <cell r="S1854" t="str">
            <v/>
          </cell>
          <cell r="T1854" t="str">
            <v/>
          </cell>
          <cell r="U1854" t="str">
            <v/>
          </cell>
          <cell r="V1854" t="str">
            <v>Al Ain</v>
          </cell>
          <cell r="W1854" t="str">
            <v/>
          </cell>
          <cell r="X1854" t="str">
            <v>4510220</v>
          </cell>
          <cell r="Y1854" t="str">
            <v>Admin &amp; Support_Travel &amp; Hospitality (People &amp; Performance)_Senior Professional</v>
          </cell>
          <cell r="Z1854" t="str">
            <v>Professional</v>
          </cell>
          <cell r="AA1854" t="str">
            <v>7A</v>
          </cell>
        </row>
        <row r="1855">
          <cell r="A1855">
            <v>5000085</v>
          </cell>
          <cell r="B1855">
            <v>5000085</v>
          </cell>
          <cell r="C1855" t="str">
            <v>A</v>
          </cell>
          <cell r="D1855" t="str">
            <v>Gul Mar Jan Jan</v>
          </cell>
          <cell r="E1855" t="str">
            <v>جول مارجان جان</v>
          </cell>
          <cell r="F1855">
            <v>39670</v>
          </cell>
          <cell r="G1855" t="str">
            <v>47700838</v>
          </cell>
          <cell r="H1855" t="str">
            <v>Historic Environment Worker</v>
          </cell>
          <cell r="I1855" t="str">
            <v>عامل البيئة التاريخية</v>
          </cell>
          <cell r="J1855" t="str">
            <v>Off-Chart</v>
          </cell>
          <cell r="K1855" t="str">
            <v>Non-Payroll</v>
          </cell>
          <cell r="L1855" t="str">
            <v>99</v>
          </cell>
          <cell r="M1855" t="str">
            <v>Department of Culture and Tourism</v>
          </cell>
          <cell r="N1855" t="str">
            <v>Culture</v>
          </cell>
          <cell r="O1855" t="str">
            <v>الثقافة</v>
          </cell>
          <cell r="P1855" t="str">
            <v>Historic Environment</v>
          </cell>
          <cell r="Q1855" t="str">
            <v>البيئة التاريخية</v>
          </cell>
          <cell r="R1855" t="str">
            <v>Historic Buildings &amp; Landscapes</v>
          </cell>
          <cell r="S1855" t="str">
            <v>المباني والمسطحات التاريخية</v>
          </cell>
          <cell r="T1855" t="str">
            <v>Culture Sites Protection</v>
          </cell>
          <cell r="U1855" t="str">
            <v>حماية المواقع الثقافية</v>
          </cell>
          <cell r="V1855" t="str">
            <v>Al Ain</v>
          </cell>
          <cell r="W1855" t="str">
            <v/>
          </cell>
          <cell r="X1855" t="str">
            <v>4511300</v>
          </cell>
          <cell r="Y1855" t="str">
            <v>Content &amp; Care_Culture Sites Protection_Assistant &amp; Technical Staff</v>
          </cell>
          <cell r="Z1855" t="str">
            <v>Assistant and Technical Staff</v>
          </cell>
          <cell r="AA1855" t="str">
            <v>7A</v>
          </cell>
        </row>
        <row r="1856">
          <cell r="A1856">
            <v>5000086</v>
          </cell>
          <cell r="B1856">
            <v>5000086</v>
          </cell>
          <cell r="C1856" t="str">
            <v>A</v>
          </cell>
          <cell r="D1856" t="str">
            <v>Jacob Mathew</v>
          </cell>
          <cell r="E1856" t="str">
            <v>جاكوب  ماثيو</v>
          </cell>
          <cell r="F1856">
            <v>39670</v>
          </cell>
          <cell r="G1856" t="str">
            <v>47700839</v>
          </cell>
          <cell r="H1856" t="str">
            <v>Historic Environment Worker</v>
          </cell>
          <cell r="I1856" t="str">
            <v>عامل البيئة التاريخية</v>
          </cell>
          <cell r="J1856" t="str">
            <v>Off-Chart</v>
          </cell>
          <cell r="K1856" t="str">
            <v>Non-Payroll</v>
          </cell>
          <cell r="L1856" t="str">
            <v>99</v>
          </cell>
          <cell r="M1856" t="str">
            <v>Department of Culture and Tourism</v>
          </cell>
          <cell r="N1856" t="str">
            <v>Culture</v>
          </cell>
          <cell r="O1856" t="str">
            <v>الثقافة</v>
          </cell>
          <cell r="P1856" t="str">
            <v>Historic Environment</v>
          </cell>
          <cell r="Q1856" t="str">
            <v>البيئة التاريخية</v>
          </cell>
          <cell r="R1856" t="str">
            <v>Historic Buildings &amp; Landscapes</v>
          </cell>
          <cell r="S1856" t="str">
            <v>المباني والمسطحات التاريخية</v>
          </cell>
          <cell r="T1856" t="str">
            <v>Culture Sites Protection</v>
          </cell>
          <cell r="U1856" t="str">
            <v>حماية المواقع الثقافية</v>
          </cell>
          <cell r="V1856" t="str">
            <v>Al Ain</v>
          </cell>
          <cell r="W1856" t="str">
            <v/>
          </cell>
          <cell r="X1856" t="str">
            <v>4511300</v>
          </cell>
          <cell r="Y1856" t="str">
            <v>Content &amp; Care_Culture Sites Protection_Assistant &amp; Technical Staff</v>
          </cell>
          <cell r="Z1856" t="str">
            <v>Assistant and Technical Staff</v>
          </cell>
          <cell r="AA1856" t="str">
            <v>7A</v>
          </cell>
        </row>
        <row r="1857">
          <cell r="A1857">
            <v>5000087</v>
          </cell>
          <cell r="B1857">
            <v>5000087</v>
          </cell>
          <cell r="C1857" t="str">
            <v>A</v>
          </cell>
          <cell r="D1857" t="str">
            <v>Khaled Walnous</v>
          </cell>
          <cell r="E1857" t="str">
            <v>خالد  ولينوس</v>
          </cell>
          <cell r="F1857">
            <v>39670</v>
          </cell>
          <cell r="G1857" t="str">
            <v>47700840</v>
          </cell>
          <cell r="H1857" t="str">
            <v>Watchman</v>
          </cell>
          <cell r="I1857" t="str">
            <v>حارس</v>
          </cell>
          <cell r="J1857" t="str">
            <v>Off-Chart</v>
          </cell>
          <cell r="K1857" t="str">
            <v>Non-Payroll</v>
          </cell>
          <cell r="L1857" t="str">
            <v>99</v>
          </cell>
          <cell r="M1857" t="str">
            <v>Department of Culture and Tourism</v>
          </cell>
          <cell r="N1857" t="str">
            <v>Culture</v>
          </cell>
          <cell r="O1857" t="str">
            <v>الثقافة</v>
          </cell>
          <cell r="P1857" t="str">
            <v>Historic Environment</v>
          </cell>
          <cell r="Q1857" t="str">
            <v>البيئة التاريخية</v>
          </cell>
          <cell r="R1857" t="str">
            <v>Historic Buildings &amp; Landscapes</v>
          </cell>
          <cell r="S1857" t="str">
            <v>المباني والمسطحات التاريخية</v>
          </cell>
          <cell r="T1857" t="str">
            <v>Culture Sites Protection</v>
          </cell>
          <cell r="U1857" t="str">
            <v>حماية المواقع الثقافية</v>
          </cell>
          <cell r="V1857" t="str">
            <v>Al Ain</v>
          </cell>
          <cell r="W1857" t="str">
            <v/>
          </cell>
          <cell r="X1857" t="str">
            <v>4511300</v>
          </cell>
          <cell r="Y1857" t="str">
            <v>Content &amp; Care_Culture Sites Protection_Assistant &amp; Technical Staff</v>
          </cell>
          <cell r="Z1857" t="str">
            <v>Assistant and Technical Staff</v>
          </cell>
          <cell r="AA1857" t="str">
            <v>7A</v>
          </cell>
        </row>
        <row r="1858">
          <cell r="A1858">
            <v>5000088</v>
          </cell>
          <cell r="B1858">
            <v>5000088</v>
          </cell>
          <cell r="C1858" t="str">
            <v>A</v>
          </cell>
          <cell r="D1858" t="str">
            <v>Murad Ali Kamal</v>
          </cell>
          <cell r="E1858" t="str">
            <v>مراد علي كمال</v>
          </cell>
          <cell r="F1858">
            <v>39670</v>
          </cell>
          <cell r="G1858" t="str">
            <v>47700841</v>
          </cell>
          <cell r="H1858" t="str">
            <v>Historic Environment Worker</v>
          </cell>
          <cell r="I1858" t="str">
            <v>عامل البيئة التاريخية</v>
          </cell>
          <cell r="J1858" t="str">
            <v>Off-Chart</v>
          </cell>
          <cell r="K1858" t="str">
            <v>Non-Payroll</v>
          </cell>
          <cell r="L1858" t="str">
            <v>99</v>
          </cell>
          <cell r="M1858" t="str">
            <v>Department of Culture and Tourism</v>
          </cell>
          <cell r="N1858" t="str">
            <v>Culture</v>
          </cell>
          <cell r="O1858" t="str">
            <v>الثقافة</v>
          </cell>
          <cell r="P1858" t="str">
            <v>Historic Environment</v>
          </cell>
          <cell r="Q1858" t="str">
            <v>البيئة التاريخية</v>
          </cell>
          <cell r="R1858" t="str">
            <v>Historic Buildings &amp; Landscapes</v>
          </cell>
          <cell r="S1858" t="str">
            <v>المباني والمسطحات التاريخية</v>
          </cell>
          <cell r="T1858" t="str">
            <v>Culture Sites Protection</v>
          </cell>
          <cell r="U1858" t="str">
            <v>حماية المواقع الثقافية</v>
          </cell>
          <cell r="V1858" t="str">
            <v>Al Ain</v>
          </cell>
          <cell r="W1858" t="str">
            <v/>
          </cell>
          <cell r="X1858" t="str">
            <v>4511300</v>
          </cell>
          <cell r="Y1858" t="str">
            <v>Content &amp; Care_Culture Sites Protection_Assistant &amp; Technical Staff</v>
          </cell>
          <cell r="Z1858" t="str">
            <v>Assistant and Technical Staff</v>
          </cell>
          <cell r="AA1858" t="str">
            <v>7A</v>
          </cell>
        </row>
        <row r="1859">
          <cell r="A1859">
            <v>5000089</v>
          </cell>
          <cell r="B1859">
            <v>5000089</v>
          </cell>
          <cell r="C1859" t="str">
            <v>A</v>
          </cell>
          <cell r="D1859" t="str">
            <v>Osman Gureshi</v>
          </cell>
          <cell r="E1859" t="str">
            <v>عثمان  قرشي</v>
          </cell>
          <cell r="F1859">
            <v>39670</v>
          </cell>
          <cell r="G1859" t="str">
            <v>47700842</v>
          </cell>
          <cell r="H1859" t="str">
            <v>Historic Environment Worker</v>
          </cell>
          <cell r="I1859" t="str">
            <v>عامل البيئة التاريخية</v>
          </cell>
          <cell r="J1859" t="str">
            <v>Off-Chart</v>
          </cell>
          <cell r="K1859" t="str">
            <v>Non-Payroll</v>
          </cell>
          <cell r="L1859" t="str">
            <v>99</v>
          </cell>
          <cell r="M1859" t="str">
            <v>Department of Culture and Tourism</v>
          </cell>
          <cell r="N1859" t="str">
            <v>Culture</v>
          </cell>
          <cell r="O1859" t="str">
            <v>الثقافة</v>
          </cell>
          <cell r="P1859" t="str">
            <v>Historic Environment</v>
          </cell>
          <cell r="Q1859" t="str">
            <v>البيئة التاريخية</v>
          </cell>
          <cell r="R1859" t="str">
            <v>Historic Buildings &amp; Landscapes</v>
          </cell>
          <cell r="S1859" t="str">
            <v>المباني والمسطحات التاريخية</v>
          </cell>
          <cell r="T1859" t="str">
            <v>Culture Sites Protection</v>
          </cell>
          <cell r="U1859" t="str">
            <v>حماية المواقع الثقافية</v>
          </cell>
          <cell r="V1859" t="str">
            <v>Al Ain</v>
          </cell>
          <cell r="W1859" t="str">
            <v/>
          </cell>
          <cell r="X1859" t="str">
            <v>4511300</v>
          </cell>
          <cell r="Y1859" t="str">
            <v>Content &amp; Care_Culture Sites Protection_Assistant &amp; Technical Staff</v>
          </cell>
          <cell r="Z1859" t="str">
            <v>Assistant and Technical Staff</v>
          </cell>
          <cell r="AA1859" t="str">
            <v>7A</v>
          </cell>
        </row>
        <row r="1860">
          <cell r="A1860">
            <v>5000090</v>
          </cell>
          <cell r="B1860">
            <v>5000090</v>
          </cell>
          <cell r="C1860" t="str">
            <v>A</v>
          </cell>
          <cell r="D1860" t="str">
            <v>Rafig ullah Gul Rasol</v>
          </cell>
          <cell r="E1860" t="str">
            <v>رفيق الله جول رسول</v>
          </cell>
          <cell r="F1860">
            <v>39670</v>
          </cell>
          <cell r="G1860" t="str">
            <v>47700843</v>
          </cell>
          <cell r="H1860" t="str">
            <v>Historic Environment Worker</v>
          </cell>
          <cell r="I1860" t="str">
            <v>عامل البيئة التاريخية</v>
          </cell>
          <cell r="J1860" t="str">
            <v>Off-Chart</v>
          </cell>
          <cell r="K1860" t="str">
            <v>Non-Payroll</v>
          </cell>
          <cell r="L1860" t="str">
            <v>99</v>
          </cell>
          <cell r="M1860" t="str">
            <v>Department of Culture and Tourism</v>
          </cell>
          <cell r="N1860" t="str">
            <v>Culture</v>
          </cell>
          <cell r="O1860" t="str">
            <v>الثقافة</v>
          </cell>
          <cell r="P1860" t="str">
            <v>Historic Environment</v>
          </cell>
          <cell r="Q1860" t="str">
            <v>البيئة التاريخية</v>
          </cell>
          <cell r="R1860" t="str">
            <v>Historic Buildings &amp; Landscapes</v>
          </cell>
          <cell r="S1860" t="str">
            <v>المباني والمسطحات التاريخية</v>
          </cell>
          <cell r="T1860" t="str">
            <v>Culture Sites Protection</v>
          </cell>
          <cell r="U1860" t="str">
            <v>حماية المواقع الثقافية</v>
          </cell>
          <cell r="V1860" t="str">
            <v>Al Ain</v>
          </cell>
          <cell r="W1860" t="str">
            <v/>
          </cell>
          <cell r="X1860" t="str">
            <v>4511300</v>
          </cell>
          <cell r="Y1860" t="str">
            <v>Content &amp; Care_Culture Sites Protection_Assistant &amp; Technical Staff</v>
          </cell>
          <cell r="Z1860" t="str">
            <v>Assistant and Technical Staff</v>
          </cell>
          <cell r="AA1860" t="str">
            <v>7A</v>
          </cell>
        </row>
        <row r="1861">
          <cell r="A1861">
            <v>5000091</v>
          </cell>
          <cell r="B1861">
            <v>5000091</v>
          </cell>
          <cell r="C1861" t="str">
            <v>A</v>
          </cell>
          <cell r="D1861" t="str">
            <v>Rauf Khan Mehboob</v>
          </cell>
          <cell r="E1861" t="str">
            <v>رؤوف خان محبوب</v>
          </cell>
          <cell r="F1861">
            <v>39670</v>
          </cell>
          <cell r="G1861" t="str">
            <v>47700844</v>
          </cell>
          <cell r="H1861" t="str">
            <v>Historic Environment Worker</v>
          </cell>
          <cell r="I1861" t="str">
            <v>عامل البيئة التاريخية</v>
          </cell>
          <cell r="J1861" t="str">
            <v>Off-Chart</v>
          </cell>
          <cell r="K1861" t="str">
            <v>Non-Payroll</v>
          </cell>
          <cell r="L1861" t="str">
            <v>99</v>
          </cell>
          <cell r="M1861" t="str">
            <v>Department of Culture and Tourism</v>
          </cell>
          <cell r="N1861" t="str">
            <v>Culture</v>
          </cell>
          <cell r="O1861" t="str">
            <v>الثقافة</v>
          </cell>
          <cell r="P1861" t="str">
            <v>Historic Environment</v>
          </cell>
          <cell r="Q1861" t="str">
            <v>البيئة التاريخية</v>
          </cell>
          <cell r="R1861" t="str">
            <v>Historic Buildings &amp; Landscapes</v>
          </cell>
          <cell r="S1861" t="str">
            <v>المباني والمسطحات التاريخية</v>
          </cell>
          <cell r="T1861" t="str">
            <v>Culture Sites Protection</v>
          </cell>
          <cell r="U1861" t="str">
            <v>حماية المواقع الثقافية</v>
          </cell>
          <cell r="V1861" t="str">
            <v>Al Ain</v>
          </cell>
          <cell r="W1861" t="str">
            <v/>
          </cell>
          <cell r="X1861" t="str">
            <v>4511300</v>
          </cell>
          <cell r="Y1861" t="str">
            <v>Content &amp; Care_Culture Sites Protection_Assistant &amp; Technical Staff</v>
          </cell>
          <cell r="Z1861" t="str">
            <v>Assistant and Technical Staff</v>
          </cell>
          <cell r="AA1861" t="str">
            <v>7A</v>
          </cell>
        </row>
        <row r="1862">
          <cell r="A1862">
            <v>5000092</v>
          </cell>
          <cell r="B1862">
            <v>5000092</v>
          </cell>
          <cell r="C1862" t="str">
            <v>A</v>
          </cell>
          <cell r="D1862" t="str">
            <v>Zahid Ali Sayad</v>
          </cell>
          <cell r="E1862" t="str">
            <v>زاهد علي سيد</v>
          </cell>
          <cell r="F1862">
            <v>39670</v>
          </cell>
          <cell r="G1862" t="str">
            <v>47700845</v>
          </cell>
          <cell r="H1862" t="str">
            <v>Historic Environment Worker</v>
          </cell>
          <cell r="I1862" t="str">
            <v>عامل البيئة التاريخية</v>
          </cell>
          <cell r="J1862" t="str">
            <v>Off-Chart</v>
          </cell>
          <cell r="K1862" t="str">
            <v>Non-Payroll</v>
          </cell>
          <cell r="L1862" t="str">
            <v>99</v>
          </cell>
          <cell r="M1862" t="str">
            <v>Department of Culture and Tourism</v>
          </cell>
          <cell r="N1862" t="str">
            <v>Culture</v>
          </cell>
          <cell r="O1862" t="str">
            <v>الثقافة</v>
          </cell>
          <cell r="P1862" t="str">
            <v>Historic Environment</v>
          </cell>
          <cell r="Q1862" t="str">
            <v>البيئة التاريخية</v>
          </cell>
          <cell r="R1862" t="str">
            <v>Historic Buildings &amp; Landscapes</v>
          </cell>
          <cell r="S1862" t="str">
            <v>المباني والمسطحات التاريخية</v>
          </cell>
          <cell r="T1862" t="str">
            <v>Culture Sites Protection</v>
          </cell>
          <cell r="U1862" t="str">
            <v>حماية المواقع الثقافية</v>
          </cell>
          <cell r="V1862" t="str">
            <v>Al Ain</v>
          </cell>
          <cell r="W1862" t="str">
            <v/>
          </cell>
          <cell r="X1862" t="str">
            <v>4511300</v>
          </cell>
          <cell r="Y1862" t="str">
            <v>Content &amp; Care_Culture Sites Protection_Assistant &amp; Technical Staff</v>
          </cell>
          <cell r="Z1862" t="str">
            <v>Assistant and Technical Staff</v>
          </cell>
          <cell r="AA1862" t="str">
            <v>7A</v>
          </cell>
        </row>
        <row r="1863">
          <cell r="A1863">
            <v>5000093</v>
          </cell>
          <cell r="B1863">
            <v>5000093</v>
          </cell>
          <cell r="C1863" t="str">
            <v>A</v>
          </cell>
          <cell r="D1863" t="str">
            <v>Mohammed Mozammel Hoque</v>
          </cell>
          <cell r="E1863" t="str">
            <v>محمد موزاميل الحق</v>
          </cell>
          <cell r="F1863">
            <v>39698</v>
          </cell>
          <cell r="G1863" t="str">
            <v>47700846</v>
          </cell>
          <cell r="H1863" t="str">
            <v>Watchman</v>
          </cell>
          <cell r="I1863" t="str">
            <v>حارس</v>
          </cell>
          <cell r="J1863" t="str">
            <v>Off-Chart</v>
          </cell>
          <cell r="K1863" t="str">
            <v>DCT Payroll</v>
          </cell>
          <cell r="L1863" t="str">
            <v>A1</v>
          </cell>
          <cell r="M1863" t="str">
            <v>Department of Culture and Tourism</v>
          </cell>
          <cell r="N1863" t="str">
            <v>Culture</v>
          </cell>
          <cell r="O1863" t="str">
            <v>الثقافة</v>
          </cell>
          <cell r="P1863" t="str">
            <v>Historic Environment</v>
          </cell>
          <cell r="Q1863" t="str">
            <v>البيئة التاريخية</v>
          </cell>
          <cell r="R1863" t="str">
            <v>Historic Buildings &amp; Landscapes</v>
          </cell>
          <cell r="S1863" t="str">
            <v>المباني والمسطحات التاريخية</v>
          </cell>
          <cell r="T1863" t="str">
            <v>Culture Sites Protection</v>
          </cell>
          <cell r="U1863" t="str">
            <v>حماية المواقع الثقافية</v>
          </cell>
          <cell r="V1863" t="str">
            <v>Al Ain</v>
          </cell>
          <cell r="W1863" t="str">
            <v/>
          </cell>
          <cell r="X1863" t="str">
            <v>4511300</v>
          </cell>
          <cell r="Y1863" t="str">
            <v>Content &amp; Care_Culture Sites Protection_Assistant &amp; Technical Staff</v>
          </cell>
          <cell r="Z1863" t="str">
            <v>Assistant and Technical Staff</v>
          </cell>
          <cell r="AA1863" t="str">
            <v>14</v>
          </cell>
        </row>
        <row r="1864">
          <cell r="A1864">
            <v>5000094</v>
          </cell>
          <cell r="B1864">
            <v>5000094</v>
          </cell>
          <cell r="C1864" t="str">
            <v>A</v>
          </cell>
          <cell r="D1864" t="str">
            <v>Abdul Salam Kaipan Kan</v>
          </cell>
          <cell r="E1864" t="str">
            <v>عبدالسلام كايبان كاندي</v>
          </cell>
          <cell r="F1864">
            <v>39726</v>
          </cell>
          <cell r="G1864" t="str">
            <v>47700847</v>
          </cell>
          <cell r="H1864" t="str">
            <v>Office Boy</v>
          </cell>
          <cell r="I1864" t="str">
            <v>مراسل مكتب</v>
          </cell>
          <cell r="J1864" t="str">
            <v>Off-Chart</v>
          </cell>
          <cell r="K1864" t="str">
            <v>Non-Payroll</v>
          </cell>
          <cell r="L1864" t="str">
            <v>99</v>
          </cell>
          <cell r="M1864" t="str">
            <v>Department of Culture and Tourism</v>
          </cell>
          <cell r="N1864" t="str">
            <v>Culture</v>
          </cell>
          <cell r="O1864" t="str">
            <v>الثقافة</v>
          </cell>
          <cell r="P1864" t="str">
            <v>Historic Environment</v>
          </cell>
          <cell r="Q1864" t="str">
            <v>البيئة التاريخية</v>
          </cell>
          <cell r="R1864" t="str">
            <v>Historic Buildings &amp; Landscapes</v>
          </cell>
          <cell r="S1864" t="str">
            <v>المباني والمسطحات التاريخية</v>
          </cell>
          <cell r="T1864" t="str">
            <v>Culture Sites Protection</v>
          </cell>
          <cell r="U1864" t="str">
            <v>حماية المواقع الثقافية</v>
          </cell>
          <cell r="V1864" t="str">
            <v>Al Ain</v>
          </cell>
          <cell r="W1864" t="str">
            <v/>
          </cell>
          <cell r="X1864" t="str">
            <v>4511300</v>
          </cell>
          <cell r="Y1864" t="str">
            <v>Content &amp; Care_Culture Sites Protection_Assistant &amp; Technical Staff</v>
          </cell>
          <cell r="Z1864" t="str">
            <v>Assistant and Technical Staff</v>
          </cell>
          <cell r="AA1864" t="str">
            <v>7A</v>
          </cell>
        </row>
        <row r="1865">
          <cell r="A1865">
            <v>5000096</v>
          </cell>
          <cell r="B1865">
            <v>5000096</v>
          </cell>
          <cell r="C1865" t="str">
            <v>A</v>
          </cell>
          <cell r="D1865" t="str">
            <v>Rafeek Thirumangalath Kunnummal</v>
          </cell>
          <cell r="E1865" t="str">
            <v>رفيق ثيرومانجالات كونوملا</v>
          </cell>
          <cell r="F1865">
            <v>39747</v>
          </cell>
          <cell r="G1865" t="str">
            <v>47700849</v>
          </cell>
          <cell r="H1865" t="str">
            <v>Office Boy</v>
          </cell>
          <cell r="I1865" t="str">
            <v>مراسل مكتب</v>
          </cell>
          <cell r="J1865" t="str">
            <v>Off-Chart</v>
          </cell>
          <cell r="K1865" t="str">
            <v>Non-Payroll</v>
          </cell>
          <cell r="L1865" t="str">
            <v>99</v>
          </cell>
          <cell r="M1865" t="str">
            <v>Department of Culture and Tourism</v>
          </cell>
          <cell r="N1865" t="str">
            <v>Support Services</v>
          </cell>
          <cell r="O1865" t="str">
            <v>الخدمات المساندة</v>
          </cell>
          <cell r="P1865" t="str">
            <v>People &amp; Performance</v>
          </cell>
          <cell r="Q1865" t="str">
            <v>إدارة الكوادر البشرية والأداء</v>
          </cell>
          <cell r="R1865" t="str">
            <v/>
          </cell>
          <cell r="S1865" t="str">
            <v/>
          </cell>
          <cell r="T1865" t="str">
            <v/>
          </cell>
          <cell r="U1865" t="str">
            <v/>
          </cell>
          <cell r="V1865" t="str">
            <v>Al Ain</v>
          </cell>
          <cell r="W1865" t="str">
            <v/>
          </cell>
          <cell r="X1865" t="str">
            <v>4510220</v>
          </cell>
          <cell r="Y1865" t="str">
            <v>Admin &amp; Support_Travel &amp; Hospitality (People &amp; Performance)_Senior Professional</v>
          </cell>
          <cell r="Z1865" t="str">
            <v>Professional</v>
          </cell>
          <cell r="AA1865" t="str">
            <v>7A</v>
          </cell>
        </row>
        <row r="1866">
          <cell r="A1866">
            <v>5000097</v>
          </cell>
          <cell r="B1866">
            <v>5000097</v>
          </cell>
          <cell r="C1866" t="str">
            <v>A</v>
          </cell>
          <cell r="D1866" t="str">
            <v>Wasantha Elvitigala</v>
          </cell>
          <cell r="E1866" t="str">
            <v>واسانثا  الفيتبيجالا</v>
          </cell>
          <cell r="F1866">
            <v>39747</v>
          </cell>
          <cell r="G1866" t="str">
            <v>47700850</v>
          </cell>
          <cell r="H1866" t="str">
            <v>Historic Environment Worker</v>
          </cell>
          <cell r="I1866" t="str">
            <v>عامل البيئة التاريخية</v>
          </cell>
          <cell r="J1866" t="str">
            <v>Off-Chart</v>
          </cell>
          <cell r="K1866" t="str">
            <v>Non-Payroll</v>
          </cell>
          <cell r="L1866" t="str">
            <v>99</v>
          </cell>
          <cell r="M1866" t="str">
            <v>Department of Culture and Tourism</v>
          </cell>
          <cell r="N1866" t="str">
            <v>Culture</v>
          </cell>
          <cell r="O1866" t="str">
            <v>الثقافة</v>
          </cell>
          <cell r="P1866" t="str">
            <v>Historic Environment</v>
          </cell>
          <cell r="Q1866" t="str">
            <v>البيئة التاريخية</v>
          </cell>
          <cell r="R1866" t="str">
            <v>Historic Buildings &amp; Landscapes</v>
          </cell>
          <cell r="S1866" t="str">
            <v>المباني والمسطحات التاريخية</v>
          </cell>
          <cell r="T1866" t="str">
            <v>Culture Sites Protection</v>
          </cell>
          <cell r="U1866" t="str">
            <v>حماية المواقع الثقافية</v>
          </cell>
          <cell r="V1866" t="str">
            <v>Al Ain</v>
          </cell>
          <cell r="W1866" t="str">
            <v/>
          </cell>
          <cell r="X1866" t="str">
            <v>4511300</v>
          </cell>
          <cell r="Y1866" t="str">
            <v>Content &amp; Care_Culture Sites Protection_Assistant &amp; Technical Staff</v>
          </cell>
          <cell r="Z1866" t="str">
            <v>Assistant and Technical Staff</v>
          </cell>
          <cell r="AA1866" t="str">
            <v>7A</v>
          </cell>
        </row>
        <row r="1867">
          <cell r="A1867">
            <v>5000098</v>
          </cell>
          <cell r="B1867">
            <v>5000098</v>
          </cell>
          <cell r="C1867" t="str">
            <v>A</v>
          </cell>
          <cell r="D1867" t="str">
            <v>Nasser Awadh Abdulla</v>
          </cell>
          <cell r="E1867" t="str">
            <v>ناصر عبدالله عوض</v>
          </cell>
          <cell r="F1867">
            <v>39803</v>
          </cell>
          <cell r="G1867" t="str">
            <v>47700851</v>
          </cell>
          <cell r="H1867" t="str">
            <v>Driver</v>
          </cell>
          <cell r="I1867" t="str">
            <v>سائق</v>
          </cell>
          <cell r="J1867" t="str">
            <v>Off-Chart</v>
          </cell>
          <cell r="K1867" t="str">
            <v>Non-Payroll</v>
          </cell>
          <cell r="L1867" t="str">
            <v>99</v>
          </cell>
          <cell r="M1867" t="str">
            <v>Department of Culture and Tourism</v>
          </cell>
          <cell r="N1867" t="str">
            <v>Culture</v>
          </cell>
          <cell r="O1867" t="str">
            <v>الثقافة</v>
          </cell>
          <cell r="P1867" t="str">
            <v>Historic Environment</v>
          </cell>
          <cell r="Q1867" t="str">
            <v>البيئة التاريخية</v>
          </cell>
          <cell r="R1867" t="str">
            <v>Historic Buildings &amp; Landscapes</v>
          </cell>
          <cell r="S1867" t="str">
            <v>المباني والمسطحات التاريخية</v>
          </cell>
          <cell r="T1867" t="str">
            <v>Culture Sites Protection</v>
          </cell>
          <cell r="U1867" t="str">
            <v>حماية المواقع الثقافية</v>
          </cell>
          <cell r="V1867" t="str">
            <v>Al Ain</v>
          </cell>
          <cell r="W1867" t="str">
            <v/>
          </cell>
          <cell r="X1867" t="str">
            <v>4511300</v>
          </cell>
          <cell r="Y1867" t="str">
            <v>Content &amp; Care_Culture Sites Protection_Assistant &amp; Technical Staff</v>
          </cell>
          <cell r="Z1867" t="str">
            <v>Assistant and Technical Staff</v>
          </cell>
          <cell r="AA1867" t="str">
            <v>7A</v>
          </cell>
        </row>
        <row r="1868">
          <cell r="A1868">
            <v>5000099</v>
          </cell>
          <cell r="B1868">
            <v>5000099</v>
          </cell>
          <cell r="C1868" t="str">
            <v>A</v>
          </cell>
          <cell r="D1868" t="str">
            <v>Meerasaibu Abdul Kareem</v>
          </cell>
          <cell r="E1868" t="str">
            <v>ميرا صاحب عبد الكريم</v>
          </cell>
          <cell r="F1868">
            <v>39887</v>
          </cell>
          <cell r="G1868" t="str">
            <v>47700852</v>
          </cell>
          <cell r="H1868" t="str">
            <v>Historic Environment Worker</v>
          </cell>
          <cell r="I1868" t="str">
            <v>عامل البيئة التاريخية</v>
          </cell>
          <cell r="J1868" t="str">
            <v>Off-Chart</v>
          </cell>
          <cell r="K1868" t="str">
            <v>Non-Payroll</v>
          </cell>
          <cell r="L1868" t="str">
            <v>99</v>
          </cell>
          <cell r="M1868" t="str">
            <v>Department of Culture and Tourism</v>
          </cell>
          <cell r="N1868" t="str">
            <v>Culture</v>
          </cell>
          <cell r="O1868" t="str">
            <v>الثقافة</v>
          </cell>
          <cell r="P1868" t="str">
            <v>Historic Environment</v>
          </cell>
          <cell r="Q1868" t="str">
            <v>البيئة التاريخية</v>
          </cell>
          <cell r="R1868" t="str">
            <v>Historic Buildings &amp; Landscapes</v>
          </cell>
          <cell r="S1868" t="str">
            <v>المباني والمسطحات التاريخية</v>
          </cell>
          <cell r="T1868" t="str">
            <v>Culture Sites Protection</v>
          </cell>
          <cell r="U1868" t="str">
            <v>حماية المواقع الثقافية</v>
          </cell>
          <cell r="V1868" t="str">
            <v>Al Ain</v>
          </cell>
          <cell r="W1868" t="str">
            <v/>
          </cell>
          <cell r="X1868" t="str">
            <v>4511300</v>
          </cell>
          <cell r="Y1868" t="str">
            <v>Content &amp; Care_Culture Sites Protection_Assistant &amp; Technical Staff</v>
          </cell>
          <cell r="Z1868" t="str">
            <v>Assistant and Technical Staff</v>
          </cell>
          <cell r="AA1868" t="str">
            <v>7A</v>
          </cell>
        </row>
        <row r="1869">
          <cell r="A1869">
            <v>5000100</v>
          </cell>
          <cell r="B1869">
            <v>5000100</v>
          </cell>
          <cell r="C1869" t="str">
            <v>A</v>
          </cell>
          <cell r="D1869" t="str">
            <v>Abdel Halim Khatab Hassan</v>
          </cell>
          <cell r="E1869" t="str">
            <v>عبد الحليم خطاب حسن</v>
          </cell>
          <cell r="F1869">
            <v>39938</v>
          </cell>
          <cell r="G1869" t="str">
            <v>47700853</v>
          </cell>
          <cell r="H1869" t="str">
            <v>Historic Environment Worker</v>
          </cell>
          <cell r="I1869" t="str">
            <v>عامل البيئة التاريخية</v>
          </cell>
          <cell r="J1869" t="str">
            <v>Off-Chart</v>
          </cell>
          <cell r="K1869" t="str">
            <v>Non-Payroll</v>
          </cell>
          <cell r="L1869" t="str">
            <v>99</v>
          </cell>
          <cell r="M1869" t="str">
            <v>Department of Culture and Tourism</v>
          </cell>
          <cell r="N1869" t="str">
            <v>Culture</v>
          </cell>
          <cell r="O1869" t="str">
            <v>الثقافة</v>
          </cell>
          <cell r="P1869" t="str">
            <v>Historic Environment</v>
          </cell>
          <cell r="Q1869" t="str">
            <v>البيئة التاريخية</v>
          </cell>
          <cell r="R1869" t="str">
            <v>Historic Buildings &amp; Landscapes</v>
          </cell>
          <cell r="S1869" t="str">
            <v>المباني والمسطحات التاريخية</v>
          </cell>
          <cell r="T1869" t="str">
            <v>Culture Sites Protection</v>
          </cell>
          <cell r="U1869" t="str">
            <v>حماية المواقع الثقافية</v>
          </cell>
          <cell r="V1869" t="str">
            <v>Al Ain</v>
          </cell>
          <cell r="W1869" t="str">
            <v/>
          </cell>
          <cell r="X1869" t="str">
            <v>4511300</v>
          </cell>
          <cell r="Y1869" t="str">
            <v>Content &amp; Care_Culture Sites Protection_Assistant &amp; Technical Staff</v>
          </cell>
          <cell r="Z1869" t="str">
            <v>Assistant and Technical Staff</v>
          </cell>
          <cell r="AA1869" t="str">
            <v>7A</v>
          </cell>
        </row>
        <row r="1870">
          <cell r="A1870">
            <v>5000101</v>
          </cell>
          <cell r="B1870">
            <v>5000101</v>
          </cell>
          <cell r="C1870" t="str">
            <v>A</v>
          </cell>
          <cell r="D1870" t="str">
            <v>Safi Hadi Kareem</v>
          </cell>
          <cell r="E1870" t="str">
            <v>صافي هادي كريم</v>
          </cell>
          <cell r="F1870">
            <v>39995</v>
          </cell>
          <cell r="G1870" t="str">
            <v>47700854</v>
          </cell>
          <cell r="H1870" t="str">
            <v>Driver</v>
          </cell>
          <cell r="I1870" t="str">
            <v>سائق</v>
          </cell>
          <cell r="J1870" t="str">
            <v>Off-Chart</v>
          </cell>
          <cell r="K1870" t="str">
            <v>Non-Payroll</v>
          </cell>
          <cell r="L1870" t="str">
            <v>99</v>
          </cell>
          <cell r="M1870" t="str">
            <v>Department of Culture and Tourism</v>
          </cell>
          <cell r="N1870" t="str">
            <v>Support Services</v>
          </cell>
          <cell r="O1870" t="str">
            <v>الخدمات المساندة</v>
          </cell>
          <cell r="P1870" t="str">
            <v>People &amp; Performance</v>
          </cell>
          <cell r="Q1870" t="str">
            <v>إدارة الكوادر البشرية والأداء</v>
          </cell>
          <cell r="R1870" t="str">
            <v>Rewards &amp; Policy</v>
          </cell>
          <cell r="S1870" t="str">
            <v>المكافآت والسياسات</v>
          </cell>
          <cell r="T1870" t="str">
            <v/>
          </cell>
          <cell r="U1870" t="str">
            <v/>
          </cell>
          <cell r="V1870" t="str">
            <v>Al Ain</v>
          </cell>
          <cell r="W1870" t="str">
            <v/>
          </cell>
          <cell r="X1870" t="str">
            <v>4510220</v>
          </cell>
          <cell r="Y1870" t="str">
            <v>Comms &amp; Marketing _Marketing &amp; Communications (All)_Professional</v>
          </cell>
          <cell r="Z1870" t="str">
            <v>Professional</v>
          </cell>
          <cell r="AA1870" t="str">
            <v>7A</v>
          </cell>
        </row>
        <row r="1871">
          <cell r="A1871">
            <v>5000102</v>
          </cell>
          <cell r="B1871">
            <v>5000102</v>
          </cell>
          <cell r="C1871" t="str">
            <v>A</v>
          </cell>
          <cell r="D1871" t="str">
            <v>Afsar Wali Mehrab Khan</v>
          </cell>
          <cell r="E1871" t="str">
            <v>أفسار مهراب خان</v>
          </cell>
          <cell r="F1871">
            <v>40016</v>
          </cell>
          <cell r="G1871" t="str">
            <v>47700855</v>
          </cell>
          <cell r="H1871" t="str">
            <v>Watchman</v>
          </cell>
          <cell r="I1871" t="str">
            <v>حارس</v>
          </cell>
          <cell r="J1871" t="str">
            <v>Off-Chart</v>
          </cell>
          <cell r="K1871" t="str">
            <v>Non-Payroll</v>
          </cell>
          <cell r="L1871" t="str">
            <v>99</v>
          </cell>
          <cell r="M1871" t="str">
            <v>Department of Culture and Tourism</v>
          </cell>
          <cell r="N1871" t="str">
            <v>Culture</v>
          </cell>
          <cell r="O1871" t="str">
            <v>الثقافة</v>
          </cell>
          <cell r="P1871" t="str">
            <v>Historic Environment</v>
          </cell>
          <cell r="Q1871" t="str">
            <v>البيئة التاريخية</v>
          </cell>
          <cell r="R1871" t="str">
            <v>Historic Buildings &amp; Landscapes</v>
          </cell>
          <cell r="S1871" t="str">
            <v>المباني والمسطحات التاريخية</v>
          </cell>
          <cell r="T1871" t="str">
            <v>Culture Sites Protection</v>
          </cell>
          <cell r="U1871" t="str">
            <v>حماية المواقع الثقافية</v>
          </cell>
          <cell r="V1871" t="str">
            <v>Al Ain</v>
          </cell>
          <cell r="W1871" t="str">
            <v/>
          </cell>
          <cell r="X1871" t="str">
            <v>4511300</v>
          </cell>
          <cell r="Y1871" t="str">
            <v>Content &amp; Care_Culture Sites Protection_Assistant &amp; Technical Staff</v>
          </cell>
          <cell r="Z1871" t="str">
            <v>Assistant and Technical Staff</v>
          </cell>
          <cell r="AA1871" t="str">
            <v>7A</v>
          </cell>
        </row>
        <row r="1872">
          <cell r="A1872">
            <v>5000103</v>
          </cell>
          <cell r="B1872">
            <v>5000103</v>
          </cell>
          <cell r="C1872" t="str">
            <v>A</v>
          </cell>
          <cell r="D1872" t="str">
            <v>Abdul Khaliq Mohammad</v>
          </cell>
          <cell r="E1872" t="str">
            <v>عبد الخالق نور محمد</v>
          </cell>
          <cell r="F1872">
            <v>40052</v>
          </cell>
          <cell r="G1872" t="str">
            <v>47700856</v>
          </cell>
          <cell r="H1872" t="str">
            <v>Historic Environment Worker</v>
          </cell>
          <cell r="I1872" t="str">
            <v>عامل البيئة التاريخية</v>
          </cell>
          <cell r="J1872" t="str">
            <v>Off-Chart</v>
          </cell>
          <cell r="K1872" t="str">
            <v>Non-Payroll</v>
          </cell>
          <cell r="L1872" t="str">
            <v>99</v>
          </cell>
          <cell r="M1872" t="str">
            <v>Department of Culture and Tourism</v>
          </cell>
          <cell r="N1872" t="str">
            <v>Culture</v>
          </cell>
          <cell r="O1872" t="str">
            <v>الثقافة</v>
          </cell>
          <cell r="P1872" t="str">
            <v>Historic Environment</v>
          </cell>
          <cell r="Q1872" t="str">
            <v>البيئة التاريخية</v>
          </cell>
          <cell r="R1872" t="str">
            <v>Historic Buildings &amp; Landscapes</v>
          </cell>
          <cell r="S1872" t="str">
            <v>المباني والمسطحات التاريخية</v>
          </cell>
          <cell r="T1872" t="str">
            <v>Culture Sites Protection</v>
          </cell>
          <cell r="U1872" t="str">
            <v>حماية المواقع الثقافية</v>
          </cell>
          <cell r="V1872" t="str">
            <v>Al Ain</v>
          </cell>
          <cell r="W1872" t="str">
            <v/>
          </cell>
          <cell r="X1872" t="str">
            <v>4511300</v>
          </cell>
          <cell r="Y1872" t="str">
            <v>Content &amp; Care_Culture Sites Protection_Assistant &amp; Technical Staff</v>
          </cell>
          <cell r="Z1872" t="str">
            <v>Assistant and Technical Staff</v>
          </cell>
          <cell r="AA1872" t="str">
            <v>7A</v>
          </cell>
        </row>
        <row r="1873">
          <cell r="A1873">
            <v>5000104</v>
          </cell>
          <cell r="B1873">
            <v>5000104</v>
          </cell>
          <cell r="C1873" t="str">
            <v>A</v>
          </cell>
          <cell r="D1873" t="str">
            <v>Muhammad Aziz Sharif</v>
          </cell>
          <cell r="E1873" t="str">
            <v>محمد عزيز شريف</v>
          </cell>
          <cell r="F1873">
            <v>40052</v>
          </cell>
          <cell r="G1873" t="str">
            <v>47700857</v>
          </cell>
          <cell r="H1873" t="str">
            <v>Historic Environment Worker</v>
          </cell>
          <cell r="I1873" t="str">
            <v>عامل البيئة التاريخية</v>
          </cell>
          <cell r="J1873" t="str">
            <v>Off-Chart</v>
          </cell>
          <cell r="K1873" t="str">
            <v>Non-Payroll</v>
          </cell>
          <cell r="L1873" t="str">
            <v>99</v>
          </cell>
          <cell r="M1873" t="str">
            <v>Department of Culture and Tourism</v>
          </cell>
          <cell r="N1873" t="str">
            <v>Culture</v>
          </cell>
          <cell r="O1873" t="str">
            <v>الثقافة</v>
          </cell>
          <cell r="P1873" t="str">
            <v>Historic Environment</v>
          </cell>
          <cell r="Q1873" t="str">
            <v>البيئة التاريخية</v>
          </cell>
          <cell r="R1873" t="str">
            <v>Historic Buildings &amp; Landscapes</v>
          </cell>
          <cell r="S1873" t="str">
            <v>المباني والمسطحات التاريخية</v>
          </cell>
          <cell r="T1873" t="str">
            <v>Culture Sites Protection</v>
          </cell>
          <cell r="U1873" t="str">
            <v>حماية المواقع الثقافية</v>
          </cell>
          <cell r="V1873" t="str">
            <v>Al Ain</v>
          </cell>
          <cell r="W1873" t="str">
            <v/>
          </cell>
          <cell r="X1873" t="str">
            <v>4511300</v>
          </cell>
          <cell r="Y1873" t="str">
            <v>Content &amp; Care_Culture Sites Protection_Assistant &amp; Technical Staff</v>
          </cell>
          <cell r="Z1873" t="str">
            <v>Assistant and Technical Staff</v>
          </cell>
          <cell r="AA1873" t="str">
            <v>7A</v>
          </cell>
        </row>
        <row r="1874">
          <cell r="A1874">
            <v>5000105</v>
          </cell>
          <cell r="B1874">
            <v>5000105</v>
          </cell>
          <cell r="C1874" t="str">
            <v>A</v>
          </cell>
          <cell r="D1874" t="str">
            <v>Muhammad Iqbal Khan</v>
          </cell>
          <cell r="E1874" t="str">
            <v>محمد إقبال خان</v>
          </cell>
          <cell r="F1874">
            <v>40052</v>
          </cell>
          <cell r="G1874" t="str">
            <v>47700858</v>
          </cell>
          <cell r="H1874" t="str">
            <v>Historic Environment Worker</v>
          </cell>
          <cell r="I1874" t="str">
            <v>عامل البيئة التاريخية</v>
          </cell>
          <cell r="J1874" t="str">
            <v>Off-Chart</v>
          </cell>
          <cell r="K1874" t="str">
            <v>Non-Payroll</v>
          </cell>
          <cell r="L1874" t="str">
            <v>99</v>
          </cell>
          <cell r="M1874" t="str">
            <v>Department of Culture and Tourism</v>
          </cell>
          <cell r="N1874" t="str">
            <v>Culture</v>
          </cell>
          <cell r="O1874" t="str">
            <v>الثقافة</v>
          </cell>
          <cell r="P1874" t="str">
            <v>Historic Environment</v>
          </cell>
          <cell r="Q1874" t="str">
            <v>البيئة التاريخية</v>
          </cell>
          <cell r="R1874" t="str">
            <v>Historic Buildings &amp; Landscapes</v>
          </cell>
          <cell r="S1874" t="str">
            <v>المباني والمسطحات التاريخية</v>
          </cell>
          <cell r="T1874" t="str">
            <v>Culture Sites Protection</v>
          </cell>
          <cell r="U1874" t="str">
            <v>حماية المواقع الثقافية</v>
          </cell>
          <cell r="V1874" t="str">
            <v>Al Ain</v>
          </cell>
          <cell r="W1874" t="str">
            <v/>
          </cell>
          <cell r="X1874" t="str">
            <v>4511300</v>
          </cell>
          <cell r="Y1874" t="str">
            <v>Content &amp; Care_Culture Sites Protection_Assistant &amp; Technical Staff</v>
          </cell>
          <cell r="Z1874" t="str">
            <v>Assistant and Technical Staff</v>
          </cell>
          <cell r="AA1874" t="str">
            <v>7A</v>
          </cell>
        </row>
        <row r="1875">
          <cell r="A1875">
            <v>5000106</v>
          </cell>
          <cell r="B1875">
            <v>5000106</v>
          </cell>
          <cell r="C1875" t="str">
            <v>A</v>
          </cell>
          <cell r="D1875" t="str">
            <v>Naeem Iqbal Khan</v>
          </cell>
          <cell r="E1875" t="str">
            <v>نعيم إقبال خان</v>
          </cell>
          <cell r="F1875">
            <v>40052</v>
          </cell>
          <cell r="G1875" t="str">
            <v>47700859</v>
          </cell>
          <cell r="H1875" t="str">
            <v>Historic Environment Worker</v>
          </cell>
          <cell r="I1875" t="str">
            <v>عامل البيئة التاريخية</v>
          </cell>
          <cell r="J1875" t="str">
            <v>Off-Chart</v>
          </cell>
          <cell r="K1875" t="str">
            <v>Non-Payroll</v>
          </cell>
          <cell r="L1875" t="str">
            <v>99</v>
          </cell>
          <cell r="M1875" t="str">
            <v>Department of Culture and Tourism</v>
          </cell>
          <cell r="N1875" t="str">
            <v>Culture</v>
          </cell>
          <cell r="O1875" t="str">
            <v>الثقافة</v>
          </cell>
          <cell r="P1875" t="str">
            <v>Historic Environment</v>
          </cell>
          <cell r="Q1875" t="str">
            <v>البيئة التاريخية</v>
          </cell>
          <cell r="R1875" t="str">
            <v>Historic Buildings &amp; Landscapes</v>
          </cell>
          <cell r="S1875" t="str">
            <v>المباني والمسطحات التاريخية</v>
          </cell>
          <cell r="T1875" t="str">
            <v>Culture Sites Protection</v>
          </cell>
          <cell r="U1875" t="str">
            <v>حماية المواقع الثقافية</v>
          </cell>
          <cell r="V1875" t="str">
            <v>Al Ain</v>
          </cell>
          <cell r="W1875" t="str">
            <v/>
          </cell>
          <cell r="X1875" t="str">
            <v>4511300</v>
          </cell>
          <cell r="Y1875" t="str">
            <v>Content &amp; Care_Culture Sites Protection_Assistant &amp; Technical Staff</v>
          </cell>
          <cell r="Z1875" t="str">
            <v>Assistant and Technical Staff</v>
          </cell>
          <cell r="AA1875" t="str">
            <v>7A</v>
          </cell>
        </row>
        <row r="1876">
          <cell r="A1876">
            <v>5000110</v>
          </cell>
          <cell r="B1876">
            <v>5000110</v>
          </cell>
          <cell r="C1876" t="str">
            <v>A</v>
          </cell>
          <cell r="D1876" t="str">
            <v>Sanokaji Dhakal</v>
          </cell>
          <cell r="E1876" t="str">
            <v>سانوكاجي  دهاكال</v>
          </cell>
          <cell r="F1876">
            <v>40055</v>
          </cell>
          <cell r="G1876" t="str">
            <v>10007317</v>
          </cell>
          <cell r="H1876" t="str">
            <v>Labourer</v>
          </cell>
          <cell r="I1876" t="str">
            <v>عامل</v>
          </cell>
          <cell r="J1876" t="str">
            <v>Off-Chart</v>
          </cell>
          <cell r="K1876" t="str">
            <v>Non-Payroll</v>
          </cell>
          <cell r="L1876" t="str">
            <v>99</v>
          </cell>
          <cell r="M1876" t="str">
            <v>Department of Culture and Tourism</v>
          </cell>
          <cell r="N1876" t="str">
            <v>Culture</v>
          </cell>
          <cell r="O1876" t="str">
            <v>الثقافة</v>
          </cell>
          <cell r="P1876" t="str">
            <v>Historic Environment</v>
          </cell>
          <cell r="Q1876" t="str">
            <v>البيئة التاريخية</v>
          </cell>
          <cell r="R1876" t="str">
            <v>Historic Buildings &amp; Landscapes</v>
          </cell>
          <cell r="S1876" t="str">
            <v>المباني والمسطحات التاريخية</v>
          </cell>
          <cell r="T1876" t="str">
            <v>Culture Sites Protection</v>
          </cell>
          <cell r="U1876" t="str">
            <v>حماية المواقع الثقافية</v>
          </cell>
          <cell r="V1876" t="str">
            <v>Al Ain</v>
          </cell>
          <cell r="W1876" t="str">
            <v/>
          </cell>
          <cell r="X1876" t="str">
            <v>4511300</v>
          </cell>
          <cell r="Y1876" t="str">
            <v>Content &amp; Care_Culture Sites Protection_Assistant &amp; Technical Staff</v>
          </cell>
          <cell r="Z1876" t="str">
            <v>Assistant and Technical Staff</v>
          </cell>
          <cell r="AA1876" t="str">
            <v>7A</v>
          </cell>
        </row>
        <row r="1877">
          <cell r="A1877">
            <v>5000111</v>
          </cell>
          <cell r="B1877">
            <v>5000111</v>
          </cell>
          <cell r="C1877" t="str">
            <v>A</v>
          </cell>
          <cell r="D1877" t="str">
            <v>Ganga Giri</v>
          </cell>
          <cell r="E1877" t="str">
            <v>جانجا  جيري</v>
          </cell>
          <cell r="F1877">
            <v>40059</v>
          </cell>
          <cell r="G1877" t="str">
            <v>47700864</v>
          </cell>
          <cell r="H1877" t="str">
            <v>Historic Environment Worker</v>
          </cell>
          <cell r="I1877" t="str">
            <v>عامل البيئة التاريخية</v>
          </cell>
          <cell r="J1877" t="str">
            <v>Off-Chart</v>
          </cell>
          <cell r="K1877" t="str">
            <v>Non-Payroll</v>
          </cell>
          <cell r="L1877" t="str">
            <v>99</v>
          </cell>
          <cell r="M1877" t="str">
            <v>Department of Culture and Tourism</v>
          </cell>
          <cell r="N1877" t="str">
            <v>Culture</v>
          </cell>
          <cell r="O1877" t="str">
            <v>الثقافة</v>
          </cell>
          <cell r="P1877" t="str">
            <v>Historic Environment</v>
          </cell>
          <cell r="Q1877" t="str">
            <v>البيئة التاريخية</v>
          </cell>
          <cell r="R1877" t="str">
            <v>Historic Buildings &amp; Landscapes</v>
          </cell>
          <cell r="S1877" t="str">
            <v>المباني والمسطحات التاريخية</v>
          </cell>
          <cell r="T1877" t="str">
            <v>Culture Sites Protection</v>
          </cell>
          <cell r="U1877" t="str">
            <v>حماية المواقع الثقافية</v>
          </cell>
          <cell r="V1877" t="str">
            <v>Al Ain</v>
          </cell>
          <cell r="W1877" t="str">
            <v/>
          </cell>
          <cell r="X1877" t="str">
            <v>4511300</v>
          </cell>
          <cell r="Y1877" t="str">
            <v>Content &amp; Care_Culture Sites Protection_Assistant &amp; Technical Staff</v>
          </cell>
          <cell r="Z1877" t="str">
            <v>Assistant and Technical Staff</v>
          </cell>
          <cell r="AA1877" t="str">
            <v>7A</v>
          </cell>
        </row>
        <row r="1878">
          <cell r="A1878">
            <v>5000114</v>
          </cell>
          <cell r="B1878">
            <v>5000114</v>
          </cell>
          <cell r="C1878" t="str">
            <v>A</v>
          </cell>
          <cell r="D1878" t="str">
            <v>Muhammad Zafran Khan Khan</v>
          </cell>
          <cell r="E1878" t="str">
            <v>محمد ظفران خان</v>
          </cell>
          <cell r="F1878">
            <v>40059</v>
          </cell>
          <cell r="G1878" t="str">
            <v>47700867</v>
          </cell>
          <cell r="H1878" t="str">
            <v>Historic Environment Worker</v>
          </cell>
          <cell r="I1878" t="str">
            <v>عامل البيئة التاريخية</v>
          </cell>
          <cell r="J1878" t="str">
            <v>Off-Chart</v>
          </cell>
          <cell r="K1878" t="str">
            <v>Non-Payroll</v>
          </cell>
          <cell r="L1878" t="str">
            <v>99</v>
          </cell>
          <cell r="M1878" t="str">
            <v>Department of Culture and Tourism</v>
          </cell>
          <cell r="N1878" t="str">
            <v>Culture</v>
          </cell>
          <cell r="O1878" t="str">
            <v>الثقافة</v>
          </cell>
          <cell r="P1878" t="str">
            <v>Historic Environment</v>
          </cell>
          <cell r="Q1878" t="str">
            <v>البيئة التاريخية</v>
          </cell>
          <cell r="R1878" t="str">
            <v>Historic Buildings &amp; Landscapes</v>
          </cell>
          <cell r="S1878" t="str">
            <v>المباني والمسطحات التاريخية</v>
          </cell>
          <cell r="T1878" t="str">
            <v>Culture Sites Protection</v>
          </cell>
          <cell r="U1878" t="str">
            <v>حماية المواقع الثقافية</v>
          </cell>
          <cell r="V1878" t="str">
            <v>Al Ain</v>
          </cell>
          <cell r="W1878" t="str">
            <v/>
          </cell>
          <cell r="X1878" t="str">
            <v>4511300</v>
          </cell>
          <cell r="Y1878" t="str">
            <v>Content &amp; Care_Culture Sites Protection_Assistant &amp; Technical Staff</v>
          </cell>
          <cell r="Z1878" t="str">
            <v>Assistant and Technical Staff</v>
          </cell>
          <cell r="AA1878" t="str">
            <v>7A</v>
          </cell>
        </row>
        <row r="1879">
          <cell r="A1879">
            <v>5000115</v>
          </cell>
          <cell r="B1879">
            <v>5000115</v>
          </cell>
          <cell r="C1879" t="str">
            <v>A</v>
          </cell>
          <cell r="D1879" t="str">
            <v>Sajjid Tahir Tahir Shah</v>
          </cell>
          <cell r="E1879" t="str">
            <v>ساجد طاهر شاه</v>
          </cell>
          <cell r="F1879">
            <v>40059</v>
          </cell>
          <cell r="G1879" t="str">
            <v>47700868</v>
          </cell>
          <cell r="H1879" t="str">
            <v>Office Boy</v>
          </cell>
          <cell r="I1879" t="str">
            <v>مراسل مكتب</v>
          </cell>
          <cell r="J1879" t="str">
            <v>Off-Chart</v>
          </cell>
          <cell r="K1879" t="str">
            <v>Non-Payroll</v>
          </cell>
          <cell r="L1879" t="str">
            <v>99</v>
          </cell>
          <cell r="M1879" t="str">
            <v>Department of Culture and Tourism</v>
          </cell>
          <cell r="N1879" t="str">
            <v>Culture</v>
          </cell>
          <cell r="O1879" t="str">
            <v>الثقافة</v>
          </cell>
          <cell r="P1879" t="str">
            <v>Historic Environment</v>
          </cell>
          <cell r="Q1879" t="str">
            <v>البيئة التاريخية</v>
          </cell>
          <cell r="R1879" t="str">
            <v>Historic Buildings &amp; Landscapes</v>
          </cell>
          <cell r="S1879" t="str">
            <v>المباني والمسطحات التاريخية</v>
          </cell>
          <cell r="T1879" t="str">
            <v>Culture Sites Protection</v>
          </cell>
          <cell r="U1879" t="str">
            <v>حماية المواقع الثقافية</v>
          </cell>
          <cell r="V1879" t="str">
            <v>Al Ain</v>
          </cell>
          <cell r="W1879" t="str">
            <v/>
          </cell>
          <cell r="X1879" t="str">
            <v>4511300</v>
          </cell>
          <cell r="Y1879" t="str">
            <v>Content &amp; Care_Culture Sites Protection_Assistant &amp; Technical Staff</v>
          </cell>
          <cell r="Z1879" t="str">
            <v>Assistant and Technical Staff</v>
          </cell>
          <cell r="AA1879" t="str">
            <v>7A</v>
          </cell>
        </row>
        <row r="1880">
          <cell r="A1880">
            <v>5000119</v>
          </cell>
          <cell r="B1880">
            <v>5000119</v>
          </cell>
          <cell r="C1880" t="str">
            <v>A</v>
          </cell>
          <cell r="D1880" t="str">
            <v>Mohammad Raqim Workai Khan</v>
          </cell>
          <cell r="E1880" t="str">
            <v>محمد رقيم خان</v>
          </cell>
          <cell r="F1880">
            <v>41203</v>
          </cell>
          <cell r="G1880" t="str">
            <v>47700872</v>
          </cell>
          <cell r="H1880" t="str">
            <v>Historic Environment Worker</v>
          </cell>
          <cell r="I1880" t="str">
            <v>عامل البيئة التاريخية</v>
          </cell>
          <cell r="J1880" t="str">
            <v>Off-Chart</v>
          </cell>
          <cell r="K1880" t="str">
            <v>Non-Payroll</v>
          </cell>
          <cell r="L1880" t="str">
            <v>99</v>
          </cell>
          <cell r="M1880" t="str">
            <v>Department of Culture and Tourism</v>
          </cell>
          <cell r="N1880" t="str">
            <v>Culture</v>
          </cell>
          <cell r="O1880" t="str">
            <v>الثقافة</v>
          </cell>
          <cell r="P1880" t="str">
            <v>Historic Environment</v>
          </cell>
          <cell r="Q1880" t="str">
            <v>البيئة التاريخية</v>
          </cell>
          <cell r="R1880" t="str">
            <v>Historic Buildings &amp; Landscapes</v>
          </cell>
          <cell r="S1880" t="str">
            <v>المباني والمسطحات التاريخية</v>
          </cell>
          <cell r="T1880" t="str">
            <v>Culture Sites Protection</v>
          </cell>
          <cell r="U1880" t="str">
            <v>حماية المواقع الثقافية</v>
          </cell>
          <cell r="V1880" t="str">
            <v>Al Ain</v>
          </cell>
          <cell r="W1880" t="str">
            <v/>
          </cell>
          <cell r="X1880" t="str">
            <v>4511300</v>
          </cell>
          <cell r="Y1880" t="str">
            <v>Content &amp; Care_Culture Sites Protection_Assistant &amp; Technical Staff</v>
          </cell>
          <cell r="Z1880" t="str">
            <v>Assistant and Technical Staff</v>
          </cell>
          <cell r="AA1880" t="str">
            <v>7A</v>
          </cell>
        </row>
        <row r="1881">
          <cell r="A1881">
            <v>5000120</v>
          </cell>
          <cell r="B1881">
            <v>5000120</v>
          </cell>
          <cell r="C1881" t="str">
            <v>A</v>
          </cell>
          <cell r="D1881" t="str">
            <v>Muhammad Abdul Hameed Saleem</v>
          </cell>
          <cell r="E1881" t="str">
            <v>محمد عبدالحميد سليم</v>
          </cell>
          <cell r="F1881">
            <v>41203</v>
          </cell>
          <cell r="G1881" t="str">
            <v>47700873</v>
          </cell>
          <cell r="H1881" t="str">
            <v>Historic Environment Worker</v>
          </cell>
          <cell r="I1881" t="str">
            <v>عامل البيئة التاريخية</v>
          </cell>
          <cell r="J1881" t="str">
            <v>Off-Chart</v>
          </cell>
          <cell r="K1881" t="str">
            <v>Non-Payroll</v>
          </cell>
          <cell r="L1881" t="str">
            <v>99</v>
          </cell>
          <cell r="M1881" t="str">
            <v>Department of Culture and Tourism</v>
          </cell>
          <cell r="N1881" t="str">
            <v>Culture</v>
          </cell>
          <cell r="O1881" t="str">
            <v>الثقافة</v>
          </cell>
          <cell r="P1881" t="str">
            <v>Historic Environment</v>
          </cell>
          <cell r="Q1881" t="str">
            <v>البيئة التاريخية</v>
          </cell>
          <cell r="R1881" t="str">
            <v>Historic Buildings &amp; Landscapes</v>
          </cell>
          <cell r="S1881" t="str">
            <v>المباني والمسطحات التاريخية</v>
          </cell>
          <cell r="T1881" t="str">
            <v>Culture Sites Protection</v>
          </cell>
          <cell r="U1881" t="str">
            <v>حماية المواقع الثقافية</v>
          </cell>
          <cell r="V1881" t="str">
            <v>Al Ain</v>
          </cell>
          <cell r="W1881" t="str">
            <v/>
          </cell>
          <cell r="X1881" t="str">
            <v>4511300</v>
          </cell>
          <cell r="Y1881" t="str">
            <v>Content &amp; Care_Culture Sites Protection_Assistant &amp; Technical Staff</v>
          </cell>
          <cell r="Z1881" t="str">
            <v>Assistant and Technical Staff</v>
          </cell>
          <cell r="AA1881" t="str">
            <v>7A</v>
          </cell>
        </row>
        <row r="1882">
          <cell r="A1882">
            <v>5000121</v>
          </cell>
          <cell r="B1882">
            <v>5000121</v>
          </cell>
          <cell r="C1882" t="str">
            <v>A</v>
          </cell>
          <cell r="D1882" t="str">
            <v>Muhammad Kamal Yousaf</v>
          </cell>
          <cell r="E1882" t="str">
            <v>محمد كمال يوسف</v>
          </cell>
          <cell r="F1882">
            <v>41203</v>
          </cell>
          <cell r="G1882" t="str">
            <v>47700874</v>
          </cell>
          <cell r="H1882" t="str">
            <v>Historic Environment Worker</v>
          </cell>
          <cell r="I1882" t="str">
            <v>عامل البيئة التاريخية</v>
          </cell>
          <cell r="J1882" t="str">
            <v>Off-Chart</v>
          </cell>
          <cell r="K1882" t="str">
            <v>Non-Payroll</v>
          </cell>
          <cell r="L1882" t="str">
            <v>99</v>
          </cell>
          <cell r="M1882" t="str">
            <v>Department of Culture and Tourism</v>
          </cell>
          <cell r="N1882" t="str">
            <v>Culture</v>
          </cell>
          <cell r="O1882" t="str">
            <v>الثقافة</v>
          </cell>
          <cell r="P1882" t="str">
            <v>Historic Environment</v>
          </cell>
          <cell r="Q1882" t="str">
            <v>البيئة التاريخية</v>
          </cell>
          <cell r="R1882" t="str">
            <v>Historic Buildings &amp; Landscapes</v>
          </cell>
          <cell r="S1882" t="str">
            <v>المباني والمسطحات التاريخية</v>
          </cell>
          <cell r="T1882" t="str">
            <v>Culture Sites Protection</v>
          </cell>
          <cell r="U1882" t="str">
            <v>حماية المواقع الثقافية</v>
          </cell>
          <cell r="V1882" t="str">
            <v>Al Ain</v>
          </cell>
          <cell r="W1882" t="str">
            <v/>
          </cell>
          <cell r="X1882" t="str">
            <v>4511300</v>
          </cell>
          <cell r="Y1882" t="str">
            <v>Content &amp; Care_Culture Sites Protection_Assistant &amp; Technical Staff</v>
          </cell>
          <cell r="Z1882" t="str">
            <v>Assistant and Technical Staff</v>
          </cell>
          <cell r="AA1882" t="str">
            <v>7A</v>
          </cell>
        </row>
        <row r="1883">
          <cell r="A1883">
            <v>5000122</v>
          </cell>
          <cell r="B1883">
            <v>5000122</v>
          </cell>
          <cell r="C1883" t="str">
            <v>A</v>
          </cell>
          <cell r="D1883" t="str">
            <v>Nabi Khan Ghulam Rasol</v>
          </cell>
          <cell r="E1883" t="str">
            <v>نبي خان رسول</v>
          </cell>
          <cell r="F1883">
            <v>41203</v>
          </cell>
          <cell r="G1883" t="str">
            <v>47700875</v>
          </cell>
          <cell r="H1883" t="str">
            <v>Historic Environment Worker</v>
          </cell>
          <cell r="I1883" t="str">
            <v>عامل البيئة التاريخية</v>
          </cell>
          <cell r="J1883" t="str">
            <v>Off-Chart</v>
          </cell>
          <cell r="K1883" t="str">
            <v>Non-Payroll</v>
          </cell>
          <cell r="L1883" t="str">
            <v>99</v>
          </cell>
          <cell r="M1883" t="str">
            <v>Department of Culture and Tourism</v>
          </cell>
          <cell r="N1883" t="str">
            <v>Culture</v>
          </cell>
          <cell r="O1883" t="str">
            <v>الثقافة</v>
          </cell>
          <cell r="P1883" t="str">
            <v>Historic Environment</v>
          </cell>
          <cell r="Q1883" t="str">
            <v>البيئة التاريخية</v>
          </cell>
          <cell r="R1883" t="str">
            <v>Historic Buildings &amp; Landscapes</v>
          </cell>
          <cell r="S1883" t="str">
            <v>المباني والمسطحات التاريخية</v>
          </cell>
          <cell r="T1883" t="str">
            <v>Culture Sites Protection</v>
          </cell>
          <cell r="U1883" t="str">
            <v>حماية المواقع الثقافية</v>
          </cell>
          <cell r="V1883" t="str">
            <v>Al Ain</v>
          </cell>
          <cell r="W1883" t="str">
            <v/>
          </cell>
          <cell r="X1883" t="str">
            <v>4511300</v>
          </cell>
          <cell r="Y1883" t="str">
            <v>Content &amp; Care_Culture Sites Protection_Assistant &amp; Technical Staff</v>
          </cell>
          <cell r="Z1883" t="str">
            <v>Assistant and Technical Staff</v>
          </cell>
          <cell r="AA1883" t="str">
            <v>7A</v>
          </cell>
        </row>
        <row r="1884">
          <cell r="A1884">
            <v>5000123</v>
          </cell>
          <cell r="B1884">
            <v>5000123</v>
          </cell>
          <cell r="C1884" t="str">
            <v>A</v>
          </cell>
          <cell r="D1884" t="str">
            <v>Sameer Muhammad Hassan</v>
          </cell>
          <cell r="E1884" t="str">
            <v>سمير حسين حسن حسين حسن</v>
          </cell>
          <cell r="F1884">
            <v>41203</v>
          </cell>
          <cell r="G1884" t="str">
            <v>47700876</v>
          </cell>
          <cell r="H1884" t="str">
            <v>Historic Environment Worker</v>
          </cell>
          <cell r="I1884" t="str">
            <v>عامل البيئة التاريخية</v>
          </cell>
          <cell r="J1884" t="str">
            <v>Off-Chart</v>
          </cell>
          <cell r="K1884" t="str">
            <v>Non-Payroll</v>
          </cell>
          <cell r="L1884" t="str">
            <v>99</v>
          </cell>
          <cell r="M1884" t="str">
            <v>Department of Culture and Tourism</v>
          </cell>
          <cell r="N1884" t="str">
            <v>Culture</v>
          </cell>
          <cell r="O1884" t="str">
            <v>الثقافة</v>
          </cell>
          <cell r="P1884" t="str">
            <v>Historic Environment</v>
          </cell>
          <cell r="Q1884" t="str">
            <v>البيئة التاريخية</v>
          </cell>
          <cell r="R1884" t="str">
            <v>Historic Buildings &amp; Landscapes</v>
          </cell>
          <cell r="S1884" t="str">
            <v>المباني والمسطحات التاريخية</v>
          </cell>
          <cell r="T1884" t="str">
            <v>Culture Sites Protection</v>
          </cell>
          <cell r="U1884" t="str">
            <v>حماية المواقع الثقافية</v>
          </cell>
          <cell r="V1884" t="str">
            <v>Al Ain</v>
          </cell>
          <cell r="W1884" t="str">
            <v/>
          </cell>
          <cell r="X1884" t="str">
            <v>4511300</v>
          </cell>
          <cell r="Y1884" t="str">
            <v>Content &amp; Care_Culture Sites Protection_Assistant &amp; Technical Staff</v>
          </cell>
          <cell r="Z1884" t="str">
            <v>Assistant and Technical Staff</v>
          </cell>
          <cell r="AA1884" t="str">
            <v>7A</v>
          </cell>
        </row>
        <row r="1885">
          <cell r="A1885">
            <v>5000124</v>
          </cell>
          <cell r="B1885">
            <v>5000124</v>
          </cell>
          <cell r="C1885" t="str">
            <v>A</v>
          </cell>
          <cell r="D1885" t="str">
            <v>Shahid Hussain Iqbal</v>
          </cell>
          <cell r="E1885" t="str">
            <v>شاهد حسين اقبال</v>
          </cell>
          <cell r="F1885">
            <v>41203</v>
          </cell>
          <cell r="G1885" t="str">
            <v>47700877</v>
          </cell>
          <cell r="H1885" t="str">
            <v>Historic Environment Worker</v>
          </cell>
          <cell r="I1885" t="str">
            <v>عامل البيئة التاريخية</v>
          </cell>
          <cell r="J1885" t="str">
            <v>Off-Chart</v>
          </cell>
          <cell r="K1885" t="str">
            <v>Non-Payroll</v>
          </cell>
          <cell r="L1885" t="str">
            <v>99</v>
          </cell>
          <cell r="M1885" t="str">
            <v>Department of Culture and Tourism</v>
          </cell>
          <cell r="N1885" t="str">
            <v>Culture</v>
          </cell>
          <cell r="O1885" t="str">
            <v>الثقافة</v>
          </cell>
          <cell r="P1885" t="str">
            <v>Historic Environment</v>
          </cell>
          <cell r="Q1885" t="str">
            <v>البيئة التاريخية</v>
          </cell>
          <cell r="R1885" t="str">
            <v>Historic Buildings &amp; Landscapes</v>
          </cell>
          <cell r="S1885" t="str">
            <v>المباني والمسطحات التاريخية</v>
          </cell>
          <cell r="T1885" t="str">
            <v>Culture Sites Protection</v>
          </cell>
          <cell r="U1885" t="str">
            <v>حماية المواقع الثقافية</v>
          </cell>
          <cell r="V1885" t="str">
            <v>Al Ain</v>
          </cell>
          <cell r="W1885" t="str">
            <v/>
          </cell>
          <cell r="X1885" t="str">
            <v>4511300</v>
          </cell>
          <cell r="Y1885" t="str">
            <v>Content &amp; Care_Culture Sites Protection_Assistant &amp; Technical Staff</v>
          </cell>
          <cell r="Z1885" t="str">
            <v>Assistant and Technical Staff</v>
          </cell>
          <cell r="AA1885" t="str">
            <v>7A</v>
          </cell>
        </row>
        <row r="1886">
          <cell r="A1886">
            <v>5000126</v>
          </cell>
          <cell r="B1886">
            <v>5000126</v>
          </cell>
          <cell r="C1886" t="str">
            <v>A</v>
          </cell>
          <cell r="D1886" t="str">
            <v>Ali Said Al Kaabi</v>
          </cell>
          <cell r="E1886" t="str">
            <v>علي سعيد الكعبي</v>
          </cell>
          <cell r="F1886">
            <v>41214</v>
          </cell>
          <cell r="G1886" t="str">
            <v>47700879</v>
          </cell>
          <cell r="H1886" t="str">
            <v>Artisan</v>
          </cell>
          <cell r="I1886" t="str">
            <v>حرفي</v>
          </cell>
          <cell r="J1886" t="str">
            <v>Off-Chart</v>
          </cell>
          <cell r="K1886" t="str">
            <v>Non-Payroll</v>
          </cell>
          <cell r="L1886" t="str">
            <v>99</v>
          </cell>
          <cell r="M1886" t="str">
            <v>Department of Culture and Tourism</v>
          </cell>
          <cell r="N1886" t="str">
            <v>Culture</v>
          </cell>
          <cell r="O1886" t="str">
            <v>الثقافة</v>
          </cell>
          <cell r="P1886" t="str">
            <v>Intangible Cultural Heritage</v>
          </cell>
          <cell r="Q1886" t="str">
            <v>التراث الثقافي المعنوي</v>
          </cell>
          <cell r="R1886" t="str">
            <v>Handicrafts Development</v>
          </cell>
          <cell r="S1886" t="str">
            <v>تطوير الحرف اليدوية</v>
          </cell>
          <cell r="T1886" t="str">
            <v>Artisans Administration - Al Ain</v>
          </cell>
          <cell r="U1886" t="str">
            <v>إدارة الحرفيين - العين</v>
          </cell>
          <cell r="V1886" t="str">
            <v>Al Ain</v>
          </cell>
          <cell r="W1886" t="str">
            <v/>
          </cell>
          <cell r="X1886" t="str">
            <v>4511600</v>
          </cell>
          <cell r="Y1886" t="str">
            <v>Content &amp; Care_World Heritage Sites Planning &amp; Monitoring _Professional</v>
          </cell>
          <cell r="Z1886" t="str">
            <v>Assistant and Technical Staff</v>
          </cell>
          <cell r="AA1886" t="str">
            <v>7A</v>
          </cell>
        </row>
        <row r="1887">
          <cell r="A1887">
            <v>5000127</v>
          </cell>
          <cell r="B1887">
            <v>5000127</v>
          </cell>
          <cell r="C1887" t="str">
            <v>A</v>
          </cell>
          <cell r="D1887" t="str">
            <v>Fatima Murad Abdullah</v>
          </cell>
          <cell r="E1887" t="str">
            <v>فاطمة مراد عبدالله</v>
          </cell>
          <cell r="F1887">
            <v>41214</v>
          </cell>
          <cell r="G1887" t="str">
            <v>47700880</v>
          </cell>
          <cell r="H1887" t="str">
            <v>Artisan</v>
          </cell>
          <cell r="I1887" t="str">
            <v>حرفي</v>
          </cell>
          <cell r="J1887" t="str">
            <v>Off-Chart</v>
          </cell>
          <cell r="K1887" t="str">
            <v>Non-Payroll</v>
          </cell>
          <cell r="L1887" t="str">
            <v>99</v>
          </cell>
          <cell r="M1887" t="str">
            <v>Department of Culture and Tourism</v>
          </cell>
          <cell r="N1887" t="str">
            <v>Culture</v>
          </cell>
          <cell r="O1887" t="str">
            <v>الثقافة</v>
          </cell>
          <cell r="P1887" t="str">
            <v>Intangible Cultural Heritage</v>
          </cell>
          <cell r="Q1887" t="str">
            <v>التراث الثقافي المعنوي</v>
          </cell>
          <cell r="R1887" t="str">
            <v>Handicrafts Development</v>
          </cell>
          <cell r="S1887" t="str">
            <v>تطوير الحرف اليدوية</v>
          </cell>
          <cell r="T1887" t="str">
            <v>Artisans Administration - Al Ain</v>
          </cell>
          <cell r="U1887" t="str">
            <v>إدارة الحرفيين - العين</v>
          </cell>
          <cell r="V1887" t="str">
            <v>Al Ain</v>
          </cell>
          <cell r="W1887" t="str">
            <v/>
          </cell>
          <cell r="X1887" t="str">
            <v>4511600</v>
          </cell>
          <cell r="Y1887" t="str">
            <v>Content &amp; Care_World Heritage Sites Planning &amp; Monitoring _Professional</v>
          </cell>
          <cell r="Z1887" t="str">
            <v>Assistant and Technical Staff</v>
          </cell>
          <cell r="AA1887" t="str">
            <v>7A</v>
          </cell>
        </row>
        <row r="1888">
          <cell r="A1888">
            <v>5000128</v>
          </cell>
          <cell r="B1888">
            <v>5000128</v>
          </cell>
          <cell r="C1888" t="str">
            <v>A</v>
          </cell>
          <cell r="D1888" t="str">
            <v>Hadaya Juma Al Kaabi</v>
          </cell>
          <cell r="E1888" t="str">
            <v>هداية جمعه الكعبي</v>
          </cell>
          <cell r="F1888">
            <v>41214</v>
          </cell>
          <cell r="G1888" t="str">
            <v>47700881</v>
          </cell>
          <cell r="H1888" t="str">
            <v>Artisan</v>
          </cell>
          <cell r="I1888" t="str">
            <v>حرفي</v>
          </cell>
          <cell r="J1888" t="str">
            <v>Off-Chart</v>
          </cell>
          <cell r="K1888" t="str">
            <v>Non-Payroll</v>
          </cell>
          <cell r="L1888" t="str">
            <v>99</v>
          </cell>
          <cell r="M1888" t="str">
            <v>Department of Culture and Tourism</v>
          </cell>
          <cell r="N1888" t="str">
            <v>Culture</v>
          </cell>
          <cell r="O1888" t="str">
            <v>الثقافة</v>
          </cell>
          <cell r="P1888" t="str">
            <v>Intangible Cultural Heritage</v>
          </cell>
          <cell r="Q1888" t="str">
            <v>التراث الثقافي المعنوي</v>
          </cell>
          <cell r="R1888" t="str">
            <v>Handicrafts Development</v>
          </cell>
          <cell r="S1888" t="str">
            <v>تطوير الحرف اليدوية</v>
          </cell>
          <cell r="T1888" t="str">
            <v>Artisans Administration - Al Ain</v>
          </cell>
          <cell r="U1888" t="str">
            <v>إدارة الحرفيين - العين</v>
          </cell>
          <cell r="V1888" t="str">
            <v>Al Ain</v>
          </cell>
          <cell r="W1888" t="str">
            <v/>
          </cell>
          <cell r="X1888" t="str">
            <v>4511600</v>
          </cell>
          <cell r="Y1888" t="str">
            <v>Content &amp; Care_World Heritage Sites Planning &amp; Monitoring _Professional</v>
          </cell>
          <cell r="Z1888" t="str">
            <v>Assistant and Technical Staff</v>
          </cell>
          <cell r="AA1888" t="str">
            <v>7A</v>
          </cell>
        </row>
        <row r="1889">
          <cell r="A1889">
            <v>5000129</v>
          </cell>
          <cell r="B1889">
            <v>5000129</v>
          </cell>
          <cell r="C1889" t="str">
            <v>A</v>
          </cell>
          <cell r="D1889" t="str">
            <v>Halima Ali Al Shihhi</v>
          </cell>
          <cell r="E1889" t="str">
            <v>حليمة علي الشحي</v>
          </cell>
          <cell r="F1889">
            <v>41214</v>
          </cell>
          <cell r="G1889" t="str">
            <v>47700882</v>
          </cell>
          <cell r="H1889" t="str">
            <v>Artisan</v>
          </cell>
          <cell r="I1889" t="str">
            <v>حرفي</v>
          </cell>
          <cell r="J1889" t="str">
            <v>Off-Chart</v>
          </cell>
          <cell r="K1889" t="str">
            <v>Non-Payroll</v>
          </cell>
          <cell r="L1889" t="str">
            <v>99</v>
          </cell>
          <cell r="M1889" t="str">
            <v>Department of Culture and Tourism</v>
          </cell>
          <cell r="N1889" t="str">
            <v>Culture</v>
          </cell>
          <cell r="O1889" t="str">
            <v>الثقافة</v>
          </cell>
          <cell r="P1889" t="str">
            <v>Intangible Cultural Heritage</v>
          </cell>
          <cell r="Q1889" t="str">
            <v>التراث الثقافي المعنوي</v>
          </cell>
          <cell r="R1889" t="str">
            <v>Handicrafts Development</v>
          </cell>
          <cell r="S1889" t="str">
            <v>تطوير الحرف اليدوية</v>
          </cell>
          <cell r="T1889" t="str">
            <v>Artisans Administration - Al Ain</v>
          </cell>
          <cell r="U1889" t="str">
            <v>إدارة الحرفيين - العين</v>
          </cell>
          <cell r="V1889" t="str">
            <v>Al Ain</v>
          </cell>
          <cell r="W1889" t="str">
            <v/>
          </cell>
          <cell r="X1889" t="str">
            <v>4511600</v>
          </cell>
          <cell r="Y1889" t="str">
            <v>Content &amp; Care_World Heritage Sites Planning &amp; Monitoring _Professional</v>
          </cell>
          <cell r="Z1889" t="str">
            <v>Assistant and Technical Staff</v>
          </cell>
          <cell r="AA1889" t="str">
            <v>7A</v>
          </cell>
        </row>
        <row r="1890">
          <cell r="A1890">
            <v>5000131</v>
          </cell>
          <cell r="B1890">
            <v>5000131</v>
          </cell>
          <cell r="C1890" t="str">
            <v>A</v>
          </cell>
          <cell r="D1890" t="str">
            <v>Khalfan Juma Al Kaabi</v>
          </cell>
          <cell r="E1890" t="str">
            <v>خلفان جمعه الكعبي</v>
          </cell>
          <cell r="F1890">
            <v>41214</v>
          </cell>
          <cell r="G1890" t="str">
            <v>47700884</v>
          </cell>
          <cell r="H1890" t="str">
            <v>Artisan</v>
          </cell>
          <cell r="I1890" t="str">
            <v>حرفي</v>
          </cell>
          <cell r="J1890" t="str">
            <v>Off-Chart</v>
          </cell>
          <cell r="K1890" t="str">
            <v>Non-Payroll</v>
          </cell>
          <cell r="L1890" t="str">
            <v>99</v>
          </cell>
          <cell r="M1890" t="str">
            <v>Department of Culture and Tourism</v>
          </cell>
          <cell r="N1890" t="str">
            <v>Culture</v>
          </cell>
          <cell r="O1890" t="str">
            <v>الثقافة</v>
          </cell>
          <cell r="P1890" t="str">
            <v>Intangible Cultural Heritage</v>
          </cell>
          <cell r="Q1890" t="str">
            <v>التراث الثقافي المعنوي</v>
          </cell>
          <cell r="R1890" t="str">
            <v>Handicrafts Development</v>
          </cell>
          <cell r="S1890" t="str">
            <v>تطوير الحرف اليدوية</v>
          </cell>
          <cell r="T1890" t="str">
            <v>Artisans Administration - Al Ain</v>
          </cell>
          <cell r="U1890" t="str">
            <v>إدارة الحرفيين - العين</v>
          </cell>
          <cell r="V1890" t="str">
            <v>Al Ain</v>
          </cell>
          <cell r="W1890" t="str">
            <v/>
          </cell>
          <cell r="X1890" t="str">
            <v>4511600</v>
          </cell>
          <cell r="Y1890" t="str">
            <v>Content &amp; Care_World Heritage Sites Planning &amp; Monitoring _Professional</v>
          </cell>
          <cell r="Z1890" t="str">
            <v>Assistant and Technical Staff</v>
          </cell>
          <cell r="AA1890" t="str">
            <v>7A</v>
          </cell>
        </row>
        <row r="1891">
          <cell r="A1891">
            <v>5000135</v>
          </cell>
          <cell r="B1891">
            <v>5000135</v>
          </cell>
          <cell r="C1891" t="str">
            <v>A</v>
          </cell>
          <cell r="D1891" t="str">
            <v>Mohammed Ali Al Kaabi</v>
          </cell>
          <cell r="E1891" t="str">
            <v>محمد علي الكعبي</v>
          </cell>
          <cell r="F1891">
            <v>41214</v>
          </cell>
          <cell r="G1891" t="str">
            <v>47700888</v>
          </cell>
          <cell r="H1891" t="str">
            <v>Artisan</v>
          </cell>
          <cell r="I1891" t="str">
            <v>حرفي</v>
          </cell>
          <cell r="J1891" t="str">
            <v>Off-Chart</v>
          </cell>
          <cell r="K1891" t="str">
            <v>Non-Payroll</v>
          </cell>
          <cell r="L1891" t="str">
            <v>99</v>
          </cell>
          <cell r="M1891" t="str">
            <v>Department of Culture and Tourism</v>
          </cell>
          <cell r="N1891" t="str">
            <v>Culture</v>
          </cell>
          <cell r="O1891" t="str">
            <v>الثقافة</v>
          </cell>
          <cell r="P1891" t="str">
            <v>Intangible Cultural Heritage</v>
          </cell>
          <cell r="Q1891" t="str">
            <v>التراث الثقافي المعنوي</v>
          </cell>
          <cell r="R1891" t="str">
            <v>Handicrafts Development</v>
          </cell>
          <cell r="S1891" t="str">
            <v>تطوير الحرف اليدوية</v>
          </cell>
          <cell r="T1891" t="str">
            <v>Artisans Administration - Al Ain</v>
          </cell>
          <cell r="U1891" t="str">
            <v>إدارة الحرفيين - العين</v>
          </cell>
          <cell r="V1891" t="str">
            <v>Al Ain</v>
          </cell>
          <cell r="W1891" t="str">
            <v/>
          </cell>
          <cell r="X1891" t="str">
            <v>4511600</v>
          </cell>
          <cell r="Y1891" t="str">
            <v>Content &amp; Care_World Heritage Sites Planning &amp; Monitoring _Professional</v>
          </cell>
          <cell r="Z1891" t="str">
            <v>Assistant and Technical Staff</v>
          </cell>
          <cell r="AA1891" t="str">
            <v>7A</v>
          </cell>
        </row>
        <row r="1892">
          <cell r="A1892">
            <v>5000136</v>
          </cell>
          <cell r="B1892">
            <v>5000136</v>
          </cell>
          <cell r="C1892" t="str">
            <v>A</v>
          </cell>
          <cell r="D1892" t="str">
            <v>Moza Rashid Al Naaimi</v>
          </cell>
          <cell r="E1892" t="str">
            <v>موزة راشد النعيمي</v>
          </cell>
          <cell r="F1892">
            <v>41214</v>
          </cell>
          <cell r="G1892" t="str">
            <v>47700889</v>
          </cell>
          <cell r="H1892" t="str">
            <v>Artisan</v>
          </cell>
          <cell r="I1892" t="str">
            <v>حرفي</v>
          </cell>
          <cell r="J1892" t="str">
            <v>Off-Chart</v>
          </cell>
          <cell r="K1892" t="str">
            <v>Non-Payroll</v>
          </cell>
          <cell r="L1892" t="str">
            <v>99</v>
          </cell>
          <cell r="M1892" t="str">
            <v>Department of Culture and Tourism</v>
          </cell>
          <cell r="N1892" t="str">
            <v>Culture</v>
          </cell>
          <cell r="O1892" t="str">
            <v>الثقافة</v>
          </cell>
          <cell r="P1892" t="str">
            <v>Intangible Cultural Heritage</v>
          </cell>
          <cell r="Q1892" t="str">
            <v>التراث الثقافي المعنوي</v>
          </cell>
          <cell r="R1892" t="str">
            <v>Handicrafts Development</v>
          </cell>
          <cell r="S1892" t="str">
            <v>تطوير الحرف اليدوية</v>
          </cell>
          <cell r="T1892" t="str">
            <v>Artisans Administration - Al Ain</v>
          </cell>
          <cell r="U1892" t="str">
            <v>إدارة الحرفيين - العين</v>
          </cell>
          <cell r="V1892" t="str">
            <v>Al Ain</v>
          </cell>
          <cell r="W1892" t="str">
            <v/>
          </cell>
          <cell r="X1892" t="str">
            <v>4511600</v>
          </cell>
          <cell r="Y1892" t="str">
            <v>Content &amp; Care_World Heritage Sites Planning &amp; Monitoring _Professional</v>
          </cell>
          <cell r="Z1892" t="str">
            <v>Assistant and Technical Staff</v>
          </cell>
          <cell r="AA1892" t="str">
            <v>7A</v>
          </cell>
        </row>
        <row r="1893">
          <cell r="A1893">
            <v>5000139</v>
          </cell>
          <cell r="B1893">
            <v>5000139</v>
          </cell>
          <cell r="C1893" t="str">
            <v>A</v>
          </cell>
          <cell r="D1893" t="str">
            <v>Rabia Saadoun Al Naaimi</v>
          </cell>
          <cell r="E1893" t="str">
            <v>ربيع سعدون النعيمي</v>
          </cell>
          <cell r="F1893">
            <v>41214</v>
          </cell>
          <cell r="G1893" t="str">
            <v>47700892</v>
          </cell>
          <cell r="H1893" t="str">
            <v>Artisan</v>
          </cell>
          <cell r="I1893" t="str">
            <v>حرفي</v>
          </cell>
          <cell r="J1893" t="str">
            <v>Off-Chart</v>
          </cell>
          <cell r="K1893" t="str">
            <v>Non-Payroll</v>
          </cell>
          <cell r="L1893" t="str">
            <v>99</v>
          </cell>
          <cell r="M1893" t="str">
            <v>Department of Culture and Tourism</v>
          </cell>
          <cell r="N1893" t="str">
            <v>Culture</v>
          </cell>
          <cell r="O1893" t="str">
            <v>الثقافة</v>
          </cell>
          <cell r="P1893" t="str">
            <v>Intangible Cultural Heritage</v>
          </cell>
          <cell r="Q1893" t="str">
            <v>التراث الثقافي المعنوي</v>
          </cell>
          <cell r="R1893" t="str">
            <v>Handicrafts Development</v>
          </cell>
          <cell r="S1893" t="str">
            <v>تطوير الحرف اليدوية</v>
          </cell>
          <cell r="T1893" t="str">
            <v>Artisans Administration - Al Ain</v>
          </cell>
          <cell r="U1893" t="str">
            <v>إدارة الحرفيين - العين</v>
          </cell>
          <cell r="V1893" t="str">
            <v>Al Ain</v>
          </cell>
          <cell r="W1893" t="str">
            <v/>
          </cell>
          <cell r="X1893" t="str">
            <v>4511600</v>
          </cell>
          <cell r="Y1893" t="str">
            <v>Content &amp; Care_World Heritage Sites Planning &amp; Monitoring _Professional</v>
          </cell>
          <cell r="Z1893" t="str">
            <v>Assistant and Technical Staff</v>
          </cell>
          <cell r="AA1893" t="str">
            <v>7A</v>
          </cell>
        </row>
        <row r="1894">
          <cell r="A1894">
            <v>5000140</v>
          </cell>
          <cell r="B1894">
            <v>5000140</v>
          </cell>
          <cell r="C1894" t="str">
            <v>A</v>
          </cell>
          <cell r="D1894" t="str">
            <v>Said Saif Al Shaqsi</v>
          </cell>
          <cell r="E1894" t="str">
            <v>سعيد سيف الشقصي</v>
          </cell>
          <cell r="F1894">
            <v>41214</v>
          </cell>
          <cell r="G1894" t="str">
            <v>47700893</v>
          </cell>
          <cell r="H1894" t="str">
            <v>Artisan</v>
          </cell>
          <cell r="I1894" t="str">
            <v>حرفي</v>
          </cell>
          <cell r="J1894" t="str">
            <v>Off-Chart</v>
          </cell>
          <cell r="K1894" t="str">
            <v>Non-Payroll</v>
          </cell>
          <cell r="L1894" t="str">
            <v>99</v>
          </cell>
          <cell r="M1894" t="str">
            <v>Department of Culture and Tourism</v>
          </cell>
          <cell r="N1894" t="str">
            <v>Culture</v>
          </cell>
          <cell r="O1894" t="str">
            <v>الثقافة</v>
          </cell>
          <cell r="P1894" t="str">
            <v>Intangible Cultural Heritage</v>
          </cell>
          <cell r="Q1894" t="str">
            <v>التراث الثقافي المعنوي</v>
          </cell>
          <cell r="R1894" t="str">
            <v>Handicrafts Development</v>
          </cell>
          <cell r="S1894" t="str">
            <v>تطوير الحرف اليدوية</v>
          </cell>
          <cell r="T1894" t="str">
            <v>Artisans Administration - Al Ain</v>
          </cell>
          <cell r="U1894" t="str">
            <v>إدارة الحرفيين - العين</v>
          </cell>
          <cell r="V1894" t="str">
            <v>Al Ain</v>
          </cell>
          <cell r="W1894" t="str">
            <v/>
          </cell>
          <cell r="X1894" t="str">
            <v>4511600</v>
          </cell>
          <cell r="Y1894" t="str">
            <v>Content &amp; Care_World Heritage Sites Planning &amp; Monitoring _Professional</v>
          </cell>
          <cell r="Z1894" t="str">
            <v>Assistant and Technical Staff</v>
          </cell>
          <cell r="AA1894" t="str">
            <v>7A</v>
          </cell>
        </row>
        <row r="1895">
          <cell r="A1895">
            <v>5000141</v>
          </cell>
          <cell r="B1895">
            <v>5000141</v>
          </cell>
          <cell r="C1895" t="str">
            <v>A</v>
          </cell>
          <cell r="D1895" t="str">
            <v>Zahrah Salem Al Marri</v>
          </cell>
          <cell r="E1895" t="str">
            <v>زاهرة سالم المري</v>
          </cell>
          <cell r="F1895">
            <v>41214</v>
          </cell>
          <cell r="G1895" t="str">
            <v>47700894</v>
          </cell>
          <cell r="H1895" t="str">
            <v>Artisan</v>
          </cell>
          <cell r="I1895" t="str">
            <v>حرفي</v>
          </cell>
          <cell r="J1895" t="str">
            <v>Off-Chart</v>
          </cell>
          <cell r="K1895" t="str">
            <v>Non-Payroll</v>
          </cell>
          <cell r="L1895" t="str">
            <v>99</v>
          </cell>
          <cell r="M1895" t="str">
            <v>Department of Culture and Tourism</v>
          </cell>
          <cell r="N1895" t="str">
            <v>Culture</v>
          </cell>
          <cell r="O1895" t="str">
            <v>الثقافة</v>
          </cell>
          <cell r="P1895" t="str">
            <v>Intangible Cultural Heritage</v>
          </cell>
          <cell r="Q1895" t="str">
            <v>التراث الثقافي المعنوي</v>
          </cell>
          <cell r="R1895" t="str">
            <v>Handicrafts Development</v>
          </cell>
          <cell r="S1895" t="str">
            <v>تطوير الحرف اليدوية</v>
          </cell>
          <cell r="T1895" t="str">
            <v>Artisans Administration - Al Ain</v>
          </cell>
          <cell r="U1895" t="str">
            <v>إدارة الحرفيين - العين</v>
          </cell>
          <cell r="V1895" t="str">
            <v>Al Ain</v>
          </cell>
          <cell r="W1895" t="str">
            <v/>
          </cell>
          <cell r="X1895" t="str">
            <v>4511600</v>
          </cell>
          <cell r="Y1895" t="str">
            <v>Content &amp; Care_World Heritage Sites Planning &amp; Monitoring _Professional</v>
          </cell>
          <cell r="Z1895" t="str">
            <v>Assistant and Technical Staff</v>
          </cell>
          <cell r="AA1895" t="str">
            <v>7A</v>
          </cell>
        </row>
        <row r="1896">
          <cell r="A1896">
            <v>5000142</v>
          </cell>
          <cell r="B1896">
            <v>5000142</v>
          </cell>
          <cell r="C1896" t="str">
            <v>A</v>
          </cell>
          <cell r="D1896" t="str">
            <v>Fazal Ur Rehman Afzal</v>
          </cell>
          <cell r="E1896" t="str">
            <v>فضل الرحمن  أفضل</v>
          </cell>
          <cell r="F1896">
            <v>41227</v>
          </cell>
          <cell r="G1896" t="str">
            <v>47700895</v>
          </cell>
          <cell r="H1896" t="str">
            <v>Historic Environment Worker</v>
          </cell>
          <cell r="I1896" t="str">
            <v>عامل البيئة التاريخية</v>
          </cell>
          <cell r="J1896" t="str">
            <v>Off-Chart</v>
          </cell>
          <cell r="K1896" t="str">
            <v>Non-Payroll</v>
          </cell>
          <cell r="L1896" t="str">
            <v>99</v>
          </cell>
          <cell r="M1896" t="str">
            <v>Department of Culture and Tourism</v>
          </cell>
          <cell r="N1896" t="str">
            <v>Culture</v>
          </cell>
          <cell r="O1896" t="str">
            <v>الثقافة</v>
          </cell>
          <cell r="P1896" t="str">
            <v>Historic Environment</v>
          </cell>
          <cell r="Q1896" t="str">
            <v>البيئة التاريخية</v>
          </cell>
          <cell r="R1896" t="str">
            <v>Historic Buildings &amp; Landscapes</v>
          </cell>
          <cell r="S1896" t="str">
            <v>المباني والمسطحات التاريخية</v>
          </cell>
          <cell r="T1896" t="str">
            <v>Culture Sites Protection</v>
          </cell>
          <cell r="U1896" t="str">
            <v>حماية المواقع الثقافية</v>
          </cell>
          <cell r="V1896" t="str">
            <v>Al Ain</v>
          </cell>
          <cell r="W1896" t="str">
            <v/>
          </cell>
          <cell r="X1896" t="str">
            <v>4511300</v>
          </cell>
          <cell r="Y1896" t="str">
            <v>Content &amp; Care_Culture Sites Protection_Assistant &amp; Technical Staff</v>
          </cell>
          <cell r="Z1896" t="str">
            <v>Assistant and Technical Staff</v>
          </cell>
          <cell r="AA1896" t="str">
            <v>7A</v>
          </cell>
        </row>
        <row r="1897">
          <cell r="A1897">
            <v>5000143</v>
          </cell>
          <cell r="B1897">
            <v>5000143</v>
          </cell>
          <cell r="C1897" t="str">
            <v>A</v>
          </cell>
          <cell r="D1897" t="str">
            <v>Haris Hanif Hanif</v>
          </cell>
          <cell r="E1897" t="str">
            <v>حارس حنيف حنيف</v>
          </cell>
          <cell r="F1897">
            <v>41227</v>
          </cell>
          <cell r="G1897" t="str">
            <v>47700896</v>
          </cell>
          <cell r="H1897" t="str">
            <v>Historic Environment Worker</v>
          </cell>
          <cell r="I1897" t="str">
            <v>عامل البيئة التاريخية</v>
          </cell>
          <cell r="J1897" t="str">
            <v>Off-Chart</v>
          </cell>
          <cell r="K1897" t="str">
            <v>Non-Payroll</v>
          </cell>
          <cell r="L1897" t="str">
            <v>99</v>
          </cell>
          <cell r="M1897" t="str">
            <v>Department of Culture and Tourism</v>
          </cell>
          <cell r="N1897" t="str">
            <v>Culture</v>
          </cell>
          <cell r="O1897" t="str">
            <v>الثقافة</v>
          </cell>
          <cell r="P1897" t="str">
            <v>Historic Environment</v>
          </cell>
          <cell r="Q1897" t="str">
            <v>البيئة التاريخية</v>
          </cell>
          <cell r="R1897" t="str">
            <v>Historic Buildings &amp; Landscapes</v>
          </cell>
          <cell r="S1897" t="str">
            <v>المباني والمسطحات التاريخية</v>
          </cell>
          <cell r="T1897" t="str">
            <v>Culture Sites Protection</v>
          </cell>
          <cell r="U1897" t="str">
            <v>حماية المواقع الثقافية</v>
          </cell>
          <cell r="V1897" t="str">
            <v>Al Ain</v>
          </cell>
          <cell r="W1897" t="str">
            <v/>
          </cell>
          <cell r="X1897" t="str">
            <v>4511300</v>
          </cell>
          <cell r="Y1897" t="str">
            <v>Content &amp; Care_Culture Sites Protection_Assistant &amp; Technical Staff</v>
          </cell>
          <cell r="Z1897" t="str">
            <v>Assistant and Technical Staff</v>
          </cell>
          <cell r="AA1897" t="str">
            <v>7A</v>
          </cell>
        </row>
        <row r="1898">
          <cell r="A1898">
            <v>5000144</v>
          </cell>
          <cell r="B1898">
            <v>5000144</v>
          </cell>
          <cell r="C1898" t="str">
            <v>A</v>
          </cell>
          <cell r="D1898" t="str">
            <v>Rab Nawaz Abdul Qadir</v>
          </cell>
          <cell r="E1898" t="str">
            <v>راب نواز عبدالقادر</v>
          </cell>
          <cell r="F1898">
            <v>41227</v>
          </cell>
          <cell r="G1898" t="str">
            <v>47700897</v>
          </cell>
          <cell r="H1898" t="str">
            <v>Historic Environment Worker</v>
          </cell>
          <cell r="I1898" t="str">
            <v>عامل البيئة التاريخية</v>
          </cell>
          <cell r="J1898" t="str">
            <v>Off-Chart</v>
          </cell>
          <cell r="K1898" t="str">
            <v>Non-Payroll</v>
          </cell>
          <cell r="L1898" t="str">
            <v>99</v>
          </cell>
          <cell r="M1898" t="str">
            <v>Department of Culture and Tourism</v>
          </cell>
          <cell r="N1898" t="str">
            <v>Culture</v>
          </cell>
          <cell r="O1898" t="str">
            <v>الثقافة</v>
          </cell>
          <cell r="P1898" t="str">
            <v>Historic Environment</v>
          </cell>
          <cell r="Q1898" t="str">
            <v>البيئة التاريخية</v>
          </cell>
          <cell r="R1898" t="str">
            <v>Historic Buildings &amp; Landscapes</v>
          </cell>
          <cell r="S1898" t="str">
            <v>المباني والمسطحات التاريخية</v>
          </cell>
          <cell r="T1898" t="str">
            <v>Culture Sites Protection</v>
          </cell>
          <cell r="U1898" t="str">
            <v>حماية المواقع الثقافية</v>
          </cell>
          <cell r="V1898" t="str">
            <v>Al Ain</v>
          </cell>
          <cell r="W1898" t="str">
            <v/>
          </cell>
          <cell r="X1898" t="str">
            <v>4511300</v>
          </cell>
          <cell r="Y1898" t="str">
            <v>Content &amp; Care_Culture Sites Protection_Assistant &amp; Technical Staff</v>
          </cell>
          <cell r="Z1898" t="str">
            <v>Assistant and Technical Staff</v>
          </cell>
          <cell r="AA1898" t="str">
            <v>7A</v>
          </cell>
        </row>
        <row r="1899">
          <cell r="A1899">
            <v>5000145</v>
          </cell>
          <cell r="B1899">
            <v>5000145</v>
          </cell>
          <cell r="C1899" t="str">
            <v>A</v>
          </cell>
          <cell r="D1899" t="str">
            <v>Abu Bakar Arif Muhammad</v>
          </cell>
          <cell r="E1899" t="str">
            <v>أبو بكر محمد عارف</v>
          </cell>
          <cell r="F1899">
            <v>41268</v>
          </cell>
          <cell r="G1899" t="str">
            <v>47700898</v>
          </cell>
          <cell r="H1899" t="str">
            <v>Historic Environment Worker</v>
          </cell>
          <cell r="I1899" t="str">
            <v>عامل البيئة التاريخية</v>
          </cell>
          <cell r="J1899" t="str">
            <v>Off-Chart</v>
          </cell>
          <cell r="K1899" t="str">
            <v>Non-Payroll</v>
          </cell>
          <cell r="L1899" t="str">
            <v>99</v>
          </cell>
          <cell r="M1899" t="str">
            <v>Department of Culture and Tourism</v>
          </cell>
          <cell r="N1899" t="str">
            <v>Culture</v>
          </cell>
          <cell r="O1899" t="str">
            <v>الثقافة</v>
          </cell>
          <cell r="P1899" t="str">
            <v>Historic Environment</v>
          </cell>
          <cell r="Q1899" t="str">
            <v>البيئة التاريخية</v>
          </cell>
          <cell r="R1899" t="str">
            <v>Historic Buildings &amp; Landscapes</v>
          </cell>
          <cell r="S1899" t="str">
            <v>المباني والمسطحات التاريخية</v>
          </cell>
          <cell r="T1899" t="str">
            <v>Culture Sites Protection</v>
          </cell>
          <cell r="U1899" t="str">
            <v>حماية المواقع الثقافية</v>
          </cell>
          <cell r="V1899" t="str">
            <v>Al Ain</v>
          </cell>
          <cell r="W1899" t="str">
            <v/>
          </cell>
          <cell r="X1899" t="str">
            <v>4511300</v>
          </cell>
          <cell r="Y1899" t="str">
            <v>Content &amp; Care_Culture Sites Protection_Assistant &amp; Technical Staff</v>
          </cell>
          <cell r="Z1899" t="str">
            <v>Assistant and Technical Staff</v>
          </cell>
          <cell r="AA1899" t="str">
            <v>7A</v>
          </cell>
        </row>
        <row r="1900">
          <cell r="A1900">
            <v>5000147</v>
          </cell>
          <cell r="B1900">
            <v>5000147</v>
          </cell>
          <cell r="C1900" t="str">
            <v>A</v>
          </cell>
          <cell r="D1900" t="str">
            <v>Muhammad Wasaya Allah Aslam</v>
          </cell>
          <cell r="E1900" t="str">
            <v>محمد وسايا الله اسلم</v>
          </cell>
          <cell r="F1900">
            <v>41268</v>
          </cell>
          <cell r="G1900" t="str">
            <v>47700900</v>
          </cell>
          <cell r="H1900" t="str">
            <v>Historic Environment Worker</v>
          </cell>
          <cell r="I1900" t="str">
            <v>عامل البيئة التاريخية</v>
          </cell>
          <cell r="J1900" t="str">
            <v>Off-Chart</v>
          </cell>
          <cell r="K1900" t="str">
            <v>Non-Payroll</v>
          </cell>
          <cell r="L1900" t="str">
            <v>99</v>
          </cell>
          <cell r="M1900" t="str">
            <v>Department of Culture and Tourism</v>
          </cell>
          <cell r="N1900" t="str">
            <v>Culture</v>
          </cell>
          <cell r="O1900" t="str">
            <v>الثقافة</v>
          </cell>
          <cell r="P1900" t="str">
            <v>Historic Environment</v>
          </cell>
          <cell r="Q1900" t="str">
            <v>البيئة التاريخية</v>
          </cell>
          <cell r="R1900" t="str">
            <v>Historic Buildings &amp; Landscapes</v>
          </cell>
          <cell r="S1900" t="str">
            <v>المباني والمسطحات التاريخية</v>
          </cell>
          <cell r="T1900" t="str">
            <v>Culture Sites Protection</v>
          </cell>
          <cell r="U1900" t="str">
            <v>حماية المواقع الثقافية</v>
          </cell>
          <cell r="V1900" t="str">
            <v>Al Ain</v>
          </cell>
          <cell r="W1900" t="str">
            <v/>
          </cell>
          <cell r="X1900" t="str">
            <v>4511300</v>
          </cell>
          <cell r="Y1900" t="str">
            <v>Content &amp; Care_Culture Sites Protection_Assistant &amp; Technical Staff</v>
          </cell>
          <cell r="Z1900" t="str">
            <v>Assistant and Technical Staff</v>
          </cell>
          <cell r="AA1900" t="str">
            <v>7A</v>
          </cell>
        </row>
        <row r="1901">
          <cell r="A1901">
            <v>5000149</v>
          </cell>
          <cell r="B1901">
            <v>5000149</v>
          </cell>
          <cell r="C1901" t="str">
            <v>A</v>
          </cell>
          <cell r="D1901" t="str">
            <v>Rashid Akram Ali</v>
          </cell>
          <cell r="E1901" t="str">
            <v>رشيد أكرم علي</v>
          </cell>
          <cell r="F1901">
            <v>41268</v>
          </cell>
          <cell r="G1901" t="str">
            <v>47700902</v>
          </cell>
          <cell r="H1901" t="str">
            <v>Historic Environment Worker</v>
          </cell>
          <cell r="I1901" t="str">
            <v>عامل البيئة التاريخية</v>
          </cell>
          <cell r="J1901" t="str">
            <v>Off-Chart</v>
          </cell>
          <cell r="K1901" t="str">
            <v>Non-Payroll</v>
          </cell>
          <cell r="L1901" t="str">
            <v>99</v>
          </cell>
          <cell r="M1901" t="str">
            <v>Department of Culture and Tourism</v>
          </cell>
          <cell r="N1901" t="str">
            <v>Culture</v>
          </cell>
          <cell r="O1901" t="str">
            <v>الثقافة</v>
          </cell>
          <cell r="P1901" t="str">
            <v>Historic Environment</v>
          </cell>
          <cell r="Q1901" t="str">
            <v>البيئة التاريخية</v>
          </cell>
          <cell r="R1901" t="str">
            <v>Historic Buildings &amp; Landscapes</v>
          </cell>
          <cell r="S1901" t="str">
            <v>المباني والمسطحات التاريخية</v>
          </cell>
          <cell r="T1901" t="str">
            <v>Culture Sites Protection</v>
          </cell>
          <cell r="U1901" t="str">
            <v>حماية المواقع الثقافية</v>
          </cell>
          <cell r="V1901" t="str">
            <v>Al Ain</v>
          </cell>
          <cell r="W1901" t="str">
            <v/>
          </cell>
          <cell r="X1901" t="str">
            <v>4511300</v>
          </cell>
          <cell r="Y1901" t="str">
            <v>Content &amp; Care_Culture Sites Protection_Assistant &amp; Technical Staff</v>
          </cell>
          <cell r="Z1901" t="str">
            <v>Assistant and Technical Staff</v>
          </cell>
          <cell r="AA1901" t="str">
            <v>7A</v>
          </cell>
        </row>
        <row r="1902">
          <cell r="A1902">
            <v>5000150</v>
          </cell>
          <cell r="B1902">
            <v>5000150</v>
          </cell>
          <cell r="C1902" t="str">
            <v>A</v>
          </cell>
          <cell r="D1902" t="str">
            <v>Samandar Khan Khan</v>
          </cell>
          <cell r="E1902" t="str">
            <v>سمندر خان خان</v>
          </cell>
          <cell r="F1902">
            <v>41268</v>
          </cell>
          <cell r="G1902" t="str">
            <v>47700903</v>
          </cell>
          <cell r="H1902" t="str">
            <v>Historic Environment Worker</v>
          </cell>
          <cell r="I1902" t="str">
            <v>عامل البيئة التاريخية</v>
          </cell>
          <cell r="J1902" t="str">
            <v>Off-Chart</v>
          </cell>
          <cell r="K1902" t="str">
            <v>Non-Payroll</v>
          </cell>
          <cell r="L1902" t="str">
            <v>99</v>
          </cell>
          <cell r="M1902" t="str">
            <v>Department of Culture and Tourism</v>
          </cell>
          <cell r="N1902" t="str">
            <v>Culture</v>
          </cell>
          <cell r="O1902" t="str">
            <v>الثقافة</v>
          </cell>
          <cell r="P1902" t="str">
            <v>Historic Environment</v>
          </cell>
          <cell r="Q1902" t="str">
            <v>البيئة التاريخية</v>
          </cell>
          <cell r="R1902" t="str">
            <v>Historic Buildings &amp; Landscapes</v>
          </cell>
          <cell r="S1902" t="str">
            <v>المباني والمسطحات التاريخية</v>
          </cell>
          <cell r="T1902" t="str">
            <v>Culture Sites Protection</v>
          </cell>
          <cell r="U1902" t="str">
            <v>حماية المواقع الثقافية</v>
          </cell>
          <cell r="V1902" t="str">
            <v>Al Ain</v>
          </cell>
          <cell r="W1902" t="str">
            <v/>
          </cell>
          <cell r="X1902" t="str">
            <v>4511300</v>
          </cell>
          <cell r="Y1902" t="str">
            <v>Content &amp; Care_Culture Sites Protection_Assistant &amp; Technical Staff</v>
          </cell>
          <cell r="Z1902" t="str">
            <v>Assistant and Technical Staff</v>
          </cell>
          <cell r="AA1902" t="str">
            <v>7A</v>
          </cell>
        </row>
        <row r="1903">
          <cell r="A1903">
            <v>5000151</v>
          </cell>
          <cell r="B1903">
            <v>5000151</v>
          </cell>
          <cell r="C1903" t="str">
            <v>A</v>
          </cell>
          <cell r="D1903" t="str">
            <v>Shafqat Iqbal Mohammad</v>
          </cell>
          <cell r="E1903" t="str">
            <v>شفقت إقبال محمد</v>
          </cell>
          <cell r="F1903">
            <v>41284</v>
          </cell>
          <cell r="G1903" t="str">
            <v>47700904</v>
          </cell>
          <cell r="H1903" t="str">
            <v>Historic Environment Worker</v>
          </cell>
          <cell r="I1903" t="str">
            <v>عامل البيئة التاريخية</v>
          </cell>
          <cell r="J1903" t="str">
            <v>Off-Chart</v>
          </cell>
          <cell r="K1903" t="str">
            <v>Non-Payroll</v>
          </cell>
          <cell r="L1903" t="str">
            <v>99</v>
          </cell>
          <cell r="M1903" t="str">
            <v>Department of Culture and Tourism</v>
          </cell>
          <cell r="N1903" t="str">
            <v>Culture</v>
          </cell>
          <cell r="O1903" t="str">
            <v>الثقافة</v>
          </cell>
          <cell r="P1903" t="str">
            <v>Historic Environment</v>
          </cell>
          <cell r="Q1903" t="str">
            <v>البيئة التاريخية</v>
          </cell>
          <cell r="R1903" t="str">
            <v>Historic Buildings &amp; Landscapes</v>
          </cell>
          <cell r="S1903" t="str">
            <v>المباني والمسطحات التاريخية</v>
          </cell>
          <cell r="T1903" t="str">
            <v>Culture Sites Protection</v>
          </cell>
          <cell r="U1903" t="str">
            <v>حماية المواقع الثقافية</v>
          </cell>
          <cell r="V1903" t="str">
            <v>Al Ain</v>
          </cell>
          <cell r="W1903" t="str">
            <v/>
          </cell>
          <cell r="X1903" t="str">
            <v>4511300</v>
          </cell>
          <cell r="Y1903" t="str">
            <v>Content &amp; Care_Culture Sites Protection_Assistant &amp; Technical Staff</v>
          </cell>
          <cell r="Z1903" t="str">
            <v>Assistant and Technical Staff</v>
          </cell>
          <cell r="AA1903" t="str">
            <v>7A</v>
          </cell>
        </row>
        <row r="1904">
          <cell r="A1904">
            <v>5000152</v>
          </cell>
          <cell r="B1904">
            <v>5000152</v>
          </cell>
          <cell r="C1904" t="str">
            <v>A</v>
          </cell>
          <cell r="D1904" t="str">
            <v>Alam Muhammad Firdous</v>
          </cell>
          <cell r="E1904" t="str">
            <v>علم محمد فردوس</v>
          </cell>
          <cell r="F1904">
            <v>41304</v>
          </cell>
          <cell r="G1904" t="str">
            <v>47700905</v>
          </cell>
          <cell r="H1904" t="str">
            <v>Historic Environment Worker</v>
          </cell>
          <cell r="I1904" t="str">
            <v>عامل البيئة التاريخية</v>
          </cell>
          <cell r="J1904" t="str">
            <v>Off-Chart</v>
          </cell>
          <cell r="K1904" t="str">
            <v>Non-Payroll</v>
          </cell>
          <cell r="L1904" t="str">
            <v>99</v>
          </cell>
          <cell r="M1904" t="str">
            <v>Department of Culture and Tourism</v>
          </cell>
          <cell r="N1904" t="str">
            <v>Culture</v>
          </cell>
          <cell r="O1904" t="str">
            <v>الثقافة</v>
          </cell>
          <cell r="P1904" t="str">
            <v>Historic Environment</v>
          </cell>
          <cell r="Q1904" t="str">
            <v>البيئة التاريخية</v>
          </cell>
          <cell r="R1904" t="str">
            <v>Historic Buildings &amp; Landscapes</v>
          </cell>
          <cell r="S1904" t="str">
            <v>المباني والمسطحات التاريخية</v>
          </cell>
          <cell r="T1904" t="str">
            <v>Culture Sites Protection</v>
          </cell>
          <cell r="U1904" t="str">
            <v>حماية المواقع الثقافية</v>
          </cell>
          <cell r="V1904" t="str">
            <v>Al Ain</v>
          </cell>
          <cell r="W1904" t="str">
            <v/>
          </cell>
          <cell r="X1904" t="str">
            <v>4511300</v>
          </cell>
          <cell r="Y1904" t="str">
            <v>Content &amp; Care_Culture Sites Protection_Assistant &amp; Technical Staff</v>
          </cell>
          <cell r="Z1904" t="str">
            <v>Assistant and Technical Staff</v>
          </cell>
          <cell r="AA1904" t="str">
            <v>7A</v>
          </cell>
        </row>
        <row r="1905">
          <cell r="A1905">
            <v>5000153</v>
          </cell>
          <cell r="B1905">
            <v>5000153</v>
          </cell>
          <cell r="C1905" t="str">
            <v>A</v>
          </cell>
          <cell r="D1905" t="str">
            <v>Naseem Syed Muhammad</v>
          </cell>
          <cell r="E1905" t="str">
            <v>نسيم سيد محمد</v>
          </cell>
          <cell r="F1905">
            <v>41312</v>
          </cell>
          <cell r="G1905" t="str">
            <v>47700906</v>
          </cell>
          <cell r="H1905" t="str">
            <v>Historic Environment Worker</v>
          </cell>
          <cell r="I1905" t="str">
            <v>عامل البيئة التاريخية</v>
          </cell>
          <cell r="J1905" t="str">
            <v>Off-Chart</v>
          </cell>
          <cell r="K1905" t="str">
            <v>Non-Payroll</v>
          </cell>
          <cell r="L1905" t="str">
            <v>99</v>
          </cell>
          <cell r="M1905" t="str">
            <v>Department of Culture and Tourism</v>
          </cell>
          <cell r="N1905" t="str">
            <v>Culture</v>
          </cell>
          <cell r="O1905" t="str">
            <v>الثقافة</v>
          </cell>
          <cell r="P1905" t="str">
            <v>Historic Environment</v>
          </cell>
          <cell r="Q1905" t="str">
            <v>البيئة التاريخية</v>
          </cell>
          <cell r="R1905" t="str">
            <v>Historic Buildings &amp; Landscapes</v>
          </cell>
          <cell r="S1905" t="str">
            <v>المباني والمسطحات التاريخية</v>
          </cell>
          <cell r="T1905" t="str">
            <v>Culture Sites Protection</v>
          </cell>
          <cell r="U1905" t="str">
            <v>حماية المواقع الثقافية</v>
          </cell>
          <cell r="V1905" t="str">
            <v>Al Ain</v>
          </cell>
          <cell r="W1905" t="str">
            <v/>
          </cell>
          <cell r="X1905" t="str">
            <v>4511300</v>
          </cell>
          <cell r="Y1905" t="str">
            <v>Content &amp; Care_Culture Sites Protection_Assistant &amp; Technical Staff</v>
          </cell>
          <cell r="Z1905" t="str">
            <v>Assistant and Technical Staff</v>
          </cell>
          <cell r="AA1905" t="str">
            <v>7A</v>
          </cell>
        </row>
        <row r="1906">
          <cell r="A1906">
            <v>5000154</v>
          </cell>
          <cell r="B1906">
            <v>5000154</v>
          </cell>
          <cell r="C1906" t="str">
            <v>A</v>
          </cell>
          <cell r="D1906" t="str">
            <v>Rashid Saeed Ahned</v>
          </cell>
          <cell r="E1906" t="str">
            <v>راشد سعيد أحمد</v>
          </cell>
          <cell r="F1906">
            <v>41312</v>
          </cell>
          <cell r="G1906" t="str">
            <v>47700907</v>
          </cell>
          <cell r="H1906" t="str">
            <v>Historic Environment Worker</v>
          </cell>
          <cell r="I1906" t="str">
            <v>عامل البيئة التاريخية</v>
          </cell>
          <cell r="J1906" t="str">
            <v>Off-Chart</v>
          </cell>
          <cell r="K1906" t="str">
            <v>Non-Payroll</v>
          </cell>
          <cell r="L1906" t="str">
            <v>99</v>
          </cell>
          <cell r="M1906" t="str">
            <v>Department of Culture and Tourism</v>
          </cell>
          <cell r="N1906" t="str">
            <v>Culture</v>
          </cell>
          <cell r="O1906" t="str">
            <v>الثقافة</v>
          </cell>
          <cell r="P1906" t="str">
            <v>Historic Environment</v>
          </cell>
          <cell r="Q1906" t="str">
            <v>البيئة التاريخية</v>
          </cell>
          <cell r="R1906" t="str">
            <v>Historic Buildings &amp; Landscapes</v>
          </cell>
          <cell r="S1906" t="str">
            <v>المباني والمسطحات التاريخية</v>
          </cell>
          <cell r="T1906" t="str">
            <v>Culture Sites Protection</v>
          </cell>
          <cell r="U1906" t="str">
            <v>حماية المواقع الثقافية</v>
          </cell>
          <cell r="V1906" t="str">
            <v>Al Ain</v>
          </cell>
          <cell r="W1906" t="str">
            <v/>
          </cell>
          <cell r="X1906" t="str">
            <v>4511300</v>
          </cell>
          <cell r="Y1906" t="str">
            <v>Content &amp; Care_Culture Sites Protection_Assistant &amp; Technical Staff</v>
          </cell>
          <cell r="Z1906" t="str">
            <v>Assistant and Technical Staff</v>
          </cell>
          <cell r="AA1906" t="str">
            <v>7A</v>
          </cell>
        </row>
        <row r="1907">
          <cell r="A1907">
            <v>5000156</v>
          </cell>
          <cell r="B1907">
            <v>5000156</v>
          </cell>
          <cell r="C1907" t="str">
            <v>A</v>
          </cell>
          <cell r="D1907" t="str">
            <v>Ellahi Muhammad Bakhsh</v>
          </cell>
          <cell r="E1907" t="str">
            <v>إلاهي محمد بخش</v>
          </cell>
          <cell r="F1907">
            <v>41317</v>
          </cell>
          <cell r="G1907" t="str">
            <v>47700909</v>
          </cell>
          <cell r="H1907" t="str">
            <v>Historic Environment Worker</v>
          </cell>
          <cell r="I1907" t="str">
            <v>عامل البيئة التاريخية</v>
          </cell>
          <cell r="J1907" t="str">
            <v>Off-Chart</v>
          </cell>
          <cell r="K1907" t="str">
            <v>Non-Payroll</v>
          </cell>
          <cell r="L1907" t="str">
            <v>99</v>
          </cell>
          <cell r="M1907" t="str">
            <v>Department of Culture and Tourism</v>
          </cell>
          <cell r="N1907" t="str">
            <v>Culture</v>
          </cell>
          <cell r="O1907" t="str">
            <v>الثقافة</v>
          </cell>
          <cell r="P1907" t="str">
            <v>Historic Environment</v>
          </cell>
          <cell r="Q1907" t="str">
            <v>البيئة التاريخية</v>
          </cell>
          <cell r="R1907" t="str">
            <v>Historic Buildings &amp; Landscapes</v>
          </cell>
          <cell r="S1907" t="str">
            <v>المباني والمسطحات التاريخية</v>
          </cell>
          <cell r="T1907" t="str">
            <v>Culture Sites Protection</v>
          </cell>
          <cell r="U1907" t="str">
            <v>حماية المواقع الثقافية</v>
          </cell>
          <cell r="V1907" t="str">
            <v>Al Ain</v>
          </cell>
          <cell r="W1907" t="str">
            <v/>
          </cell>
          <cell r="X1907" t="str">
            <v>4511300</v>
          </cell>
          <cell r="Y1907" t="str">
            <v>Content &amp; Care_Culture Sites Protection_Assistant &amp; Technical Staff</v>
          </cell>
          <cell r="Z1907" t="str">
            <v>Assistant and Technical Staff</v>
          </cell>
          <cell r="AA1907" t="str">
            <v>7A</v>
          </cell>
        </row>
        <row r="1908">
          <cell r="A1908">
            <v>5000157</v>
          </cell>
          <cell r="B1908">
            <v>5000157</v>
          </cell>
          <cell r="C1908" t="str">
            <v>A</v>
          </cell>
          <cell r="D1908" t="str">
            <v>Nazar Dur Mohammad</v>
          </cell>
          <cell r="E1908" t="str">
            <v>نزار دور محمد</v>
          </cell>
          <cell r="F1908">
            <v>41317</v>
          </cell>
          <cell r="G1908" t="str">
            <v>47700910</v>
          </cell>
          <cell r="H1908" t="str">
            <v>Historic Environment Worker</v>
          </cell>
          <cell r="I1908" t="str">
            <v>عامل البيئة التاريخية</v>
          </cell>
          <cell r="J1908" t="str">
            <v>Off-Chart</v>
          </cell>
          <cell r="K1908" t="str">
            <v>Non-Payroll</v>
          </cell>
          <cell r="L1908" t="str">
            <v>99</v>
          </cell>
          <cell r="M1908" t="str">
            <v>Department of Culture and Tourism</v>
          </cell>
          <cell r="N1908" t="str">
            <v>Culture</v>
          </cell>
          <cell r="O1908" t="str">
            <v>الثقافة</v>
          </cell>
          <cell r="P1908" t="str">
            <v>Historic Environment</v>
          </cell>
          <cell r="Q1908" t="str">
            <v>البيئة التاريخية</v>
          </cell>
          <cell r="R1908" t="str">
            <v>Historic Buildings &amp; Landscapes</v>
          </cell>
          <cell r="S1908" t="str">
            <v>المباني والمسطحات التاريخية</v>
          </cell>
          <cell r="T1908" t="str">
            <v>Culture Sites Protection</v>
          </cell>
          <cell r="U1908" t="str">
            <v>حماية المواقع الثقافية</v>
          </cell>
          <cell r="V1908" t="str">
            <v>Al Ain</v>
          </cell>
          <cell r="W1908" t="str">
            <v/>
          </cell>
          <cell r="X1908" t="str">
            <v>4511300</v>
          </cell>
          <cell r="Y1908" t="str">
            <v>Content &amp; Care_Culture Sites Protection_Assistant &amp; Technical Staff</v>
          </cell>
          <cell r="Z1908" t="str">
            <v>Assistant and Technical Staff</v>
          </cell>
          <cell r="AA1908" t="str">
            <v>7A</v>
          </cell>
        </row>
        <row r="1909">
          <cell r="A1909">
            <v>5000158</v>
          </cell>
          <cell r="B1909">
            <v>5000158</v>
          </cell>
          <cell r="C1909" t="str">
            <v>A</v>
          </cell>
          <cell r="D1909" t="str">
            <v>Abdul Jalil</v>
          </cell>
          <cell r="E1909" t="str">
            <v>عبدالجليل  عبدالجليل</v>
          </cell>
          <cell r="F1909">
            <v>41609</v>
          </cell>
          <cell r="G1909" t="str">
            <v>10004373</v>
          </cell>
          <cell r="H1909" t="str">
            <v>Labourer</v>
          </cell>
          <cell r="I1909" t="str">
            <v>عامل</v>
          </cell>
          <cell r="J1909" t="str">
            <v>Off-Chart</v>
          </cell>
          <cell r="K1909" t="str">
            <v>Non-Payroll</v>
          </cell>
          <cell r="L1909" t="str">
            <v>99</v>
          </cell>
          <cell r="M1909" t="str">
            <v>Department of Culture and Tourism</v>
          </cell>
          <cell r="N1909" t="str">
            <v>Culture</v>
          </cell>
          <cell r="O1909" t="str">
            <v>الثقافة</v>
          </cell>
          <cell r="P1909" t="str">
            <v>Historic Environment</v>
          </cell>
          <cell r="Q1909" t="str">
            <v>البيئة التاريخية</v>
          </cell>
          <cell r="R1909" t="str">
            <v>Historic Buildings &amp; Landscapes</v>
          </cell>
          <cell r="S1909" t="str">
            <v>المباني والمسطحات التاريخية</v>
          </cell>
          <cell r="T1909" t="str">
            <v>Culture Sites Protection</v>
          </cell>
          <cell r="U1909" t="str">
            <v>حماية المواقع الثقافية</v>
          </cell>
          <cell r="V1909" t="str">
            <v>Al Ain</v>
          </cell>
          <cell r="W1909" t="str">
            <v/>
          </cell>
          <cell r="X1909" t="str">
            <v>4511300</v>
          </cell>
          <cell r="Y1909" t="str">
            <v>Content &amp; Care_Culture Sites Protection_Assistant &amp; Technical Staff</v>
          </cell>
          <cell r="Z1909" t="str">
            <v>Assistant and Technical Staff</v>
          </cell>
          <cell r="AA1909" t="str">
            <v>7A</v>
          </cell>
        </row>
        <row r="1910">
          <cell r="A1910">
            <v>5000159</v>
          </cell>
          <cell r="B1910">
            <v>5000159</v>
          </cell>
          <cell r="C1910" t="str">
            <v>A</v>
          </cell>
          <cell r="D1910" t="str">
            <v>Arshad Gul</v>
          </cell>
          <cell r="E1910" t="str">
            <v>أرشد  قول</v>
          </cell>
          <cell r="F1910">
            <v>41609</v>
          </cell>
          <cell r="G1910" t="str">
            <v>10004380</v>
          </cell>
          <cell r="H1910" t="str">
            <v>Labourer</v>
          </cell>
          <cell r="I1910" t="str">
            <v>عامل</v>
          </cell>
          <cell r="J1910" t="str">
            <v>Off-Chart</v>
          </cell>
          <cell r="K1910" t="str">
            <v>Non-Payroll</v>
          </cell>
          <cell r="L1910" t="str">
            <v>99</v>
          </cell>
          <cell r="M1910" t="str">
            <v>Department of Culture and Tourism</v>
          </cell>
          <cell r="N1910" t="str">
            <v>Culture</v>
          </cell>
          <cell r="O1910" t="str">
            <v>الثقافة</v>
          </cell>
          <cell r="P1910" t="str">
            <v>Historic Environment</v>
          </cell>
          <cell r="Q1910" t="str">
            <v>البيئة التاريخية</v>
          </cell>
          <cell r="R1910" t="str">
            <v>Historic Buildings &amp; Landscapes</v>
          </cell>
          <cell r="S1910" t="str">
            <v>المباني والمسطحات التاريخية</v>
          </cell>
          <cell r="T1910" t="str">
            <v>Culture Sites Protection</v>
          </cell>
          <cell r="U1910" t="str">
            <v>حماية المواقع الثقافية</v>
          </cell>
          <cell r="V1910" t="str">
            <v>Al Ain</v>
          </cell>
          <cell r="W1910" t="str">
            <v/>
          </cell>
          <cell r="X1910" t="str">
            <v>4511300</v>
          </cell>
          <cell r="Y1910" t="str">
            <v>Content &amp; Care_Culture Sites Protection_Assistant &amp; Technical Staff</v>
          </cell>
          <cell r="Z1910" t="str">
            <v>Assistant and Technical Staff</v>
          </cell>
          <cell r="AA1910" t="str">
            <v>7A</v>
          </cell>
        </row>
        <row r="1911">
          <cell r="A1911">
            <v>5000160</v>
          </cell>
          <cell r="B1911">
            <v>5000160</v>
          </cell>
          <cell r="C1911" t="str">
            <v>A</v>
          </cell>
          <cell r="D1911" t="str">
            <v>Gul Sheer Ahmed</v>
          </cell>
          <cell r="E1911" t="str">
            <v>قول شير أحمد</v>
          </cell>
          <cell r="F1911">
            <v>41609</v>
          </cell>
          <cell r="G1911" t="str">
            <v>10004374</v>
          </cell>
          <cell r="H1911" t="str">
            <v>Labourer</v>
          </cell>
          <cell r="I1911" t="str">
            <v>عامل</v>
          </cell>
          <cell r="J1911" t="str">
            <v>Off-Chart</v>
          </cell>
          <cell r="K1911" t="str">
            <v>Non-Payroll</v>
          </cell>
          <cell r="L1911" t="str">
            <v>99</v>
          </cell>
          <cell r="M1911" t="str">
            <v>Department of Culture and Tourism</v>
          </cell>
          <cell r="N1911" t="str">
            <v>Culture</v>
          </cell>
          <cell r="O1911" t="str">
            <v>الثقافة</v>
          </cell>
          <cell r="P1911" t="str">
            <v>Historic Environment</v>
          </cell>
          <cell r="Q1911" t="str">
            <v>البيئة التاريخية</v>
          </cell>
          <cell r="R1911" t="str">
            <v>Historic Buildings &amp; Landscapes</v>
          </cell>
          <cell r="S1911" t="str">
            <v>المباني والمسطحات التاريخية</v>
          </cell>
          <cell r="T1911" t="str">
            <v>Culture Sites Protection</v>
          </cell>
          <cell r="U1911" t="str">
            <v>حماية المواقع الثقافية</v>
          </cell>
          <cell r="V1911" t="str">
            <v>Al Ain</v>
          </cell>
          <cell r="W1911" t="str">
            <v/>
          </cell>
          <cell r="X1911" t="str">
            <v>4511300</v>
          </cell>
          <cell r="Y1911" t="str">
            <v>Content &amp; Care_Culture Sites Protection_Assistant &amp; Technical Staff</v>
          </cell>
          <cell r="Z1911" t="str">
            <v>Assistant and Technical Staff</v>
          </cell>
          <cell r="AA1911" t="str">
            <v>7A</v>
          </cell>
        </row>
        <row r="1912">
          <cell r="A1912">
            <v>5000161</v>
          </cell>
          <cell r="B1912">
            <v>5000161</v>
          </cell>
          <cell r="C1912" t="str">
            <v>A</v>
          </cell>
          <cell r="D1912" t="str">
            <v>Mohamed Nazir</v>
          </cell>
          <cell r="E1912" t="str">
            <v>محمد  نزير</v>
          </cell>
          <cell r="F1912">
            <v>41609</v>
          </cell>
          <cell r="G1912" t="str">
            <v>10004375</v>
          </cell>
          <cell r="H1912" t="str">
            <v>Labourer</v>
          </cell>
          <cell r="I1912" t="str">
            <v>عامل</v>
          </cell>
          <cell r="J1912" t="str">
            <v>Off-Chart</v>
          </cell>
          <cell r="K1912" t="str">
            <v>Non-Payroll</v>
          </cell>
          <cell r="L1912" t="str">
            <v>99</v>
          </cell>
          <cell r="M1912" t="str">
            <v>Department of Culture and Tourism</v>
          </cell>
          <cell r="N1912" t="str">
            <v>Culture</v>
          </cell>
          <cell r="O1912" t="str">
            <v>الثقافة</v>
          </cell>
          <cell r="P1912" t="str">
            <v>Historic Environment</v>
          </cell>
          <cell r="Q1912" t="str">
            <v>البيئة التاريخية</v>
          </cell>
          <cell r="R1912" t="str">
            <v>Historic Buildings &amp; Landscapes</v>
          </cell>
          <cell r="S1912" t="str">
            <v>المباني والمسطحات التاريخية</v>
          </cell>
          <cell r="T1912" t="str">
            <v>Culture Sites Protection</v>
          </cell>
          <cell r="U1912" t="str">
            <v>حماية المواقع الثقافية</v>
          </cell>
          <cell r="V1912" t="str">
            <v>Al Ain</v>
          </cell>
          <cell r="W1912" t="str">
            <v/>
          </cell>
          <cell r="X1912" t="str">
            <v>4511300</v>
          </cell>
          <cell r="Y1912" t="str">
            <v>Content &amp; Care_Culture Sites Protection_Assistant &amp; Technical Staff</v>
          </cell>
          <cell r="Z1912" t="str">
            <v>Assistant and Technical Staff</v>
          </cell>
          <cell r="AA1912" t="str">
            <v>7A</v>
          </cell>
        </row>
        <row r="1913">
          <cell r="A1913">
            <v>5000162</v>
          </cell>
          <cell r="B1913">
            <v>5000162</v>
          </cell>
          <cell r="C1913" t="str">
            <v>A</v>
          </cell>
          <cell r="D1913" t="str">
            <v>Prabin Sharma</v>
          </cell>
          <cell r="E1913" t="str">
            <v>براين  شرما</v>
          </cell>
          <cell r="F1913">
            <v>41609</v>
          </cell>
          <cell r="G1913" t="str">
            <v>10004376</v>
          </cell>
          <cell r="H1913" t="str">
            <v>Labourer</v>
          </cell>
          <cell r="I1913" t="str">
            <v>عامل</v>
          </cell>
          <cell r="J1913" t="str">
            <v>Off-Chart</v>
          </cell>
          <cell r="K1913" t="str">
            <v>Non-Payroll</v>
          </cell>
          <cell r="L1913" t="str">
            <v>99</v>
          </cell>
          <cell r="M1913" t="str">
            <v>Department of Culture and Tourism</v>
          </cell>
          <cell r="N1913" t="str">
            <v>Culture</v>
          </cell>
          <cell r="O1913" t="str">
            <v>الثقافة</v>
          </cell>
          <cell r="P1913" t="str">
            <v>Historic Environment</v>
          </cell>
          <cell r="Q1913" t="str">
            <v>البيئة التاريخية</v>
          </cell>
          <cell r="R1913" t="str">
            <v>Historic Buildings &amp; Landscapes</v>
          </cell>
          <cell r="S1913" t="str">
            <v>المباني والمسطحات التاريخية</v>
          </cell>
          <cell r="T1913" t="str">
            <v>Culture Sites Protection</v>
          </cell>
          <cell r="U1913" t="str">
            <v>حماية المواقع الثقافية</v>
          </cell>
          <cell r="V1913" t="str">
            <v>Al Ain</v>
          </cell>
          <cell r="W1913" t="str">
            <v/>
          </cell>
          <cell r="X1913" t="str">
            <v>4511300</v>
          </cell>
          <cell r="Y1913" t="str">
            <v>Content &amp; Care_Culture Sites Protection_Assistant &amp; Technical Staff</v>
          </cell>
          <cell r="Z1913" t="str">
            <v>Assistant and Technical Staff</v>
          </cell>
          <cell r="AA1913" t="str">
            <v>7A</v>
          </cell>
        </row>
        <row r="1914">
          <cell r="A1914">
            <v>5000163</v>
          </cell>
          <cell r="B1914">
            <v>5000163</v>
          </cell>
          <cell r="C1914" t="str">
            <v>A</v>
          </cell>
          <cell r="D1914" t="str">
            <v>Shoukat Mehmood</v>
          </cell>
          <cell r="E1914" t="str">
            <v>شوكت  محمود</v>
          </cell>
          <cell r="F1914">
            <v>41609</v>
          </cell>
          <cell r="G1914" t="str">
            <v>10004377</v>
          </cell>
          <cell r="H1914" t="str">
            <v>Labourer</v>
          </cell>
          <cell r="I1914" t="str">
            <v>عامل</v>
          </cell>
          <cell r="J1914" t="str">
            <v>Off-Chart</v>
          </cell>
          <cell r="K1914" t="str">
            <v>Non-Payroll</v>
          </cell>
          <cell r="L1914" t="str">
            <v>99</v>
          </cell>
          <cell r="M1914" t="str">
            <v>Department of Culture and Tourism</v>
          </cell>
          <cell r="N1914" t="str">
            <v>Culture</v>
          </cell>
          <cell r="O1914" t="str">
            <v>الثقافة</v>
          </cell>
          <cell r="P1914" t="str">
            <v>Historic Environment</v>
          </cell>
          <cell r="Q1914" t="str">
            <v>البيئة التاريخية</v>
          </cell>
          <cell r="R1914" t="str">
            <v>Historic Buildings &amp; Landscapes</v>
          </cell>
          <cell r="S1914" t="str">
            <v>المباني والمسطحات التاريخية</v>
          </cell>
          <cell r="T1914" t="str">
            <v>Culture Sites Protection</v>
          </cell>
          <cell r="U1914" t="str">
            <v>حماية المواقع الثقافية</v>
          </cell>
          <cell r="V1914" t="str">
            <v>Al Ain</v>
          </cell>
          <cell r="W1914" t="str">
            <v/>
          </cell>
          <cell r="X1914" t="str">
            <v>4511300</v>
          </cell>
          <cell r="Y1914" t="str">
            <v>Content &amp; Care_Culture Sites Protection_Assistant &amp; Technical Staff</v>
          </cell>
          <cell r="Z1914" t="str">
            <v>Assistant and Technical Staff</v>
          </cell>
          <cell r="AA1914" t="str">
            <v>7A</v>
          </cell>
        </row>
        <row r="1915">
          <cell r="A1915">
            <v>5000164</v>
          </cell>
          <cell r="B1915">
            <v>5000164</v>
          </cell>
          <cell r="C1915" t="str">
            <v>A</v>
          </cell>
          <cell r="D1915" t="str">
            <v>Syed Shan</v>
          </cell>
          <cell r="E1915" t="str">
            <v>سيد  شان</v>
          </cell>
          <cell r="F1915">
            <v>41609</v>
          </cell>
          <cell r="G1915" t="str">
            <v>10004378</v>
          </cell>
          <cell r="H1915" t="str">
            <v>Labourer</v>
          </cell>
          <cell r="I1915" t="str">
            <v>عامل</v>
          </cell>
          <cell r="J1915" t="str">
            <v>Off-Chart</v>
          </cell>
          <cell r="K1915" t="str">
            <v>Non-Payroll</v>
          </cell>
          <cell r="L1915" t="str">
            <v>99</v>
          </cell>
          <cell r="M1915" t="str">
            <v>Department of Culture and Tourism</v>
          </cell>
          <cell r="N1915" t="str">
            <v>Culture</v>
          </cell>
          <cell r="O1915" t="str">
            <v>الثقافة</v>
          </cell>
          <cell r="P1915" t="str">
            <v>Historic Environment</v>
          </cell>
          <cell r="Q1915" t="str">
            <v>البيئة التاريخية</v>
          </cell>
          <cell r="R1915" t="str">
            <v>Historic Buildings &amp; Landscapes</v>
          </cell>
          <cell r="S1915" t="str">
            <v>المباني والمسطحات التاريخية</v>
          </cell>
          <cell r="T1915" t="str">
            <v>Culture Sites Protection</v>
          </cell>
          <cell r="U1915" t="str">
            <v>حماية المواقع الثقافية</v>
          </cell>
          <cell r="V1915" t="str">
            <v>Al Ain</v>
          </cell>
          <cell r="W1915" t="str">
            <v/>
          </cell>
          <cell r="X1915" t="str">
            <v>4511300</v>
          </cell>
          <cell r="Y1915" t="str">
            <v>Content &amp; Care_Culture Sites Protection_Assistant &amp; Technical Staff</v>
          </cell>
          <cell r="Z1915" t="str">
            <v>Assistant and Technical Staff</v>
          </cell>
          <cell r="AA1915" t="str">
            <v>7A</v>
          </cell>
        </row>
        <row r="1916">
          <cell r="A1916">
            <v>5000166</v>
          </cell>
          <cell r="B1916">
            <v>5000166</v>
          </cell>
          <cell r="C1916" t="str">
            <v>A</v>
          </cell>
          <cell r="D1916" t="str">
            <v>Choudhry Fayyaz Ahmad</v>
          </cell>
          <cell r="E1916" t="str">
            <v>شودري فايز أحمد</v>
          </cell>
          <cell r="F1916">
            <v>41609</v>
          </cell>
          <cell r="G1916" t="str">
            <v>10004505</v>
          </cell>
          <cell r="H1916" t="str">
            <v>Labourer</v>
          </cell>
          <cell r="I1916" t="str">
            <v>عامل</v>
          </cell>
          <cell r="J1916" t="str">
            <v>Off-Chart</v>
          </cell>
          <cell r="K1916" t="str">
            <v>Non-Payroll</v>
          </cell>
          <cell r="L1916" t="str">
            <v>99</v>
          </cell>
          <cell r="M1916" t="str">
            <v>Department of Culture and Tourism</v>
          </cell>
          <cell r="N1916" t="str">
            <v>Culture</v>
          </cell>
          <cell r="O1916" t="str">
            <v>الثقافة</v>
          </cell>
          <cell r="P1916" t="str">
            <v>Historic Environment</v>
          </cell>
          <cell r="Q1916" t="str">
            <v>البيئة التاريخية</v>
          </cell>
          <cell r="R1916" t="str">
            <v>Historic Buildings &amp; Landscapes</v>
          </cell>
          <cell r="S1916" t="str">
            <v>المباني والمسطحات التاريخية</v>
          </cell>
          <cell r="T1916" t="str">
            <v>Culture Sites Protection</v>
          </cell>
          <cell r="U1916" t="str">
            <v>حماية المواقع الثقافية</v>
          </cell>
          <cell r="V1916" t="str">
            <v>Al Ain</v>
          </cell>
          <cell r="W1916" t="str">
            <v/>
          </cell>
          <cell r="X1916" t="str">
            <v>4511300</v>
          </cell>
          <cell r="Y1916" t="str">
            <v>Content &amp; Care_Culture Sites Protection_Assistant &amp; Technical Staff</v>
          </cell>
          <cell r="Z1916" t="str">
            <v>Assistant and Technical Staff</v>
          </cell>
          <cell r="AA1916" t="str">
            <v>7A</v>
          </cell>
        </row>
        <row r="1917">
          <cell r="A1917">
            <v>5000168</v>
          </cell>
          <cell r="B1917">
            <v>5000168</v>
          </cell>
          <cell r="C1917" t="str">
            <v>A</v>
          </cell>
          <cell r="D1917" t="str">
            <v>Noor Muhammad</v>
          </cell>
          <cell r="E1917" t="str">
            <v>نور  محمد</v>
          </cell>
          <cell r="F1917">
            <v>41609</v>
          </cell>
          <cell r="G1917" t="str">
            <v>10004508</v>
          </cell>
          <cell r="H1917" t="str">
            <v>Labourer</v>
          </cell>
          <cell r="I1917" t="str">
            <v>عامل</v>
          </cell>
          <cell r="J1917" t="str">
            <v>Off-Chart</v>
          </cell>
          <cell r="K1917" t="str">
            <v>Non-Payroll</v>
          </cell>
          <cell r="L1917" t="str">
            <v>99</v>
          </cell>
          <cell r="M1917" t="str">
            <v>Department of Culture and Tourism</v>
          </cell>
          <cell r="N1917" t="str">
            <v>Culture</v>
          </cell>
          <cell r="O1917" t="str">
            <v>الثقافة</v>
          </cell>
          <cell r="P1917" t="str">
            <v>Historic Environment</v>
          </cell>
          <cell r="Q1917" t="str">
            <v>البيئة التاريخية</v>
          </cell>
          <cell r="R1917" t="str">
            <v>Historic Buildings &amp; Landscapes</v>
          </cell>
          <cell r="S1917" t="str">
            <v>المباني والمسطحات التاريخية</v>
          </cell>
          <cell r="T1917" t="str">
            <v>Culture Sites Protection</v>
          </cell>
          <cell r="U1917" t="str">
            <v>حماية المواقع الثقافية</v>
          </cell>
          <cell r="V1917" t="str">
            <v>Al Ain</v>
          </cell>
          <cell r="W1917" t="str">
            <v/>
          </cell>
          <cell r="X1917" t="str">
            <v>4511300</v>
          </cell>
          <cell r="Y1917" t="str">
            <v>Content &amp; Care_Culture Sites Protection_Assistant &amp; Technical Staff</v>
          </cell>
          <cell r="Z1917" t="str">
            <v>Assistant and Technical Staff</v>
          </cell>
          <cell r="AA1917" t="str">
            <v>7A</v>
          </cell>
        </row>
        <row r="1918">
          <cell r="A1918">
            <v>5000170</v>
          </cell>
          <cell r="B1918">
            <v>5000170</v>
          </cell>
          <cell r="C1918" t="str">
            <v>A</v>
          </cell>
          <cell r="D1918" t="str">
            <v>Tahir Mehmood</v>
          </cell>
          <cell r="E1918" t="str">
            <v>طاهر  محمود</v>
          </cell>
          <cell r="F1918">
            <v>41609</v>
          </cell>
          <cell r="G1918" t="str">
            <v>10004510</v>
          </cell>
          <cell r="H1918" t="str">
            <v>Labourer</v>
          </cell>
          <cell r="I1918" t="str">
            <v>عامل</v>
          </cell>
          <cell r="J1918" t="str">
            <v>Off-Chart</v>
          </cell>
          <cell r="K1918" t="str">
            <v>Non-Payroll</v>
          </cell>
          <cell r="L1918" t="str">
            <v>99</v>
          </cell>
          <cell r="M1918" t="str">
            <v>Department of Culture and Tourism</v>
          </cell>
          <cell r="N1918" t="str">
            <v>Culture</v>
          </cell>
          <cell r="O1918" t="str">
            <v>الثقافة</v>
          </cell>
          <cell r="P1918" t="str">
            <v>Historic Environment</v>
          </cell>
          <cell r="Q1918" t="str">
            <v>البيئة التاريخية</v>
          </cell>
          <cell r="R1918" t="str">
            <v>Historic Buildings &amp; Landscapes</v>
          </cell>
          <cell r="S1918" t="str">
            <v>المباني والمسطحات التاريخية</v>
          </cell>
          <cell r="T1918" t="str">
            <v>Culture Sites Protection</v>
          </cell>
          <cell r="U1918" t="str">
            <v>حماية المواقع الثقافية</v>
          </cell>
          <cell r="V1918" t="str">
            <v>Al Ain</v>
          </cell>
          <cell r="W1918" t="str">
            <v/>
          </cell>
          <cell r="X1918" t="str">
            <v>4511300</v>
          </cell>
          <cell r="Y1918" t="str">
            <v>Content &amp; Care_Culture Sites Protection_Assistant &amp; Technical Staff</v>
          </cell>
          <cell r="Z1918" t="str">
            <v>Assistant and Technical Staff</v>
          </cell>
          <cell r="AA1918" t="str">
            <v>7A</v>
          </cell>
        </row>
        <row r="1919">
          <cell r="A1919">
            <v>5000171</v>
          </cell>
          <cell r="B1919">
            <v>5000171</v>
          </cell>
          <cell r="C1919" t="str">
            <v>A</v>
          </cell>
          <cell r="D1919" t="str">
            <v>Haider Shaban Gad</v>
          </cell>
          <cell r="E1919" t="str">
            <v>حيدر شابان جاد</v>
          </cell>
          <cell r="F1919">
            <v>41640</v>
          </cell>
          <cell r="G1919" t="str">
            <v>10004506</v>
          </cell>
          <cell r="H1919" t="str">
            <v>Labourer</v>
          </cell>
          <cell r="I1919" t="str">
            <v>عامل</v>
          </cell>
          <cell r="J1919" t="str">
            <v>Off-Chart</v>
          </cell>
          <cell r="K1919" t="str">
            <v>Non-Payroll</v>
          </cell>
          <cell r="L1919" t="str">
            <v>99</v>
          </cell>
          <cell r="M1919" t="str">
            <v>Department of Culture and Tourism</v>
          </cell>
          <cell r="N1919" t="str">
            <v>Culture</v>
          </cell>
          <cell r="O1919" t="str">
            <v>الثقافة</v>
          </cell>
          <cell r="P1919" t="str">
            <v>Historic Environment</v>
          </cell>
          <cell r="Q1919" t="str">
            <v>البيئة التاريخية</v>
          </cell>
          <cell r="R1919" t="str">
            <v>Historic Buildings &amp; Landscapes</v>
          </cell>
          <cell r="S1919" t="str">
            <v>المباني والمسطحات التاريخية</v>
          </cell>
          <cell r="T1919" t="str">
            <v>Culture Sites Protection</v>
          </cell>
          <cell r="U1919" t="str">
            <v>حماية المواقع الثقافية</v>
          </cell>
          <cell r="V1919" t="str">
            <v>Al Ain</v>
          </cell>
          <cell r="W1919" t="str">
            <v/>
          </cell>
          <cell r="X1919" t="str">
            <v>4511300</v>
          </cell>
          <cell r="Y1919" t="str">
            <v>Content &amp; Care_Culture Sites Protection_Assistant &amp; Technical Staff</v>
          </cell>
          <cell r="Z1919" t="str">
            <v>Assistant and Technical Staff</v>
          </cell>
          <cell r="AA1919" t="str">
            <v>7A</v>
          </cell>
        </row>
        <row r="1920">
          <cell r="A1920">
            <v>5000173</v>
          </cell>
          <cell r="B1920">
            <v>5000173</v>
          </cell>
          <cell r="C1920" t="str">
            <v>A</v>
          </cell>
          <cell r="D1920" t="str">
            <v>Maryam Said Saif Al Kaabi</v>
          </cell>
          <cell r="E1920" t="str">
            <v>مريم سعيد الكعبي</v>
          </cell>
          <cell r="F1920">
            <v>41699</v>
          </cell>
          <cell r="G1920" t="str">
            <v>10004525</v>
          </cell>
          <cell r="H1920" t="str">
            <v>Artisan</v>
          </cell>
          <cell r="I1920" t="str">
            <v>حرفي</v>
          </cell>
          <cell r="J1920" t="str">
            <v>Off-Chart</v>
          </cell>
          <cell r="K1920" t="str">
            <v>Non-Payroll</v>
          </cell>
          <cell r="L1920" t="str">
            <v>99</v>
          </cell>
          <cell r="M1920" t="str">
            <v>Department of Culture and Tourism</v>
          </cell>
          <cell r="N1920" t="str">
            <v>Culture</v>
          </cell>
          <cell r="O1920" t="str">
            <v>الثقافة</v>
          </cell>
          <cell r="P1920" t="str">
            <v>Intangible Cultural Heritage</v>
          </cell>
          <cell r="Q1920" t="str">
            <v>التراث الثقافي المعنوي</v>
          </cell>
          <cell r="R1920" t="str">
            <v>Handicrafts Development</v>
          </cell>
          <cell r="S1920" t="str">
            <v>تطوير الحرف اليدوية</v>
          </cell>
          <cell r="T1920" t="str">
            <v>Artisans Administration - Al Ain</v>
          </cell>
          <cell r="U1920" t="str">
            <v>إدارة الحرفيين - العين</v>
          </cell>
          <cell r="V1920" t="str">
            <v>Al Ain</v>
          </cell>
          <cell r="W1920" t="str">
            <v/>
          </cell>
          <cell r="X1920" t="str">
            <v>4511600</v>
          </cell>
          <cell r="Y1920" t="str">
            <v>Content &amp; Care_World Heritage Sites Planning &amp; Monitoring _Professional</v>
          </cell>
          <cell r="Z1920" t="str">
            <v>Assistant and Technical Staff</v>
          </cell>
          <cell r="AA1920" t="str">
            <v>7A</v>
          </cell>
        </row>
        <row r="1921">
          <cell r="A1921">
            <v>5000174</v>
          </cell>
          <cell r="B1921">
            <v>5000174</v>
          </cell>
          <cell r="C1921" t="str">
            <v>A</v>
          </cell>
          <cell r="D1921" t="str">
            <v>Abdullah Salim Rashid Al Maqbali</v>
          </cell>
          <cell r="E1921" t="str">
            <v>عبدالله سالم المقبالي</v>
          </cell>
          <cell r="F1921">
            <v>41699</v>
          </cell>
          <cell r="G1921" t="str">
            <v>10004576</v>
          </cell>
          <cell r="H1921" t="str">
            <v>Artisan</v>
          </cell>
          <cell r="I1921" t="str">
            <v>حرفي</v>
          </cell>
          <cell r="J1921" t="str">
            <v>Off-Chart</v>
          </cell>
          <cell r="K1921" t="str">
            <v>Non-Payroll</v>
          </cell>
          <cell r="L1921" t="str">
            <v>99</v>
          </cell>
          <cell r="M1921" t="str">
            <v>Department of Culture and Tourism</v>
          </cell>
          <cell r="N1921" t="str">
            <v>Culture</v>
          </cell>
          <cell r="O1921" t="str">
            <v>الثقافة</v>
          </cell>
          <cell r="P1921" t="str">
            <v>Intangible Cultural Heritage</v>
          </cell>
          <cell r="Q1921" t="str">
            <v>التراث الثقافي المعنوي</v>
          </cell>
          <cell r="R1921" t="str">
            <v>Handicrafts Development</v>
          </cell>
          <cell r="S1921" t="str">
            <v>تطوير الحرف اليدوية</v>
          </cell>
          <cell r="T1921" t="str">
            <v>Artisans Administration - Al Ain</v>
          </cell>
          <cell r="U1921" t="str">
            <v>إدارة الحرفيين - العين</v>
          </cell>
          <cell r="V1921" t="str">
            <v>Al Ain</v>
          </cell>
          <cell r="W1921" t="str">
            <v/>
          </cell>
          <cell r="X1921" t="str">
            <v>4511600</v>
          </cell>
          <cell r="Y1921" t="str">
            <v>Content &amp; Care_World Heritage Sites Planning &amp; Monitoring _Professional</v>
          </cell>
          <cell r="Z1921" t="str">
            <v>Assistant and Technical Staff</v>
          </cell>
          <cell r="AA1921" t="str">
            <v>7A</v>
          </cell>
        </row>
        <row r="1922">
          <cell r="A1922">
            <v>5000175</v>
          </cell>
          <cell r="B1922">
            <v>5000175</v>
          </cell>
          <cell r="C1922" t="str">
            <v>A</v>
          </cell>
          <cell r="D1922" t="str">
            <v>Khalid Ali Said Al Kaabi</v>
          </cell>
          <cell r="E1922" t="str">
            <v>خالد علي الكعبي</v>
          </cell>
          <cell r="F1922">
            <v>41760</v>
          </cell>
          <cell r="G1922" t="str">
            <v>10004524</v>
          </cell>
          <cell r="H1922" t="str">
            <v>Artisan</v>
          </cell>
          <cell r="I1922" t="str">
            <v>حرفي</v>
          </cell>
          <cell r="J1922" t="str">
            <v>Off-Chart</v>
          </cell>
          <cell r="K1922" t="str">
            <v>Non-Payroll</v>
          </cell>
          <cell r="L1922" t="str">
            <v>99</v>
          </cell>
          <cell r="M1922" t="str">
            <v>Department of Culture and Tourism</v>
          </cell>
          <cell r="N1922" t="str">
            <v>Culture</v>
          </cell>
          <cell r="O1922" t="str">
            <v>الثقافة</v>
          </cell>
          <cell r="P1922" t="str">
            <v>Intangible Cultural Heritage</v>
          </cell>
          <cell r="Q1922" t="str">
            <v>التراث الثقافي المعنوي</v>
          </cell>
          <cell r="R1922" t="str">
            <v>Handicrafts Development</v>
          </cell>
          <cell r="S1922" t="str">
            <v>تطوير الحرف اليدوية</v>
          </cell>
          <cell r="T1922" t="str">
            <v>Artisans Administration - Al Ain</v>
          </cell>
          <cell r="U1922" t="str">
            <v>إدارة الحرفيين - العين</v>
          </cell>
          <cell r="V1922" t="str">
            <v>Al Ain</v>
          </cell>
          <cell r="W1922" t="str">
            <v/>
          </cell>
          <cell r="X1922" t="str">
            <v>4511600</v>
          </cell>
          <cell r="Y1922" t="str">
            <v>Content &amp; Care_World Heritage Sites Planning &amp; Monitoring _Professional</v>
          </cell>
          <cell r="Z1922" t="str">
            <v>Assistant and Technical Staff</v>
          </cell>
          <cell r="AA1922" t="str">
            <v>7A</v>
          </cell>
        </row>
        <row r="1923">
          <cell r="A1923">
            <v>5000180</v>
          </cell>
          <cell r="B1923">
            <v>5000180</v>
          </cell>
          <cell r="C1923" t="str">
            <v>A</v>
          </cell>
          <cell r="D1923" t="str">
            <v>Waleed Syed Muhammad</v>
          </cell>
          <cell r="E1923" t="str">
            <v>وليد سيد محمد</v>
          </cell>
          <cell r="F1923">
            <v>42982</v>
          </cell>
          <cell r="G1923" t="str">
            <v>10006919</v>
          </cell>
          <cell r="H1923" t="str">
            <v>Labourer</v>
          </cell>
          <cell r="I1923" t="str">
            <v>عامل</v>
          </cell>
          <cell r="J1923" t="str">
            <v>Off-Chart</v>
          </cell>
          <cell r="K1923" t="str">
            <v>Non-Payroll</v>
          </cell>
          <cell r="L1923" t="str">
            <v>99</v>
          </cell>
          <cell r="M1923" t="str">
            <v>Department of Culture and Tourism</v>
          </cell>
          <cell r="N1923" t="str">
            <v>Culture</v>
          </cell>
          <cell r="O1923" t="str">
            <v>الثقافة</v>
          </cell>
          <cell r="P1923" t="str">
            <v>Historic Environment</v>
          </cell>
          <cell r="Q1923" t="str">
            <v>البيئة التاريخية</v>
          </cell>
          <cell r="R1923" t="str">
            <v>Historic Buildings &amp; Landscapes</v>
          </cell>
          <cell r="S1923" t="str">
            <v>المباني والمسطحات التاريخية</v>
          </cell>
          <cell r="T1923" t="str">
            <v>Culture Sites Protection</v>
          </cell>
          <cell r="U1923" t="str">
            <v>حماية المواقع الثقافية</v>
          </cell>
          <cell r="V1923" t="str">
            <v>Al Ain</v>
          </cell>
          <cell r="W1923" t="str">
            <v/>
          </cell>
          <cell r="X1923" t="str">
            <v>4511300</v>
          </cell>
          <cell r="Y1923" t="str">
            <v>Content &amp; Care_Culture Sites Protection_Assistant &amp; Technical Staff</v>
          </cell>
          <cell r="Z1923" t="str">
            <v>Assistant and Technical Staff</v>
          </cell>
          <cell r="AA1923" t="str">
            <v>7A</v>
          </cell>
        </row>
        <row r="1924">
          <cell r="A1924">
            <v>5000183</v>
          </cell>
          <cell r="B1924">
            <v>5000183</v>
          </cell>
          <cell r="C1924" t="str">
            <v>A</v>
          </cell>
          <cell r="D1924" t="str">
            <v>Khial Salam Shah</v>
          </cell>
          <cell r="E1924" t="str">
            <v>خيال سلام شاه</v>
          </cell>
          <cell r="F1924">
            <v>42982</v>
          </cell>
          <cell r="G1924" t="str">
            <v>10006922</v>
          </cell>
          <cell r="H1924" t="str">
            <v>Labourer</v>
          </cell>
          <cell r="I1924" t="str">
            <v>عامل</v>
          </cell>
          <cell r="J1924" t="str">
            <v>Off-Chart</v>
          </cell>
          <cell r="K1924" t="str">
            <v>Non-Payroll</v>
          </cell>
          <cell r="L1924" t="str">
            <v>99</v>
          </cell>
          <cell r="M1924" t="str">
            <v>Department of Culture and Tourism</v>
          </cell>
          <cell r="N1924" t="str">
            <v>Culture</v>
          </cell>
          <cell r="O1924" t="str">
            <v>الثقافة</v>
          </cell>
          <cell r="P1924" t="str">
            <v>Historic Environment</v>
          </cell>
          <cell r="Q1924" t="str">
            <v>البيئة التاريخية</v>
          </cell>
          <cell r="R1924" t="str">
            <v>Historic Buildings &amp; Landscapes</v>
          </cell>
          <cell r="S1924" t="str">
            <v>المباني والمسطحات التاريخية</v>
          </cell>
          <cell r="T1924" t="str">
            <v>Culture Sites Protection</v>
          </cell>
          <cell r="U1924" t="str">
            <v>حماية المواقع الثقافية</v>
          </cell>
          <cell r="V1924" t="str">
            <v>Al Ain</v>
          </cell>
          <cell r="W1924" t="str">
            <v/>
          </cell>
          <cell r="X1924" t="str">
            <v>4511300</v>
          </cell>
          <cell r="Y1924" t="str">
            <v>Content &amp; Care_Culture Sites Protection_Assistant &amp; Technical Staff</v>
          </cell>
          <cell r="Z1924" t="str">
            <v>Assistant and Technical Staff</v>
          </cell>
          <cell r="AA1924" t="str">
            <v>7A</v>
          </cell>
        </row>
        <row r="1925">
          <cell r="A1925">
            <v>5000184</v>
          </cell>
          <cell r="B1925">
            <v>5000184</v>
          </cell>
          <cell r="C1925" t="str">
            <v>A</v>
          </cell>
          <cell r="D1925" t="str">
            <v>Farman Ullah Jan</v>
          </cell>
          <cell r="E1925" t="str">
            <v>فرمان الله  جاد</v>
          </cell>
          <cell r="F1925">
            <v>42982</v>
          </cell>
          <cell r="G1925" t="str">
            <v>10006923</v>
          </cell>
          <cell r="H1925" t="str">
            <v>Labourer</v>
          </cell>
          <cell r="I1925" t="str">
            <v>عامل</v>
          </cell>
          <cell r="J1925" t="str">
            <v>Off-Chart</v>
          </cell>
          <cell r="K1925" t="str">
            <v>Non-Payroll</v>
          </cell>
          <cell r="L1925" t="str">
            <v>99</v>
          </cell>
          <cell r="M1925" t="str">
            <v>Department of Culture and Tourism</v>
          </cell>
          <cell r="N1925" t="str">
            <v>Culture</v>
          </cell>
          <cell r="O1925" t="str">
            <v>الثقافة</v>
          </cell>
          <cell r="P1925" t="str">
            <v>Historic Environment</v>
          </cell>
          <cell r="Q1925" t="str">
            <v>البيئة التاريخية</v>
          </cell>
          <cell r="R1925" t="str">
            <v>Historic Buildings &amp; Landscapes</v>
          </cell>
          <cell r="S1925" t="str">
            <v>المباني والمسطحات التاريخية</v>
          </cell>
          <cell r="T1925" t="str">
            <v>Culture Sites Protection</v>
          </cell>
          <cell r="U1925" t="str">
            <v>حماية المواقع الثقافية</v>
          </cell>
          <cell r="V1925" t="str">
            <v>Al Ain</v>
          </cell>
          <cell r="W1925" t="str">
            <v/>
          </cell>
          <cell r="X1925" t="str">
            <v>4511300</v>
          </cell>
          <cell r="Y1925" t="str">
            <v>Content &amp; Care_Culture Sites Protection_Assistant &amp; Technical Staff</v>
          </cell>
          <cell r="Z1925" t="str">
            <v>Assistant and Technical Staff</v>
          </cell>
          <cell r="AA1925" t="str">
            <v>7A</v>
          </cell>
        </row>
        <row r="1926">
          <cell r="A1926">
            <v>5000185</v>
          </cell>
          <cell r="B1926">
            <v>5000185</v>
          </cell>
          <cell r="C1926" t="str">
            <v>A</v>
          </cell>
          <cell r="D1926" t="str">
            <v>Mohammad Naseem Naseem</v>
          </cell>
          <cell r="E1926" t="str">
            <v>محمد نسيم نسيم</v>
          </cell>
          <cell r="F1926">
            <v>42989</v>
          </cell>
          <cell r="G1926" t="str">
            <v>10006924</v>
          </cell>
          <cell r="H1926" t="str">
            <v>Labourer</v>
          </cell>
          <cell r="I1926" t="str">
            <v>عامل</v>
          </cell>
          <cell r="J1926" t="str">
            <v>Off-Chart</v>
          </cell>
          <cell r="K1926" t="str">
            <v>Non-Payroll</v>
          </cell>
          <cell r="L1926" t="str">
            <v>99</v>
          </cell>
          <cell r="M1926" t="str">
            <v>Department of Culture and Tourism</v>
          </cell>
          <cell r="N1926" t="str">
            <v>Culture</v>
          </cell>
          <cell r="O1926" t="str">
            <v>الثقافة</v>
          </cell>
          <cell r="P1926" t="str">
            <v>Historic Environment</v>
          </cell>
          <cell r="Q1926" t="str">
            <v>البيئة التاريخية</v>
          </cell>
          <cell r="R1926" t="str">
            <v>Historic Buildings &amp; Landscapes</v>
          </cell>
          <cell r="S1926" t="str">
            <v>المباني والمسطحات التاريخية</v>
          </cell>
          <cell r="T1926" t="str">
            <v>Culture Sites Protection</v>
          </cell>
          <cell r="U1926" t="str">
            <v>حماية المواقع الثقافية</v>
          </cell>
          <cell r="V1926" t="str">
            <v>Al Ain</v>
          </cell>
          <cell r="W1926" t="str">
            <v/>
          </cell>
          <cell r="X1926" t="str">
            <v>4511300</v>
          </cell>
          <cell r="Y1926" t="str">
            <v>Content &amp; Care_Culture Sites Protection_Assistant &amp; Technical Staff</v>
          </cell>
          <cell r="Z1926" t="str">
            <v>Assistant and Technical Staff</v>
          </cell>
          <cell r="AA1926" t="str">
            <v>7A</v>
          </cell>
        </row>
        <row r="1927">
          <cell r="A1927">
            <v>5000186</v>
          </cell>
          <cell r="B1927">
            <v>5000186</v>
          </cell>
          <cell r="C1927" t="str">
            <v>A</v>
          </cell>
          <cell r="D1927" t="str">
            <v>Willbard Valency</v>
          </cell>
          <cell r="E1927" t="str">
            <v>ويلبارد  فالينسي</v>
          </cell>
          <cell r="F1927">
            <v>43053</v>
          </cell>
          <cell r="G1927" t="str">
            <v>10007605</v>
          </cell>
          <cell r="H1927" t="str">
            <v>Historic Environment Worker</v>
          </cell>
          <cell r="I1927" t="str">
            <v>عامل البيئة التاريخية</v>
          </cell>
          <cell r="J1927" t="str">
            <v>Off-Chart</v>
          </cell>
          <cell r="K1927" t="str">
            <v>Non-Payroll</v>
          </cell>
          <cell r="L1927" t="str">
            <v>99</v>
          </cell>
          <cell r="M1927" t="str">
            <v>Department of Culture and Tourism</v>
          </cell>
          <cell r="N1927" t="str">
            <v>Culture</v>
          </cell>
          <cell r="O1927" t="str">
            <v>الثقافة</v>
          </cell>
          <cell r="P1927" t="str">
            <v>Historic Environment</v>
          </cell>
          <cell r="Q1927" t="str">
            <v>البيئة التاريخية</v>
          </cell>
          <cell r="R1927" t="str">
            <v>Historic Buildings &amp; Landscapes</v>
          </cell>
          <cell r="S1927" t="str">
            <v>المباني والمسطحات التاريخية</v>
          </cell>
          <cell r="T1927" t="str">
            <v>Culture Sites Protection</v>
          </cell>
          <cell r="U1927" t="str">
            <v>حماية المواقع الثقافية</v>
          </cell>
          <cell r="V1927" t="str">
            <v>Abu Dhabi</v>
          </cell>
          <cell r="W1927" t="str">
            <v/>
          </cell>
          <cell r="X1927" t="str">
            <v>4511300</v>
          </cell>
          <cell r="Y1927" t="str">
            <v>Content &amp; Care_Culture Sites Protection_Assistant &amp; Technical Staff</v>
          </cell>
          <cell r="Z1927" t="str">
            <v>Assistant and Technical Staff</v>
          </cell>
          <cell r="AA1927" t="str">
            <v>7A</v>
          </cell>
        </row>
        <row r="1928">
          <cell r="A1928">
            <v>5000187</v>
          </cell>
          <cell r="B1928">
            <v>5000187</v>
          </cell>
          <cell r="C1928" t="str">
            <v>A</v>
          </cell>
          <cell r="D1928" t="str">
            <v>Mohammad Issam Hamdan</v>
          </cell>
          <cell r="E1928" t="str">
            <v>محمد عصام حمدان عصام حمدان</v>
          </cell>
          <cell r="F1928">
            <v>43191</v>
          </cell>
          <cell r="G1928" t="str">
            <v>10007863</v>
          </cell>
          <cell r="H1928" t="str">
            <v>E Support Unit Head</v>
          </cell>
          <cell r="I1928" t="str">
            <v>رئيس وحدة الدعم الإلكتروني</v>
          </cell>
          <cell r="J1928" t="str">
            <v>On-Chart</v>
          </cell>
          <cell r="K1928" t="str">
            <v>Sawaeed Payroll</v>
          </cell>
          <cell r="L1928" t="str">
            <v>S1</v>
          </cell>
          <cell r="M1928" t="str">
            <v>Department of Culture and Tourism</v>
          </cell>
          <cell r="N1928" t="str">
            <v>Support Services</v>
          </cell>
          <cell r="O1928" t="str">
            <v>الخدمات المساندة</v>
          </cell>
          <cell r="P1928" t="str">
            <v>Technology</v>
          </cell>
          <cell r="Q1928" t="str">
            <v>التكنولوجيا</v>
          </cell>
          <cell r="R1928" t="str">
            <v>Technology Infrastructure</v>
          </cell>
          <cell r="S1928" t="str">
            <v>البنية التحتية للتكنولوجيا</v>
          </cell>
          <cell r="T1928" t="str">
            <v>E Support</v>
          </cell>
          <cell r="U1928" t="str">
            <v>الدعم الإلكتروني</v>
          </cell>
          <cell r="V1928" t="str">
            <v>Abu Dhabi</v>
          </cell>
          <cell r="W1928" t="str">
            <v/>
          </cell>
          <cell r="X1928" t="str">
            <v>4510250</v>
          </cell>
          <cell r="Y1928" t="str">
            <v>Information Technology_IT Operations _Unit Head</v>
          </cell>
          <cell r="Z1928" t="str">
            <v>Unit Head</v>
          </cell>
          <cell r="AA1928" t="str">
            <v>3A</v>
          </cell>
        </row>
        <row r="1929">
          <cell r="A1929">
            <v>5000188</v>
          </cell>
          <cell r="B1929">
            <v>5000188</v>
          </cell>
          <cell r="C1929" t="str">
            <v>A</v>
          </cell>
          <cell r="D1929" t="str">
            <v>Waleed El Gaali Mohammed</v>
          </cell>
          <cell r="E1929" t="str">
            <v>وليد الجعلي عبدالفتاح</v>
          </cell>
          <cell r="F1929">
            <v>43160</v>
          </cell>
          <cell r="G1929" t="str">
            <v>41000516</v>
          </cell>
          <cell r="H1929" t="str">
            <v>IT Service Management Specialist</v>
          </cell>
          <cell r="I1929" t="str">
            <v>أخصائي إدارة خدمات تكنولوجيا المعلومات</v>
          </cell>
          <cell r="J1929" t="str">
            <v>On-Chart</v>
          </cell>
          <cell r="K1929" t="str">
            <v>Sawaeed Payroll</v>
          </cell>
          <cell r="L1929" t="str">
            <v>S1</v>
          </cell>
          <cell r="M1929" t="str">
            <v>Department of Culture and Tourism</v>
          </cell>
          <cell r="N1929" t="str">
            <v>Support Services</v>
          </cell>
          <cell r="O1929" t="str">
            <v>الخدمات المساندة</v>
          </cell>
          <cell r="P1929" t="str">
            <v>Technology</v>
          </cell>
          <cell r="Q1929" t="str">
            <v>التكنولوجيا</v>
          </cell>
          <cell r="R1929" t="str">
            <v>IT Governance</v>
          </cell>
          <cell r="S1929" t="str">
            <v>حوكمة تكنولوجيا المعلومات</v>
          </cell>
          <cell r="T1929" t="str">
            <v/>
          </cell>
          <cell r="U1929" t="str">
            <v/>
          </cell>
          <cell r="V1929" t="str">
            <v>Abu Dhabi</v>
          </cell>
          <cell r="W1929" t="str">
            <v/>
          </cell>
          <cell r="X1929" t="str">
            <v>4510250</v>
          </cell>
          <cell r="Y1929" t="str">
            <v>Information Technology_Technical Support Engineer_Professional</v>
          </cell>
          <cell r="Z1929" t="str">
            <v>Professional</v>
          </cell>
          <cell r="AA1929" t="str">
            <v>4A</v>
          </cell>
        </row>
        <row r="1930">
          <cell r="A1930">
            <v>5000191</v>
          </cell>
          <cell r="B1930">
            <v>5000191</v>
          </cell>
          <cell r="C1930" t="str">
            <v>A</v>
          </cell>
          <cell r="D1930" t="str">
            <v>Muetaz Ahmed Musaeed</v>
          </cell>
          <cell r="E1930" t="str">
            <v>معتز أحمد مساعد</v>
          </cell>
          <cell r="F1930">
            <v>43279</v>
          </cell>
          <cell r="G1930" t="str">
            <v>41000155</v>
          </cell>
          <cell r="H1930" t="str">
            <v>Treasury Senior Accountant</v>
          </cell>
          <cell r="I1930" t="str">
            <v>محاسب أول الخزانة</v>
          </cell>
          <cell r="J1930" t="str">
            <v>On-Chart</v>
          </cell>
          <cell r="K1930" t="str">
            <v>Sawaeed Payroll</v>
          </cell>
          <cell r="L1930" t="str">
            <v>S1</v>
          </cell>
          <cell r="M1930" t="str">
            <v>Department of Culture and Tourism</v>
          </cell>
          <cell r="N1930" t="str">
            <v>Support Services</v>
          </cell>
          <cell r="O1930" t="str">
            <v>الخدمات المساندة</v>
          </cell>
          <cell r="P1930" t="str">
            <v>Finance</v>
          </cell>
          <cell r="Q1930" t="str">
            <v>إدارة المالية</v>
          </cell>
          <cell r="R1930" t="str">
            <v>Finance Operations</v>
          </cell>
          <cell r="S1930" t="str">
            <v>العمليات المالية</v>
          </cell>
          <cell r="T1930" t="str">
            <v>Treasury</v>
          </cell>
          <cell r="U1930" t="str">
            <v>خزينة</v>
          </cell>
          <cell r="V1930" t="str">
            <v>Abu Dhabi</v>
          </cell>
          <cell r="W1930" t="str">
            <v/>
          </cell>
          <cell r="X1930" t="str">
            <v>4510210</v>
          </cell>
          <cell r="Y1930" t="str">
            <v>Finance_Accountant_Professional</v>
          </cell>
          <cell r="Z1930" t="str">
            <v>Senior Professional</v>
          </cell>
          <cell r="AA1930" t="str">
            <v>3C</v>
          </cell>
        </row>
        <row r="1931">
          <cell r="A1931">
            <v>5000193</v>
          </cell>
          <cell r="B1931">
            <v>5000193</v>
          </cell>
          <cell r="C1931" t="str">
            <v>A</v>
          </cell>
          <cell r="D1931" t="str">
            <v>Ghulam Yasin Wasaya</v>
          </cell>
          <cell r="E1931" t="str">
            <v>غلام ياسين واسايا</v>
          </cell>
          <cell r="F1931">
            <v>43375</v>
          </cell>
          <cell r="G1931" t="str">
            <v>10010344</v>
          </cell>
          <cell r="H1931" t="str">
            <v>Historic Environment Worker</v>
          </cell>
          <cell r="I1931" t="str">
            <v>عامل البيئة التاريخية</v>
          </cell>
          <cell r="J1931" t="str">
            <v>Off-Chart</v>
          </cell>
          <cell r="K1931" t="str">
            <v>Non-Payroll</v>
          </cell>
          <cell r="L1931" t="str">
            <v>99</v>
          </cell>
          <cell r="M1931" t="str">
            <v>Department of Culture and Tourism</v>
          </cell>
          <cell r="N1931" t="str">
            <v>Culture</v>
          </cell>
          <cell r="O1931" t="str">
            <v>الثقافة</v>
          </cell>
          <cell r="P1931" t="str">
            <v>Historic Environment</v>
          </cell>
          <cell r="Q1931" t="str">
            <v>البيئة التاريخية</v>
          </cell>
          <cell r="R1931" t="str">
            <v>Historic Buildings &amp; Landscapes</v>
          </cell>
          <cell r="S1931" t="str">
            <v>المباني والمسطحات التاريخية</v>
          </cell>
          <cell r="T1931" t="str">
            <v>Culture Sites Protection</v>
          </cell>
          <cell r="U1931" t="str">
            <v>حماية المواقع الثقافية</v>
          </cell>
          <cell r="V1931" t="str">
            <v>Al Ain</v>
          </cell>
          <cell r="W1931" t="str">
            <v/>
          </cell>
          <cell r="X1931" t="str">
            <v>4511300</v>
          </cell>
          <cell r="Y1931" t="str">
            <v>Content &amp; Care_Culture Sites Protection_Assistant &amp; Technical Staff</v>
          </cell>
          <cell r="Z1931" t="str">
            <v>Assistant and Technical Staff</v>
          </cell>
          <cell r="AA1931" t="str">
            <v>7A</v>
          </cell>
        </row>
        <row r="1932">
          <cell r="A1932">
            <v>5000195</v>
          </cell>
          <cell r="B1932">
            <v>5000195</v>
          </cell>
          <cell r="C1932" t="str">
            <v>A</v>
          </cell>
          <cell r="D1932" t="str">
            <v>Muhammed Mullantevida</v>
          </cell>
          <cell r="E1932" t="str">
            <v>محمد  موللانتيفيدا</v>
          </cell>
          <cell r="F1932">
            <v>43389</v>
          </cell>
          <cell r="G1932" t="str">
            <v>10010346</v>
          </cell>
          <cell r="H1932" t="str">
            <v>Historic Environment Worker</v>
          </cell>
          <cell r="I1932" t="str">
            <v>عامل البيئة التاريخية</v>
          </cell>
          <cell r="J1932" t="str">
            <v>Off-Chart</v>
          </cell>
          <cell r="K1932" t="str">
            <v>Non-Payroll</v>
          </cell>
          <cell r="L1932" t="str">
            <v>99</v>
          </cell>
          <cell r="M1932" t="str">
            <v>Department of Culture and Tourism</v>
          </cell>
          <cell r="N1932" t="str">
            <v>Culture</v>
          </cell>
          <cell r="O1932" t="str">
            <v>الثقافة</v>
          </cell>
          <cell r="P1932" t="str">
            <v>Historic Environment</v>
          </cell>
          <cell r="Q1932" t="str">
            <v>البيئة التاريخية</v>
          </cell>
          <cell r="R1932" t="str">
            <v>Historic Buildings &amp; Landscapes</v>
          </cell>
          <cell r="S1932" t="str">
            <v>المباني والمسطحات التاريخية</v>
          </cell>
          <cell r="T1932" t="str">
            <v>Culture Sites Protection</v>
          </cell>
          <cell r="U1932" t="str">
            <v>حماية المواقع الثقافية</v>
          </cell>
          <cell r="V1932" t="str">
            <v>Al Ain</v>
          </cell>
          <cell r="W1932" t="str">
            <v/>
          </cell>
          <cell r="X1932" t="str">
            <v>4511300</v>
          </cell>
          <cell r="Y1932" t="str">
            <v>Content &amp; Care_Culture Sites Protection_Assistant &amp; Technical Staff</v>
          </cell>
          <cell r="Z1932" t="str">
            <v>Assistant and Technical Staff</v>
          </cell>
          <cell r="AA1932" t="str">
            <v>7A</v>
          </cell>
        </row>
        <row r="1933">
          <cell r="A1933">
            <v>5000198</v>
          </cell>
          <cell r="B1933">
            <v>5000198</v>
          </cell>
          <cell r="C1933" t="str">
            <v>A</v>
          </cell>
          <cell r="D1933" t="str">
            <v>Manuwar Sadan</v>
          </cell>
          <cell r="E1933" t="str">
            <v>مانوار  سادان</v>
          </cell>
          <cell r="F1933">
            <v>43389</v>
          </cell>
          <cell r="G1933" t="str">
            <v>10010348</v>
          </cell>
          <cell r="H1933" t="str">
            <v>Historic Environment Worker</v>
          </cell>
          <cell r="I1933" t="str">
            <v>عامل البيئة التاريخية</v>
          </cell>
          <cell r="J1933" t="str">
            <v>Off-Chart</v>
          </cell>
          <cell r="K1933" t="str">
            <v>Non-Payroll</v>
          </cell>
          <cell r="L1933" t="str">
            <v>99</v>
          </cell>
          <cell r="M1933" t="str">
            <v>Department of Culture and Tourism</v>
          </cell>
          <cell r="N1933" t="str">
            <v>Culture</v>
          </cell>
          <cell r="O1933" t="str">
            <v>الثقافة</v>
          </cell>
          <cell r="P1933" t="str">
            <v>Historic Environment</v>
          </cell>
          <cell r="Q1933" t="str">
            <v>البيئة التاريخية</v>
          </cell>
          <cell r="R1933" t="str">
            <v>Historic Buildings &amp; Landscapes</v>
          </cell>
          <cell r="S1933" t="str">
            <v>المباني والمسطحات التاريخية</v>
          </cell>
          <cell r="T1933" t="str">
            <v>Culture Sites Protection</v>
          </cell>
          <cell r="U1933" t="str">
            <v>حماية المواقع الثقافية</v>
          </cell>
          <cell r="V1933" t="str">
            <v>Al Ain</v>
          </cell>
          <cell r="W1933" t="str">
            <v/>
          </cell>
          <cell r="X1933" t="str">
            <v>4511300</v>
          </cell>
          <cell r="Y1933" t="str">
            <v>Content &amp; Care_Culture Sites Protection_Assistant &amp; Technical Staff</v>
          </cell>
          <cell r="Z1933" t="str">
            <v>Assistant and Technical Staff</v>
          </cell>
          <cell r="AA1933" t="str">
            <v>7A</v>
          </cell>
        </row>
        <row r="1934">
          <cell r="A1934">
            <v>5000200</v>
          </cell>
          <cell r="B1934">
            <v>5000200</v>
          </cell>
          <cell r="C1934" t="str">
            <v>A</v>
          </cell>
          <cell r="D1934" t="str">
            <v>Tahir Meena</v>
          </cell>
          <cell r="E1934" t="str">
            <v>طاهر  مينا</v>
          </cell>
          <cell r="F1934">
            <v>43397</v>
          </cell>
          <cell r="G1934" t="str">
            <v>10010350</v>
          </cell>
          <cell r="H1934" t="str">
            <v>Historic Environment Worker</v>
          </cell>
          <cell r="I1934" t="str">
            <v>عامل البيئة التاريخية</v>
          </cell>
          <cell r="J1934" t="str">
            <v>Off-Chart</v>
          </cell>
          <cell r="K1934" t="str">
            <v>Non-Payroll</v>
          </cell>
          <cell r="L1934" t="str">
            <v>99</v>
          </cell>
          <cell r="M1934" t="str">
            <v>Department of Culture and Tourism</v>
          </cell>
          <cell r="N1934" t="str">
            <v>Culture</v>
          </cell>
          <cell r="O1934" t="str">
            <v>الثقافة</v>
          </cell>
          <cell r="P1934" t="str">
            <v>Historic Environment</v>
          </cell>
          <cell r="Q1934" t="str">
            <v>البيئة التاريخية</v>
          </cell>
          <cell r="R1934" t="str">
            <v>Historic Buildings &amp; Landscapes</v>
          </cell>
          <cell r="S1934" t="str">
            <v>المباني والمسطحات التاريخية</v>
          </cell>
          <cell r="T1934" t="str">
            <v>Culture Sites Protection</v>
          </cell>
          <cell r="U1934" t="str">
            <v>حماية المواقع الثقافية</v>
          </cell>
          <cell r="V1934" t="str">
            <v>Al Ain</v>
          </cell>
          <cell r="W1934" t="str">
            <v/>
          </cell>
          <cell r="X1934" t="str">
            <v>4511300</v>
          </cell>
          <cell r="Y1934" t="str">
            <v>Content &amp; Care_Culture Sites Protection_Assistant &amp; Technical Staff</v>
          </cell>
          <cell r="Z1934" t="str">
            <v>Assistant and Technical Staff</v>
          </cell>
          <cell r="AA1934" t="str">
            <v>7A</v>
          </cell>
        </row>
        <row r="1935">
          <cell r="A1935">
            <v>5000201</v>
          </cell>
          <cell r="B1935">
            <v>5000201</v>
          </cell>
          <cell r="C1935" t="str">
            <v>A</v>
          </cell>
          <cell r="D1935" t="str">
            <v>Furqn Abid Hussein</v>
          </cell>
          <cell r="E1935" t="str">
            <v>الفرقان عابد حسين</v>
          </cell>
          <cell r="F1935">
            <v>43403</v>
          </cell>
          <cell r="G1935" t="str">
            <v>10010351</v>
          </cell>
          <cell r="H1935" t="str">
            <v>Historic Environment Worker</v>
          </cell>
          <cell r="I1935" t="str">
            <v>عامل البيئة التاريخية</v>
          </cell>
          <cell r="J1935" t="str">
            <v>Off-Chart</v>
          </cell>
          <cell r="K1935" t="str">
            <v>Non-Payroll</v>
          </cell>
          <cell r="L1935" t="str">
            <v>99</v>
          </cell>
          <cell r="M1935" t="str">
            <v>Department of Culture and Tourism</v>
          </cell>
          <cell r="N1935" t="str">
            <v>Culture</v>
          </cell>
          <cell r="O1935" t="str">
            <v>الثقافة</v>
          </cell>
          <cell r="P1935" t="str">
            <v>Historic Environment</v>
          </cell>
          <cell r="Q1935" t="str">
            <v>البيئة التاريخية</v>
          </cell>
          <cell r="R1935" t="str">
            <v>Historic Buildings &amp; Landscapes</v>
          </cell>
          <cell r="S1935" t="str">
            <v>المباني والمسطحات التاريخية</v>
          </cell>
          <cell r="T1935" t="str">
            <v>Culture Sites Protection</v>
          </cell>
          <cell r="U1935" t="str">
            <v>حماية المواقع الثقافية</v>
          </cell>
          <cell r="V1935" t="str">
            <v>Al Ain</v>
          </cell>
          <cell r="W1935" t="str">
            <v/>
          </cell>
          <cell r="X1935" t="str">
            <v>4511300</v>
          </cell>
          <cell r="Y1935" t="str">
            <v>Content &amp; Care_Culture Sites Protection_Assistant &amp; Technical Staff</v>
          </cell>
          <cell r="Z1935" t="str">
            <v>Assistant and Technical Staff</v>
          </cell>
          <cell r="AA1935" t="str">
            <v>7A</v>
          </cell>
        </row>
        <row r="1936">
          <cell r="A1936">
            <v>5000202</v>
          </cell>
          <cell r="B1936">
            <v>5000202</v>
          </cell>
          <cell r="C1936" t="str">
            <v>A</v>
          </cell>
          <cell r="D1936" t="str">
            <v>Muhammad Asif Ghafoor</v>
          </cell>
          <cell r="E1936" t="str">
            <v>محمد آصف غفور</v>
          </cell>
          <cell r="F1936">
            <v>43403</v>
          </cell>
          <cell r="G1936" t="str">
            <v>10010352</v>
          </cell>
          <cell r="H1936" t="str">
            <v>Historic Environment Worker</v>
          </cell>
          <cell r="I1936" t="str">
            <v>عامل البيئة التاريخية</v>
          </cell>
          <cell r="J1936" t="str">
            <v>Off-Chart</v>
          </cell>
          <cell r="K1936" t="str">
            <v>Non-Payroll</v>
          </cell>
          <cell r="L1936" t="str">
            <v>99</v>
          </cell>
          <cell r="M1936" t="str">
            <v>Department of Culture and Tourism</v>
          </cell>
          <cell r="N1936" t="str">
            <v>Culture</v>
          </cell>
          <cell r="O1936" t="str">
            <v>الثقافة</v>
          </cell>
          <cell r="P1936" t="str">
            <v>Historic Environment</v>
          </cell>
          <cell r="Q1936" t="str">
            <v>البيئة التاريخية</v>
          </cell>
          <cell r="R1936" t="str">
            <v>Historic Buildings &amp; Landscapes</v>
          </cell>
          <cell r="S1936" t="str">
            <v>المباني والمسطحات التاريخية</v>
          </cell>
          <cell r="T1936" t="str">
            <v>Culture Sites Protection</v>
          </cell>
          <cell r="U1936" t="str">
            <v>حماية المواقع الثقافية</v>
          </cell>
          <cell r="V1936" t="str">
            <v>Al Ain</v>
          </cell>
          <cell r="W1936" t="str">
            <v/>
          </cell>
          <cell r="X1936" t="str">
            <v>4511300</v>
          </cell>
          <cell r="Y1936" t="str">
            <v>Content &amp; Care_Culture Sites Protection_Assistant &amp; Technical Staff</v>
          </cell>
          <cell r="Z1936" t="str">
            <v>Assistant and Technical Staff</v>
          </cell>
          <cell r="AA1936" t="str">
            <v>7A</v>
          </cell>
        </row>
        <row r="1937">
          <cell r="A1937">
            <v>5000203</v>
          </cell>
          <cell r="B1937">
            <v>5000203</v>
          </cell>
          <cell r="C1937" t="str">
            <v>A</v>
          </cell>
          <cell r="D1937" t="str">
            <v>Abdullah Rasool</v>
          </cell>
          <cell r="E1937" t="str">
            <v>عبدالله  رسول</v>
          </cell>
          <cell r="F1937">
            <v>43403</v>
          </cell>
          <cell r="G1937" t="str">
            <v>10010353</v>
          </cell>
          <cell r="H1937" t="str">
            <v>Historic Environment Worker</v>
          </cell>
          <cell r="I1937" t="str">
            <v>عامل البيئة التاريخية</v>
          </cell>
          <cell r="J1937" t="str">
            <v>Off-Chart</v>
          </cell>
          <cell r="K1937" t="str">
            <v>Non-Payroll</v>
          </cell>
          <cell r="L1937" t="str">
            <v>99</v>
          </cell>
          <cell r="M1937" t="str">
            <v>Department of Culture and Tourism</v>
          </cell>
          <cell r="N1937" t="str">
            <v>Culture</v>
          </cell>
          <cell r="O1937" t="str">
            <v>الثقافة</v>
          </cell>
          <cell r="P1937" t="str">
            <v>Historic Environment</v>
          </cell>
          <cell r="Q1937" t="str">
            <v>البيئة التاريخية</v>
          </cell>
          <cell r="R1937" t="str">
            <v>Historic Buildings &amp; Landscapes</v>
          </cell>
          <cell r="S1937" t="str">
            <v>المباني والمسطحات التاريخية</v>
          </cell>
          <cell r="T1937" t="str">
            <v>Culture Sites Protection</v>
          </cell>
          <cell r="U1937" t="str">
            <v>حماية المواقع الثقافية</v>
          </cell>
          <cell r="V1937" t="str">
            <v>Al Ain</v>
          </cell>
          <cell r="W1937" t="str">
            <v/>
          </cell>
          <cell r="X1937" t="str">
            <v>4511300</v>
          </cell>
          <cell r="Y1937" t="str">
            <v>Content &amp; Care_Culture Sites Protection_Assistant &amp; Technical Staff</v>
          </cell>
          <cell r="Z1937" t="str">
            <v>Assistant and Technical Staff</v>
          </cell>
          <cell r="AA1937" t="str">
            <v>7A</v>
          </cell>
        </row>
        <row r="1938">
          <cell r="A1938">
            <v>5000204</v>
          </cell>
          <cell r="B1938">
            <v>5000204</v>
          </cell>
          <cell r="C1938" t="str">
            <v>A</v>
          </cell>
          <cell r="D1938" t="str">
            <v>Basharat Muhammad</v>
          </cell>
          <cell r="E1938" t="str">
            <v>بشارات  محمد</v>
          </cell>
          <cell r="F1938">
            <v>43408</v>
          </cell>
          <cell r="G1938" t="str">
            <v>10010354</v>
          </cell>
          <cell r="H1938" t="str">
            <v>Historic Environment Worker</v>
          </cell>
          <cell r="I1938" t="str">
            <v>عامل البيئة التاريخية</v>
          </cell>
          <cell r="J1938" t="str">
            <v>Off-Chart</v>
          </cell>
          <cell r="K1938" t="str">
            <v>Non-Payroll</v>
          </cell>
          <cell r="L1938" t="str">
            <v>99</v>
          </cell>
          <cell r="M1938" t="str">
            <v>Department of Culture and Tourism</v>
          </cell>
          <cell r="N1938" t="str">
            <v>Culture</v>
          </cell>
          <cell r="O1938" t="str">
            <v>الثقافة</v>
          </cell>
          <cell r="P1938" t="str">
            <v>Historic Environment</v>
          </cell>
          <cell r="Q1938" t="str">
            <v>البيئة التاريخية</v>
          </cell>
          <cell r="R1938" t="str">
            <v>Historic Buildings &amp; Landscapes</v>
          </cell>
          <cell r="S1938" t="str">
            <v>المباني والمسطحات التاريخية</v>
          </cell>
          <cell r="T1938" t="str">
            <v>Culture Sites Protection</v>
          </cell>
          <cell r="U1938" t="str">
            <v>حماية المواقع الثقافية</v>
          </cell>
          <cell r="V1938" t="str">
            <v>Al Ain</v>
          </cell>
          <cell r="W1938" t="str">
            <v/>
          </cell>
          <cell r="X1938" t="str">
            <v>4511300</v>
          </cell>
          <cell r="Y1938" t="str">
            <v>Content &amp; Care_Culture Sites Protection_Assistant &amp; Technical Staff</v>
          </cell>
          <cell r="Z1938" t="str">
            <v>Assistant and Technical Staff</v>
          </cell>
          <cell r="AA1938" t="str">
            <v>7A</v>
          </cell>
        </row>
        <row r="1939">
          <cell r="A1939">
            <v>5000205</v>
          </cell>
          <cell r="B1939">
            <v>5000205</v>
          </cell>
          <cell r="C1939" t="str">
            <v>A</v>
          </cell>
          <cell r="D1939" t="str">
            <v>Tariq Niaz</v>
          </cell>
          <cell r="E1939" t="str">
            <v>طارق  نياز</v>
          </cell>
          <cell r="F1939">
            <v>43409</v>
          </cell>
          <cell r="G1939" t="str">
            <v>10010355</v>
          </cell>
          <cell r="H1939" t="str">
            <v>Historic Environment Worker</v>
          </cell>
          <cell r="I1939" t="str">
            <v>عامل البيئة التاريخية</v>
          </cell>
          <cell r="J1939" t="str">
            <v>Off-Chart</v>
          </cell>
          <cell r="K1939" t="str">
            <v>Non-Payroll</v>
          </cell>
          <cell r="L1939" t="str">
            <v>99</v>
          </cell>
          <cell r="M1939" t="str">
            <v>Department of Culture and Tourism</v>
          </cell>
          <cell r="N1939" t="str">
            <v>Culture</v>
          </cell>
          <cell r="O1939" t="str">
            <v>الثقافة</v>
          </cell>
          <cell r="P1939" t="str">
            <v>Historic Environment</v>
          </cell>
          <cell r="Q1939" t="str">
            <v>البيئة التاريخية</v>
          </cell>
          <cell r="R1939" t="str">
            <v>Historic Buildings &amp; Landscapes</v>
          </cell>
          <cell r="S1939" t="str">
            <v>المباني والمسطحات التاريخية</v>
          </cell>
          <cell r="T1939" t="str">
            <v>Culture Sites Protection</v>
          </cell>
          <cell r="U1939" t="str">
            <v>حماية المواقع الثقافية</v>
          </cell>
          <cell r="V1939" t="str">
            <v>Al Ain</v>
          </cell>
          <cell r="W1939" t="str">
            <v/>
          </cell>
          <cell r="X1939" t="str">
            <v>4511300</v>
          </cell>
          <cell r="Y1939" t="str">
            <v>Content &amp; Care_Culture Sites Protection_Assistant &amp; Technical Staff</v>
          </cell>
          <cell r="Z1939" t="str">
            <v>Assistant and Technical Staff</v>
          </cell>
          <cell r="AA1939" t="str">
            <v>7A</v>
          </cell>
        </row>
        <row r="1940">
          <cell r="A1940">
            <v>5000206</v>
          </cell>
          <cell r="B1940">
            <v>5000206</v>
          </cell>
          <cell r="C1940" t="str">
            <v>A</v>
          </cell>
          <cell r="D1940" t="str">
            <v>Muhammad Yaseen Mehboob</v>
          </cell>
          <cell r="E1940" t="str">
            <v>محمد ياسين محبوب</v>
          </cell>
          <cell r="F1940">
            <v>43409</v>
          </cell>
          <cell r="G1940" t="str">
            <v>10010356</v>
          </cell>
          <cell r="H1940" t="str">
            <v>Historic Environment Worker</v>
          </cell>
          <cell r="I1940" t="str">
            <v>عامل البيئة التاريخية</v>
          </cell>
          <cell r="J1940" t="str">
            <v>Off-Chart</v>
          </cell>
          <cell r="K1940" t="str">
            <v>Non-Payroll</v>
          </cell>
          <cell r="L1940" t="str">
            <v>99</v>
          </cell>
          <cell r="M1940" t="str">
            <v>Department of Culture and Tourism</v>
          </cell>
          <cell r="N1940" t="str">
            <v>Culture</v>
          </cell>
          <cell r="O1940" t="str">
            <v>الثقافة</v>
          </cell>
          <cell r="P1940" t="str">
            <v>Historic Environment</v>
          </cell>
          <cell r="Q1940" t="str">
            <v>البيئة التاريخية</v>
          </cell>
          <cell r="R1940" t="str">
            <v>Historic Buildings &amp; Landscapes</v>
          </cell>
          <cell r="S1940" t="str">
            <v>المباني والمسطحات التاريخية</v>
          </cell>
          <cell r="T1940" t="str">
            <v>Culture Sites Protection</v>
          </cell>
          <cell r="U1940" t="str">
            <v>حماية المواقع الثقافية</v>
          </cell>
          <cell r="V1940" t="str">
            <v>Al Ain</v>
          </cell>
          <cell r="W1940" t="str">
            <v/>
          </cell>
          <cell r="X1940" t="str">
            <v>4511300</v>
          </cell>
          <cell r="Y1940" t="str">
            <v>Content &amp; Care_Culture Sites Protection_Assistant &amp; Technical Staff</v>
          </cell>
          <cell r="Z1940" t="str">
            <v>Assistant and Technical Staff</v>
          </cell>
          <cell r="AA1940" t="str">
            <v>7A</v>
          </cell>
        </row>
        <row r="1941">
          <cell r="A1941">
            <v>5000207</v>
          </cell>
          <cell r="B1941">
            <v>5000207</v>
          </cell>
          <cell r="C1941" t="str">
            <v>A</v>
          </cell>
          <cell r="D1941" t="str">
            <v>Muhammad Atitque Muhammad</v>
          </cell>
          <cell r="E1941" t="str">
            <v>محمد عتتك محمد</v>
          </cell>
          <cell r="F1941">
            <v>43414</v>
          </cell>
          <cell r="G1941" t="str">
            <v>10010357</v>
          </cell>
          <cell r="H1941" t="str">
            <v>Historic Environment Worker</v>
          </cell>
          <cell r="I1941" t="str">
            <v>عامل البيئة التاريخية</v>
          </cell>
          <cell r="J1941" t="str">
            <v>Off-Chart</v>
          </cell>
          <cell r="K1941" t="str">
            <v>Non-Payroll</v>
          </cell>
          <cell r="L1941" t="str">
            <v>99</v>
          </cell>
          <cell r="M1941" t="str">
            <v>Department of Culture and Tourism</v>
          </cell>
          <cell r="N1941" t="str">
            <v>Culture</v>
          </cell>
          <cell r="O1941" t="str">
            <v>الثقافة</v>
          </cell>
          <cell r="P1941" t="str">
            <v>Historic Environment</v>
          </cell>
          <cell r="Q1941" t="str">
            <v>البيئة التاريخية</v>
          </cell>
          <cell r="R1941" t="str">
            <v>Historic Buildings &amp; Landscapes</v>
          </cell>
          <cell r="S1941" t="str">
            <v>المباني والمسطحات التاريخية</v>
          </cell>
          <cell r="T1941" t="str">
            <v>Culture Sites Protection</v>
          </cell>
          <cell r="U1941" t="str">
            <v>حماية المواقع الثقافية</v>
          </cell>
          <cell r="V1941" t="str">
            <v>Al Ain</v>
          </cell>
          <cell r="W1941" t="str">
            <v/>
          </cell>
          <cell r="X1941" t="str">
            <v>4511300</v>
          </cell>
          <cell r="Y1941" t="str">
            <v>Content &amp; Care_Culture Sites Protection_Assistant &amp; Technical Staff</v>
          </cell>
          <cell r="Z1941" t="str">
            <v>Assistant and Technical Staff</v>
          </cell>
          <cell r="AA1941" t="str">
            <v>7A</v>
          </cell>
        </row>
        <row r="1942">
          <cell r="A1942">
            <v>5000208</v>
          </cell>
          <cell r="B1942">
            <v>5000208</v>
          </cell>
          <cell r="C1942" t="str">
            <v>A</v>
          </cell>
          <cell r="D1942" t="str">
            <v>Abul Salam Bakhsh</v>
          </cell>
          <cell r="E1942" t="str">
            <v>ابو السلام  بخش</v>
          </cell>
          <cell r="F1942">
            <v>43446</v>
          </cell>
          <cell r="G1942" t="str">
            <v>10110357</v>
          </cell>
          <cell r="H1942" t="str">
            <v>Historic Environment Worker</v>
          </cell>
          <cell r="I1942" t="str">
            <v>عامل البيئة التاريخية</v>
          </cell>
          <cell r="J1942" t="str">
            <v>Off-Chart</v>
          </cell>
          <cell r="K1942" t="str">
            <v>Non-Payroll</v>
          </cell>
          <cell r="L1942" t="str">
            <v>99</v>
          </cell>
          <cell r="M1942" t="str">
            <v>Department of Culture and Tourism</v>
          </cell>
          <cell r="N1942" t="str">
            <v>Culture</v>
          </cell>
          <cell r="O1942" t="str">
            <v>الثقافة</v>
          </cell>
          <cell r="P1942" t="str">
            <v>Historic Environment</v>
          </cell>
          <cell r="Q1942" t="str">
            <v>البيئة التاريخية</v>
          </cell>
          <cell r="R1942" t="str">
            <v>Historic Buildings &amp; Landscapes</v>
          </cell>
          <cell r="S1942" t="str">
            <v>المباني والمسطحات التاريخية</v>
          </cell>
          <cell r="T1942" t="str">
            <v>Culture Sites Protection</v>
          </cell>
          <cell r="U1942" t="str">
            <v>حماية المواقع الثقافية</v>
          </cell>
          <cell r="V1942" t="str">
            <v>Al Ain</v>
          </cell>
          <cell r="W1942" t="str">
            <v/>
          </cell>
          <cell r="X1942" t="str">
            <v>4511300</v>
          </cell>
          <cell r="Y1942" t="str">
            <v>Content &amp; Care_Culture Sites Protection_Assistant &amp; Technical Staff</v>
          </cell>
          <cell r="Z1942" t="str">
            <v>Assistant and Technical Staff</v>
          </cell>
          <cell r="AA1942" t="str">
            <v>7A</v>
          </cell>
        </row>
        <row r="1943">
          <cell r="A1943">
            <v>5000209</v>
          </cell>
          <cell r="B1943">
            <v>5000209</v>
          </cell>
          <cell r="C1943" t="str">
            <v>A</v>
          </cell>
          <cell r="D1943" t="str">
            <v>Swaibu Mutyabe</v>
          </cell>
          <cell r="E1943" t="str">
            <v>سويبو  متيابي</v>
          </cell>
          <cell r="F1943">
            <v>43446</v>
          </cell>
          <cell r="G1943" t="str">
            <v>10010358</v>
          </cell>
          <cell r="H1943" t="str">
            <v>Historic Environment Worker</v>
          </cell>
          <cell r="I1943" t="str">
            <v>عامل البيئة التاريخية</v>
          </cell>
          <cell r="J1943" t="str">
            <v>Off-Chart</v>
          </cell>
          <cell r="K1943" t="str">
            <v>Non-Payroll</v>
          </cell>
          <cell r="L1943" t="str">
            <v>99</v>
          </cell>
          <cell r="M1943" t="str">
            <v>Department of Culture and Tourism</v>
          </cell>
          <cell r="N1943" t="str">
            <v>Culture</v>
          </cell>
          <cell r="O1943" t="str">
            <v>الثقافة</v>
          </cell>
          <cell r="P1943" t="str">
            <v>Historic Environment</v>
          </cell>
          <cell r="Q1943" t="str">
            <v>البيئة التاريخية</v>
          </cell>
          <cell r="R1943" t="str">
            <v>Historic Buildings &amp; Landscapes</v>
          </cell>
          <cell r="S1943" t="str">
            <v>المباني والمسطحات التاريخية</v>
          </cell>
          <cell r="T1943" t="str">
            <v>Culture Sites Protection</v>
          </cell>
          <cell r="U1943" t="str">
            <v>حماية المواقع الثقافية</v>
          </cell>
          <cell r="V1943" t="str">
            <v>Al Ain</v>
          </cell>
          <cell r="W1943" t="str">
            <v/>
          </cell>
          <cell r="X1943" t="str">
            <v>4511300</v>
          </cell>
          <cell r="Y1943" t="str">
            <v>Content &amp; Care_Culture Sites Protection_Assistant &amp; Technical Staff</v>
          </cell>
          <cell r="Z1943" t="str">
            <v>Assistant and Technical Staff</v>
          </cell>
          <cell r="AA1943" t="str">
            <v>7A</v>
          </cell>
        </row>
        <row r="1944">
          <cell r="A1944">
            <v>5000211</v>
          </cell>
          <cell r="B1944">
            <v>5000211</v>
          </cell>
          <cell r="C1944" t="str">
            <v>A</v>
          </cell>
          <cell r="D1944" t="str">
            <v>Mohammed Ali Ibrahim Hassanin</v>
          </cell>
          <cell r="E1944" t="str">
            <v>محمد علي حسنين</v>
          </cell>
          <cell r="F1944">
            <v>43454</v>
          </cell>
          <cell r="G1944" t="str">
            <v>10010364</v>
          </cell>
          <cell r="H1944" t="str">
            <v>Technical Support Senior Engineer</v>
          </cell>
          <cell r="I1944" t="str">
            <v>مهندس أول الدعم التقني</v>
          </cell>
          <cell r="J1944" t="str">
            <v>On-Chart</v>
          </cell>
          <cell r="K1944" t="str">
            <v>Sawaeed Payroll</v>
          </cell>
          <cell r="L1944" t="str">
            <v>S1</v>
          </cell>
          <cell r="M1944" t="str">
            <v>Department of Culture and Tourism</v>
          </cell>
          <cell r="N1944" t="str">
            <v>Support Services</v>
          </cell>
          <cell r="O1944" t="str">
            <v>الخدمات المساندة</v>
          </cell>
          <cell r="P1944" t="str">
            <v>Technology</v>
          </cell>
          <cell r="Q1944" t="str">
            <v>التكنولوجيا</v>
          </cell>
          <cell r="R1944" t="str">
            <v>Technology Infrastructure</v>
          </cell>
          <cell r="S1944" t="str">
            <v>البنية التحتية للتكنولوجيا</v>
          </cell>
          <cell r="T1944" t="str">
            <v>E Support</v>
          </cell>
          <cell r="U1944" t="str">
            <v>الدعم الإلكتروني</v>
          </cell>
          <cell r="V1944" t="str">
            <v>Abu Dhabi</v>
          </cell>
          <cell r="W1944" t="str">
            <v/>
          </cell>
          <cell r="X1944" t="str">
            <v>4510250</v>
          </cell>
          <cell r="Y1944" t="str">
            <v>Information Technology_Data  Engineer_Senior Professional</v>
          </cell>
          <cell r="Z1944" t="str">
            <v>Senior Professional</v>
          </cell>
          <cell r="AA1944" t="str">
            <v>3B</v>
          </cell>
        </row>
        <row r="1945">
          <cell r="A1945">
            <v>5000215</v>
          </cell>
          <cell r="B1945">
            <v>5000215</v>
          </cell>
          <cell r="C1945" t="str">
            <v>A</v>
          </cell>
          <cell r="D1945" t="str">
            <v>Nagendra Kumar</v>
          </cell>
          <cell r="E1945" t="str">
            <v>ناجيندرا  كومار</v>
          </cell>
          <cell r="F1945">
            <v>43465</v>
          </cell>
          <cell r="G1945" t="str">
            <v>10010367</v>
          </cell>
          <cell r="H1945" t="str">
            <v>Applications Specialist</v>
          </cell>
          <cell r="I1945" t="str">
            <v>أخصائي تطبيقات</v>
          </cell>
          <cell r="J1945" t="str">
            <v>On-Chart</v>
          </cell>
          <cell r="K1945" t="str">
            <v>Sawaeed Payroll</v>
          </cell>
          <cell r="L1945" t="str">
            <v>S1</v>
          </cell>
          <cell r="M1945" t="str">
            <v>Department of Culture and Tourism</v>
          </cell>
          <cell r="N1945" t="str">
            <v>Support Services</v>
          </cell>
          <cell r="O1945" t="str">
            <v>الخدمات المساندة</v>
          </cell>
          <cell r="P1945" t="str">
            <v>Technology</v>
          </cell>
          <cell r="Q1945" t="str">
            <v>التكنولوجيا</v>
          </cell>
          <cell r="R1945" t="str">
            <v>Business Applications</v>
          </cell>
          <cell r="S1945" t="str">
            <v>التطبيقات المؤسسية</v>
          </cell>
          <cell r="T1945" t="str">
            <v>Applications</v>
          </cell>
          <cell r="U1945" t="str">
            <v>التطبيقات</v>
          </cell>
          <cell r="V1945" t="str">
            <v>Abu Dhabi</v>
          </cell>
          <cell r="W1945" t="str">
            <v/>
          </cell>
          <cell r="X1945" t="str">
            <v>4510250</v>
          </cell>
          <cell r="Y1945" t="str">
            <v>Information Technology_IT Business Application _Senior Professional</v>
          </cell>
          <cell r="Z1945" t="str">
            <v>Professional</v>
          </cell>
          <cell r="AA1945" t="str">
            <v>4A</v>
          </cell>
        </row>
        <row r="1946">
          <cell r="A1946">
            <v>5000216</v>
          </cell>
          <cell r="B1946">
            <v>5000216</v>
          </cell>
          <cell r="C1946" t="str">
            <v>A</v>
          </cell>
          <cell r="D1946" t="str">
            <v>Muhammad Ishaqus Ibrahim</v>
          </cell>
          <cell r="E1946" t="str">
            <v>محمد اسحاق ابراهيم</v>
          </cell>
          <cell r="F1946">
            <v>43451</v>
          </cell>
          <cell r="G1946" t="str">
            <v>10010359</v>
          </cell>
          <cell r="H1946" t="str">
            <v>Historic Environment Worker</v>
          </cell>
          <cell r="I1946" t="str">
            <v>عامل البيئة التاريخية</v>
          </cell>
          <cell r="J1946" t="str">
            <v>Off-Chart</v>
          </cell>
          <cell r="K1946" t="str">
            <v>Non-Payroll</v>
          </cell>
          <cell r="L1946" t="str">
            <v>99</v>
          </cell>
          <cell r="M1946" t="str">
            <v>Department of Culture and Tourism</v>
          </cell>
          <cell r="N1946" t="str">
            <v>Culture</v>
          </cell>
          <cell r="O1946" t="str">
            <v>الثقافة</v>
          </cell>
          <cell r="P1946" t="str">
            <v>Historic Environment</v>
          </cell>
          <cell r="Q1946" t="str">
            <v>البيئة التاريخية</v>
          </cell>
          <cell r="R1946" t="str">
            <v>Historic Buildings &amp; Landscapes</v>
          </cell>
          <cell r="S1946" t="str">
            <v>المباني والمسطحات التاريخية</v>
          </cell>
          <cell r="T1946" t="str">
            <v>Culture Sites Protection</v>
          </cell>
          <cell r="U1946" t="str">
            <v>حماية المواقع الثقافية</v>
          </cell>
          <cell r="V1946" t="str">
            <v>Al Ain</v>
          </cell>
          <cell r="W1946" t="str">
            <v/>
          </cell>
          <cell r="X1946" t="str">
            <v>4511300</v>
          </cell>
          <cell r="Y1946" t="str">
            <v>Content &amp; Care_Culture Sites Protection_Assistant &amp; Technical Staff</v>
          </cell>
          <cell r="Z1946" t="str">
            <v>Assistant and Technical Staff</v>
          </cell>
          <cell r="AA1946" t="str">
            <v>7A</v>
          </cell>
        </row>
        <row r="1947">
          <cell r="A1947">
            <v>5000217</v>
          </cell>
          <cell r="B1947">
            <v>5000217</v>
          </cell>
          <cell r="C1947" t="str">
            <v>A</v>
          </cell>
          <cell r="D1947" t="str">
            <v>Hasnat Tahir</v>
          </cell>
          <cell r="E1947" t="str">
            <v>حسنات  طاهر</v>
          </cell>
          <cell r="F1947">
            <v>43451</v>
          </cell>
          <cell r="G1947" t="str">
            <v>10010360</v>
          </cell>
          <cell r="H1947" t="str">
            <v>Historic Environment Worker</v>
          </cell>
          <cell r="I1947" t="str">
            <v>عامل البيئة التاريخية</v>
          </cell>
          <cell r="J1947" t="str">
            <v>Off-Chart</v>
          </cell>
          <cell r="K1947" t="str">
            <v>Non-Payroll</v>
          </cell>
          <cell r="L1947" t="str">
            <v>99</v>
          </cell>
          <cell r="M1947" t="str">
            <v>Department of Culture and Tourism</v>
          </cell>
          <cell r="N1947" t="str">
            <v>Culture</v>
          </cell>
          <cell r="O1947" t="str">
            <v>الثقافة</v>
          </cell>
          <cell r="P1947" t="str">
            <v>Historic Environment</v>
          </cell>
          <cell r="Q1947" t="str">
            <v>البيئة التاريخية</v>
          </cell>
          <cell r="R1947" t="str">
            <v>Historic Buildings &amp; Landscapes</v>
          </cell>
          <cell r="S1947" t="str">
            <v>المباني والمسطحات التاريخية</v>
          </cell>
          <cell r="T1947" t="str">
            <v>Culture Sites Protection</v>
          </cell>
          <cell r="U1947" t="str">
            <v>حماية المواقع الثقافية</v>
          </cell>
          <cell r="V1947" t="str">
            <v>Al Ain</v>
          </cell>
          <cell r="W1947" t="str">
            <v/>
          </cell>
          <cell r="X1947" t="str">
            <v>4511300</v>
          </cell>
          <cell r="Y1947" t="str">
            <v>Content &amp; Care_Culture Sites Protection_Assistant &amp; Technical Staff</v>
          </cell>
          <cell r="Z1947" t="str">
            <v>Assistant and Technical Staff</v>
          </cell>
          <cell r="AA1947" t="str">
            <v>7A</v>
          </cell>
        </row>
        <row r="1948">
          <cell r="A1948">
            <v>5000218</v>
          </cell>
          <cell r="B1948">
            <v>5000218</v>
          </cell>
          <cell r="C1948" t="str">
            <v>A</v>
          </cell>
          <cell r="D1948" t="str">
            <v>Omar Mussa</v>
          </cell>
          <cell r="E1948" t="str">
            <v>عمر  موسى</v>
          </cell>
          <cell r="F1948">
            <v>43457</v>
          </cell>
          <cell r="G1948" t="str">
            <v>10010536</v>
          </cell>
          <cell r="H1948" t="str">
            <v>Historic Environment Worker</v>
          </cell>
          <cell r="I1948" t="str">
            <v>عامل البيئة التاريخية</v>
          </cell>
          <cell r="J1948" t="str">
            <v>Off-Chart</v>
          </cell>
          <cell r="K1948" t="str">
            <v>Non-Payroll</v>
          </cell>
          <cell r="L1948" t="str">
            <v>99</v>
          </cell>
          <cell r="M1948" t="str">
            <v>Department of Culture and Tourism</v>
          </cell>
          <cell r="N1948" t="str">
            <v>Culture</v>
          </cell>
          <cell r="O1948" t="str">
            <v>الثقافة</v>
          </cell>
          <cell r="P1948" t="str">
            <v>Historic Environment</v>
          </cell>
          <cell r="Q1948" t="str">
            <v>البيئة التاريخية</v>
          </cell>
          <cell r="R1948" t="str">
            <v>Historic Buildings &amp; Landscapes</v>
          </cell>
          <cell r="S1948" t="str">
            <v>المباني والمسطحات التاريخية</v>
          </cell>
          <cell r="T1948" t="str">
            <v>Culture Sites Protection</v>
          </cell>
          <cell r="U1948" t="str">
            <v>حماية المواقع الثقافية</v>
          </cell>
          <cell r="V1948" t="str">
            <v>Al Ain</v>
          </cell>
          <cell r="W1948" t="str">
            <v/>
          </cell>
          <cell r="X1948" t="str">
            <v>4511300</v>
          </cell>
          <cell r="Y1948" t="str">
            <v>Content &amp; Care_Culture Sites Protection_Assistant &amp; Technical Staff</v>
          </cell>
          <cell r="Z1948" t="str">
            <v>Assistant and Technical Staff</v>
          </cell>
          <cell r="AA1948" t="str">
            <v>7A</v>
          </cell>
        </row>
        <row r="1949">
          <cell r="A1949">
            <v>5000220</v>
          </cell>
          <cell r="B1949">
            <v>5000220</v>
          </cell>
          <cell r="C1949" t="str">
            <v>A</v>
          </cell>
          <cell r="D1949" t="str">
            <v>Mubaraka Saidi</v>
          </cell>
          <cell r="E1949" t="str">
            <v>مبارك  السعيدي</v>
          </cell>
          <cell r="F1949">
            <v>43457</v>
          </cell>
          <cell r="G1949" t="str">
            <v>10010538</v>
          </cell>
          <cell r="H1949" t="str">
            <v>Historic Environment Worker</v>
          </cell>
          <cell r="I1949" t="str">
            <v>عامل البيئة التاريخية</v>
          </cell>
          <cell r="J1949" t="str">
            <v>Off-Chart</v>
          </cell>
          <cell r="K1949" t="str">
            <v>Non-Payroll</v>
          </cell>
          <cell r="L1949" t="str">
            <v>99</v>
          </cell>
          <cell r="M1949" t="str">
            <v>Department of Culture and Tourism</v>
          </cell>
          <cell r="N1949" t="str">
            <v>Culture</v>
          </cell>
          <cell r="O1949" t="str">
            <v>الثقافة</v>
          </cell>
          <cell r="P1949" t="str">
            <v>Historic Environment</v>
          </cell>
          <cell r="Q1949" t="str">
            <v>البيئة التاريخية</v>
          </cell>
          <cell r="R1949" t="str">
            <v>Historic Buildings &amp; Landscapes</v>
          </cell>
          <cell r="S1949" t="str">
            <v>المباني والمسطحات التاريخية</v>
          </cell>
          <cell r="T1949" t="str">
            <v>Culture Sites Protection</v>
          </cell>
          <cell r="U1949" t="str">
            <v>حماية المواقع الثقافية</v>
          </cell>
          <cell r="V1949" t="str">
            <v>Al Ain</v>
          </cell>
          <cell r="W1949" t="str">
            <v/>
          </cell>
          <cell r="X1949" t="str">
            <v>4511300</v>
          </cell>
          <cell r="Y1949" t="str">
            <v>Content &amp; Care_Culture Sites Protection_Assistant &amp; Technical Staff</v>
          </cell>
          <cell r="Z1949" t="str">
            <v>Assistant and Technical Staff</v>
          </cell>
          <cell r="AA1949" t="str">
            <v>7A</v>
          </cell>
        </row>
        <row r="1950">
          <cell r="A1950">
            <v>5000221</v>
          </cell>
          <cell r="B1950">
            <v>5000221</v>
          </cell>
          <cell r="C1950" t="str">
            <v>A</v>
          </cell>
          <cell r="D1950" t="str">
            <v>Abdi Combo Rashid</v>
          </cell>
          <cell r="E1950" t="str">
            <v>عبدي كومبو راشد</v>
          </cell>
          <cell r="F1950">
            <v>43457</v>
          </cell>
          <cell r="G1950" t="str">
            <v>10010539</v>
          </cell>
          <cell r="H1950" t="str">
            <v>Historic Environment Worker</v>
          </cell>
          <cell r="I1950" t="str">
            <v>عامل البيئة التاريخية</v>
          </cell>
          <cell r="J1950" t="str">
            <v>Off-Chart</v>
          </cell>
          <cell r="K1950" t="str">
            <v>Non-Payroll</v>
          </cell>
          <cell r="L1950" t="str">
            <v>99</v>
          </cell>
          <cell r="M1950" t="str">
            <v>Department of Culture and Tourism</v>
          </cell>
          <cell r="N1950" t="str">
            <v>Culture</v>
          </cell>
          <cell r="O1950" t="str">
            <v>الثقافة</v>
          </cell>
          <cell r="P1950" t="str">
            <v>Historic Environment</v>
          </cell>
          <cell r="Q1950" t="str">
            <v>البيئة التاريخية</v>
          </cell>
          <cell r="R1950" t="str">
            <v>Historic Buildings &amp; Landscapes</v>
          </cell>
          <cell r="S1950" t="str">
            <v>المباني والمسطحات التاريخية</v>
          </cell>
          <cell r="T1950" t="str">
            <v>Culture Sites Protection</v>
          </cell>
          <cell r="U1950" t="str">
            <v>حماية المواقع الثقافية</v>
          </cell>
          <cell r="V1950" t="str">
            <v>Al Ain</v>
          </cell>
          <cell r="W1950" t="str">
            <v/>
          </cell>
          <cell r="X1950" t="str">
            <v>4511300</v>
          </cell>
          <cell r="Y1950" t="str">
            <v>Content &amp; Care_Culture Sites Protection_Assistant &amp; Technical Staff</v>
          </cell>
          <cell r="Z1950" t="str">
            <v>Assistant and Technical Staff</v>
          </cell>
          <cell r="AA1950" t="str">
            <v>7A</v>
          </cell>
        </row>
        <row r="1951">
          <cell r="A1951">
            <v>5000222</v>
          </cell>
          <cell r="B1951">
            <v>5000222</v>
          </cell>
          <cell r="C1951" t="str">
            <v>A</v>
          </cell>
          <cell r="D1951" t="str">
            <v>Dildar Abbas</v>
          </cell>
          <cell r="E1951" t="str">
            <v>دلدار  عباس</v>
          </cell>
          <cell r="F1951">
            <v>43457</v>
          </cell>
          <cell r="G1951" t="str">
            <v>10010540</v>
          </cell>
          <cell r="H1951" t="str">
            <v>Historic Environment Worker</v>
          </cell>
          <cell r="I1951" t="str">
            <v>عامل البيئة التاريخية</v>
          </cell>
          <cell r="J1951" t="str">
            <v>Off-Chart</v>
          </cell>
          <cell r="K1951" t="str">
            <v>Non-Payroll</v>
          </cell>
          <cell r="L1951" t="str">
            <v>99</v>
          </cell>
          <cell r="M1951" t="str">
            <v>Department of Culture and Tourism</v>
          </cell>
          <cell r="N1951" t="str">
            <v>Culture</v>
          </cell>
          <cell r="O1951" t="str">
            <v>الثقافة</v>
          </cell>
          <cell r="P1951" t="str">
            <v>Historic Environment</v>
          </cell>
          <cell r="Q1951" t="str">
            <v>البيئة التاريخية</v>
          </cell>
          <cell r="R1951" t="str">
            <v>Historic Buildings &amp; Landscapes</v>
          </cell>
          <cell r="S1951" t="str">
            <v>المباني والمسطحات التاريخية</v>
          </cell>
          <cell r="T1951" t="str">
            <v>Culture Sites Protection</v>
          </cell>
          <cell r="U1951" t="str">
            <v>حماية المواقع الثقافية</v>
          </cell>
          <cell r="V1951" t="str">
            <v>Al Ain</v>
          </cell>
          <cell r="W1951" t="str">
            <v/>
          </cell>
          <cell r="X1951" t="str">
            <v>4511300</v>
          </cell>
          <cell r="Y1951" t="str">
            <v>Content &amp; Care_Culture Sites Protection_Assistant &amp; Technical Staff</v>
          </cell>
          <cell r="Z1951" t="str">
            <v>Assistant and Technical Staff</v>
          </cell>
          <cell r="AA1951" t="str">
            <v>7A</v>
          </cell>
        </row>
        <row r="1952">
          <cell r="A1952">
            <v>5000223</v>
          </cell>
          <cell r="B1952">
            <v>5000223</v>
          </cell>
          <cell r="C1952" t="str">
            <v>A</v>
          </cell>
          <cell r="D1952" t="str">
            <v>Rahin Ullah</v>
          </cell>
          <cell r="E1952" t="str">
            <v>راين  الله</v>
          </cell>
          <cell r="F1952">
            <v>43460</v>
          </cell>
          <cell r="G1952" t="str">
            <v>10010541</v>
          </cell>
          <cell r="H1952" t="str">
            <v>Historic Environment Worker</v>
          </cell>
          <cell r="I1952" t="str">
            <v>عامل البيئة التاريخية</v>
          </cell>
          <cell r="J1952" t="str">
            <v>Off-Chart</v>
          </cell>
          <cell r="K1952" t="str">
            <v>Non-Payroll</v>
          </cell>
          <cell r="L1952" t="str">
            <v>99</v>
          </cell>
          <cell r="M1952" t="str">
            <v>Department of Culture and Tourism</v>
          </cell>
          <cell r="N1952" t="str">
            <v>Culture</v>
          </cell>
          <cell r="O1952" t="str">
            <v>الثقافة</v>
          </cell>
          <cell r="P1952" t="str">
            <v>Historic Environment</v>
          </cell>
          <cell r="Q1952" t="str">
            <v>البيئة التاريخية</v>
          </cell>
          <cell r="R1952" t="str">
            <v>Historic Buildings &amp; Landscapes</v>
          </cell>
          <cell r="S1952" t="str">
            <v>المباني والمسطحات التاريخية</v>
          </cell>
          <cell r="T1952" t="str">
            <v>Culture Sites Protection</v>
          </cell>
          <cell r="U1952" t="str">
            <v>حماية المواقع الثقافية</v>
          </cell>
          <cell r="V1952" t="str">
            <v>Al Ain</v>
          </cell>
          <cell r="W1952" t="str">
            <v/>
          </cell>
          <cell r="X1952" t="str">
            <v>4511300</v>
          </cell>
          <cell r="Y1952" t="str">
            <v>Content &amp; Care_Culture Sites Protection_Assistant &amp; Technical Staff</v>
          </cell>
          <cell r="Z1952" t="str">
            <v>Assistant and Technical Staff</v>
          </cell>
          <cell r="AA1952" t="str">
            <v>7A</v>
          </cell>
        </row>
        <row r="1953">
          <cell r="A1953">
            <v>5000229</v>
          </cell>
          <cell r="B1953">
            <v>5000229</v>
          </cell>
          <cell r="C1953" t="str">
            <v>A</v>
          </cell>
          <cell r="D1953" t="str">
            <v>Kiyastheen Dheen Mani</v>
          </cell>
          <cell r="E1953" t="str">
            <v>كياسيذين دين ماني</v>
          </cell>
          <cell r="F1953">
            <v>43506</v>
          </cell>
          <cell r="G1953" t="str">
            <v>10011153</v>
          </cell>
          <cell r="H1953" t="str">
            <v>Labourer</v>
          </cell>
          <cell r="I1953" t="str">
            <v>عامل</v>
          </cell>
          <cell r="J1953" t="str">
            <v>Off-Chart</v>
          </cell>
          <cell r="K1953" t="str">
            <v>Non-Payroll</v>
          </cell>
          <cell r="L1953" t="str">
            <v>99</v>
          </cell>
          <cell r="M1953" t="str">
            <v>Department of Culture and Tourism</v>
          </cell>
          <cell r="N1953" t="str">
            <v>Culture</v>
          </cell>
          <cell r="O1953" t="str">
            <v>الثقافة</v>
          </cell>
          <cell r="P1953" t="str">
            <v>Historic Environment</v>
          </cell>
          <cell r="Q1953" t="str">
            <v>البيئة التاريخية</v>
          </cell>
          <cell r="R1953" t="str">
            <v>Historic Buildings &amp; Landscapes</v>
          </cell>
          <cell r="S1953" t="str">
            <v>المباني والمسطحات التاريخية</v>
          </cell>
          <cell r="T1953" t="str">
            <v>Culture Sites Protection</v>
          </cell>
          <cell r="U1953" t="str">
            <v>حماية المواقع الثقافية</v>
          </cell>
          <cell r="V1953" t="str">
            <v>Al Ain</v>
          </cell>
          <cell r="W1953" t="str">
            <v/>
          </cell>
          <cell r="X1953" t="str">
            <v>4511300</v>
          </cell>
          <cell r="Y1953" t="str">
            <v>Content &amp; Care_Culture Sites Protection_Assistant &amp; Technical Staff</v>
          </cell>
          <cell r="Z1953" t="str">
            <v>Assistant and Technical Staff</v>
          </cell>
          <cell r="AA1953" t="str">
            <v>7A</v>
          </cell>
        </row>
        <row r="1954">
          <cell r="A1954">
            <v>5000231</v>
          </cell>
          <cell r="B1954">
            <v>5000231</v>
          </cell>
          <cell r="C1954" t="str">
            <v>A</v>
          </cell>
          <cell r="D1954" t="str">
            <v>Mohanan Dev Sidarth</v>
          </cell>
          <cell r="E1954" t="str">
            <v>موهانان ديف سيدهارت</v>
          </cell>
          <cell r="F1954">
            <v>43548</v>
          </cell>
          <cell r="G1954" t="str">
            <v>10011155</v>
          </cell>
          <cell r="H1954" t="str">
            <v>Labourer</v>
          </cell>
          <cell r="I1954" t="str">
            <v>عامل</v>
          </cell>
          <cell r="J1954" t="str">
            <v>Off-Chart</v>
          </cell>
          <cell r="K1954" t="str">
            <v>Non-Payroll</v>
          </cell>
          <cell r="L1954" t="str">
            <v>99</v>
          </cell>
          <cell r="M1954" t="str">
            <v>Department of Culture and Tourism</v>
          </cell>
          <cell r="N1954" t="str">
            <v>Culture</v>
          </cell>
          <cell r="O1954" t="str">
            <v>الثقافة</v>
          </cell>
          <cell r="P1954" t="str">
            <v>Historic Environment</v>
          </cell>
          <cell r="Q1954" t="str">
            <v>البيئة التاريخية</v>
          </cell>
          <cell r="R1954" t="str">
            <v>Historic Buildings &amp; Landscapes</v>
          </cell>
          <cell r="S1954" t="str">
            <v>المباني والمسطحات التاريخية</v>
          </cell>
          <cell r="T1954" t="str">
            <v>Culture Sites Protection</v>
          </cell>
          <cell r="U1954" t="str">
            <v>حماية المواقع الثقافية</v>
          </cell>
          <cell r="V1954" t="str">
            <v>Al Ain</v>
          </cell>
          <cell r="W1954" t="str">
            <v/>
          </cell>
          <cell r="X1954" t="str">
            <v>4511300</v>
          </cell>
          <cell r="Y1954" t="str">
            <v>Content &amp; Care_Culture Sites Protection_Assistant &amp; Technical Staff</v>
          </cell>
          <cell r="Z1954" t="str">
            <v>Assistant and Technical Staff</v>
          </cell>
          <cell r="AA1954" t="str">
            <v>7A</v>
          </cell>
        </row>
        <row r="1955">
          <cell r="A1955">
            <v>5000232</v>
          </cell>
          <cell r="B1955">
            <v>5000232</v>
          </cell>
          <cell r="C1955" t="str">
            <v>A</v>
          </cell>
          <cell r="D1955" t="str">
            <v>Hari Kumar Dangol</v>
          </cell>
          <cell r="E1955" t="str">
            <v>هاري كومار دنغول</v>
          </cell>
          <cell r="F1955">
            <v>43563</v>
          </cell>
          <cell r="G1955" t="str">
            <v>10006921</v>
          </cell>
          <cell r="H1955" t="str">
            <v>Labourer</v>
          </cell>
          <cell r="I1955" t="str">
            <v>عامل</v>
          </cell>
          <cell r="J1955" t="str">
            <v>Off-Chart</v>
          </cell>
          <cell r="K1955" t="str">
            <v>Non-Payroll</v>
          </cell>
          <cell r="L1955" t="str">
            <v>99</v>
          </cell>
          <cell r="M1955" t="str">
            <v>Department of Culture and Tourism</v>
          </cell>
          <cell r="N1955" t="str">
            <v>Culture</v>
          </cell>
          <cell r="O1955" t="str">
            <v>الثقافة</v>
          </cell>
          <cell r="P1955" t="str">
            <v>Historic Environment</v>
          </cell>
          <cell r="Q1955" t="str">
            <v>البيئة التاريخية</v>
          </cell>
          <cell r="R1955" t="str">
            <v>Historic Buildings &amp; Landscapes</v>
          </cell>
          <cell r="S1955" t="str">
            <v>المباني والمسطحات التاريخية</v>
          </cell>
          <cell r="T1955" t="str">
            <v>Culture Sites Protection</v>
          </cell>
          <cell r="U1955" t="str">
            <v>حماية المواقع الثقافية</v>
          </cell>
          <cell r="V1955" t="str">
            <v>Al Ain</v>
          </cell>
          <cell r="W1955" t="str">
            <v/>
          </cell>
          <cell r="X1955" t="str">
            <v>4511300</v>
          </cell>
          <cell r="Y1955" t="str">
            <v>Content &amp; Care_Culture Sites Protection_Assistant &amp; Technical Staff</v>
          </cell>
          <cell r="Z1955" t="str">
            <v>Assistant and Technical Staff</v>
          </cell>
          <cell r="AA1955" t="str">
            <v>7A</v>
          </cell>
        </row>
        <row r="1956">
          <cell r="A1956">
            <v>5000233</v>
          </cell>
          <cell r="B1956">
            <v>5000233</v>
          </cell>
          <cell r="C1956" t="str">
            <v>A</v>
          </cell>
          <cell r="D1956" t="str">
            <v>Mohammed Naheem</v>
          </cell>
          <cell r="E1956" t="str">
            <v>محمد  نعيم</v>
          </cell>
          <cell r="F1956">
            <v>43573</v>
          </cell>
          <cell r="G1956" t="str">
            <v>10011156</v>
          </cell>
          <cell r="H1956" t="str">
            <v>Labourer</v>
          </cell>
          <cell r="I1956" t="str">
            <v>عامل</v>
          </cell>
          <cell r="J1956" t="str">
            <v>Off-Chart</v>
          </cell>
          <cell r="K1956" t="str">
            <v>Non-Payroll</v>
          </cell>
          <cell r="L1956" t="str">
            <v>99</v>
          </cell>
          <cell r="M1956" t="str">
            <v>Department of Culture and Tourism</v>
          </cell>
          <cell r="N1956" t="str">
            <v>Culture</v>
          </cell>
          <cell r="O1956" t="str">
            <v>الثقافة</v>
          </cell>
          <cell r="P1956" t="str">
            <v>Historic Environment</v>
          </cell>
          <cell r="Q1956" t="str">
            <v>البيئة التاريخية</v>
          </cell>
          <cell r="R1956" t="str">
            <v>Historic Buildings &amp; Landscapes</v>
          </cell>
          <cell r="S1956" t="str">
            <v>المباني والمسطحات التاريخية</v>
          </cell>
          <cell r="T1956" t="str">
            <v>Culture Sites Protection</v>
          </cell>
          <cell r="U1956" t="str">
            <v>حماية المواقع الثقافية</v>
          </cell>
          <cell r="V1956" t="str">
            <v>Al Ain</v>
          </cell>
          <cell r="W1956" t="str">
            <v/>
          </cell>
          <cell r="X1956" t="str">
            <v>4511300</v>
          </cell>
          <cell r="Y1956" t="str">
            <v>Content &amp; Care_Culture Sites Protection_Assistant &amp; Technical Staff</v>
          </cell>
          <cell r="Z1956" t="str">
            <v>Assistant and Technical Staff</v>
          </cell>
          <cell r="AA1956" t="str">
            <v>7A</v>
          </cell>
        </row>
        <row r="1957">
          <cell r="A1957">
            <v>5000234</v>
          </cell>
          <cell r="B1957">
            <v>5000234</v>
          </cell>
          <cell r="C1957" t="str">
            <v>A</v>
          </cell>
          <cell r="D1957" t="str">
            <v>Mansour Mohamed</v>
          </cell>
          <cell r="E1957" t="str">
            <v>منصور  محمد</v>
          </cell>
          <cell r="F1957">
            <v>43598</v>
          </cell>
          <cell r="G1957" t="str">
            <v>10011157</v>
          </cell>
          <cell r="H1957" t="str">
            <v>Labourer</v>
          </cell>
          <cell r="I1957" t="str">
            <v>عامل</v>
          </cell>
          <cell r="J1957" t="str">
            <v>Off-Chart</v>
          </cell>
          <cell r="K1957" t="str">
            <v>Non-Payroll</v>
          </cell>
          <cell r="L1957" t="str">
            <v>99</v>
          </cell>
          <cell r="M1957" t="str">
            <v>Department of Culture and Tourism</v>
          </cell>
          <cell r="N1957" t="str">
            <v>Culture</v>
          </cell>
          <cell r="O1957" t="str">
            <v>الثقافة</v>
          </cell>
          <cell r="P1957" t="str">
            <v>Historic Environment</v>
          </cell>
          <cell r="Q1957" t="str">
            <v>البيئة التاريخية</v>
          </cell>
          <cell r="R1957" t="str">
            <v>Historic Buildings &amp; Landscapes</v>
          </cell>
          <cell r="S1957" t="str">
            <v>المباني والمسطحات التاريخية</v>
          </cell>
          <cell r="T1957" t="str">
            <v>Culture Sites Protection</v>
          </cell>
          <cell r="U1957" t="str">
            <v>حماية المواقع الثقافية</v>
          </cell>
          <cell r="V1957" t="str">
            <v>Abu Dhabi</v>
          </cell>
          <cell r="W1957" t="str">
            <v/>
          </cell>
          <cell r="X1957" t="str">
            <v>4511300</v>
          </cell>
          <cell r="Y1957" t="str">
            <v>Content &amp; Care_Culture Sites Protection_Assistant &amp; Technical Staff</v>
          </cell>
          <cell r="Z1957" t="str">
            <v>Assistant and Technical Staff</v>
          </cell>
          <cell r="AA1957" t="str">
            <v>7A</v>
          </cell>
        </row>
        <row r="1958">
          <cell r="A1958">
            <v>5000235</v>
          </cell>
          <cell r="B1958">
            <v>5000235</v>
          </cell>
          <cell r="C1958" t="str">
            <v>A</v>
          </cell>
          <cell r="D1958" t="str">
            <v>Abdul khaliq</v>
          </cell>
          <cell r="E1958" t="str">
            <v>عبدالسلام  عبدالخالق</v>
          </cell>
          <cell r="F1958">
            <v>43731</v>
          </cell>
          <cell r="G1958" t="str">
            <v>10012031</v>
          </cell>
          <cell r="H1958" t="str">
            <v>Labourer</v>
          </cell>
          <cell r="I1958" t="str">
            <v>عامل</v>
          </cell>
          <cell r="J1958" t="str">
            <v>Off-Chart</v>
          </cell>
          <cell r="K1958" t="str">
            <v>Non-Payroll</v>
          </cell>
          <cell r="L1958" t="str">
            <v>99</v>
          </cell>
          <cell r="M1958" t="str">
            <v>Department of Culture and Tourism</v>
          </cell>
          <cell r="N1958" t="str">
            <v>Culture</v>
          </cell>
          <cell r="O1958" t="str">
            <v>الثقافة</v>
          </cell>
          <cell r="P1958" t="str">
            <v>Historic Environment</v>
          </cell>
          <cell r="Q1958" t="str">
            <v>البيئة التاريخية</v>
          </cell>
          <cell r="R1958" t="str">
            <v>Historic Buildings &amp; Landscapes</v>
          </cell>
          <cell r="S1958" t="str">
            <v>المباني والمسطحات التاريخية</v>
          </cell>
          <cell r="T1958" t="str">
            <v>Culture Sites Protection</v>
          </cell>
          <cell r="U1958" t="str">
            <v>حماية المواقع الثقافية</v>
          </cell>
          <cell r="V1958" t="str">
            <v>Abu Dhabi</v>
          </cell>
          <cell r="W1958" t="str">
            <v/>
          </cell>
          <cell r="X1958" t="str">
            <v>4511300</v>
          </cell>
          <cell r="Y1958" t="str">
            <v>Content &amp; Care_Culture Sites Protection_Assistant &amp; Technical Staff</v>
          </cell>
          <cell r="Z1958" t="str">
            <v>Assistant and Technical Staff</v>
          </cell>
          <cell r="AA1958" t="str">
            <v>7A</v>
          </cell>
        </row>
        <row r="1959">
          <cell r="A1959">
            <v>5000236</v>
          </cell>
          <cell r="B1959">
            <v>5000236</v>
          </cell>
          <cell r="C1959" t="str">
            <v>A</v>
          </cell>
          <cell r="D1959" t="str">
            <v>Mohammed Shakeel</v>
          </cell>
          <cell r="E1959" t="str">
            <v>محمد  شكيل</v>
          </cell>
          <cell r="F1959">
            <v>43731</v>
          </cell>
          <cell r="G1959" t="str">
            <v>10012032</v>
          </cell>
          <cell r="H1959" t="str">
            <v>Labourer</v>
          </cell>
          <cell r="I1959" t="str">
            <v>عامل</v>
          </cell>
          <cell r="J1959" t="str">
            <v>Off-Chart</v>
          </cell>
          <cell r="K1959" t="str">
            <v>Non-Payroll</v>
          </cell>
          <cell r="L1959" t="str">
            <v>99</v>
          </cell>
          <cell r="M1959" t="str">
            <v>Department of Culture and Tourism</v>
          </cell>
          <cell r="N1959" t="str">
            <v>Culture</v>
          </cell>
          <cell r="O1959" t="str">
            <v>الثقافة</v>
          </cell>
          <cell r="P1959" t="str">
            <v>Historic Environment</v>
          </cell>
          <cell r="Q1959" t="str">
            <v>البيئة التاريخية</v>
          </cell>
          <cell r="R1959" t="str">
            <v>Historic Buildings &amp; Landscapes</v>
          </cell>
          <cell r="S1959" t="str">
            <v>المباني والمسطحات التاريخية</v>
          </cell>
          <cell r="T1959" t="str">
            <v>Culture Sites Protection</v>
          </cell>
          <cell r="U1959" t="str">
            <v>حماية المواقع الثقافية</v>
          </cell>
          <cell r="V1959" t="str">
            <v>Abu Dhabi</v>
          </cell>
          <cell r="W1959" t="str">
            <v/>
          </cell>
          <cell r="X1959" t="str">
            <v>4511300</v>
          </cell>
          <cell r="Y1959" t="str">
            <v>Content &amp; Care_Culture Sites Protection_Assistant &amp; Technical Staff</v>
          </cell>
          <cell r="Z1959" t="str">
            <v>Assistant and Technical Staff</v>
          </cell>
          <cell r="AA1959" t="str">
            <v>7A</v>
          </cell>
        </row>
        <row r="1960">
          <cell r="A1960">
            <v>5000237</v>
          </cell>
          <cell r="B1960">
            <v>5000237</v>
          </cell>
          <cell r="C1960" t="str">
            <v>A</v>
          </cell>
          <cell r="D1960" t="str">
            <v>Bismillah Jan</v>
          </cell>
          <cell r="E1960" t="str">
            <v>بسم الله  جان</v>
          </cell>
          <cell r="F1960">
            <v>43632</v>
          </cell>
          <cell r="G1960" t="str">
            <v>10111159</v>
          </cell>
          <cell r="H1960" t="str">
            <v>Labourer</v>
          </cell>
          <cell r="I1960" t="str">
            <v>عامل</v>
          </cell>
          <cell r="J1960" t="str">
            <v>Off-Chart</v>
          </cell>
          <cell r="K1960" t="str">
            <v>Non-Payroll</v>
          </cell>
          <cell r="L1960" t="str">
            <v>99</v>
          </cell>
          <cell r="M1960" t="str">
            <v>Department of Culture and Tourism</v>
          </cell>
          <cell r="N1960" t="str">
            <v>Culture</v>
          </cell>
          <cell r="O1960" t="str">
            <v>الثقافة</v>
          </cell>
          <cell r="P1960" t="str">
            <v>Historic Environment</v>
          </cell>
          <cell r="Q1960" t="str">
            <v>البيئة التاريخية</v>
          </cell>
          <cell r="R1960" t="str">
            <v>Historic Buildings &amp; Landscapes</v>
          </cell>
          <cell r="S1960" t="str">
            <v>المباني والمسطحات التاريخية</v>
          </cell>
          <cell r="T1960" t="str">
            <v>Culture Sites Protection</v>
          </cell>
          <cell r="U1960" t="str">
            <v>حماية المواقع الثقافية</v>
          </cell>
          <cell r="V1960" t="str">
            <v>Abu Dhabi</v>
          </cell>
          <cell r="W1960" t="str">
            <v/>
          </cell>
          <cell r="X1960" t="str">
            <v>4511300</v>
          </cell>
          <cell r="Y1960" t="str">
            <v>Content &amp; Care_Culture Sites Protection_Assistant &amp; Technical Staff</v>
          </cell>
          <cell r="Z1960" t="str">
            <v>Assistant and Technical Staff</v>
          </cell>
          <cell r="AA1960" t="str">
            <v>7A</v>
          </cell>
        </row>
        <row r="1961">
          <cell r="A1961">
            <v>5000238</v>
          </cell>
          <cell r="B1961">
            <v>5000238</v>
          </cell>
          <cell r="C1961" t="str">
            <v>A</v>
          </cell>
          <cell r="D1961" t="str">
            <v>Habib Ullah</v>
          </cell>
          <cell r="E1961" t="str">
            <v>حبيب الله  دوست</v>
          </cell>
          <cell r="F1961">
            <v>43635</v>
          </cell>
          <cell r="G1961" t="str">
            <v>10011159</v>
          </cell>
          <cell r="H1961" t="str">
            <v>Labourer</v>
          </cell>
          <cell r="I1961" t="str">
            <v>عامل</v>
          </cell>
          <cell r="J1961" t="str">
            <v>Off-Chart</v>
          </cell>
          <cell r="K1961" t="str">
            <v>Non-Payroll</v>
          </cell>
          <cell r="L1961" t="str">
            <v>99</v>
          </cell>
          <cell r="M1961" t="str">
            <v>Department of Culture and Tourism</v>
          </cell>
          <cell r="N1961" t="str">
            <v>Culture</v>
          </cell>
          <cell r="O1961" t="str">
            <v>الثقافة</v>
          </cell>
          <cell r="P1961" t="str">
            <v>Historic Environment</v>
          </cell>
          <cell r="Q1961" t="str">
            <v>البيئة التاريخية</v>
          </cell>
          <cell r="R1961" t="str">
            <v>Historic Buildings &amp; Landscapes</v>
          </cell>
          <cell r="S1961" t="str">
            <v>المباني والمسطحات التاريخية</v>
          </cell>
          <cell r="T1961" t="str">
            <v>Culture Sites Protection</v>
          </cell>
          <cell r="U1961" t="str">
            <v>حماية المواقع الثقافية</v>
          </cell>
          <cell r="V1961" t="str">
            <v>Abu Dhabi</v>
          </cell>
          <cell r="W1961" t="str">
            <v/>
          </cell>
          <cell r="X1961" t="str">
            <v>4511300</v>
          </cell>
          <cell r="Y1961" t="str">
            <v>Content &amp; Care_Culture Sites Protection_Assistant &amp; Technical Staff</v>
          </cell>
          <cell r="Z1961" t="str">
            <v>Assistant and Technical Staff</v>
          </cell>
          <cell r="AA1961" t="str">
            <v>7A</v>
          </cell>
        </row>
        <row r="1962">
          <cell r="A1962">
            <v>5000239</v>
          </cell>
          <cell r="B1962">
            <v>5000239</v>
          </cell>
          <cell r="C1962" t="str">
            <v>A</v>
          </cell>
          <cell r="D1962" t="str">
            <v>Kashif Ali</v>
          </cell>
          <cell r="E1962" t="str">
            <v>كاشف  علي</v>
          </cell>
          <cell r="F1962">
            <v>43649</v>
          </cell>
          <cell r="G1962" t="str">
            <v>10012033</v>
          </cell>
          <cell r="H1962" t="str">
            <v>Labourer</v>
          </cell>
          <cell r="I1962" t="str">
            <v>عامل</v>
          </cell>
          <cell r="J1962" t="str">
            <v>Off-Chart</v>
          </cell>
          <cell r="K1962" t="str">
            <v>Non-Payroll</v>
          </cell>
          <cell r="L1962" t="str">
            <v>99</v>
          </cell>
          <cell r="M1962" t="str">
            <v>Department of Culture and Tourism</v>
          </cell>
          <cell r="N1962" t="str">
            <v>Culture</v>
          </cell>
          <cell r="O1962" t="str">
            <v>الثقافة</v>
          </cell>
          <cell r="P1962" t="str">
            <v>Historic Environment</v>
          </cell>
          <cell r="Q1962" t="str">
            <v>البيئة التاريخية</v>
          </cell>
          <cell r="R1962" t="str">
            <v>Historic Buildings &amp; Landscapes</v>
          </cell>
          <cell r="S1962" t="str">
            <v>المباني والمسطحات التاريخية</v>
          </cell>
          <cell r="T1962" t="str">
            <v>Culture Sites Protection</v>
          </cell>
          <cell r="U1962" t="str">
            <v>حماية المواقع الثقافية</v>
          </cell>
          <cell r="V1962" t="str">
            <v>Abu Dhabi</v>
          </cell>
          <cell r="W1962" t="str">
            <v/>
          </cell>
          <cell r="X1962" t="str">
            <v>4511300</v>
          </cell>
          <cell r="Y1962" t="str">
            <v>Content &amp; Care_Culture Sites Protection_Assistant &amp; Technical Staff</v>
          </cell>
          <cell r="Z1962" t="str">
            <v>Assistant and Technical Staff</v>
          </cell>
          <cell r="AA1962" t="str">
            <v>7A</v>
          </cell>
        </row>
        <row r="1963">
          <cell r="A1963">
            <v>5000240</v>
          </cell>
          <cell r="B1963">
            <v>5000240</v>
          </cell>
          <cell r="C1963" t="str">
            <v>A</v>
          </cell>
          <cell r="D1963" t="str">
            <v>Badr Gomma</v>
          </cell>
          <cell r="E1963" t="str">
            <v>بدر  جمعه</v>
          </cell>
          <cell r="F1963">
            <v>43650</v>
          </cell>
          <cell r="G1963" t="str">
            <v>10012030</v>
          </cell>
          <cell r="H1963" t="str">
            <v>Labourer</v>
          </cell>
          <cell r="I1963" t="str">
            <v>عامل</v>
          </cell>
          <cell r="J1963" t="str">
            <v>Off-Chart</v>
          </cell>
          <cell r="K1963" t="str">
            <v>Non-Payroll</v>
          </cell>
          <cell r="L1963" t="str">
            <v>99</v>
          </cell>
          <cell r="M1963" t="str">
            <v>Department of Culture and Tourism</v>
          </cell>
          <cell r="N1963" t="str">
            <v>Culture</v>
          </cell>
          <cell r="O1963" t="str">
            <v>الثقافة</v>
          </cell>
          <cell r="P1963" t="str">
            <v>Historic Environment</v>
          </cell>
          <cell r="Q1963" t="str">
            <v>البيئة التاريخية</v>
          </cell>
          <cell r="R1963" t="str">
            <v>Historic Buildings &amp; Landscapes</v>
          </cell>
          <cell r="S1963" t="str">
            <v>المباني والمسطحات التاريخية</v>
          </cell>
          <cell r="T1963" t="str">
            <v>Culture Sites Protection</v>
          </cell>
          <cell r="U1963" t="str">
            <v>حماية المواقع الثقافية</v>
          </cell>
          <cell r="V1963" t="str">
            <v>Abu Dhabi</v>
          </cell>
          <cell r="W1963" t="str">
            <v/>
          </cell>
          <cell r="X1963" t="str">
            <v>4511300</v>
          </cell>
          <cell r="Y1963" t="str">
            <v>Content &amp; Care_Culture Sites Protection_Assistant &amp; Technical Staff</v>
          </cell>
          <cell r="Z1963" t="str">
            <v>Assistant and Technical Staff</v>
          </cell>
          <cell r="AA1963" t="str">
            <v>7A</v>
          </cell>
        </row>
        <row r="1964">
          <cell r="A1964">
            <v>5000241</v>
          </cell>
          <cell r="B1964">
            <v>5000241</v>
          </cell>
          <cell r="C1964" t="str">
            <v>A</v>
          </cell>
          <cell r="D1964" t="str">
            <v>Jan Akbar</v>
          </cell>
          <cell r="E1964" t="str">
            <v>جان  أكبر</v>
          </cell>
          <cell r="F1964">
            <v>43653</v>
          </cell>
          <cell r="G1964" t="str">
            <v>10012042</v>
          </cell>
          <cell r="H1964" t="str">
            <v>Labourer</v>
          </cell>
          <cell r="I1964" t="str">
            <v>عامل</v>
          </cell>
          <cell r="J1964" t="str">
            <v>Off-Chart</v>
          </cell>
          <cell r="K1964" t="str">
            <v>Non-Payroll</v>
          </cell>
          <cell r="L1964" t="str">
            <v>99</v>
          </cell>
          <cell r="M1964" t="str">
            <v>Department of Culture and Tourism</v>
          </cell>
          <cell r="N1964" t="str">
            <v>Culture</v>
          </cell>
          <cell r="O1964" t="str">
            <v>الثقافة</v>
          </cell>
          <cell r="P1964" t="str">
            <v>Historic Environment</v>
          </cell>
          <cell r="Q1964" t="str">
            <v>البيئة التاريخية</v>
          </cell>
          <cell r="R1964" t="str">
            <v>Historic Buildings &amp; Landscapes</v>
          </cell>
          <cell r="S1964" t="str">
            <v>المباني والمسطحات التاريخية</v>
          </cell>
          <cell r="T1964" t="str">
            <v>Culture Sites Protection</v>
          </cell>
          <cell r="U1964" t="str">
            <v>حماية المواقع الثقافية</v>
          </cell>
          <cell r="V1964" t="str">
            <v>Abu Dhabi</v>
          </cell>
          <cell r="W1964" t="str">
            <v/>
          </cell>
          <cell r="X1964" t="str">
            <v>4511300</v>
          </cell>
          <cell r="Y1964" t="str">
            <v>Content &amp; Care_Culture Sites Protection_Assistant &amp; Technical Staff</v>
          </cell>
          <cell r="Z1964" t="str">
            <v>Assistant and Technical Staff</v>
          </cell>
          <cell r="AA1964" t="str">
            <v>7A</v>
          </cell>
        </row>
        <row r="1965">
          <cell r="A1965">
            <v>5000242</v>
          </cell>
          <cell r="B1965">
            <v>5000242</v>
          </cell>
          <cell r="C1965" t="str">
            <v>A</v>
          </cell>
          <cell r="D1965" t="str">
            <v>Jassem Khan</v>
          </cell>
          <cell r="E1965" t="str">
            <v>جاسم  خان</v>
          </cell>
          <cell r="F1965">
            <v>43662</v>
          </cell>
          <cell r="G1965" t="str">
            <v>10011632</v>
          </cell>
          <cell r="H1965" t="str">
            <v>Labourer</v>
          </cell>
          <cell r="I1965" t="str">
            <v>عامل</v>
          </cell>
          <cell r="J1965" t="str">
            <v>Off-Chart</v>
          </cell>
          <cell r="K1965" t="str">
            <v>Non-Payroll</v>
          </cell>
          <cell r="L1965" t="str">
            <v>99</v>
          </cell>
          <cell r="M1965" t="str">
            <v>Department of Culture and Tourism</v>
          </cell>
          <cell r="N1965" t="str">
            <v>Culture</v>
          </cell>
          <cell r="O1965" t="str">
            <v>الثقافة</v>
          </cell>
          <cell r="P1965" t="str">
            <v>Historic Environment</v>
          </cell>
          <cell r="Q1965" t="str">
            <v>البيئة التاريخية</v>
          </cell>
          <cell r="R1965" t="str">
            <v>Historic Buildings &amp; Landscapes</v>
          </cell>
          <cell r="S1965" t="str">
            <v>المباني والمسطحات التاريخية</v>
          </cell>
          <cell r="T1965" t="str">
            <v>Culture Sites Protection</v>
          </cell>
          <cell r="U1965" t="str">
            <v>حماية المواقع الثقافية</v>
          </cell>
          <cell r="V1965" t="str">
            <v>Al Ain</v>
          </cell>
          <cell r="W1965" t="str">
            <v/>
          </cell>
          <cell r="X1965" t="str">
            <v>4511300</v>
          </cell>
          <cell r="Y1965" t="str">
            <v>Content &amp; Care_Culture Sites Protection_Assistant &amp; Technical Staff</v>
          </cell>
          <cell r="Z1965" t="str">
            <v>Assistant and Technical Staff</v>
          </cell>
          <cell r="AA1965" t="str">
            <v>7A</v>
          </cell>
        </row>
        <row r="1966">
          <cell r="A1966">
            <v>5000243</v>
          </cell>
          <cell r="B1966">
            <v>5000243</v>
          </cell>
          <cell r="C1966" t="str">
            <v>A</v>
          </cell>
          <cell r="D1966" t="str">
            <v>Mohsin Nawaz</v>
          </cell>
          <cell r="E1966" t="str">
            <v>محسن  نواز</v>
          </cell>
          <cell r="F1966">
            <v>43681</v>
          </cell>
          <cell r="G1966" t="str">
            <v>10011633</v>
          </cell>
          <cell r="H1966" t="str">
            <v>Labourer</v>
          </cell>
          <cell r="I1966" t="str">
            <v>عامل</v>
          </cell>
          <cell r="J1966" t="str">
            <v>Off-Chart</v>
          </cell>
          <cell r="K1966" t="str">
            <v>Non-Payroll</v>
          </cell>
          <cell r="L1966" t="str">
            <v>99</v>
          </cell>
          <cell r="M1966" t="str">
            <v>Department of Culture and Tourism</v>
          </cell>
          <cell r="N1966" t="str">
            <v>Culture</v>
          </cell>
          <cell r="O1966" t="str">
            <v>الثقافة</v>
          </cell>
          <cell r="P1966" t="str">
            <v>Historic Environment</v>
          </cell>
          <cell r="Q1966" t="str">
            <v>البيئة التاريخية</v>
          </cell>
          <cell r="R1966" t="str">
            <v>Historic Buildings &amp; Landscapes</v>
          </cell>
          <cell r="S1966" t="str">
            <v>المباني والمسطحات التاريخية</v>
          </cell>
          <cell r="T1966" t="str">
            <v>Culture Sites Protection</v>
          </cell>
          <cell r="U1966" t="str">
            <v>حماية المواقع الثقافية</v>
          </cell>
          <cell r="V1966" t="str">
            <v>Al Ain</v>
          </cell>
          <cell r="W1966" t="str">
            <v/>
          </cell>
          <cell r="X1966" t="str">
            <v>4511300</v>
          </cell>
          <cell r="Y1966" t="str">
            <v>Content &amp; Care_Culture Sites Protection_Assistant &amp; Technical Staff</v>
          </cell>
          <cell r="Z1966" t="str">
            <v>Assistant and Technical Staff</v>
          </cell>
          <cell r="AA1966" t="str">
            <v>7A</v>
          </cell>
        </row>
        <row r="1967">
          <cell r="A1967">
            <v>5000245</v>
          </cell>
          <cell r="B1967">
            <v>5000245</v>
          </cell>
          <cell r="C1967" t="str">
            <v>A</v>
          </cell>
          <cell r="D1967" t="str">
            <v>Muhammad Naseem Avais</v>
          </cell>
          <cell r="E1967" t="str">
            <v>محمد نسيم افيس</v>
          </cell>
          <cell r="F1967">
            <v>43859</v>
          </cell>
          <cell r="G1967" t="str">
            <v>10012043</v>
          </cell>
          <cell r="H1967" t="str">
            <v>Labourer</v>
          </cell>
          <cell r="I1967" t="str">
            <v>عامل</v>
          </cell>
          <cell r="J1967" t="str">
            <v>Off-Chart</v>
          </cell>
          <cell r="K1967" t="str">
            <v>Non-Payroll</v>
          </cell>
          <cell r="L1967" t="str">
            <v>99</v>
          </cell>
          <cell r="M1967" t="str">
            <v>Department of Culture and Tourism</v>
          </cell>
          <cell r="N1967" t="str">
            <v>Culture</v>
          </cell>
          <cell r="O1967" t="str">
            <v>الثقافة</v>
          </cell>
          <cell r="P1967" t="str">
            <v>Historic Environment</v>
          </cell>
          <cell r="Q1967" t="str">
            <v>البيئة التاريخية</v>
          </cell>
          <cell r="R1967" t="str">
            <v>Historic Buildings &amp; Landscapes</v>
          </cell>
          <cell r="S1967" t="str">
            <v>المباني والمسطحات التاريخية</v>
          </cell>
          <cell r="T1967" t="str">
            <v>Culture Sites Protection</v>
          </cell>
          <cell r="U1967" t="str">
            <v>حماية المواقع الثقافية</v>
          </cell>
          <cell r="V1967" t="str">
            <v>Abu Dhabi</v>
          </cell>
          <cell r="W1967" t="str">
            <v/>
          </cell>
          <cell r="X1967" t="str">
            <v>4511300</v>
          </cell>
          <cell r="Y1967" t="str">
            <v>Content &amp; Care_Culture Sites Protection_Assistant &amp; Technical Staff</v>
          </cell>
          <cell r="Z1967" t="str">
            <v>Assistant and Technical Staff</v>
          </cell>
          <cell r="AA1967" t="str">
            <v>7A</v>
          </cell>
        </row>
        <row r="1968">
          <cell r="A1968">
            <v>5000247</v>
          </cell>
          <cell r="B1968">
            <v>5000247</v>
          </cell>
          <cell r="C1968" t="str">
            <v>A</v>
          </cell>
          <cell r="D1968" t="str">
            <v>Shahbaz Saghir Khokhar</v>
          </cell>
          <cell r="E1968" t="str">
            <v>شهباز صغير خوخار</v>
          </cell>
          <cell r="F1968">
            <v>43873</v>
          </cell>
          <cell r="G1968" t="str">
            <v>50000344</v>
          </cell>
          <cell r="H1968" t="str">
            <v>Historic Environment Worker</v>
          </cell>
          <cell r="I1968" t="str">
            <v>عامل البيئة التاريخية</v>
          </cell>
          <cell r="J1968" t="str">
            <v>Off-Chart</v>
          </cell>
          <cell r="K1968" t="str">
            <v>Non-Payroll</v>
          </cell>
          <cell r="L1968" t="str">
            <v>99</v>
          </cell>
          <cell r="M1968" t="str">
            <v>Department of Culture and Tourism</v>
          </cell>
          <cell r="N1968" t="str">
            <v>Culture</v>
          </cell>
          <cell r="O1968" t="str">
            <v>الثقافة</v>
          </cell>
          <cell r="P1968" t="str">
            <v>Historic Environment</v>
          </cell>
          <cell r="Q1968" t="str">
            <v>البيئة التاريخية</v>
          </cell>
          <cell r="R1968" t="str">
            <v>Historic Buildings &amp; Landscapes</v>
          </cell>
          <cell r="S1968" t="str">
            <v>المباني والمسطحات التاريخية</v>
          </cell>
          <cell r="T1968" t="str">
            <v>Culture Sites Protection</v>
          </cell>
          <cell r="U1968" t="str">
            <v>حماية المواقع الثقافية</v>
          </cell>
          <cell r="V1968" t="str">
            <v>Al Ain</v>
          </cell>
          <cell r="W1968" t="str">
            <v/>
          </cell>
          <cell r="X1968" t="str">
            <v>4511300</v>
          </cell>
          <cell r="Y1968" t="str">
            <v>Content &amp; Care_Culture Sites Protection_Assistant &amp; Technical Staff</v>
          </cell>
          <cell r="Z1968" t="str">
            <v>Assistant and Technical Staff</v>
          </cell>
          <cell r="AA1968" t="str">
            <v>7A</v>
          </cell>
        </row>
        <row r="1969">
          <cell r="A1969">
            <v>5000248</v>
          </cell>
          <cell r="B1969">
            <v>5000248</v>
          </cell>
          <cell r="C1969" t="str">
            <v>A</v>
          </cell>
          <cell r="D1969" t="str">
            <v>Kombo Juma</v>
          </cell>
          <cell r="E1969" t="str">
            <v>كومبو  جمعه</v>
          </cell>
          <cell r="F1969">
            <v>43877</v>
          </cell>
          <cell r="G1969" t="str">
            <v>50000945</v>
          </cell>
          <cell r="H1969" t="str">
            <v>Historic Environment Worker</v>
          </cell>
          <cell r="I1969" t="str">
            <v>عامل البيئة التاريخية</v>
          </cell>
          <cell r="J1969" t="str">
            <v>Off-Chart</v>
          </cell>
          <cell r="K1969" t="str">
            <v>Non-Payroll</v>
          </cell>
          <cell r="L1969" t="str">
            <v>99</v>
          </cell>
          <cell r="M1969" t="str">
            <v>Department of Culture and Tourism</v>
          </cell>
          <cell r="N1969" t="str">
            <v>Culture</v>
          </cell>
          <cell r="O1969" t="str">
            <v>الثقافة</v>
          </cell>
          <cell r="P1969" t="str">
            <v>Historic Environment</v>
          </cell>
          <cell r="Q1969" t="str">
            <v>البيئة التاريخية</v>
          </cell>
          <cell r="R1969" t="str">
            <v>Historic Buildings &amp; Landscapes</v>
          </cell>
          <cell r="S1969" t="str">
            <v>المباني والمسطحات التاريخية</v>
          </cell>
          <cell r="T1969" t="str">
            <v>Culture Sites Protection</v>
          </cell>
          <cell r="U1969" t="str">
            <v>حماية المواقع الثقافية</v>
          </cell>
          <cell r="V1969" t="str">
            <v>Al Ain</v>
          </cell>
          <cell r="W1969" t="str">
            <v/>
          </cell>
          <cell r="X1969" t="str">
            <v>4511300</v>
          </cell>
          <cell r="Y1969" t="str">
            <v>Content &amp; Care_Culture Sites Protection_Assistant &amp; Technical Staff</v>
          </cell>
          <cell r="Z1969" t="str">
            <v>Assistant and Technical Staff</v>
          </cell>
          <cell r="AA1969" t="str">
            <v>7A</v>
          </cell>
        </row>
        <row r="1970">
          <cell r="A1970">
            <v>5000250</v>
          </cell>
          <cell r="B1970">
            <v>5000250</v>
          </cell>
          <cell r="C1970" t="str">
            <v>A</v>
          </cell>
          <cell r="D1970" t="str">
            <v>Ashraf Peringalam</v>
          </cell>
          <cell r="E1970" t="str">
            <v>أشرف  برنجلالم</v>
          </cell>
          <cell r="F1970">
            <v>43955</v>
          </cell>
          <cell r="G1970" t="str">
            <v>50000340</v>
          </cell>
          <cell r="H1970" t="str">
            <v>Labourer</v>
          </cell>
          <cell r="I1970" t="str">
            <v>عامل</v>
          </cell>
          <cell r="J1970" t="str">
            <v>Off-Chart</v>
          </cell>
          <cell r="K1970" t="str">
            <v>Non-Payroll</v>
          </cell>
          <cell r="L1970" t="str">
            <v>99</v>
          </cell>
          <cell r="M1970" t="str">
            <v>Department of Culture and Tourism</v>
          </cell>
          <cell r="N1970" t="str">
            <v>Culture</v>
          </cell>
          <cell r="O1970" t="str">
            <v>الثقافة</v>
          </cell>
          <cell r="P1970" t="str">
            <v>Historic Environment</v>
          </cell>
          <cell r="Q1970" t="str">
            <v>البيئة التاريخية</v>
          </cell>
          <cell r="R1970" t="str">
            <v>Historic Buildings &amp; Landscapes</v>
          </cell>
          <cell r="S1970" t="str">
            <v>المباني والمسطحات التاريخية</v>
          </cell>
          <cell r="T1970" t="str">
            <v>Culture Sites Protection</v>
          </cell>
          <cell r="U1970" t="str">
            <v>حماية المواقع الثقافية</v>
          </cell>
          <cell r="V1970" t="str">
            <v>Al Ain</v>
          </cell>
          <cell r="W1970" t="str">
            <v/>
          </cell>
          <cell r="X1970" t="str">
            <v>4511300</v>
          </cell>
          <cell r="Y1970" t="str">
            <v>Content &amp; Care_Culture Sites Protection_Assistant &amp; Technical Staff</v>
          </cell>
          <cell r="Z1970" t="str">
            <v>Assistant and Technical Staff</v>
          </cell>
          <cell r="AA1970" t="str">
            <v>7A</v>
          </cell>
        </row>
        <row r="1971">
          <cell r="A1971">
            <v>5000251</v>
          </cell>
          <cell r="B1971">
            <v>5000251</v>
          </cell>
          <cell r="C1971" t="str">
            <v>A</v>
          </cell>
          <cell r="D1971" t="str">
            <v>Sahib Rasoola Din</v>
          </cell>
          <cell r="E1971" t="str">
            <v>صاحب  رسول الدين</v>
          </cell>
          <cell r="F1971">
            <v>44170</v>
          </cell>
          <cell r="G1971" t="str">
            <v>50000909</v>
          </cell>
          <cell r="H1971" t="str">
            <v>Labourer</v>
          </cell>
          <cell r="I1971" t="str">
            <v>عامل</v>
          </cell>
          <cell r="J1971" t="str">
            <v>Off-Chart</v>
          </cell>
          <cell r="K1971" t="str">
            <v>Non-Payroll</v>
          </cell>
          <cell r="L1971" t="str">
            <v>99</v>
          </cell>
          <cell r="M1971" t="str">
            <v>Department of Culture and Tourism</v>
          </cell>
          <cell r="N1971" t="str">
            <v>Culture</v>
          </cell>
          <cell r="O1971" t="str">
            <v>الثقافة</v>
          </cell>
          <cell r="P1971" t="str">
            <v>Historic Environment</v>
          </cell>
          <cell r="Q1971" t="str">
            <v>البيئة التاريخية</v>
          </cell>
          <cell r="R1971" t="str">
            <v>Historic Buildings &amp; Landscapes</v>
          </cell>
          <cell r="S1971" t="str">
            <v>المباني والمسطحات التاريخية</v>
          </cell>
          <cell r="T1971" t="str">
            <v>Culture Sites Protection</v>
          </cell>
          <cell r="U1971" t="str">
            <v>حماية المواقع الثقافية</v>
          </cell>
          <cell r="V1971" t="str">
            <v>Al Ain</v>
          </cell>
          <cell r="W1971" t="str">
            <v/>
          </cell>
          <cell r="X1971" t="str">
            <v>4511300</v>
          </cell>
          <cell r="Y1971" t="str">
            <v>Content &amp; Care_Culture Sites Protection_Assistant &amp; Technical Staff</v>
          </cell>
          <cell r="Z1971" t="str">
            <v>Assistant and Technical Staff</v>
          </cell>
          <cell r="AA1971" t="str">
            <v>7A</v>
          </cell>
        </row>
        <row r="1972">
          <cell r="A1972">
            <v>5000252</v>
          </cell>
          <cell r="B1972">
            <v>5000252</v>
          </cell>
          <cell r="C1972" t="str">
            <v>A</v>
          </cell>
          <cell r="D1972" t="str">
            <v>Mohammed Irfan Sarkhek</v>
          </cell>
          <cell r="E1972" t="str">
            <v>محمد عرفان سرخيل</v>
          </cell>
          <cell r="F1972">
            <v>44670</v>
          </cell>
          <cell r="G1972" t="str">
            <v>50001748</v>
          </cell>
          <cell r="H1972" t="str">
            <v>Labourer</v>
          </cell>
          <cell r="I1972" t="str">
            <v>عامل</v>
          </cell>
          <cell r="J1972" t="str">
            <v>Off-Chart</v>
          </cell>
          <cell r="K1972" t="str">
            <v>Non-Payroll</v>
          </cell>
          <cell r="L1972" t="str">
            <v>99</v>
          </cell>
          <cell r="M1972" t="str">
            <v>Department of Culture and Tourism</v>
          </cell>
          <cell r="N1972" t="str">
            <v>Culture</v>
          </cell>
          <cell r="O1972" t="str">
            <v>الثقافة</v>
          </cell>
          <cell r="P1972" t="str">
            <v>Historic Environment</v>
          </cell>
          <cell r="Q1972" t="str">
            <v>البيئة التاريخية</v>
          </cell>
          <cell r="R1972" t="str">
            <v>Historic Buildings &amp; Landscapes</v>
          </cell>
          <cell r="S1972" t="str">
            <v>المباني والمسطحات التاريخية</v>
          </cell>
          <cell r="T1972" t="str">
            <v/>
          </cell>
          <cell r="U1972" t="str">
            <v/>
          </cell>
          <cell r="V1972" t="str">
            <v>Al Ain</v>
          </cell>
          <cell r="W1972" t="str">
            <v/>
          </cell>
          <cell r="X1972" t="str">
            <v>4511300</v>
          </cell>
          <cell r="Y1972" t="str">
            <v>Content &amp; Care_Culture Sites Protection_Assistant &amp; Technical Staff</v>
          </cell>
          <cell r="Z1972" t="str">
            <v>Assistant and Technical Staff</v>
          </cell>
          <cell r="AA1972" t="str">
            <v>7A</v>
          </cell>
        </row>
        <row r="1973">
          <cell r="A1973">
            <v>5000253</v>
          </cell>
          <cell r="B1973">
            <v>5000253</v>
          </cell>
          <cell r="C1973" t="str">
            <v>A</v>
          </cell>
          <cell r="D1973" t="str">
            <v>Mohammed Nasir</v>
          </cell>
          <cell r="E1973" t="str">
            <v>محمد  ناصر</v>
          </cell>
          <cell r="F1973">
            <v>44670</v>
          </cell>
          <cell r="G1973" t="str">
            <v>50001746</v>
          </cell>
          <cell r="H1973" t="str">
            <v>Labourer</v>
          </cell>
          <cell r="I1973" t="str">
            <v>عامل</v>
          </cell>
          <cell r="J1973" t="str">
            <v>Off-Chart</v>
          </cell>
          <cell r="K1973" t="str">
            <v>Non-Payroll</v>
          </cell>
          <cell r="L1973" t="str">
            <v>99</v>
          </cell>
          <cell r="M1973" t="str">
            <v>Department of Culture and Tourism</v>
          </cell>
          <cell r="N1973" t="str">
            <v>Culture</v>
          </cell>
          <cell r="O1973" t="str">
            <v>الثقافة</v>
          </cell>
          <cell r="P1973" t="str">
            <v>Historic Environment</v>
          </cell>
          <cell r="Q1973" t="str">
            <v>البيئة التاريخية</v>
          </cell>
          <cell r="R1973" t="str">
            <v>Historic Buildings &amp; Landscapes</v>
          </cell>
          <cell r="S1973" t="str">
            <v>المباني والمسطحات التاريخية</v>
          </cell>
          <cell r="T1973" t="str">
            <v/>
          </cell>
          <cell r="U1973" t="str">
            <v/>
          </cell>
          <cell r="V1973" t="str">
            <v>Al Ain</v>
          </cell>
          <cell r="W1973" t="str">
            <v/>
          </cell>
          <cell r="X1973" t="str">
            <v>4511300</v>
          </cell>
          <cell r="Y1973" t="str">
            <v>Content &amp; Care_Culture Sites Protection_Assistant &amp; Technical Staff</v>
          </cell>
          <cell r="Z1973" t="str">
            <v>Assistant and Technical Staff</v>
          </cell>
          <cell r="AA1973" t="str">
            <v>7A</v>
          </cell>
        </row>
        <row r="1974">
          <cell r="A1974">
            <v>5000254</v>
          </cell>
          <cell r="B1974">
            <v>5000254</v>
          </cell>
          <cell r="C1974" t="str">
            <v>A</v>
          </cell>
          <cell r="D1974" t="str">
            <v>Mohammed Musafa</v>
          </cell>
          <cell r="E1974" t="str">
            <v>محمد  مصطفي</v>
          </cell>
          <cell r="F1974">
            <v>44691</v>
          </cell>
          <cell r="G1974" t="str">
            <v>50002053</v>
          </cell>
          <cell r="H1974" t="str">
            <v>Labourer</v>
          </cell>
          <cell r="I1974" t="str">
            <v>عامل</v>
          </cell>
          <cell r="J1974" t="str">
            <v>Off-Chart</v>
          </cell>
          <cell r="K1974" t="str">
            <v>Non-Payroll</v>
          </cell>
          <cell r="L1974" t="str">
            <v>99</v>
          </cell>
          <cell r="M1974" t="str">
            <v>Department of Culture and Tourism</v>
          </cell>
          <cell r="N1974" t="str">
            <v>Culture</v>
          </cell>
          <cell r="O1974" t="str">
            <v>الثقافة</v>
          </cell>
          <cell r="P1974" t="str">
            <v>Historic Environment</v>
          </cell>
          <cell r="Q1974" t="str">
            <v>البيئة التاريخية</v>
          </cell>
          <cell r="R1974" t="str">
            <v>Historic Buildings &amp; Landscapes</v>
          </cell>
          <cell r="S1974" t="str">
            <v>المباني والمسطحات التاريخية</v>
          </cell>
          <cell r="T1974" t="str">
            <v>Culture Sites Protection</v>
          </cell>
          <cell r="U1974" t="str">
            <v>حماية المواقع الثقافية</v>
          </cell>
          <cell r="V1974" t="str">
            <v>Al Ain</v>
          </cell>
          <cell r="W1974" t="str">
            <v/>
          </cell>
          <cell r="X1974" t="str">
            <v>4511300</v>
          </cell>
          <cell r="Y1974" t="str">
            <v>Content &amp; Care_Culture Sites Protection_Assistant &amp; Technical Staff</v>
          </cell>
          <cell r="Z1974" t="str">
            <v>Assistant and Technical Staff</v>
          </cell>
          <cell r="AA1974" t="str">
            <v>7A</v>
          </cell>
        </row>
        <row r="1975">
          <cell r="A1975">
            <v>5000255</v>
          </cell>
          <cell r="B1975">
            <v>5000255</v>
          </cell>
          <cell r="C1975" t="str">
            <v>A</v>
          </cell>
          <cell r="D1975" t="str">
            <v>Binu Kaiplackal</v>
          </cell>
          <cell r="E1975" t="str">
            <v>بينو  كابيلاكا</v>
          </cell>
          <cell r="F1975">
            <v>44705</v>
          </cell>
          <cell r="G1975" t="str">
            <v>50001747</v>
          </cell>
          <cell r="H1975" t="str">
            <v>Labourer</v>
          </cell>
          <cell r="I1975" t="str">
            <v>عامل</v>
          </cell>
          <cell r="J1975" t="str">
            <v>Off-Chart</v>
          </cell>
          <cell r="K1975" t="str">
            <v>Non-Payroll</v>
          </cell>
          <cell r="L1975" t="str">
            <v>99</v>
          </cell>
          <cell r="M1975" t="str">
            <v>Department of Culture and Tourism</v>
          </cell>
          <cell r="N1975" t="str">
            <v>Culture</v>
          </cell>
          <cell r="O1975" t="str">
            <v>الثقافة</v>
          </cell>
          <cell r="P1975" t="str">
            <v>Historic Environment</v>
          </cell>
          <cell r="Q1975" t="str">
            <v>البيئة التاريخية</v>
          </cell>
          <cell r="R1975" t="str">
            <v>Historic Buildings &amp; Landscapes</v>
          </cell>
          <cell r="S1975" t="str">
            <v>المباني والمسطحات التاريخية</v>
          </cell>
          <cell r="T1975" t="str">
            <v/>
          </cell>
          <cell r="U1975" t="str">
            <v/>
          </cell>
          <cell r="V1975" t="str">
            <v>Al Ain</v>
          </cell>
          <cell r="W1975" t="str">
            <v/>
          </cell>
          <cell r="X1975" t="str">
            <v>4511300</v>
          </cell>
          <cell r="Y1975" t="str">
            <v>Content &amp; Care_Culture Sites Protection_Assistant &amp; Technical Staff</v>
          </cell>
          <cell r="Z1975" t="str">
            <v>Assistant and Technical Staff</v>
          </cell>
          <cell r="AA1975" t="str">
            <v>7A</v>
          </cell>
        </row>
        <row r="1976">
          <cell r="A1976">
            <v>5000256</v>
          </cell>
          <cell r="B1976">
            <v>5000256</v>
          </cell>
          <cell r="C1976" t="str">
            <v>A</v>
          </cell>
          <cell r="D1976" t="str">
            <v>Gul Khaniaz</v>
          </cell>
          <cell r="E1976" t="str">
            <v>كل  خانياز</v>
          </cell>
          <cell r="F1976">
            <v>44726</v>
          </cell>
          <cell r="G1976" t="str">
            <v>10006196</v>
          </cell>
          <cell r="H1976" t="str">
            <v>Labourer</v>
          </cell>
          <cell r="I1976" t="str">
            <v>عامل</v>
          </cell>
          <cell r="J1976" t="str">
            <v>Off-Chart</v>
          </cell>
          <cell r="K1976" t="str">
            <v>Non-Payroll</v>
          </cell>
          <cell r="L1976" t="str">
            <v>99</v>
          </cell>
          <cell r="M1976" t="str">
            <v>Department of Culture and Tourism</v>
          </cell>
          <cell r="N1976" t="str">
            <v>Culture</v>
          </cell>
          <cell r="O1976" t="str">
            <v>الثقافة</v>
          </cell>
          <cell r="P1976" t="str">
            <v>Historic Environment</v>
          </cell>
          <cell r="Q1976" t="str">
            <v>البيئة التاريخية</v>
          </cell>
          <cell r="R1976" t="str">
            <v>Historic Buildings &amp; Landscapes</v>
          </cell>
          <cell r="S1976" t="str">
            <v>المباني والمسطحات التاريخية</v>
          </cell>
          <cell r="T1976" t="str">
            <v>Culture Sites Protection</v>
          </cell>
          <cell r="U1976" t="str">
            <v>حماية المواقع الثقافية</v>
          </cell>
          <cell r="V1976" t="str">
            <v>Abu Dhabi</v>
          </cell>
          <cell r="W1976" t="str">
            <v/>
          </cell>
          <cell r="X1976" t="str">
            <v>4511300</v>
          </cell>
          <cell r="Y1976" t="str">
            <v>Content &amp; Care_Culture Sites Protection_Assistant &amp; Technical Staff</v>
          </cell>
          <cell r="Z1976" t="str">
            <v>Assistant and Technical Staff</v>
          </cell>
          <cell r="AA1976" t="str">
            <v>7A</v>
          </cell>
        </row>
        <row r="1977">
          <cell r="A1977">
            <v>5000257</v>
          </cell>
          <cell r="B1977">
            <v>5000257</v>
          </cell>
          <cell r="C1977" t="str">
            <v>A</v>
          </cell>
          <cell r="D1977" t="str">
            <v>Anish Dhakal</v>
          </cell>
          <cell r="E1977" t="str">
            <v>أنيش  دهاكال</v>
          </cell>
          <cell r="F1977">
            <v>44727</v>
          </cell>
          <cell r="G1977" t="str">
            <v>50002054</v>
          </cell>
          <cell r="H1977" t="str">
            <v>Labourer</v>
          </cell>
          <cell r="I1977" t="str">
            <v>عامل</v>
          </cell>
          <cell r="J1977" t="str">
            <v>Off-Chart</v>
          </cell>
          <cell r="K1977" t="str">
            <v>Non-Payroll</v>
          </cell>
          <cell r="L1977" t="str">
            <v>99</v>
          </cell>
          <cell r="M1977" t="str">
            <v>Department of Culture and Tourism</v>
          </cell>
          <cell r="N1977" t="str">
            <v>Culture</v>
          </cell>
          <cell r="O1977" t="str">
            <v>الثقافة</v>
          </cell>
          <cell r="P1977" t="str">
            <v>Historic Environment</v>
          </cell>
          <cell r="Q1977" t="str">
            <v>البيئة التاريخية</v>
          </cell>
          <cell r="R1977" t="str">
            <v>Historic Buildings &amp; Landscapes</v>
          </cell>
          <cell r="S1977" t="str">
            <v>المباني والمسطحات التاريخية</v>
          </cell>
          <cell r="T1977" t="str">
            <v>Culture Sites Protection</v>
          </cell>
          <cell r="U1977" t="str">
            <v>حماية المواقع الثقافية</v>
          </cell>
          <cell r="V1977" t="str">
            <v>Al Ain</v>
          </cell>
          <cell r="W1977" t="str">
            <v/>
          </cell>
          <cell r="X1977" t="str">
            <v>4511300</v>
          </cell>
          <cell r="Y1977" t="str">
            <v>Content &amp; Care_Culture Sites Protection_Assistant &amp; Technical Staff</v>
          </cell>
          <cell r="Z1977" t="str">
            <v>Assistant and Technical Staff</v>
          </cell>
          <cell r="AA1977" t="str">
            <v>7A</v>
          </cell>
        </row>
        <row r="1978">
          <cell r="A1978">
            <v>5000258</v>
          </cell>
          <cell r="B1978">
            <v>5000258</v>
          </cell>
          <cell r="C1978" t="str">
            <v>A</v>
          </cell>
          <cell r="D1978" t="str">
            <v>Amar Rana</v>
          </cell>
          <cell r="E1978" t="str">
            <v>أمر ر  انا</v>
          </cell>
          <cell r="F1978">
            <v>44749</v>
          </cell>
          <cell r="G1978" t="str">
            <v>50002055</v>
          </cell>
          <cell r="H1978" t="str">
            <v>Labourer</v>
          </cell>
          <cell r="I1978" t="str">
            <v>عامل</v>
          </cell>
          <cell r="J1978" t="str">
            <v>Off-Chart</v>
          </cell>
          <cell r="K1978" t="str">
            <v>Non-Payroll</v>
          </cell>
          <cell r="L1978" t="str">
            <v>99</v>
          </cell>
          <cell r="M1978" t="str">
            <v>Department of Culture and Tourism</v>
          </cell>
          <cell r="N1978" t="str">
            <v>Culture</v>
          </cell>
          <cell r="O1978" t="str">
            <v>الثقافة</v>
          </cell>
          <cell r="P1978" t="str">
            <v>Historic Environment</v>
          </cell>
          <cell r="Q1978" t="str">
            <v>البيئة التاريخية</v>
          </cell>
          <cell r="R1978" t="str">
            <v>Historic Buildings &amp; Landscapes</v>
          </cell>
          <cell r="S1978" t="str">
            <v>المباني والمسطحات التاريخية</v>
          </cell>
          <cell r="T1978" t="str">
            <v>Culture Sites Protection</v>
          </cell>
          <cell r="U1978" t="str">
            <v>حماية المواقع الثقافية</v>
          </cell>
          <cell r="V1978" t="str">
            <v>Al Ain</v>
          </cell>
          <cell r="W1978" t="str">
            <v/>
          </cell>
          <cell r="X1978" t="str">
            <v>4511300</v>
          </cell>
          <cell r="Y1978" t="str">
            <v>Content &amp; Care_Culture Sites Protection_Assistant &amp; Technical Staff</v>
          </cell>
          <cell r="Z1978" t="str">
            <v>Assistant and Technical Staff</v>
          </cell>
          <cell r="AA1978" t="str">
            <v>7A</v>
          </cell>
        </row>
        <row r="1979">
          <cell r="A1979">
            <v>5000259</v>
          </cell>
          <cell r="B1979">
            <v>5000259</v>
          </cell>
          <cell r="C1979" t="str">
            <v>A</v>
          </cell>
          <cell r="D1979" t="str">
            <v>Mohamed Salem</v>
          </cell>
          <cell r="E1979" t="str">
            <v>محمد  سالم</v>
          </cell>
          <cell r="F1979">
            <v>44749</v>
          </cell>
          <cell r="G1979" t="str">
            <v>50002056</v>
          </cell>
          <cell r="H1979" t="str">
            <v>Labourer</v>
          </cell>
          <cell r="I1979" t="str">
            <v>عامل</v>
          </cell>
          <cell r="J1979" t="str">
            <v>Off-Chart</v>
          </cell>
          <cell r="K1979" t="str">
            <v>Non-Payroll</v>
          </cell>
          <cell r="L1979" t="str">
            <v>99</v>
          </cell>
          <cell r="M1979" t="str">
            <v>Department of Culture and Tourism</v>
          </cell>
          <cell r="N1979" t="str">
            <v>Culture</v>
          </cell>
          <cell r="O1979" t="str">
            <v>الثقافة</v>
          </cell>
          <cell r="P1979" t="str">
            <v>Historic Environment</v>
          </cell>
          <cell r="Q1979" t="str">
            <v>البيئة التاريخية</v>
          </cell>
          <cell r="R1979" t="str">
            <v>Historic Buildings &amp; Landscapes</v>
          </cell>
          <cell r="S1979" t="str">
            <v>المباني والمسطحات التاريخية</v>
          </cell>
          <cell r="T1979" t="str">
            <v>Culture Sites Protection</v>
          </cell>
          <cell r="U1979" t="str">
            <v>حماية المواقع الثقافية</v>
          </cell>
          <cell r="V1979" t="str">
            <v>Al Ain</v>
          </cell>
          <cell r="W1979" t="str">
            <v/>
          </cell>
          <cell r="X1979" t="str">
            <v>4511300</v>
          </cell>
          <cell r="Y1979" t="str">
            <v>Content &amp; Care_Culture Sites Protection_Assistant &amp; Technical Staff</v>
          </cell>
          <cell r="Z1979" t="str">
            <v>Assistant and Technical Staff</v>
          </cell>
          <cell r="AA1979" t="str">
            <v>7A</v>
          </cell>
        </row>
        <row r="1980">
          <cell r="A1980">
            <v>5000260</v>
          </cell>
          <cell r="B1980">
            <v>5000260</v>
          </cell>
          <cell r="C1980" t="str">
            <v>A</v>
          </cell>
          <cell r="D1980" t="str">
            <v>Shahzad Ahmed</v>
          </cell>
          <cell r="E1980" t="str">
            <v>شهزاد  أحمد</v>
          </cell>
          <cell r="F1980">
            <v>44756</v>
          </cell>
          <cell r="G1980" t="str">
            <v>50002057</v>
          </cell>
          <cell r="H1980" t="str">
            <v>Labourer</v>
          </cell>
          <cell r="I1980" t="str">
            <v>عامل</v>
          </cell>
          <cell r="J1980" t="str">
            <v>Off-Chart</v>
          </cell>
          <cell r="K1980" t="str">
            <v>Non-Payroll</v>
          </cell>
          <cell r="L1980" t="str">
            <v>99</v>
          </cell>
          <cell r="M1980" t="str">
            <v>Department of Culture and Tourism</v>
          </cell>
          <cell r="N1980" t="str">
            <v>Culture</v>
          </cell>
          <cell r="O1980" t="str">
            <v>الثقافة</v>
          </cell>
          <cell r="P1980" t="str">
            <v>Historic Environment</v>
          </cell>
          <cell r="Q1980" t="str">
            <v>البيئة التاريخية</v>
          </cell>
          <cell r="R1980" t="str">
            <v>Historic Buildings &amp; Landscapes</v>
          </cell>
          <cell r="S1980" t="str">
            <v>المباني والمسطحات التاريخية</v>
          </cell>
          <cell r="T1980" t="str">
            <v>Culture Sites Protection</v>
          </cell>
          <cell r="U1980" t="str">
            <v>حماية المواقع الثقافية</v>
          </cell>
          <cell r="V1980" t="str">
            <v>Al Ain</v>
          </cell>
          <cell r="W1980" t="str">
            <v/>
          </cell>
          <cell r="X1980" t="str">
            <v>4511300</v>
          </cell>
          <cell r="Y1980" t="str">
            <v>Content &amp; Care_Culture Sites Protection_Assistant &amp; Technical Staff</v>
          </cell>
          <cell r="Z1980" t="str">
            <v>Assistant and Technical Staff</v>
          </cell>
          <cell r="AA1980" t="str">
            <v>7A</v>
          </cell>
        </row>
        <row r="1981">
          <cell r="A1981">
            <v>5000261</v>
          </cell>
          <cell r="B1981">
            <v>5000261</v>
          </cell>
          <cell r="C1981" t="str">
            <v>A</v>
          </cell>
          <cell r="D1981" t="str">
            <v>Mahmoud Shaaban</v>
          </cell>
          <cell r="E1981" t="str">
            <v>محمود  شعبان</v>
          </cell>
          <cell r="F1981">
            <v>44760</v>
          </cell>
          <cell r="G1981" t="str">
            <v>50002058</v>
          </cell>
          <cell r="H1981" t="str">
            <v>Labourer</v>
          </cell>
          <cell r="I1981" t="str">
            <v>عامل</v>
          </cell>
          <cell r="J1981" t="str">
            <v>Off-Chart</v>
          </cell>
          <cell r="K1981" t="str">
            <v>Non-Payroll</v>
          </cell>
          <cell r="L1981" t="str">
            <v>99</v>
          </cell>
          <cell r="M1981" t="str">
            <v>Department of Culture and Tourism</v>
          </cell>
          <cell r="N1981" t="str">
            <v>Culture</v>
          </cell>
          <cell r="O1981" t="str">
            <v>الثقافة</v>
          </cell>
          <cell r="P1981" t="str">
            <v>Historic Environment</v>
          </cell>
          <cell r="Q1981" t="str">
            <v>البيئة التاريخية</v>
          </cell>
          <cell r="R1981" t="str">
            <v>Historic Buildings &amp; Landscapes</v>
          </cell>
          <cell r="S1981" t="str">
            <v>المباني والمسطحات التاريخية</v>
          </cell>
          <cell r="T1981" t="str">
            <v>Culture Sites Protection</v>
          </cell>
          <cell r="U1981" t="str">
            <v>حماية المواقع الثقافية</v>
          </cell>
          <cell r="V1981" t="str">
            <v>Al Ain</v>
          </cell>
          <cell r="W1981" t="str">
            <v/>
          </cell>
          <cell r="X1981" t="str">
            <v>4511300</v>
          </cell>
          <cell r="Y1981" t="str">
            <v>Content &amp; Care_Culture Sites Protection_Assistant &amp; Technical Staff</v>
          </cell>
          <cell r="Z1981" t="str">
            <v>Assistant and Technical Staff</v>
          </cell>
          <cell r="AA1981" t="str">
            <v>7A</v>
          </cell>
        </row>
        <row r="1982">
          <cell r="A1982">
            <v>5000262</v>
          </cell>
          <cell r="B1982">
            <v>5000262</v>
          </cell>
          <cell r="C1982" t="str">
            <v>A</v>
          </cell>
          <cell r="D1982" t="str">
            <v>Salim Mohamed</v>
          </cell>
          <cell r="E1982" t="str">
            <v>سالم  محمد</v>
          </cell>
          <cell r="F1982">
            <v>44760</v>
          </cell>
          <cell r="G1982" t="str">
            <v>50002059</v>
          </cell>
          <cell r="H1982" t="str">
            <v>Labourer</v>
          </cell>
          <cell r="I1982" t="str">
            <v>عامل</v>
          </cell>
          <cell r="J1982" t="str">
            <v>Off-Chart</v>
          </cell>
          <cell r="K1982" t="str">
            <v>Non-Payroll</v>
          </cell>
          <cell r="L1982" t="str">
            <v>99</v>
          </cell>
          <cell r="M1982" t="str">
            <v>Department of Culture and Tourism</v>
          </cell>
          <cell r="N1982" t="str">
            <v>Culture</v>
          </cell>
          <cell r="O1982" t="str">
            <v>الثقافة</v>
          </cell>
          <cell r="P1982" t="str">
            <v>Historic Environment</v>
          </cell>
          <cell r="Q1982" t="str">
            <v>البيئة التاريخية</v>
          </cell>
          <cell r="R1982" t="str">
            <v>Historic Buildings &amp; Landscapes</v>
          </cell>
          <cell r="S1982" t="str">
            <v>المباني والمسطحات التاريخية</v>
          </cell>
          <cell r="T1982" t="str">
            <v>Culture Sites Protection</v>
          </cell>
          <cell r="U1982" t="str">
            <v>حماية المواقع الثقافية</v>
          </cell>
          <cell r="V1982" t="str">
            <v>Al Ain</v>
          </cell>
          <cell r="W1982" t="str">
            <v/>
          </cell>
          <cell r="X1982" t="str">
            <v>4511300</v>
          </cell>
          <cell r="Y1982" t="str">
            <v>Content &amp; Care_Culture Sites Protection_Assistant &amp; Technical Staff</v>
          </cell>
          <cell r="Z1982" t="str">
            <v>Assistant and Technical Staff</v>
          </cell>
          <cell r="AA1982" t="str">
            <v>7A</v>
          </cell>
        </row>
        <row r="1983">
          <cell r="A1983">
            <v>5000263</v>
          </cell>
          <cell r="B1983">
            <v>5000263</v>
          </cell>
          <cell r="C1983" t="str">
            <v>A</v>
          </cell>
          <cell r="D1983" t="str">
            <v>Niaz Rasoola Muhammad</v>
          </cell>
          <cell r="E1983" t="str">
            <v>نياز رسولا محمد</v>
          </cell>
          <cell r="F1983">
            <v>45170</v>
          </cell>
          <cell r="G1983" t="str">
            <v>50002928</v>
          </cell>
          <cell r="H1983" t="str">
            <v>Driver</v>
          </cell>
          <cell r="I1983" t="str">
            <v>سائق</v>
          </cell>
          <cell r="J1983" t="str">
            <v>Off-Chart</v>
          </cell>
          <cell r="K1983" t="str">
            <v>Non-Payroll</v>
          </cell>
          <cell r="L1983" t="str">
            <v>99</v>
          </cell>
          <cell r="M1983" t="str">
            <v>Department of Culture and Tourism</v>
          </cell>
          <cell r="N1983" t="str">
            <v>Culture</v>
          </cell>
          <cell r="O1983" t="str">
            <v>الثقافة</v>
          </cell>
          <cell r="P1983" t="str">
            <v>Historic Environment</v>
          </cell>
          <cell r="Q1983" t="str">
            <v>البيئة التاريخية</v>
          </cell>
          <cell r="R1983" t="str">
            <v>Historic Buildings &amp; Landscapes</v>
          </cell>
          <cell r="S1983" t="str">
            <v>المباني والمسطحات التاريخية</v>
          </cell>
          <cell r="T1983" t="str">
            <v>Culture Sites Protection</v>
          </cell>
          <cell r="U1983" t="str">
            <v>حماية المواقع الثقافية</v>
          </cell>
          <cell r="V1983" t="str">
            <v>Al Ain</v>
          </cell>
          <cell r="W1983" t="str">
            <v/>
          </cell>
          <cell r="X1983" t="str">
            <v>4511300</v>
          </cell>
          <cell r="Y1983" t="str">
            <v>Content &amp; Care_Culture Sites Protection_Assistant &amp; Technical Staff</v>
          </cell>
          <cell r="Z1983" t="str">
            <v>Assistant and Technical Staff</v>
          </cell>
          <cell r="AA1983" t="str">
            <v>7C</v>
          </cell>
        </row>
        <row r="1984">
          <cell r="A1984"/>
          <cell r="B1984"/>
          <cell r="C1984"/>
          <cell r="D1984"/>
          <cell r="E1984"/>
          <cell r="F1984"/>
          <cell r="G1984"/>
          <cell r="H1984"/>
        </row>
        <row r="1985">
          <cell r="A1985"/>
          <cell r="B1985"/>
          <cell r="C1985"/>
          <cell r="D1985"/>
          <cell r="E1985"/>
          <cell r="F1985"/>
          <cell r="G1985"/>
          <cell r="H1985"/>
        </row>
        <row r="1986">
          <cell r="A1986"/>
          <cell r="B1986"/>
          <cell r="C1986"/>
          <cell r="D1986"/>
          <cell r="E1986"/>
          <cell r="F1986"/>
          <cell r="G1986"/>
          <cell r="H1986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235C-E30B-4A24-9623-4BE0FDDF3CBB}">
  <sheetPr codeName="Sheet10" filterMode="1">
    <pageSetUpPr fitToPage="1"/>
  </sheetPr>
  <dimension ref="A1:XFB437"/>
  <sheetViews>
    <sheetView tabSelected="1" zoomScaleNormal="100" zoomScaleSheetLayoutView="85" workbookViewId="0">
      <pane xSplit="4" ySplit="1" topLeftCell="P138" activePane="bottomRight" state="frozen"/>
      <selection pane="topRight" activeCell="D1" sqref="D1"/>
      <selection pane="bottomLeft" activeCell="A2" sqref="A2"/>
      <selection pane="bottomRight" activeCell="S138" sqref="S138"/>
    </sheetView>
  </sheetViews>
  <sheetFormatPr defaultColWidth="21.42578125" defaultRowHeight="21.75" customHeight="1" x14ac:dyDescent="0.25"/>
  <cols>
    <col min="1" max="1" width="10.28515625" style="46" bestFit="1" customWidth="1"/>
    <col min="2" max="2" width="22.85546875" style="47" customWidth="1"/>
    <col min="3" max="3" width="19.5703125" style="42" bestFit="1" customWidth="1"/>
    <col min="4" max="4" width="42.85546875" style="43" customWidth="1"/>
    <col min="5" max="5" width="63.85546875" style="43" customWidth="1"/>
    <col min="6" max="6" width="18.5703125" style="43" customWidth="1"/>
    <col min="7" max="7" width="17" style="44" customWidth="1"/>
    <col min="8" max="8" width="34.140625" style="5" customWidth="1"/>
    <col min="9" max="9" width="46.5703125" style="43" customWidth="1"/>
    <col min="10" max="10" width="19.28515625" style="5" customWidth="1"/>
    <col min="11" max="11" width="20.85546875" style="5" customWidth="1"/>
    <col min="12" max="12" width="20.42578125" style="47" customWidth="1"/>
    <col min="13" max="13" width="28.85546875" style="47" bestFit="1" customWidth="1"/>
    <col min="14" max="15" width="23.140625" style="47" customWidth="1"/>
    <col min="16" max="16" width="17.85546875" style="47" customWidth="1"/>
    <col min="17" max="17" width="24.28515625" style="48" customWidth="1"/>
    <col min="18" max="18" width="28.7109375" style="48" customWidth="1"/>
    <col min="19" max="19" width="24.5703125" style="48" customWidth="1"/>
    <col min="20" max="20" width="20.28515625" style="48" customWidth="1"/>
    <col min="21" max="21" width="28.85546875" style="48" customWidth="1"/>
    <col min="22" max="22" width="20.42578125" style="48" customWidth="1"/>
    <col min="23" max="23" width="59.85546875" style="98" customWidth="1"/>
    <col min="24" max="24" width="11.140625" style="30" bestFit="1" customWidth="1"/>
    <col min="25" max="25" width="16.28515625" style="30" bestFit="1" customWidth="1"/>
    <col min="26" max="26" width="13.85546875" style="30" bestFit="1" customWidth="1"/>
    <col min="27" max="27" width="99.85546875" style="5" bestFit="1" customWidth="1"/>
    <col min="28" max="28" width="134.5703125" style="5" bestFit="1" customWidth="1"/>
    <col min="29" max="29" width="21.42578125" style="5"/>
    <col min="30" max="30" width="21.42578125" style="111"/>
    <col min="31" max="16384" width="21.42578125" style="5"/>
  </cols>
  <sheetData>
    <row r="1" spans="1:31 16378:16382" ht="21.75" customHeight="1" x14ac:dyDescent="0.25">
      <c r="A1" s="76" t="s">
        <v>0</v>
      </c>
      <c r="B1" s="77" t="s">
        <v>1</v>
      </c>
      <c r="C1" s="84" t="s">
        <v>2</v>
      </c>
      <c r="D1" s="85" t="s">
        <v>3</v>
      </c>
      <c r="E1" s="78" t="s">
        <v>19</v>
      </c>
      <c r="F1" s="78" t="s">
        <v>20</v>
      </c>
      <c r="G1" s="79" t="s">
        <v>4</v>
      </c>
      <c r="H1" s="86" t="s">
        <v>5</v>
      </c>
      <c r="I1" s="77" t="s">
        <v>6</v>
      </c>
      <c r="J1" s="77" t="s">
        <v>21</v>
      </c>
      <c r="K1" s="77" t="s">
        <v>22</v>
      </c>
      <c r="L1" s="80" t="s">
        <v>7</v>
      </c>
      <c r="M1" s="80" t="s">
        <v>8</v>
      </c>
      <c r="N1" s="80" t="s">
        <v>9</v>
      </c>
      <c r="O1" s="80" t="s">
        <v>1102</v>
      </c>
      <c r="P1" s="80" t="s">
        <v>23</v>
      </c>
      <c r="Q1" s="80" t="s">
        <v>24</v>
      </c>
      <c r="R1" s="80" t="s">
        <v>25</v>
      </c>
      <c r="S1" s="80" t="s">
        <v>26</v>
      </c>
      <c r="T1" s="80" t="s">
        <v>10</v>
      </c>
      <c r="U1" s="3" t="s">
        <v>11</v>
      </c>
      <c r="V1" s="3" t="s">
        <v>27</v>
      </c>
      <c r="W1" s="4" t="s">
        <v>12</v>
      </c>
      <c r="X1" s="76" t="s">
        <v>13</v>
      </c>
      <c r="Y1" s="76" t="s">
        <v>14</v>
      </c>
      <c r="Z1" s="76" t="s">
        <v>28</v>
      </c>
      <c r="AC1" s="101" t="s">
        <v>1238</v>
      </c>
      <c r="AD1" s="109" t="s">
        <v>1239</v>
      </c>
      <c r="AE1" s="101" t="s">
        <v>1240</v>
      </c>
    </row>
    <row r="2" spans="1:31 16378:16382" s="14" customFormat="1" ht="21.75" hidden="1" customHeight="1" x14ac:dyDescent="0.25">
      <c r="A2" s="6">
        <f>SUBTOTAL(3,$D$1:D2)-1</f>
        <v>0</v>
      </c>
      <c r="B2" s="7">
        <v>2000158</v>
      </c>
      <c r="C2" s="8" t="s">
        <v>29</v>
      </c>
      <c r="D2" s="9" t="s">
        <v>30</v>
      </c>
      <c r="E2" s="9" t="s">
        <v>31</v>
      </c>
      <c r="F2" s="9" t="s">
        <v>32</v>
      </c>
      <c r="G2" s="10">
        <v>41883</v>
      </c>
      <c r="H2" s="11" t="s">
        <v>33</v>
      </c>
      <c r="I2" s="11" t="s">
        <v>34</v>
      </c>
      <c r="J2" s="11">
        <f>VLOOKUP(C2,'[1]Sheet1 (5)'!$B$1:$W$121,21,0)</f>
        <v>8400</v>
      </c>
      <c r="K2" s="11">
        <f>VLOOKUP(C2,'[1]Sheet1 (5)'!$B$1:$W$121,22,0)</f>
        <v>12600</v>
      </c>
      <c r="L2" s="12">
        <f t="shared" ref="L2:L65" si="0">J2+K2</f>
        <v>21000</v>
      </c>
      <c r="M2" s="12">
        <f t="shared" ref="M2:M42" si="1">L2</f>
        <v>21000</v>
      </c>
      <c r="N2" s="12">
        <v>795</v>
      </c>
      <c r="O2" s="12">
        <v>2000</v>
      </c>
      <c r="P2" s="12">
        <v>0</v>
      </c>
      <c r="Q2" s="12">
        <v>0</v>
      </c>
      <c r="R2" s="12">
        <v>0</v>
      </c>
      <c r="S2" s="12">
        <v>0</v>
      </c>
      <c r="T2" s="12">
        <f>SUM(O2:R2)</f>
        <v>2000</v>
      </c>
      <c r="U2" s="12">
        <f t="shared" ref="U2:U33" si="2">+M2+N2+T2</f>
        <v>23795</v>
      </c>
      <c r="V2" s="12">
        <f>SUM(M2,P2,R2,O2)-S2</f>
        <v>23000</v>
      </c>
      <c r="W2" s="13" t="s">
        <v>1180</v>
      </c>
      <c r="X2" s="6" t="s">
        <v>35</v>
      </c>
      <c r="Y2" s="6" t="s">
        <v>868</v>
      </c>
      <c r="Z2" s="6" t="s">
        <v>36</v>
      </c>
      <c r="AA2" s="50"/>
      <c r="AC2" s="100">
        <v>23795</v>
      </c>
      <c r="AD2" s="14">
        <v>23795</v>
      </c>
      <c r="AE2" s="100">
        <v>0</v>
      </c>
    </row>
    <row r="3" spans="1:31 16378:16382" s="14" customFormat="1" ht="21.75" hidden="1" customHeight="1" x14ac:dyDescent="0.25">
      <c r="A3" s="6">
        <f>SUBTOTAL(3,$D$1:D3)-1</f>
        <v>0</v>
      </c>
      <c r="B3" s="7">
        <v>2000132</v>
      </c>
      <c r="C3" s="15" t="s">
        <v>37</v>
      </c>
      <c r="D3" s="9" t="s">
        <v>38</v>
      </c>
      <c r="E3" s="9" t="s">
        <v>39</v>
      </c>
      <c r="F3" s="9" t="s">
        <v>32</v>
      </c>
      <c r="G3" s="10">
        <v>42852</v>
      </c>
      <c r="H3" s="11" t="s">
        <v>40</v>
      </c>
      <c r="I3" s="11" t="s">
        <v>847</v>
      </c>
      <c r="J3" s="11">
        <f>VLOOKUP(C3,'[1]Sheet1 (5)'!$B$1:$W$121,21,0)</f>
        <v>11350</v>
      </c>
      <c r="K3" s="11">
        <f>VLOOKUP(C3,'[1]Sheet1 (5)'!$B$1:$W$121,22,0)</f>
        <v>17025</v>
      </c>
      <c r="L3" s="12">
        <f t="shared" si="0"/>
        <v>28375</v>
      </c>
      <c r="M3" s="12">
        <f t="shared" si="1"/>
        <v>28375</v>
      </c>
      <c r="N3" s="12">
        <v>795</v>
      </c>
      <c r="O3" s="12">
        <v>5375</v>
      </c>
      <c r="P3" s="12">
        <v>0</v>
      </c>
      <c r="Q3" s="12">
        <v>0</v>
      </c>
      <c r="R3" s="12">
        <v>0</v>
      </c>
      <c r="S3" s="12">
        <v>0</v>
      </c>
      <c r="T3" s="12">
        <f t="shared" ref="T3:T66" si="3">SUM(O3:R3)</f>
        <v>5375</v>
      </c>
      <c r="U3" s="12">
        <f t="shared" si="2"/>
        <v>34545</v>
      </c>
      <c r="V3" s="12">
        <f t="shared" ref="V3:V66" si="4">SUM(M3,P3,R3,O3)-S3</f>
        <v>33750</v>
      </c>
      <c r="W3" s="13" t="s">
        <v>1180</v>
      </c>
      <c r="X3" s="6" t="s">
        <v>41</v>
      </c>
      <c r="Y3" s="6" t="s">
        <v>869</v>
      </c>
      <c r="Z3" s="6" t="s">
        <v>36</v>
      </c>
      <c r="AA3" s="50"/>
      <c r="AC3" s="100">
        <v>34545</v>
      </c>
      <c r="AD3" s="14">
        <v>34545</v>
      </c>
      <c r="AE3" s="100">
        <v>0</v>
      </c>
    </row>
    <row r="4" spans="1:31 16378:16382" s="14" customFormat="1" ht="21.75" hidden="1" customHeight="1" x14ac:dyDescent="0.25">
      <c r="A4" s="6">
        <f>SUBTOTAL(3,$D$1:D4)-1</f>
        <v>0</v>
      </c>
      <c r="B4" s="7">
        <v>2000146</v>
      </c>
      <c r="C4" s="16" t="s">
        <v>42</v>
      </c>
      <c r="D4" s="17" t="s">
        <v>43</v>
      </c>
      <c r="E4" s="9" t="s">
        <v>680</v>
      </c>
      <c r="F4" s="9" t="s">
        <v>44</v>
      </c>
      <c r="G4" s="10">
        <v>42900</v>
      </c>
      <c r="H4" s="11" t="s">
        <v>45</v>
      </c>
      <c r="I4" s="11" t="s">
        <v>848</v>
      </c>
      <c r="J4" s="11">
        <f>VLOOKUP(C4,'[1]Sheet1 (5)'!$B$1:$W$121,21,0)</f>
        <v>11350</v>
      </c>
      <c r="K4" s="11">
        <f>VLOOKUP(C4,'[1]Sheet1 (5)'!$B$1:$W$121,22,0)</f>
        <v>17025</v>
      </c>
      <c r="L4" s="12">
        <f t="shared" si="0"/>
        <v>28375</v>
      </c>
      <c r="M4" s="12">
        <f t="shared" si="1"/>
        <v>28375</v>
      </c>
      <c r="N4" s="12">
        <v>795</v>
      </c>
      <c r="O4" s="12">
        <v>2233.3333333333335</v>
      </c>
      <c r="P4" s="12">
        <v>0</v>
      </c>
      <c r="Q4" s="12">
        <v>0</v>
      </c>
      <c r="R4" s="12">
        <v>0</v>
      </c>
      <c r="S4" s="12">
        <v>0</v>
      </c>
      <c r="T4" s="12">
        <f t="shared" si="3"/>
        <v>2233.3333333333335</v>
      </c>
      <c r="U4" s="18">
        <f t="shared" si="2"/>
        <v>31403.333333333332</v>
      </c>
      <c r="V4" s="12">
        <f t="shared" si="4"/>
        <v>30608.333333333332</v>
      </c>
      <c r="W4" s="96" t="s">
        <v>1183</v>
      </c>
      <c r="X4" s="6" t="s">
        <v>35</v>
      </c>
      <c r="Y4" s="6" t="s">
        <v>870</v>
      </c>
      <c r="Z4" s="6" t="s">
        <v>36</v>
      </c>
      <c r="AA4" s="50"/>
      <c r="AC4" s="100">
        <v>31403.333333333332</v>
      </c>
      <c r="AD4" s="14">
        <v>31403.333333333332</v>
      </c>
      <c r="AE4" s="100">
        <v>0</v>
      </c>
    </row>
    <row r="5" spans="1:31 16378:16382" s="14" customFormat="1" ht="21.75" hidden="1" customHeight="1" x14ac:dyDescent="0.25">
      <c r="A5" s="6">
        <f>SUBTOTAL(3,$D$1:D5)-1</f>
        <v>0</v>
      </c>
      <c r="B5" s="7">
        <v>2000147</v>
      </c>
      <c r="C5" s="15" t="s">
        <v>46</v>
      </c>
      <c r="D5" s="9" t="s">
        <v>47</v>
      </c>
      <c r="E5" s="9" t="s">
        <v>681</v>
      </c>
      <c r="F5" s="9" t="s">
        <v>48</v>
      </c>
      <c r="G5" s="10">
        <v>42887</v>
      </c>
      <c r="H5" s="11" t="s">
        <v>49</v>
      </c>
      <c r="I5" s="11" t="s">
        <v>849</v>
      </c>
      <c r="J5" s="11">
        <f>VLOOKUP(C5,'[1]Sheet1 (5)'!$B$1:$W$121,21,0)</f>
        <v>12474</v>
      </c>
      <c r="K5" s="11">
        <f>VLOOKUP(C5,'[1]Sheet1 (5)'!$B$1:$W$121,22,0)</f>
        <v>18711</v>
      </c>
      <c r="L5" s="12">
        <f t="shared" si="0"/>
        <v>31185</v>
      </c>
      <c r="M5" s="12">
        <f t="shared" si="1"/>
        <v>31185</v>
      </c>
      <c r="N5" s="12">
        <v>795</v>
      </c>
      <c r="O5" s="12">
        <v>756</v>
      </c>
      <c r="P5" s="12">
        <v>0</v>
      </c>
      <c r="Q5" s="12">
        <v>0</v>
      </c>
      <c r="R5" s="12">
        <v>0</v>
      </c>
      <c r="S5" s="12">
        <v>0</v>
      </c>
      <c r="T5" s="12">
        <f t="shared" si="3"/>
        <v>756</v>
      </c>
      <c r="U5" s="12">
        <f t="shared" si="2"/>
        <v>32736</v>
      </c>
      <c r="V5" s="12">
        <f t="shared" si="4"/>
        <v>31941</v>
      </c>
      <c r="W5" s="96" t="s">
        <v>1183</v>
      </c>
      <c r="X5" s="6" t="s">
        <v>35</v>
      </c>
      <c r="Y5" s="6" t="s">
        <v>871</v>
      </c>
      <c r="Z5" s="6" t="s">
        <v>36</v>
      </c>
      <c r="AA5" s="50"/>
      <c r="AC5" s="100">
        <v>32736</v>
      </c>
      <c r="AD5" s="14">
        <v>32736</v>
      </c>
      <c r="AE5" s="100">
        <v>0</v>
      </c>
    </row>
    <row r="6" spans="1:31 16378:16382" s="14" customFormat="1" ht="21.75" hidden="1" customHeight="1" x14ac:dyDescent="0.25">
      <c r="A6" s="6">
        <f>SUBTOTAL(3,$D$1:D6)-1</f>
        <v>0</v>
      </c>
      <c r="B6" s="19">
        <v>2000186</v>
      </c>
      <c r="C6" s="16" t="s">
        <v>50</v>
      </c>
      <c r="D6" s="17" t="s">
        <v>51</v>
      </c>
      <c r="E6" s="9" t="s">
        <v>1002</v>
      </c>
      <c r="F6" s="17" t="s">
        <v>52</v>
      </c>
      <c r="G6" s="20">
        <v>43107</v>
      </c>
      <c r="H6" s="11" t="s">
        <v>33</v>
      </c>
      <c r="I6" s="11" t="s">
        <v>53</v>
      </c>
      <c r="J6" s="21">
        <v>19184</v>
      </c>
      <c r="K6" s="21">
        <v>28776</v>
      </c>
      <c r="L6" s="12">
        <f t="shared" si="0"/>
        <v>47960</v>
      </c>
      <c r="M6" s="18">
        <f t="shared" si="1"/>
        <v>47960</v>
      </c>
      <c r="N6" s="18">
        <v>795</v>
      </c>
      <c r="O6" s="12">
        <v>0</v>
      </c>
      <c r="P6" s="18">
        <v>0</v>
      </c>
      <c r="Q6" s="18">
        <v>0</v>
      </c>
      <c r="R6" s="18">
        <v>0</v>
      </c>
      <c r="S6" s="18">
        <v>0</v>
      </c>
      <c r="T6" s="12">
        <f t="shared" si="3"/>
        <v>0</v>
      </c>
      <c r="U6" s="18">
        <f t="shared" si="2"/>
        <v>48755</v>
      </c>
      <c r="V6" s="12">
        <f t="shared" si="4"/>
        <v>47960</v>
      </c>
      <c r="W6" s="96"/>
      <c r="X6" s="6" t="s">
        <v>41</v>
      </c>
      <c r="Y6" s="6" t="s">
        <v>872</v>
      </c>
      <c r="Z6" s="22" t="s">
        <v>36</v>
      </c>
      <c r="AA6" s="50"/>
      <c r="AC6" s="100">
        <v>48755</v>
      </c>
      <c r="AD6" s="14">
        <v>48755</v>
      </c>
      <c r="AE6" s="100">
        <v>0</v>
      </c>
    </row>
    <row r="7" spans="1:31 16378:16382" s="14" customFormat="1" ht="21.75" hidden="1" customHeight="1" x14ac:dyDescent="0.25">
      <c r="A7" s="6">
        <f>SUBTOTAL(3,$D$1:D7)-1</f>
        <v>0</v>
      </c>
      <c r="B7" s="7">
        <v>2000215</v>
      </c>
      <c r="C7" s="16" t="s">
        <v>54</v>
      </c>
      <c r="D7" s="17" t="s">
        <v>55</v>
      </c>
      <c r="E7" s="9" t="s">
        <v>1003</v>
      </c>
      <c r="F7" s="9" t="s">
        <v>48</v>
      </c>
      <c r="G7" s="10">
        <v>43165</v>
      </c>
      <c r="H7" s="11" t="s">
        <v>45</v>
      </c>
      <c r="I7" s="11" t="s">
        <v>850</v>
      </c>
      <c r="J7" s="11">
        <f>VLOOKUP(C7,'[1]Sheet1 (5)'!$B$1:$W$121,21,0)</f>
        <v>14700</v>
      </c>
      <c r="K7" s="11">
        <f>VLOOKUP(C7,'[1]Sheet1 (5)'!$B$1:$W$121,22,0)</f>
        <v>22050</v>
      </c>
      <c r="L7" s="12">
        <f t="shared" si="0"/>
        <v>36750</v>
      </c>
      <c r="M7" s="12">
        <f t="shared" si="1"/>
        <v>36750</v>
      </c>
      <c r="N7" s="12">
        <v>795</v>
      </c>
      <c r="O7" s="12">
        <v>3500</v>
      </c>
      <c r="P7" s="12">
        <v>0</v>
      </c>
      <c r="Q7" s="12">
        <v>0</v>
      </c>
      <c r="R7" s="12">
        <v>0</v>
      </c>
      <c r="S7" s="12">
        <v>0</v>
      </c>
      <c r="T7" s="12">
        <f t="shared" si="3"/>
        <v>3500</v>
      </c>
      <c r="U7" s="18">
        <f t="shared" si="2"/>
        <v>41045</v>
      </c>
      <c r="V7" s="12">
        <f t="shared" si="4"/>
        <v>40250</v>
      </c>
      <c r="W7" s="13" t="s">
        <v>1180</v>
      </c>
      <c r="X7" s="6" t="s">
        <v>88</v>
      </c>
      <c r="Y7" s="6" t="s">
        <v>873</v>
      </c>
      <c r="Z7" s="6" t="s">
        <v>36</v>
      </c>
      <c r="AA7" s="50"/>
      <c r="AC7" s="100">
        <v>41045</v>
      </c>
      <c r="AD7" s="14">
        <v>41045</v>
      </c>
      <c r="AE7" s="100">
        <v>0</v>
      </c>
    </row>
    <row r="8" spans="1:31 16378:16382" s="14" customFormat="1" ht="21.75" hidden="1" customHeight="1" x14ac:dyDescent="0.25">
      <c r="A8" s="6">
        <f>SUBTOTAL(3,$D$1:D8)-1</f>
        <v>0</v>
      </c>
      <c r="B8" s="7">
        <v>2000220</v>
      </c>
      <c r="C8" s="15" t="s">
        <v>57</v>
      </c>
      <c r="D8" s="9" t="s">
        <v>58</v>
      </c>
      <c r="E8" s="9" t="s">
        <v>682</v>
      </c>
      <c r="F8" s="9" t="s">
        <v>48</v>
      </c>
      <c r="G8" s="10">
        <v>43178</v>
      </c>
      <c r="H8" s="11" t="s">
        <v>33</v>
      </c>
      <c r="I8" s="11" t="s">
        <v>34</v>
      </c>
      <c r="J8" s="11">
        <f>VLOOKUP(C8,'[1]Sheet1 (5)'!$B$1:$W$121,21,0)</f>
        <v>11350</v>
      </c>
      <c r="K8" s="11">
        <f>VLOOKUP(C8,'[1]Sheet1 (5)'!$B$1:$W$121,22,0)</f>
        <v>17025</v>
      </c>
      <c r="L8" s="12">
        <f t="shared" si="0"/>
        <v>28375</v>
      </c>
      <c r="M8" s="12">
        <f t="shared" si="1"/>
        <v>28375</v>
      </c>
      <c r="N8" s="12">
        <v>795</v>
      </c>
      <c r="O8" s="12">
        <v>2233.3333333333335</v>
      </c>
      <c r="P8" s="12">
        <v>0</v>
      </c>
      <c r="Q8" s="12">
        <v>0</v>
      </c>
      <c r="R8" s="12">
        <v>0</v>
      </c>
      <c r="S8" s="12">
        <v>0</v>
      </c>
      <c r="T8" s="12">
        <f t="shared" si="3"/>
        <v>2233.3333333333335</v>
      </c>
      <c r="U8" s="12">
        <f t="shared" si="2"/>
        <v>31403.333333333332</v>
      </c>
      <c r="V8" s="12">
        <f t="shared" si="4"/>
        <v>30608.333333333332</v>
      </c>
      <c r="W8" s="96" t="s">
        <v>1183</v>
      </c>
      <c r="X8" s="6" t="s">
        <v>35</v>
      </c>
      <c r="Y8" s="6" t="s">
        <v>868</v>
      </c>
      <c r="Z8" s="6" t="s">
        <v>36</v>
      </c>
      <c r="AA8" s="50"/>
      <c r="AC8" s="100">
        <v>31403.333333333332</v>
      </c>
      <c r="AD8" s="14">
        <v>31403.333333333332</v>
      </c>
      <c r="AE8" s="100">
        <v>0</v>
      </c>
    </row>
    <row r="9" spans="1:31 16378:16382" s="14" customFormat="1" ht="21.75" hidden="1" customHeight="1" x14ac:dyDescent="0.25">
      <c r="A9" s="6">
        <f>SUBTOTAL(3,$D$1:D9)-1</f>
        <v>0</v>
      </c>
      <c r="B9" s="7">
        <v>2000225</v>
      </c>
      <c r="C9" s="15" t="s">
        <v>59</v>
      </c>
      <c r="D9" s="9" t="s">
        <v>60</v>
      </c>
      <c r="E9" s="9" t="s">
        <v>683</v>
      </c>
      <c r="F9" s="9" t="s">
        <v>61</v>
      </c>
      <c r="G9" s="10">
        <v>43192</v>
      </c>
      <c r="H9" s="11" t="s">
        <v>49</v>
      </c>
      <c r="I9" s="11" t="s">
        <v>62</v>
      </c>
      <c r="J9" s="11">
        <f>VLOOKUP(C9,'[1]Sheet1 (5)'!$B$1:$W$121,21,0)</f>
        <v>17994</v>
      </c>
      <c r="K9" s="11">
        <f>VLOOKUP(C9,'[1]Sheet1 (5)'!$B$1:$W$121,22,0)</f>
        <v>26991</v>
      </c>
      <c r="L9" s="12">
        <f t="shared" si="0"/>
        <v>44985</v>
      </c>
      <c r="M9" s="12">
        <f t="shared" si="1"/>
        <v>44985</v>
      </c>
      <c r="N9" s="12">
        <v>795</v>
      </c>
      <c r="O9" s="12">
        <v>4284.5</v>
      </c>
      <c r="P9" s="12">
        <v>0</v>
      </c>
      <c r="Q9" s="12">
        <v>0</v>
      </c>
      <c r="R9" s="12">
        <v>0</v>
      </c>
      <c r="S9" s="12">
        <v>0</v>
      </c>
      <c r="T9" s="12">
        <f t="shared" si="3"/>
        <v>4284.5</v>
      </c>
      <c r="U9" s="12">
        <f t="shared" si="2"/>
        <v>50064.5</v>
      </c>
      <c r="V9" s="12">
        <f t="shared" si="4"/>
        <v>49269.5</v>
      </c>
      <c r="W9" s="13" t="s">
        <v>1180</v>
      </c>
      <c r="X9" s="6" t="s">
        <v>35</v>
      </c>
      <c r="Y9" s="6" t="s">
        <v>874</v>
      </c>
      <c r="Z9" s="6" t="s">
        <v>36</v>
      </c>
      <c r="AA9" s="50"/>
      <c r="AC9" s="100">
        <v>50064.5</v>
      </c>
      <c r="AD9" s="14">
        <v>50064.5</v>
      </c>
      <c r="AE9" s="100">
        <v>0</v>
      </c>
    </row>
    <row r="10" spans="1:31 16378:16382" s="14" customFormat="1" ht="21.75" hidden="1" customHeight="1" x14ac:dyDescent="0.25">
      <c r="A10" s="22">
        <f>SUBTOTAL(3,$D$1:D10)-1</f>
        <v>0</v>
      </c>
      <c r="B10" s="19">
        <v>2000229</v>
      </c>
      <c r="C10" s="16" t="s">
        <v>63</v>
      </c>
      <c r="D10" s="17" t="s">
        <v>64</v>
      </c>
      <c r="E10" s="17" t="s">
        <v>65</v>
      </c>
      <c r="F10" s="21" t="s">
        <v>48</v>
      </c>
      <c r="G10" s="20">
        <v>43208</v>
      </c>
      <c r="H10" s="21" t="s">
        <v>33</v>
      </c>
      <c r="I10" s="21" t="s">
        <v>53</v>
      </c>
      <c r="J10" s="21">
        <f>VLOOKUP(C10,'[1]Sheet1 (5)'!$B$1:$W$121,21,0)</f>
        <v>14000</v>
      </c>
      <c r="K10" s="21">
        <f>VLOOKUP(C10,'[1]Sheet1 (5)'!$B$1:$W$121,22,0)</f>
        <v>21000</v>
      </c>
      <c r="L10" s="18">
        <f t="shared" si="0"/>
        <v>35000</v>
      </c>
      <c r="M10" s="18">
        <f t="shared" si="1"/>
        <v>35000</v>
      </c>
      <c r="N10" s="18">
        <v>795</v>
      </c>
      <c r="O10" s="18">
        <v>9676</v>
      </c>
      <c r="P10" s="18">
        <f>2312.5*-2</f>
        <v>-4625</v>
      </c>
      <c r="Q10" s="18">
        <v>0</v>
      </c>
      <c r="R10" s="18">
        <v>0</v>
      </c>
      <c r="S10" s="18">
        <v>0</v>
      </c>
      <c r="T10" s="18">
        <f t="shared" si="3"/>
        <v>5051</v>
      </c>
      <c r="U10" s="18">
        <f t="shared" si="2"/>
        <v>40846</v>
      </c>
      <c r="V10" s="12">
        <f t="shared" si="4"/>
        <v>40051</v>
      </c>
      <c r="W10" s="96" t="s">
        <v>1181</v>
      </c>
      <c r="X10" s="22" t="s">
        <v>88</v>
      </c>
      <c r="Y10" s="22" t="s">
        <v>872</v>
      </c>
      <c r="Z10" s="30" t="s">
        <v>36</v>
      </c>
      <c r="AA10" s="50"/>
      <c r="AC10" s="100">
        <v>40846</v>
      </c>
      <c r="AD10" s="14">
        <v>40846</v>
      </c>
      <c r="AE10" s="100">
        <v>0</v>
      </c>
      <c r="XEX10" s="22"/>
      <c r="XEY10" s="19"/>
      <c r="XEZ10" s="16"/>
      <c r="XFA10" s="17"/>
      <c r="XFB10" s="21"/>
    </row>
    <row r="11" spans="1:31 16378:16382" s="14" customFormat="1" ht="21.75" hidden="1" customHeight="1" x14ac:dyDescent="0.25">
      <c r="A11" s="6">
        <f>SUBTOTAL(3,$D$1:D11)-1</f>
        <v>0</v>
      </c>
      <c r="B11" s="7">
        <v>2000223</v>
      </c>
      <c r="C11" s="15" t="s">
        <v>66</v>
      </c>
      <c r="D11" s="9" t="s">
        <v>67</v>
      </c>
      <c r="E11" s="9" t="s">
        <v>1004</v>
      </c>
      <c r="F11" s="9" t="s">
        <v>68</v>
      </c>
      <c r="G11" s="10">
        <v>43185</v>
      </c>
      <c r="H11" s="11" t="s">
        <v>69</v>
      </c>
      <c r="I11" s="11" t="s">
        <v>851</v>
      </c>
      <c r="J11" s="11">
        <v>11350</v>
      </c>
      <c r="K11" s="11">
        <v>17025</v>
      </c>
      <c r="L11" s="12">
        <f t="shared" si="0"/>
        <v>28375</v>
      </c>
      <c r="M11" s="12">
        <f t="shared" si="1"/>
        <v>28375</v>
      </c>
      <c r="N11" s="12">
        <v>795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f t="shared" si="3"/>
        <v>0</v>
      </c>
      <c r="U11" s="12">
        <f t="shared" si="2"/>
        <v>29170</v>
      </c>
      <c r="V11" s="12">
        <f t="shared" si="4"/>
        <v>28375</v>
      </c>
      <c r="W11" s="13"/>
      <c r="X11" s="6" t="s">
        <v>88</v>
      </c>
      <c r="Y11" s="6" t="s">
        <v>875</v>
      </c>
      <c r="Z11" s="6" t="s">
        <v>36</v>
      </c>
      <c r="AA11" s="50"/>
      <c r="AC11" s="100">
        <v>29170</v>
      </c>
      <c r="AD11" s="14">
        <v>29170</v>
      </c>
      <c r="AE11" s="100">
        <v>0</v>
      </c>
    </row>
    <row r="12" spans="1:31 16378:16382" s="14" customFormat="1" ht="21.75" hidden="1" customHeight="1" x14ac:dyDescent="0.25">
      <c r="A12" s="6">
        <f>SUBTOTAL(3,$D$1:D12)-1</f>
        <v>0</v>
      </c>
      <c r="B12" s="7">
        <v>2000306</v>
      </c>
      <c r="C12" s="16" t="s">
        <v>70</v>
      </c>
      <c r="D12" s="17" t="s">
        <v>71</v>
      </c>
      <c r="E12" s="9" t="s">
        <v>1005</v>
      </c>
      <c r="F12" s="9" t="s">
        <v>72</v>
      </c>
      <c r="G12" s="10">
        <v>43394</v>
      </c>
      <c r="H12" s="11" t="s">
        <v>45</v>
      </c>
      <c r="I12" s="11" t="s">
        <v>848</v>
      </c>
      <c r="J12" s="11">
        <f>VLOOKUP(C12,'[1]Sheet1 (5)'!$B$1:$W$121,21,0)</f>
        <v>11917.5</v>
      </c>
      <c r="K12" s="11">
        <f>VLOOKUP(C12,'[1]Sheet1 (5)'!$B$1:$W$121,22,0)</f>
        <v>17876.25</v>
      </c>
      <c r="L12" s="12">
        <f t="shared" si="0"/>
        <v>29793.75</v>
      </c>
      <c r="M12" s="12">
        <f t="shared" si="1"/>
        <v>29793.75</v>
      </c>
      <c r="N12" s="12">
        <v>795</v>
      </c>
      <c r="O12" s="12">
        <v>2837.5</v>
      </c>
      <c r="P12" s="12">
        <v>0</v>
      </c>
      <c r="Q12" s="12">
        <v>0</v>
      </c>
      <c r="R12" s="12">
        <v>0</v>
      </c>
      <c r="S12" s="12">
        <v>0</v>
      </c>
      <c r="T12" s="12">
        <f t="shared" si="3"/>
        <v>2837.5</v>
      </c>
      <c r="U12" s="18">
        <f t="shared" si="2"/>
        <v>33426.25</v>
      </c>
      <c r="V12" s="12">
        <f t="shared" si="4"/>
        <v>32631.25</v>
      </c>
      <c r="W12" s="13" t="s">
        <v>1180</v>
      </c>
      <c r="X12" s="6" t="s">
        <v>88</v>
      </c>
      <c r="Y12" s="6" t="s">
        <v>870</v>
      </c>
      <c r="Z12" s="6" t="s">
        <v>36</v>
      </c>
      <c r="AA12" s="50"/>
      <c r="AC12" s="100">
        <v>33426.25</v>
      </c>
      <c r="AD12" s="14">
        <v>33426.25</v>
      </c>
      <c r="AE12" s="100">
        <v>0</v>
      </c>
    </row>
    <row r="13" spans="1:31 16378:16382" s="14" customFormat="1" ht="21.75" hidden="1" customHeight="1" x14ac:dyDescent="0.25">
      <c r="A13" s="6">
        <f>SUBTOTAL(3,$D$1:D13)-1</f>
        <v>0</v>
      </c>
      <c r="B13" s="7">
        <v>2000307</v>
      </c>
      <c r="C13" s="15" t="s">
        <v>73</v>
      </c>
      <c r="D13" s="9" t="s">
        <v>74</v>
      </c>
      <c r="E13" s="9" t="s">
        <v>1006</v>
      </c>
      <c r="F13" s="9" t="s">
        <v>48</v>
      </c>
      <c r="G13" s="10">
        <v>43394</v>
      </c>
      <c r="H13" s="11" t="s">
        <v>49</v>
      </c>
      <c r="I13" s="11" t="s">
        <v>852</v>
      </c>
      <c r="J13" s="11">
        <f>VLOOKUP(C13,'[1]Sheet1 (5)'!$B$1:$W$121,21,0)</f>
        <v>11917.5</v>
      </c>
      <c r="K13" s="11">
        <f>VLOOKUP(C13,'[1]Sheet1 (5)'!$B$1:$W$121,22,0)</f>
        <v>17876.25</v>
      </c>
      <c r="L13" s="12">
        <f t="shared" si="0"/>
        <v>29793.75</v>
      </c>
      <c r="M13" s="12">
        <f t="shared" si="1"/>
        <v>29793.75</v>
      </c>
      <c r="N13" s="12">
        <v>795</v>
      </c>
      <c r="O13" s="12">
        <v>2837.5</v>
      </c>
      <c r="P13" s="12">
        <v>0</v>
      </c>
      <c r="Q13" s="12">
        <v>0</v>
      </c>
      <c r="R13" s="12">
        <v>0</v>
      </c>
      <c r="S13" s="12">
        <v>0</v>
      </c>
      <c r="T13" s="12">
        <f t="shared" si="3"/>
        <v>2837.5</v>
      </c>
      <c r="U13" s="12">
        <f t="shared" si="2"/>
        <v>33426.25</v>
      </c>
      <c r="V13" s="12">
        <f t="shared" si="4"/>
        <v>32631.25</v>
      </c>
      <c r="W13" s="13" t="s">
        <v>1180</v>
      </c>
      <c r="X13" s="6" t="s">
        <v>56</v>
      </c>
      <c r="Y13" s="6" t="s">
        <v>876</v>
      </c>
      <c r="Z13" s="6" t="s">
        <v>36</v>
      </c>
      <c r="AA13" s="50"/>
      <c r="AC13" s="100">
        <v>33426.25</v>
      </c>
      <c r="AD13" s="14">
        <v>33426.25</v>
      </c>
      <c r="AE13" s="100">
        <v>0</v>
      </c>
    </row>
    <row r="14" spans="1:31 16378:16382" s="14" customFormat="1" ht="21.75" hidden="1" customHeight="1" x14ac:dyDescent="0.25">
      <c r="A14" s="6">
        <f>SUBTOTAL(3,$D$1:D14)-1</f>
        <v>0</v>
      </c>
      <c r="B14" s="7">
        <v>2000318</v>
      </c>
      <c r="C14" s="15" t="s">
        <v>75</v>
      </c>
      <c r="D14" s="9" t="s">
        <v>76</v>
      </c>
      <c r="E14" s="9" t="s">
        <v>684</v>
      </c>
      <c r="F14" s="9" t="s">
        <v>48</v>
      </c>
      <c r="G14" s="10">
        <v>43424</v>
      </c>
      <c r="H14" s="11" t="s">
        <v>49</v>
      </c>
      <c r="I14" s="11" t="s">
        <v>62</v>
      </c>
      <c r="J14" s="11">
        <v>11726.400000000001</v>
      </c>
      <c r="K14" s="11">
        <v>17589.599999999999</v>
      </c>
      <c r="L14" s="12">
        <f t="shared" si="0"/>
        <v>29316</v>
      </c>
      <c r="M14" s="12">
        <f t="shared" si="1"/>
        <v>29316</v>
      </c>
      <c r="N14" s="12">
        <v>795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f t="shared" si="3"/>
        <v>0</v>
      </c>
      <c r="U14" s="12">
        <f t="shared" si="2"/>
        <v>30111</v>
      </c>
      <c r="V14" s="12">
        <f t="shared" si="4"/>
        <v>29316</v>
      </c>
      <c r="W14" s="13"/>
      <c r="X14" s="6" t="s">
        <v>210</v>
      </c>
      <c r="Y14" s="6" t="s">
        <v>874</v>
      </c>
      <c r="Z14" s="6" t="s">
        <v>36</v>
      </c>
      <c r="AA14" s="50"/>
      <c r="AC14" s="100">
        <v>30111</v>
      </c>
      <c r="AD14" s="14">
        <v>30111</v>
      </c>
      <c r="AE14" s="100">
        <v>0</v>
      </c>
    </row>
    <row r="15" spans="1:31 16378:16382" s="14" customFormat="1" ht="21.75" hidden="1" customHeight="1" x14ac:dyDescent="0.25">
      <c r="A15" s="6">
        <f>SUBTOTAL(3,$D$1:D15)-1</f>
        <v>0</v>
      </c>
      <c r="B15" s="7">
        <v>2000313</v>
      </c>
      <c r="C15" s="16" t="s">
        <v>79</v>
      </c>
      <c r="D15" s="17" t="s">
        <v>80</v>
      </c>
      <c r="E15" s="9" t="s">
        <v>1007</v>
      </c>
      <c r="F15" s="9" t="s">
        <v>81</v>
      </c>
      <c r="G15" s="10">
        <v>43410</v>
      </c>
      <c r="H15" s="11" t="s">
        <v>45</v>
      </c>
      <c r="I15" s="11" t="s">
        <v>848</v>
      </c>
      <c r="J15" s="11">
        <f>VLOOKUP(C15,'[1]Sheet1 (5)'!$B$1:$W$121,21,0)</f>
        <v>13109.300000000001</v>
      </c>
      <c r="K15" s="11">
        <f>VLOOKUP(C15,'[1]Sheet1 (5)'!$B$1:$W$121,22,0)</f>
        <v>19663.95</v>
      </c>
      <c r="L15" s="12">
        <f t="shared" si="0"/>
        <v>32773.25</v>
      </c>
      <c r="M15" s="12">
        <f t="shared" si="1"/>
        <v>32773.25</v>
      </c>
      <c r="N15" s="12">
        <v>795</v>
      </c>
      <c r="O15" s="12">
        <v>3121.5</v>
      </c>
      <c r="P15" s="12">
        <v>0</v>
      </c>
      <c r="Q15" s="12">
        <v>0</v>
      </c>
      <c r="R15" s="12">
        <v>0</v>
      </c>
      <c r="S15" s="12">
        <v>0</v>
      </c>
      <c r="T15" s="12">
        <f t="shared" si="3"/>
        <v>3121.5</v>
      </c>
      <c r="U15" s="18">
        <f t="shared" si="2"/>
        <v>36689.75</v>
      </c>
      <c r="V15" s="12">
        <f t="shared" si="4"/>
        <v>35894.75</v>
      </c>
      <c r="W15" s="13" t="s">
        <v>1180</v>
      </c>
      <c r="X15" s="6" t="s">
        <v>56</v>
      </c>
      <c r="Y15" s="6" t="s">
        <v>870</v>
      </c>
      <c r="Z15" s="6" t="s">
        <v>36</v>
      </c>
      <c r="AA15" s="50"/>
      <c r="AC15" s="100">
        <v>36689.75</v>
      </c>
      <c r="AD15" s="14">
        <v>36689.75</v>
      </c>
      <c r="AE15" s="100">
        <v>0</v>
      </c>
    </row>
    <row r="16" spans="1:31 16378:16382" s="14" customFormat="1" ht="21.75" hidden="1" customHeight="1" x14ac:dyDescent="0.25">
      <c r="A16" s="6">
        <f>SUBTOTAL(3,$D$1:D16)-1</f>
        <v>0</v>
      </c>
      <c r="B16" s="7">
        <v>2000321</v>
      </c>
      <c r="C16" s="15" t="s">
        <v>82</v>
      </c>
      <c r="D16" s="9" t="s">
        <v>83</v>
      </c>
      <c r="E16" s="9" t="s">
        <v>461</v>
      </c>
      <c r="F16" s="9" t="s">
        <v>84</v>
      </c>
      <c r="G16" s="10">
        <v>43450</v>
      </c>
      <c r="H16" s="11" t="s">
        <v>33</v>
      </c>
      <c r="I16" s="11" t="s">
        <v>34</v>
      </c>
      <c r="J16" s="11">
        <v>14030</v>
      </c>
      <c r="K16" s="11">
        <v>21045</v>
      </c>
      <c r="L16" s="12">
        <f t="shared" si="0"/>
        <v>35075</v>
      </c>
      <c r="M16" s="12">
        <f t="shared" si="1"/>
        <v>35075</v>
      </c>
      <c r="N16" s="12">
        <v>795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f t="shared" si="3"/>
        <v>0</v>
      </c>
      <c r="U16" s="12">
        <f t="shared" si="2"/>
        <v>35870</v>
      </c>
      <c r="V16" s="12">
        <f t="shared" si="4"/>
        <v>35075</v>
      </c>
      <c r="W16" s="13"/>
      <c r="X16" s="6" t="s">
        <v>56</v>
      </c>
      <c r="Y16" s="6" t="s">
        <v>868</v>
      </c>
      <c r="Z16" s="6" t="s">
        <v>36</v>
      </c>
      <c r="AA16" s="50"/>
      <c r="AC16" s="100">
        <v>35870</v>
      </c>
      <c r="AD16" s="14">
        <v>35870</v>
      </c>
      <c r="AE16" s="100">
        <v>0</v>
      </c>
    </row>
    <row r="17" spans="1:31" s="14" customFormat="1" ht="21.75" hidden="1" customHeight="1" x14ac:dyDescent="0.25">
      <c r="A17" s="6">
        <f>SUBTOTAL(3,$D$1:D17)-1</f>
        <v>0</v>
      </c>
      <c r="B17" s="23">
        <v>2000180</v>
      </c>
      <c r="C17" s="24" t="s">
        <v>85</v>
      </c>
      <c r="D17" s="25" t="s">
        <v>86</v>
      </c>
      <c r="E17" s="9" t="s">
        <v>685</v>
      </c>
      <c r="F17" s="26" t="s">
        <v>52</v>
      </c>
      <c r="G17" s="27">
        <v>42856</v>
      </c>
      <c r="H17" s="11" t="s">
        <v>87</v>
      </c>
      <c r="I17" s="11" t="s">
        <v>1008</v>
      </c>
      <c r="J17" s="28">
        <v>16228.800000000001</v>
      </c>
      <c r="K17" s="28">
        <v>24343.200000000001</v>
      </c>
      <c r="L17" s="28">
        <f t="shared" si="0"/>
        <v>40572</v>
      </c>
      <c r="M17" s="28">
        <f t="shared" si="1"/>
        <v>40572</v>
      </c>
      <c r="N17" s="28">
        <v>795</v>
      </c>
      <c r="O17" s="28">
        <v>0</v>
      </c>
      <c r="P17" s="28">
        <f>2312.5</f>
        <v>2312.5</v>
      </c>
      <c r="Q17" s="28">
        <v>0</v>
      </c>
      <c r="R17" s="28">
        <v>0</v>
      </c>
      <c r="S17" s="28">
        <v>0</v>
      </c>
      <c r="T17" s="28">
        <f t="shared" si="3"/>
        <v>2312.5</v>
      </c>
      <c r="U17" s="28">
        <f t="shared" si="2"/>
        <v>43679.5</v>
      </c>
      <c r="V17" s="12">
        <f t="shared" si="4"/>
        <v>42884.5</v>
      </c>
      <c r="W17" s="29" t="s">
        <v>942</v>
      </c>
      <c r="X17" s="6" t="s">
        <v>41</v>
      </c>
      <c r="Y17" s="6" t="s">
        <v>877</v>
      </c>
      <c r="Z17" s="30" t="s">
        <v>36</v>
      </c>
      <c r="AA17" s="50"/>
      <c r="AC17" s="100">
        <v>43679.5</v>
      </c>
      <c r="AD17" s="14">
        <v>43679.5</v>
      </c>
      <c r="AE17" s="100">
        <v>0</v>
      </c>
    </row>
    <row r="18" spans="1:31" s="14" customFormat="1" ht="21.75" hidden="1" customHeight="1" x14ac:dyDescent="0.25">
      <c r="A18" s="6">
        <f>SUBTOTAL(3,$D$1:D18)-1</f>
        <v>0</v>
      </c>
      <c r="B18" s="7">
        <v>2000325</v>
      </c>
      <c r="C18" s="15" t="s">
        <v>89</v>
      </c>
      <c r="D18" s="9" t="s">
        <v>90</v>
      </c>
      <c r="E18" s="9" t="s">
        <v>686</v>
      </c>
      <c r="F18" s="9" t="s">
        <v>48</v>
      </c>
      <c r="G18" s="10">
        <v>43471</v>
      </c>
      <c r="H18" s="11" t="s">
        <v>33</v>
      </c>
      <c r="I18" s="11" t="s">
        <v>91</v>
      </c>
      <c r="J18" s="11">
        <v>15750</v>
      </c>
      <c r="K18" s="11">
        <v>23625</v>
      </c>
      <c r="L18" s="12">
        <f t="shared" si="0"/>
        <v>39375</v>
      </c>
      <c r="M18" s="12">
        <f t="shared" si="1"/>
        <v>39375</v>
      </c>
      <c r="N18" s="12">
        <v>795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f t="shared" si="3"/>
        <v>0</v>
      </c>
      <c r="U18" s="12">
        <f t="shared" si="2"/>
        <v>40170</v>
      </c>
      <c r="V18" s="12">
        <f t="shared" si="4"/>
        <v>39375</v>
      </c>
      <c r="W18" s="13"/>
      <c r="X18" s="6" t="s">
        <v>41</v>
      </c>
      <c r="Y18" s="6" t="s">
        <v>878</v>
      </c>
      <c r="Z18" s="6" t="s">
        <v>36</v>
      </c>
      <c r="AA18" s="50"/>
      <c r="AC18" s="100">
        <v>40170</v>
      </c>
      <c r="AD18" s="14">
        <v>40170</v>
      </c>
      <c r="AE18" s="100">
        <v>0</v>
      </c>
    </row>
    <row r="19" spans="1:31" s="14" customFormat="1" ht="21.75" hidden="1" customHeight="1" x14ac:dyDescent="0.25">
      <c r="A19" s="6">
        <f>SUBTOTAL(3,$D$1:D19)-1</f>
        <v>0</v>
      </c>
      <c r="B19" s="7">
        <v>2000333</v>
      </c>
      <c r="C19" s="15" t="s">
        <v>92</v>
      </c>
      <c r="D19" s="9" t="s">
        <v>93</v>
      </c>
      <c r="E19" s="9" t="s">
        <v>1009</v>
      </c>
      <c r="F19" s="9" t="s">
        <v>84</v>
      </c>
      <c r="G19" s="10">
        <v>43475</v>
      </c>
      <c r="H19" s="11" t="s">
        <v>33</v>
      </c>
      <c r="I19" s="11" t="s">
        <v>34</v>
      </c>
      <c r="J19" s="11">
        <v>2947</v>
      </c>
      <c r="K19" s="11">
        <v>4420</v>
      </c>
      <c r="L19" s="12">
        <f t="shared" si="0"/>
        <v>7367</v>
      </c>
      <c r="M19" s="12">
        <f t="shared" si="1"/>
        <v>7367</v>
      </c>
      <c r="N19" s="12">
        <v>795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f t="shared" si="3"/>
        <v>0</v>
      </c>
      <c r="U19" s="12">
        <f t="shared" si="2"/>
        <v>8162</v>
      </c>
      <c r="V19" s="12">
        <f t="shared" si="4"/>
        <v>7367</v>
      </c>
      <c r="W19" s="13"/>
      <c r="X19" s="6" t="s">
        <v>879</v>
      </c>
      <c r="Y19" s="6" t="s">
        <v>872</v>
      </c>
      <c r="Z19" s="6" t="s">
        <v>36</v>
      </c>
      <c r="AA19" s="50"/>
      <c r="AC19" s="100">
        <v>8162</v>
      </c>
      <c r="AD19" s="14">
        <v>8162</v>
      </c>
      <c r="AE19" s="100">
        <v>0</v>
      </c>
    </row>
    <row r="20" spans="1:31" s="14" customFormat="1" ht="21.75" hidden="1" customHeight="1" x14ac:dyDescent="0.25">
      <c r="A20" s="6">
        <f>SUBTOTAL(3,$D$1:D20)-1</f>
        <v>0</v>
      </c>
      <c r="B20" s="7">
        <v>2000323</v>
      </c>
      <c r="C20" s="15" t="s">
        <v>94</v>
      </c>
      <c r="D20" s="9" t="s">
        <v>95</v>
      </c>
      <c r="E20" s="9" t="s">
        <v>96</v>
      </c>
      <c r="F20" s="9" t="s">
        <v>48</v>
      </c>
      <c r="G20" s="10">
        <v>43457</v>
      </c>
      <c r="H20" s="11" t="s">
        <v>33</v>
      </c>
      <c r="I20" s="11" t="s">
        <v>97</v>
      </c>
      <c r="J20" s="11">
        <f>VLOOKUP(C20,'[1]Sheet1 (5)'!$B$1:$W$121,21,0)</f>
        <v>11350</v>
      </c>
      <c r="K20" s="11">
        <f>VLOOKUP(C20,'[1]Sheet1 (5)'!$B$1:$W$121,22,0)</f>
        <v>17025</v>
      </c>
      <c r="L20" s="12">
        <f t="shared" si="0"/>
        <v>28375</v>
      </c>
      <c r="M20" s="12">
        <f t="shared" si="1"/>
        <v>28375</v>
      </c>
      <c r="N20" s="12">
        <v>795</v>
      </c>
      <c r="O20" s="12">
        <v>2233.3333333333335</v>
      </c>
      <c r="P20" s="12">
        <v>0</v>
      </c>
      <c r="Q20" s="12">
        <v>0</v>
      </c>
      <c r="R20" s="12">
        <v>0</v>
      </c>
      <c r="S20" s="12">
        <v>0</v>
      </c>
      <c r="T20" s="12">
        <f t="shared" si="3"/>
        <v>2233.3333333333335</v>
      </c>
      <c r="U20" s="12">
        <f t="shared" si="2"/>
        <v>31403.333333333332</v>
      </c>
      <c r="V20" s="12">
        <f t="shared" si="4"/>
        <v>30608.333333333332</v>
      </c>
      <c r="W20" s="96" t="s">
        <v>1183</v>
      </c>
      <c r="X20" s="6" t="s">
        <v>35</v>
      </c>
      <c r="Y20" s="6" t="s">
        <v>880</v>
      </c>
      <c r="Z20" s="6" t="s">
        <v>36</v>
      </c>
      <c r="AA20" s="50"/>
      <c r="AC20" s="100">
        <v>31403.333333333332</v>
      </c>
      <c r="AD20" s="14">
        <v>31403.333333333332</v>
      </c>
      <c r="AE20" s="100">
        <v>0</v>
      </c>
    </row>
    <row r="21" spans="1:31" s="14" customFormat="1" ht="21.75" hidden="1" customHeight="1" x14ac:dyDescent="0.25">
      <c r="A21" s="6">
        <f>SUBTOTAL(3,$D$1:D21)-1</f>
        <v>0</v>
      </c>
      <c r="B21" s="7">
        <v>2000334</v>
      </c>
      <c r="C21" s="15" t="s">
        <v>98</v>
      </c>
      <c r="D21" s="9" t="s">
        <v>99</v>
      </c>
      <c r="E21" s="9" t="s">
        <v>100</v>
      </c>
      <c r="F21" s="9" t="s">
        <v>48</v>
      </c>
      <c r="G21" s="10">
        <v>43499</v>
      </c>
      <c r="H21" s="11" t="s">
        <v>33</v>
      </c>
      <c r="I21" s="11" t="s">
        <v>97</v>
      </c>
      <c r="J21" s="11">
        <f>VLOOKUP(C21,'[1]Sheet1 (5)'!$B$1:$W$121,21,0)</f>
        <v>11350</v>
      </c>
      <c r="K21" s="11">
        <f>VLOOKUP(C21,'[1]Sheet1 (5)'!$B$1:$W$121,22,0)</f>
        <v>17025</v>
      </c>
      <c r="L21" s="12">
        <f t="shared" si="0"/>
        <v>28375</v>
      </c>
      <c r="M21" s="12">
        <f t="shared" si="1"/>
        <v>28375</v>
      </c>
      <c r="N21" s="12">
        <v>795</v>
      </c>
      <c r="O21" s="12">
        <v>2233.3333333333335</v>
      </c>
      <c r="P21" s="12">
        <v>0</v>
      </c>
      <c r="Q21" s="12">
        <v>0</v>
      </c>
      <c r="R21" s="12">
        <v>0</v>
      </c>
      <c r="S21" s="12">
        <v>0</v>
      </c>
      <c r="T21" s="12">
        <f t="shared" si="3"/>
        <v>2233.3333333333335</v>
      </c>
      <c r="U21" s="12">
        <f t="shared" si="2"/>
        <v>31403.333333333332</v>
      </c>
      <c r="V21" s="12">
        <f t="shared" si="4"/>
        <v>30608.333333333332</v>
      </c>
      <c r="W21" s="96" t="s">
        <v>1183</v>
      </c>
      <c r="X21" s="6" t="s">
        <v>35</v>
      </c>
      <c r="Y21" s="6" t="s">
        <v>880</v>
      </c>
      <c r="Z21" s="6" t="s">
        <v>36</v>
      </c>
      <c r="AA21" s="50"/>
      <c r="AC21" s="100">
        <v>31403.333333333332</v>
      </c>
      <c r="AD21" s="14">
        <v>31403.333333333332</v>
      </c>
      <c r="AE21" s="100">
        <v>0</v>
      </c>
    </row>
    <row r="22" spans="1:31" s="14" customFormat="1" ht="21.75" hidden="1" customHeight="1" x14ac:dyDescent="0.25">
      <c r="A22" s="6">
        <f>SUBTOTAL(3,$D$1:D22)-1</f>
        <v>0</v>
      </c>
      <c r="B22" s="7">
        <v>2000336</v>
      </c>
      <c r="C22" s="15" t="s">
        <v>101</v>
      </c>
      <c r="D22" s="9" t="s">
        <v>102</v>
      </c>
      <c r="E22" s="9" t="s">
        <v>103</v>
      </c>
      <c r="F22" s="9" t="s">
        <v>81</v>
      </c>
      <c r="G22" s="10">
        <v>43506</v>
      </c>
      <c r="H22" s="11" t="s">
        <v>69</v>
      </c>
      <c r="I22" s="11" t="s">
        <v>104</v>
      </c>
      <c r="J22" s="11">
        <f>VLOOKUP(C22,'[1]Sheet1 (5)'!$B$1:$W$121,21,0)</f>
        <v>39600</v>
      </c>
      <c r="K22" s="11">
        <f>VLOOKUP(C22,'[1]Sheet1 (5)'!$B$1:$W$121,22,0)</f>
        <v>59400</v>
      </c>
      <c r="L22" s="12">
        <f t="shared" si="0"/>
        <v>99000</v>
      </c>
      <c r="M22" s="12">
        <f t="shared" si="1"/>
        <v>99000</v>
      </c>
      <c r="N22" s="12">
        <v>795</v>
      </c>
      <c r="O22" s="12">
        <v>18000</v>
      </c>
      <c r="P22" s="32">
        <f>-20000</f>
        <v>-20000</v>
      </c>
      <c r="Q22" s="12">
        <v>0</v>
      </c>
      <c r="R22" s="12">
        <v>0</v>
      </c>
      <c r="S22" s="12">
        <v>0</v>
      </c>
      <c r="T22" s="12">
        <f t="shared" si="3"/>
        <v>-2000</v>
      </c>
      <c r="U22" s="12">
        <f t="shared" si="2"/>
        <v>97795</v>
      </c>
      <c r="V22" s="12">
        <f t="shared" si="4"/>
        <v>97000</v>
      </c>
      <c r="W22" s="13" t="s">
        <v>1182</v>
      </c>
      <c r="X22" s="6" t="s">
        <v>881</v>
      </c>
      <c r="Y22" s="6" t="s">
        <v>882</v>
      </c>
      <c r="Z22" s="6" t="s">
        <v>36</v>
      </c>
      <c r="AA22" s="50"/>
      <c r="AC22" s="100">
        <v>97795</v>
      </c>
      <c r="AD22" s="14">
        <v>97795</v>
      </c>
      <c r="AE22" s="100">
        <v>0</v>
      </c>
    </row>
    <row r="23" spans="1:31" s="14" customFormat="1" ht="21.75" hidden="1" customHeight="1" x14ac:dyDescent="0.25">
      <c r="A23" s="6">
        <f>SUBTOTAL(3,$D$1:D23)-1</f>
        <v>0</v>
      </c>
      <c r="B23" s="7">
        <v>2000351</v>
      </c>
      <c r="C23" s="16" t="s">
        <v>105</v>
      </c>
      <c r="D23" s="17" t="s">
        <v>106</v>
      </c>
      <c r="E23" s="9" t="s">
        <v>373</v>
      </c>
      <c r="F23" s="9" t="s">
        <v>32</v>
      </c>
      <c r="G23" s="10">
        <v>43534</v>
      </c>
      <c r="H23" s="11" t="s">
        <v>45</v>
      </c>
      <c r="I23" s="11" t="s">
        <v>107</v>
      </c>
      <c r="J23" s="11">
        <v>11350</v>
      </c>
      <c r="K23" s="11">
        <v>17025</v>
      </c>
      <c r="L23" s="12">
        <f t="shared" si="0"/>
        <v>28375</v>
      </c>
      <c r="M23" s="12">
        <f t="shared" si="1"/>
        <v>28375</v>
      </c>
      <c r="N23" s="12">
        <v>795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f t="shared" si="3"/>
        <v>0</v>
      </c>
      <c r="U23" s="18">
        <f t="shared" si="2"/>
        <v>29170</v>
      </c>
      <c r="V23" s="12">
        <f t="shared" si="4"/>
        <v>28375</v>
      </c>
      <c r="W23" s="96"/>
      <c r="X23" s="6" t="s">
        <v>41</v>
      </c>
      <c r="Y23" s="6" t="s">
        <v>883</v>
      </c>
      <c r="Z23" s="6" t="s">
        <v>36</v>
      </c>
      <c r="AA23" s="50"/>
      <c r="AC23" s="100">
        <v>29170</v>
      </c>
      <c r="AD23" s="14">
        <v>29170</v>
      </c>
      <c r="AE23" s="100">
        <v>0</v>
      </c>
    </row>
    <row r="24" spans="1:31" s="14" customFormat="1" ht="21.75" hidden="1" customHeight="1" x14ac:dyDescent="0.25">
      <c r="A24" s="6">
        <f>SUBTOTAL(3,$D$1:D24)-1</f>
        <v>0</v>
      </c>
      <c r="B24" s="7">
        <v>2000372</v>
      </c>
      <c r="C24" s="15" t="s">
        <v>108</v>
      </c>
      <c r="D24" s="9" t="s">
        <v>109</v>
      </c>
      <c r="E24" s="9" t="s">
        <v>687</v>
      </c>
      <c r="F24" s="9" t="s">
        <v>44</v>
      </c>
      <c r="G24" s="10">
        <v>43466</v>
      </c>
      <c r="H24" s="11" t="s">
        <v>49</v>
      </c>
      <c r="I24" s="11" t="s">
        <v>849</v>
      </c>
      <c r="J24" s="11">
        <f>VLOOKUP(C24,'[1]Sheet1 (5)'!$B$1:$W$121,21,0)</f>
        <v>11350</v>
      </c>
      <c r="K24" s="11">
        <f>VLOOKUP(C24,'[1]Sheet1 (5)'!$B$1:$W$121,22,0)</f>
        <v>17025</v>
      </c>
      <c r="L24" s="12">
        <f t="shared" si="0"/>
        <v>28375</v>
      </c>
      <c r="M24" s="12">
        <f t="shared" si="1"/>
        <v>28375</v>
      </c>
      <c r="N24" s="12">
        <v>795</v>
      </c>
      <c r="O24" s="12">
        <v>2233.3333333333335</v>
      </c>
      <c r="P24" s="12">
        <v>0</v>
      </c>
      <c r="Q24" s="12">
        <v>0</v>
      </c>
      <c r="R24" s="12">
        <v>0</v>
      </c>
      <c r="S24" s="12">
        <v>0</v>
      </c>
      <c r="T24" s="12">
        <f t="shared" si="3"/>
        <v>2233.3333333333335</v>
      </c>
      <c r="U24" s="12">
        <f t="shared" si="2"/>
        <v>31403.333333333332</v>
      </c>
      <c r="V24" s="12">
        <f t="shared" si="4"/>
        <v>30608.333333333332</v>
      </c>
      <c r="W24" s="96" t="s">
        <v>1183</v>
      </c>
      <c r="X24" s="6" t="s">
        <v>35</v>
      </c>
      <c r="Y24" s="6" t="s">
        <v>871</v>
      </c>
      <c r="Z24" s="6" t="s">
        <v>36</v>
      </c>
      <c r="AA24" s="50"/>
      <c r="AC24" s="100">
        <v>31403.333333333332</v>
      </c>
      <c r="AD24" s="14">
        <v>31403.333333333332</v>
      </c>
      <c r="AE24" s="100">
        <v>0</v>
      </c>
    </row>
    <row r="25" spans="1:31" s="14" customFormat="1" ht="21.75" hidden="1" customHeight="1" x14ac:dyDescent="0.25">
      <c r="A25" s="6">
        <f>SUBTOTAL(3,$D$1:D25)-1</f>
        <v>0</v>
      </c>
      <c r="B25" s="7">
        <v>2000357</v>
      </c>
      <c r="C25" s="15" t="s">
        <v>110</v>
      </c>
      <c r="D25" s="9" t="s">
        <v>111</v>
      </c>
      <c r="E25" s="9" t="s">
        <v>688</v>
      </c>
      <c r="F25" s="9" t="s">
        <v>84</v>
      </c>
      <c r="G25" s="10">
        <v>43545</v>
      </c>
      <c r="H25" s="11" t="s">
        <v>69</v>
      </c>
      <c r="I25" s="11" t="s">
        <v>853</v>
      </c>
      <c r="J25" s="11">
        <f>VLOOKUP(C25,'[1]Sheet1 (5)'!$B$1:$W$121,21,0)</f>
        <v>15423.5</v>
      </c>
      <c r="K25" s="11">
        <f>VLOOKUP(C25,'[1]Sheet1 (5)'!$B$1:$W$121,22,0)</f>
        <v>23135.25</v>
      </c>
      <c r="L25" s="12">
        <f t="shared" si="0"/>
        <v>38558.75</v>
      </c>
      <c r="M25" s="12">
        <f t="shared" si="1"/>
        <v>38558.75</v>
      </c>
      <c r="N25" s="12">
        <v>795</v>
      </c>
      <c r="O25" s="12">
        <v>489.66666666666669</v>
      </c>
      <c r="P25" s="12">
        <v>0</v>
      </c>
      <c r="Q25" s="12">
        <v>0</v>
      </c>
      <c r="R25" s="12">
        <v>0</v>
      </c>
      <c r="S25" s="12">
        <v>0</v>
      </c>
      <c r="T25" s="12">
        <f t="shared" si="3"/>
        <v>489.66666666666669</v>
      </c>
      <c r="U25" s="12">
        <f t="shared" si="2"/>
        <v>39843.416666666664</v>
      </c>
      <c r="V25" s="12">
        <f t="shared" si="4"/>
        <v>39048.416666666664</v>
      </c>
      <c r="W25" s="96" t="s">
        <v>1183</v>
      </c>
      <c r="X25" s="6" t="s">
        <v>35</v>
      </c>
      <c r="Y25" s="6" t="s">
        <v>884</v>
      </c>
      <c r="Z25" s="6" t="s">
        <v>36</v>
      </c>
      <c r="AA25" s="50"/>
      <c r="AC25" s="100">
        <v>39843.416666666664</v>
      </c>
      <c r="AD25" s="14">
        <v>39843.416666666664</v>
      </c>
      <c r="AE25" s="100">
        <v>0</v>
      </c>
    </row>
    <row r="26" spans="1:31" s="14" customFormat="1" ht="21.75" hidden="1" customHeight="1" x14ac:dyDescent="0.25">
      <c r="A26" s="6">
        <f>SUBTOTAL(3,$D$1:D26)-1</f>
        <v>0</v>
      </c>
      <c r="B26" s="7">
        <v>2000359</v>
      </c>
      <c r="C26" s="16" t="s">
        <v>112</v>
      </c>
      <c r="D26" s="17" t="s">
        <v>113</v>
      </c>
      <c r="E26" s="9" t="s">
        <v>689</v>
      </c>
      <c r="F26" s="9" t="s">
        <v>114</v>
      </c>
      <c r="G26" s="10">
        <v>43541</v>
      </c>
      <c r="H26" s="11" t="s">
        <v>45</v>
      </c>
      <c r="I26" s="11" t="s">
        <v>848</v>
      </c>
      <c r="J26" s="11">
        <f>VLOOKUP(C26,'[1]Sheet1 (5)'!$B$1:$W$121,21,0)</f>
        <v>14876.400000000001</v>
      </c>
      <c r="K26" s="11">
        <f>VLOOKUP(C26,'[1]Sheet1 (5)'!$B$1:$W$121,22,0)</f>
        <v>22314.6</v>
      </c>
      <c r="L26" s="12">
        <f t="shared" si="0"/>
        <v>37191</v>
      </c>
      <c r="M26" s="12">
        <f t="shared" si="1"/>
        <v>37191</v>
      </c>
      <c r="N26" s="12">
        <v>795</v>
      </c>
      <c r="O26" s="12">
        <v>3542</v>
      </c>
      <c r="P26" s="12">
        <v>0</v>
      </c>
      <c r="Q26" s="12">
        <v>0</v>
      </c>
      <c r="R26" s="12">
        <v>0</v>
      </c>
      <c r="S26" s="12">
        <v>0</v>
      </c>
      <c r="T26" s="12">
        <f t="shared" si="3"/>
        <v>3542</v>
      </c>
      <c r="U26" s="18">
        <f t="shared" si="2"/>
        <v>41528</v>
      </c>
      <c r="V26" s="12">
        <f t="shared" si="4"/>
        <v>40733</v>
      </c>
      <c r="W26" s="13" t="s">
        <v>1180</v>
      </c>
      <c r="X26" s="6" t="s">
        <v>56</v>
      </c>
      <c r="Y26" s="6" t="s">
        <v>870</v>
      </c>
      <c r="Z26" s="6" t="s">
        <v>36</v>
      </c>
      <c r="AA26" s="50"/>
      <c r="AC26" s="100">
        <v>41528</v>
      </c>
      <c r="AD26" s="14">
        <v>41528</v>
      </c>
      <c r="AE26" s="100">
        <v>0</v>
      </c>
    </row>
    <row r="27" spans="1:31" s="14" customFormat="1" ht="21.75" hidden="1" customHeight="1" x14ac:dyDescent="0.25">
      <c r="A27" s="6">
        <f>SUBTOTAL(3,$D$1:D27)-1</f>
        <v>0</v>
      </c>
      <c r="B27" s="7">
        <v>2000369</v>
      </c>
      <c r="C27" s="15" t="s">
        <v>115</v>
      </c>
      <c r="D27" s="9" t="s">
        <v>116</v>
      </c>
      <c r="E27" s="9" t="s">
        <v>117</v>
      </c>
      <c r="F27" s="9" t="s">
        <v>32</v>
      </c>
      <c r="G27" s="10">
        <v>43569</v>
      </c>
      <c r="H27" s="11" t="s">
        <v>40</v>
      </c>
      <c r="I27" s="11" t="s">
        <v>847</v>
      </c>
      <c r="J27" s="11">
        <f>VLOOKUP(C27,'[1]Sheet1 (5)'!$B$1:$W$121,21,0)</f>
        <v>8400</v>
      </c>
      <c r="K27" s="11">
        <f>VLOOKUP(C27,'[1]Sheet1 (5)'!$B$1:$W$121,22,0)</f>
        <v>12600</v>
      </c>
      <c r="L27" s="12">
        <f t="shared" si="0"/>
        <v>21000</v>
      </c>
      <c r="M27" s="12">
        <f t="shared" si="1"/>
        <v>21000</v>
      </c>
      <c r="N27" s="12">
        <v>795</v>
      </c>
      <c r="O27" s="12">
        <v>2000</v>
      </c>
      <c r="P27" s="12">
        <v>0</v>
      </c>
      <c r="Q27" s="12">
        <v>0</v>
      </c>
      <c r="R27" s="12">
        <v>0</v>
      </c>
      <c r="S27" s="12">
        <v>0</v>
      </c>
      <c r="T27" s="12">
        <f t="shared" si="3"/>
        <v>2000</v>
      </c>
      <c r="U27" s="12">
        <f t="shared" si="2"/>
        <v>23795</v>
      </c>
      <c r="V27" s="12">
        <f t="shared" si="4"/>
        <v>23000</v>
      </c>
      <c r="W27" s="13" t="s">
        <v>1180</v>
      </c>
      <c r="X27" s="6" t="s">
        <v>35</v>
      </c>
      <c r="Y27" s="6" t="s">
        <v>869</v>
      </c>
      <c r="Z27" s="6" t="s">
        <v>36</v>
      </c>
      <c r="AA27" s="50"/>
      <c r="AC27" s="100">
        <v>23795</v>
      </c>
      <c r="AD27" s="14">
        <v>23795</v>
      </c>
      <c r="AE27" s="100">
        <v>0</v>
      </c>
    </row>
    <row r="28" spans="1:31" s="14" customFormat="1" ht="21.75" hidden="1" customHeight="1" x14ac:dyDescent="0.25">
      <c r="A28" s="6">
        <f>SUBTOTAL(3,$D$1:D28)-1</f>
        <v>0</v>
      </c>
      <c r="B28" s="7">
        <v>2000293</v>
      </c>
      <c r="C28" s="16" t="s">
        <v>118</v>
      </c>
      <c r="D28" s="17" t="s">
        <v>119</v>
      </c>
      <c r="E28" s="9" t="s">
        <v>120</v>
      </c>
      <c r="F28" s="9" t="s">
        <v>121</v>
      </c>
      <c r="G28" s="10">
        <v>43556</v>
      </c>
      <c r="H28" s="11" t="s">
        <v>45</v>
      </c>
      <c r="I28" s="11" t="s">
        <v>850</v>
      </c>
      <c r="J28" s="11">
        <f>VLOOKUP(C28,'[1]Sheet1 (5)'!$B$1:$W$121,21,0)</f>
        <v>11917.5</v>
      </c>
      <c r="K28" s="11">
        <f>VLOOKUP(C28,'[1]Sheet1 (5)'!$B$1:$W$121,22,0)</f>
        <v>17876.25</v>
      </c>
      <c r="L28" s="12">
        <f t="shared" si="0"/>
        <v>29793.75</v>
      </c>
      <c r="M28" s="12">
        <f t="shared" si="1"/>
        <v>29793.75</v>
      </c>
      <c r="N28" s="12">
        <v>795</v>
      </c>
      <c r="O28" s="12">
        <v>2837.5</v>
      </c>
      <c r="P28" s="12">
        <v>0</v>
      </c>
      <c r="Q28" s="12">
        <v>0</v>
      </c>
      <c r="R28" s="12">
        <v>0</v>
      </c>
      <c r="S28" s="12">
        <v>0</v>
      </c>
      <c r="T28" s="12">
        <f t="shared" si="3"/>
        <v>2837.5</v>
      </c>
      <c r="U28" s="18">
        <f t="shared" si="2"/>
        <v>33426.25</v>
      </c>
      <c r="V28" s="12">
        <f t="shared" si="4"/>
        <v>32631.25</v>
      </c>
      <c r="W28" s="13" t="s">
        <v>1180</v>
      </c>
      <c r="X28" s="6" t="s">
        <v>88</v>
      </c>
      <c r="Y28" s="6" t="s">
        <v>873</v>
      </c>
      <c r="Z28" s="6" t="s">
        <v>36</v>
      </c>
      <c r="AA28" s="50"/>
      <c r="AC28" s="100">
        <v>33426.25</v>
      </c>
      <c r="AD28" s="14">
        <v>33426.25</v>
      </c>
      <c r="AE28" s="100">
        <v>0</v>
      </c>
    </row>
    <row r="29" spans="1:31" s="14" customFormat="1" ht="21.75" hidden="1" customHeight="1" x14ac:dyDescent="0.25">
      <c r="A29" s="6">
        <f>SUBTOTAL(3,$D$1:D29)-1</f>
        <v>0</v>
      </c>
      <c r="B29" s="7">
        <v>2000376</v>
      </c>
      <c r="C29" s="15" t="s">
        <v>122</v>
      </c>
      <c r="D29" s="9" t="s">
        <v>123</v>
      </c>
      <c r="E29" s="9" t="s">
        <v>690</v>
      </c>
      <c r="F29" s="9" t="s">
        <v>124</v>
      </c>
      <c r="G29" s="10">
        <v>43583</v>
      </c>
      <c r="H29" s="11" t="s">
        <v>33</v>
      </c>
      <c r="I29" s="11" t="s">
        <v>34</v>
      </c>
      <c r="J29" s="11">
        <f>VLOOKUP(C29,'[1]Sheet1 (5)'!$B$1:$W$121,21,0)</f>
        <v>21517.7</v>
      </c>
      <c r="K29" s="11">
        <f>VLOOKUP(C29,'[1]Sheet1 (5)'!$B$1:$W$121,22,0)</f>
        <v>32276.55</v>
      </c>
      <c r="L29" s="12">
        <f t="shared" si="0"/>
        <v>53794.25</v>
      </c>
      <c r="M29" s="12">
        <f t="shared" si="1"/>
        <v>53794.25</v>
      </c>
      <c r="N29" s="12">
        <v>795</v>
      </c>
      <c r="O29" s="12">
        <v>9781</v>
      </c>
      <c r="P29" s="12">
        <v>0</v>
      </c>
      <c r="Q29" s="12">
        <v>0</v>
      </c>
      <c r="R29" s="12">
        <v>0</v>
      </c>
      <c r="S29" s="12">
        <v>0</v>
      </c>
      <c r="T29" s="12">
        <f t="shared" si="3"/>
        <v>9781</v>
      </c>
      <c r="U29" s="12">
        <f t="shared" si="2"/>
        <v>64370.25</v>
      </c>
      <c r="V29" s="12">
        <f t="shared" si="4"/>
        <v>63575.25</v>
      </c>
      <c r="W29" s="13" t="s">
        <v>1180</v>
      </c>
      <c r="X29" s="6" t="s">
        <v>56</v>
      </c>
      <c r="Y29" s="6" t="s">
        <v>868</v>
      </c>
      <c r="Z29" s="6" t="s">
        <v>36</v>
      </c>
      <c r="AA29" s="50"/>
      <c r="AC29" s="100">
        <v>64370.25</v>
      </c>
      <c r="AD29" s="14">
        <v>64370.25</v>
      </c>
      <c r="AE29" s="100">
        <v>0</v>
      </c>
    </row>
    <row r="30" spans="1:31" s="14" customFormat="1" ht="21.75" hidden="1" customHeight="1" x14ac:dyDescent="0.25">
      <c r="A30" s="6">
        <f>SUBTOTAL(3,$D$1:D30)-1</f>
        <v>0</v>
      </c>
      <c r="B30" s="19">
        <v>2000371</v>
      </c>
      <c r="C30" s="16" t="s">
        <v>125</v>
      </c>
      <c r="D30" s="17" t="s">
        <v>126</v>
      </c>
      <c r="E30" s="17" t="s">
        <v>1010</v>
      </c>
      <c r="F30" s="17" t="s">
        <v>127</v>
      </c>
      <c r="G30" s="20">
        <v>43583</v>
      </c>
      <c r="H30" s="21" t="s">
        <v>69</v>
      </c>
      <c r="I30" s="21" t="s">
        <v>104</v>
      </c>
      <c r="J30" s="11">
        <f>VLOOKUP(C30,'[1]Sheet1 (5)'!$B$1:$W$121,21,0)</f>
        <v>27423.360000000001</v>
      </c>
      <c r="K30" s="11">
        <f>VLOOKUP(C30,'[1]Sheet1 (5)'!$B$1:$W$121,22,0)</f>
        <v>41135.039999999994</v>
      </c>
      <c r="L30" s="21">
        <f t="shared" si="0"/>
        <v>68558.399999999994</v>
      </c>
      <c r="M30" s="18">
        <f t="shared" si="1"/>
        <v>68558.399999999994</v>
      </c>
      <c r="N30" s="18">
        <v>795</v>
      </c>
      <c r="O30" s="12">
        <v>17884.799999999988</v>
      </c>
      <c r="P30" s="18">
        <v>0</v>
      </c>
      <c r="Q30" s="18">
        <v>0</v>
      </c>
      <c r="R30" s="18">
        <v>0</v>
      </c>
      <c r="S30" s="18">
        <v>0</v>
      </c>
      <c r="T30" s="12">
        <f t="shared" si="3"/>
        <v>17884.799999999988</v>
      </c>
      <c r="U30" s="18">
        <f t="shared" si="2"/>
        <v>87238.199999999983</v>
      </c>
      <c r="V30" s="12">
        <f t="shared" si="4"/>
        <v>86443.199999999983</v>
      </c>
      <c r="W30" s="13" t="s">
        <v>1180</v>
      </c>
      <c r="X30" s="22" t="s">
        <v>41</v>
      </c>
      <c r="Y30" s="22" t="s">
        <v>882</v>
      </c>
      <c r="Z30" s="22" t="s">
        <v>36</v>
      </c>
      <c r="AA30" s="50"/>
      <c r="AC30" s="100">
        <v>87238.199999999983</v>
      </c>
      <c r="AD30" s="14">
        <v>87238.199999999983</v>
      </c>
      <c r="AE30" s="100">
        <v>0</v>
      </c>
    </row>
    <row r="31" spans="1:31" s="14" customFormat="1" ht="21.75" hidden="1" customHeight="1" x14ac:dyDescent="0.25">
      <c r="A31" s="6">
        <f>SUBTOTAL(3,$D$1:D31)-1</f>
        <v>0</v>
      </c>
      <c r="B31" s="7">
        <v>2000377</v>
      </c>
      <c r="C31" s="15" t="s">
        <v>128</v>
      </c>
      <c r="D31" s="9" t="s">
        <v>129</v>
      </c>
      <c r="E31" s="9" t="s">
        <v>691</v>
      </c>
      <c r="F31" s="9" t="s">
        <v>130</v>
      </c>
      <c r="G31" s="10">
        <v>43583</v>
      </c>
      <c r="H31" s="11" t="s">
        <v>69</v>
      </c>
      <c r="I31" s="11" t="s">
        <v>131</v>
      </c>
      <c r="J31" s="11">
        <f>VLOOKUP(C31,'[1]Sheet1 (5)'!$B$1:$W$121,21,0)</f>
        <v>23587.200000000001</v>
      </c>
      <c r="K31" s="11">
        <f>VLOOKUP(C31,'[1]Sheet1 (5)'!$B$1:$W$121,22,0)</f>
        <v>35380.799999999996</v>
      </c>
      <c r="L31" s="12">
        <f t="shared" si="0"/>
        <v>58968</v>
      </c>
      <c r="M31" s="12">
        <f t="shared" si="1"/>
        <v>58968</v>
      </c>
      <c r="N31" s="12">
        <v>795</v>
      </c>
      <c r="O31" s="12">
        <v>5616</v>
      </c>
      <c r="P31" s="12">
        <v>0</v>
      </c>
      <c r="Q31" s="12">
        <v>0</v>
      </c>
      <c r="R31" s="12">
        <v>0</v>
      </c>
      <c r="S31" s="12">
        <v>0</v>
      </c>
      <c r="T31" s="12">
        <f t="shared" si="3"/>
        <v>5616</v>
      </c>
      <c r="U31" s="12">
        <f t="shared" si="2"/>
        <v>65379</v>
      </c>
      <c r="V31" s="12">
        <f t="shared" si="4"/>
        <v>64584</v>
      </c>
      <c r="W31" s="13" t="s">
        <v>1180</v>
      </c>
      <c r="X31" s="6" t="s">
        <v>41</v>
      </c>
      <c r="Y31" s="6" t="s">
        <v>885</v>
      </c>
      <c r="Z31" s="6" t="s">
        <v>36</v>
      </c>
      <c r="AA31" s="50"/>
      <c r="AC31" s="100">
        <v>65379</v>
      </c>
      <c r="AD31" s="14">
        <v>65379</v>
      </c>
      <c r="AE31" s="100">
        <v>0</v>
      </c>
    </row>
    <row r="32" spans="1:31" s="14" customFormat="1" ht="21.75" hidden="1" customHeight="1" x14ac:dyDescent="0.25">
      <c r="A32" s="6">
        <f>SUBTOTAL(3,$D$1:D32)-1</f>
        <v>0</v>
      </c>
      <c r="B32" s="7">
        <v>2000379</v>
      </c>
      <c r="C32" s="15" t="s">
        <v>132</v>
      </c>
      <c r="D32" s="9" t="s">
        <v>133</v>
      </c>
      <c r="E32" s="9" t="s">
        <v>1011</v>
      </c>
      <c r="F32" s="9" t="s">
        <v>52</v>
      </c>
      <c r="G32" s="10">
        <v>43590</v>
      </c>
      <c r="H32" s="11" t="s">
        <v>40</v>
      </c>
      <c r="I32" s="11" t="s">
        <v>854</v>
      </c>
      <c r="J32" s="11">
        <f>VLOOKUP(C32,'[1]Sheet1 (5)'!$B$1:$W$121,21,0)</f>
        <v>17362.400000000001</v>
      </c>
      <c r="K32" s="11">
        <f>VLOOKUP(C32,'[1]Sheet1 (5)'!$B$1:$W$121,22,0)</f>
        <v>26043.599999999999</v>
      </c>
      <c r="L32" s="12">
        <f t="shared" si="0"/>
        <v>43406</v>
      </c>
      <c r="M32" s="12">
        <f t="shared" si="1"/>
        <v>43406</v>
      </c>
      <c r="N32" s="12">
        <v>795</v>
      </c>
      <c r="O32" s="12">
        <v>7892</v>
      </c>
      <c r="P32" s="12">
        <v>0</v>
      </c>
      <c r="Q32" s="12">
        <v>0</v>
      </c>
      <c r="R32" s="12">
        <v>0</v>
      </c>
      <c r="S32" s="12">
        <v>0</v>
      </c>
      <c r="T32" s="12">
        <f t="shared" si="3"/>
        <v>7892</v>
      </c>
      <c r="U32" s="12">
        <f t="shared" si="2"/>
        <v>52093</v>
      </c>
      <c r="V32" s="12">
        <f t="shared" si="4"/>
        <v>51298</v>
      </c>
      <c r="W32" s="13" t="s">
        <v>1180</v>
      </c>
      <c r="X32" s="6" t="s">
        <v>41</v>
      </c>
      <c r="Y32" s="6" t="s">
        <v>886</v>
      </c>
      <c r="Z32" s="6" t="s">
        <v>36</v>
      </c>
      <c r="AA32" s="50"/>
      <c r="AC32" s="100">
        <v>52093</v>
      </c>
      <c r="AD32" s="14">
        <v>52093</v>
      </c>
      <c r="AE32" s="100">
        <v>0</v>
      </c>
    </row>
    <row r="33" spans="1:31" s="14" customFormat="1" ht="21.75" hidden="1" customHeight="1" x14ac:dyDescent="0.25">
      <c r="A33" s="6">
        <f>SUBTOTAL(3,$D$1:D33)-1</f>
        <v>0</v>
      </c>
      <c r="B33" s="7">
        <v>2000276</v>
      </c>
      <c r="C33" s="15" t="s">
        <v>134</v>
      </c>
      <c r="D33" s="9" t="s">
        <v>135</v>
      </c>
      <c r="E33" s="9" t="s">
        <v>1012</v>
      </c>
      <c r="F33" s="9" t="s">
        <v>48</v>
      </c>
      <c r="G33" s="10">
        <v>43590</v>
      </c>
      <c r="H33" s="11" t="s">
        <v>49</v>
      </c>
      <c r="I33" s="11" t="s">
        <v>855</v>
      </c>
      <c r="J33" s="11">
        <f>VLOOKUP(C33,'[1]Sheet1 (5)'!$B$1:$W$121,21,0)</f>
        <v>15565.2</v>
      </c>
      <c r="K33" s="11">
        <f>VLOOKUP(C33,'[1]Sheet1 (5)'!$B$1:$W$121,22,0)</f>
        <v>23347.8</v>
      </c>
      <c r="L33" s="12">
        <f t="shared" si="0"/>
        <v>38913</v>
      </c>
      <c r="M33" s="12">
        <f t="shared" si="1"/>
        <v>38913</v>
      </c>
      <c r="N33" s="12">
        <v>795</v>
      </c>
      <c r="O33" s="12">
        <v>3706</v>
      </c>
      <c r="P33" s="12">
        <v>0</v>
      </c>
      <c r="Q33" s="12">
        <v>0</v>
      </c>
      <c r="R33" s="12">
        <v>0</v>
      </c>
      <c r="S33" s="12">
        <v>0</v>
      </c>
      <c r="T33" s="12">
        <f t="shared" si="3"/>
        <v>3706</v>
      </c>
      <c r="U33" s="12">
        <f t="shared" si="2"/>
        <v>43414</v>
      </c>
      <c r="V33" s="12">
        <f t="shared" si="4"/>
        <v>42619</v>
      </c>
      <c r="W33" s="13" t="s">
        <v>1180</v>
      </c>
      <c r="X33" s="6" t="s">
        <v>41</v>
      </c>
      <c r="Y33" s="6" t="s">
        <v>887</v>
      </c>
      <c r="Z33" s="6" t="s">
        <v>36</v>
      </c>
      <c r="AA33" s="50"/>
      <c r="AC33" s="100">
        <v>43414</v>
      </c>
      <c r="AD33" s="14">
        <v>43414</v>
      </c>
      <c r="AE33" s="100">
        <v>0</v>
      </c>
    </row>
    <row r="34" spans="1:31" s="14" customFormat="1" ht="21.75" hidden="1" customHeight="1" x14ac:dyDescent="0.25">
      <c r="A34" s="6">
        <f>SUBTOTAL(3,$D$1:D34)-1</f>
        <v>0</v>
      </c>
      <c r="B34" s="7">
        <v>2000396</v>
      </c>
      <c r="C34" s="15" t="s">
        <v>136</v>
      </c>
      <c r="D34" s="9" t="s">
        <v>137</v>
      </c>
      <c r="E34" s="9" t="s">
        <v>1013</v>
      </c>
      <c r="F34" s="9" t="s">
        <v>130</v>
      </c>
      <c r="G34" s="10">
        <v>43611</v>
      </c>
      <c r="H34" s="11" t="s">
        <v>69</v>
      </c>
      <c r="I34" s="11" t="s">
        <v>131</v>
      </c>
      <c r="J34" s="11">
        <f>VLOOKUP(C34,'[1]Sheet1 (5)'!$B$1:$W$121,21,0)</f>
        <v>16197.7</v>
      </c>
      <c r="K34" s="11">
        <f>VLOOKUP(C34,'[1]Sheet1 (5)'!$B$1:$W$121,22,0)</f>
        <v>24296.55</v>
      </c>
      <c r="L34" s="12">
        <f t="shared" si="0"/>
        <v>40494.25</v>
      </c>
      <c r="M34" s="12">
        <f t="shared" si="1"/>
        <v>40494.25</v>
      </c>
      <c r="N34" s="12">
        <v>795</v>
      </c>
      <c r="O34" s="12">
        <v>7362.5</v>
      </c>
      <c r="P34" s="12">
        <v>0</v>
      </c>
      <c r="Q34" s="12">
        <v>0</v>
      </c>
      <c r="R34" s="12">
        <v>0</v>
      </c>
      <c r="S34" s="12">
        <v>0</v>
      </c>
      <c r="T34" s="12">
        <f t="shared" si="3"/>
        <v>7362.5</v>
      </c>
      <c r="U34" s="12">
        <f t="shared" ref="U34:U65" si="5">+M34+N34+T34</f>
        <v>48651.75</v>
      </c>
      <c r="V34" s="12">
        <f t="shared" si="4"/>
        <v>47856.75</v>
      </c>
      <c r="W34" s="13" t="s">
        <v>1180</v>
      </c>
      <c r="X34" s="6" t="s">
        <v>41</v>
      </c>
      <c r="Y34" s="6" t="s">
        <v>885</v>
      </c>
      <c r="Z34" s="6" t="s">
        <v>36</v>
      </c>
      <c r="AA34" s="50"/>
      <c r="AC34" s="100">
        <v>48651.75</v>
      </c>
      <c r="AD34" s="14">
        <v>48651.75</v>
      </c>
      <c r="AE34" s="100">
        <v>0</v>
      </c>
    </row>
    <row r="35" spans="1:31" s="14" customFormat="1" ht="21.75" hidden="1" customHeight="1" x14ac:dyDescent="0.25">
      <c r="A35" s="6">
        <f>SUBTOTAL(3,$D$1:D35)-1</f>
        <v>0</v>
      </c>
      <c r="B35" s="7">
        <v>2000398</v>
      </c>
      <c r="C35" s="15" t="s">
        <v>138</v>
      </c>
      <c r="D35" s="9" t="s">
        <v>139</v>
      </c>
      <c r="E35" s="9" t="s">
        <v>140</v>
      </c>
      <c r="F35" s="9" t="s">
        <v>52</v>
      </c>
      <c r="G35" s="10">
        <v>43625</v>
      </c>
      <c r="H35" s="11" t="s">
        <v>49</v>
      </c>
      <c r="I35" s="11" t="s">
        <v>849</v>
      </c>
      <c r="J35" s="11">
        <f>VLOOKUP(C35,'[1]Sheet1 (5)'!$B$1:$W$121,21,0)</f>
        <v>6615</v>
      </c>
      <c r="K35" s="11">
        <f>VLOOKUP(C35,'[1]Sheet1 (5)'!$B$1:$W$121,22,0)</f>
        <v>9922.5</v>
      </c>
      <c r="L35" s="12">
        <f t="shared" si="0"/>
        <v>16537.5</v>
      </c>
      <c r="M35" s="12">
        <f t="shared" si="1"/>
        <v>16537.5</v>
      </c>
      <c r="N35" s="12">
        <v>795</v>
      </c>
      <c r="O35" s="12">
        <v>1575</v>
      </c>
      <c r="P35" s="12">
        <v>0</v>
      </c>
      <c r="Q35" s="12">
        <v>0</v>
      </c>
      <c r="R35" s="12">
        <v>0</v>
      </c>
      <c r="S35" s="12">
        <v>0</v>
      </c>
      <c r="T35" s="12">
        <f t="shared" si="3"/>
        <v>1575</v>
      </c>
      <c r="U35" s="12">
        <f t="shared" si="5"/>
        <v>18907.5</v>
      </c>
      <c r="V35" s="12">
        <f t="shared" si="4"/>
        <v>18112.5</v>
      </c>
      <c r="W35" s="13" t="s">
        <v>1180</v>
      </c>
      <c r="X35" s="6" t="s">
        <v>438</v>
      </c>
      <c r="Y35" s="6" t="s">
        <v>871</v>
      </c>
      <c r="Z35" s="6" t="s">
        <v>36</v>
      </c>
      <c r="AA35" s="50"/>
      <c r="AC35" s="100">
        <v>18907.5</v>
      </c>
      <c r="AD35" s="14">
        <v>18907.5</v>
      </c>
      <c r="AE35" s="100">
        <v>0</v>
      </c>
    </row>
    <row r="36" spans="1:31" s="14" customFormat="1" ht="21.75" hidden="1" customHeight="1" x14ac:dyDescent="0.25">
      <c r="A36" s="6">
        <f>SUBTOTAL(3,$D$1:D36)-1</f>
        <v>0</v>
      </c>
      <c r="B36" s="7">
        <v>2000405</v>
      </c>
      <c r="C36" s="15" t="s">
        <v>141</v>
      </c>
      <c r="D36" s="9" t="s">
        <v>142</v>
      </c>
      <c r="E36" s="9" t="s">
        <v>297</v>
      </c>
      <c r="F36" s="9" t="s">
        <v>143</v>
      </c>
      <c r="G36" s="10">
        <v>43639</v>
      </c>
      <c r="H36" s="11" t="s">
        <v>49</v>
      </c>
      <c r="I36" s="11" t="s">
        <v>852</v>
      </c>
      <c r="J36" s="11">
        <f>VLOOKUP(C36,'[1]Sheet1 (5)'!$B$1:$W$121,21,0)</f>
        <v>11917.5</v>
      </c>
      <c r="K36" s="11">
        <f>VLOOKUP(C36,'[1]Sheet1 (5)'!$B$1:$W$121,22,0)</f>
        <v>17876.25</v>
      </c>
      <c r="L36" s="12">
        <f t="shared" si="0"/>
        <v>29793.75</v>
      </c>
      <c r="M36" s="12">
        <f t="shared" si="1"/>
        <v>29793.75</v>
      </c>
      <c r="N36" s="12">
        <v>795</v>
      </c>
      <c r="O36" s="12">
        <v>2837.5</v>
      </c>
      <c r="P36" s="12">
        <v>0</v>
      </c>
      <c r="Q36" s="12">
        <v>0</v>
      </c>
      <c r="R36" s="12">
        <v>0</v>
      </c>
      <c r="S36" s="12">
        <v>0</v>
      </c>
      <c r="T36" s="12">
        <f t="shared" si="3"/>
        <v>2837.5</v>
      </c>
      <c r="U36" s="12">
        <f t="shared" si="5"/>
        <v>33426.25</v>
      </c>
      <c r="V36" s="12">
        <f t="shared" si="4"/>
        <v>32631.25</v>
      </c>
      <c r="W36" s="13" t="s">
        <v>1180</v>
      </c>
      <c r="X36" s="6" t="s">
        <v>88</v>
      </c>
      <c r="Y36" s="6" t="s">
        <v>876</v>
      </c>
      <c r="Z36" s="6" t="s">
        <v>36</v>
      </c>
      <c r="AA36" s="50"/>
      <c r="AC36" s="100">
        <v>33426.25</v>
      </c>
      <c r="AD36" s="14">
        <v>33426.25</v>
      </c>
      <c r="AE36" s="100">
        <v>0</v>
      </c>
    </row>
    <row r="37" spans="1:31" s="14" customFormat="1" ht="21.75" hidden="1" customHeight="1" x14ac:dyDescent="0.25">
      <c r="A37" s="6">
        <f>SUBTOTAL(3,$D$1:D37)-1</f>
        <v>0</v>
      </c>
      <c r="B37" s="7">
        <v>2000409</v>
      </c>
      <c r="C37" s="15" t="s">
        <v>144</v>
      </c>
      <c r="D37" s="9" t="s">
        <v>145</v>
      </c>
      <c r="E37" s="9" t="s">
        <v>146</v>
      </c>
      <c r="F37" s="9" t="s">
        <v>32</v>
      </c>
      <c r="G37" s="10">
        <v>43653</v>
      </c>
      <c r="H37" s="11" t="s">
        <v>33</v>
      </c>
      <c r="I37" s="11" t="s">
        <v>53</v>
      </c>
      <c r="J37" s="11">
        <f>VLOOKUP(C37,'[1]Sheet1 (5)'!$B$1:$W$121,21,0)</f>
        <v>11350</v>
      </c>
      <c r="K37" s="11">
        <f>VLOOKUP(C37,'[1]Sheet1 (5)'!$B$1:$W$121,22,0)</f>
        <v>17025</v>
      </c>
      <c r="L37" s="12">
        <f t="shared" si="0"/>
        <v>28375</v>
      </c>
      <c r="M37" s="12">
        <f t="shared" si="1"/>
        <v>28375</v>
      </c>
      <c r="N37" s="12">
        <v>795</v>
      </c>
      <c r="O37" s="12">
        <v>913.86666666666667</v>
      </c>
      <c r="P37" s="12">
        <v>0</v>
      </c>
      <c r="Q37" s="12">
        <v>0</v>
      </c>
      <c r="R37" s="12">
        <v>0</v>
      </c>
      <c r="S37" s="12">
        <v>0</v>
      </c>
      <c r="T37" s="12">
        <f t="shared" si="3"/>
        <v>913.86666666666667</v>
      </c>
      <c r="U37" s="12">
        <f t="shared" si="5"/>
        <v>30083.866666666665</v>
      </c>
      <c r="V37" s="12">
        <f t="shared" si="4"/>
        <v>29288.866666666665</v>
      </c>
      <c r="W37" s="96" t="s">
        <v>1183</v>
      </c>
      <c r="X37" s="6" t="s">
        <v>35</v>
      </c>
      <c r="Y37" s="6" t="s">
        <v>872</v>
      </c>
      <c r="Z37" s="6" t="s">
        <v>36</v>
      </c>
      <c r="AA37" s="50"/>
      <c r="AC37" s="100">
        <v>30083.866666666665</v>
      </c>
      <c r="AD37" s="14">
        <v>30083.866666666665</v>
      </c>
      <c r="AE37" s="100">
        <v>0</v>
      </c>
    </row>
    <row r="38" spans="1:31" s="14" customFormat="1" ht="21.75" hidden="1" customHeight="1" x14ac:dyDescent="0.25">
      <c r="A38" s="6">
        <f>SUBTOTAL(3,$D$1:D38)-1</f>
        <v>0</v>
      </c>
      <c r="B38" s="7">
        <v>2000410</v>
      </c>
      <c r="C38" s="15" t="s">
        <v>147</v>
      </c>
      <c r="D38" s="87" t="s">
        <v>148</v>
      </c>
      <c r="E38" s="9" t="s">
        <v>692</v>
      </c>
      <c r="F38" s="9" t="s">
        <v>81</v>
      </c>
      <c r="G38" s="10">
        <v>43660</v>
      </c>
      <c r="H38" s="11" t="s">
        <v>69</v>
      </c>
      <c r="I38" s="11" t="s">
        <v>131</v>
      </c>
      <c r="J38" s="11">
        <f>VLOOKUP(C38,'[1]Sheet1 (5)'!$B$1:$W$121,21,0)</f>
        <v>14700</v>
      </c>
      <c r="K38" s="11">
        <f>VLOOKUP(C38,'[1]Sheet1 (5)'!$B$1:$W$121,22,0)</f>
        <v>22050</v>
      </c>
      <c r="L38" s="12">
        <f t="shared" si="0"/>
        <v>36750</v>
      </c>
      <c r="M38" s="12">
        <f t="shared" si="1"/>
        <v>36750</v>
      </c>
      <c r="N38" s="12">
        <v>795</v>
      </c>
      <c r="O38" s="12">
        <v>3500</v>
      </c>
      <c r="P38" s="12">
        <v>0</v>
      </c>
      <c r="Q38" s="12">
        <v>0</v>
      </c>
      <c r="R38" s="12">
        <v>0</v>
      </c>
      <c r="S38" s="12">
        <v>0</v>
      </c>
      <c r="T38" s="12">
        <f t="shared" si="3"/>
        <v>3500</v>
      </c>
      <c r="U38" s="12">
        <f t="shared" si="5"/>
        <v>41045</v>
      </c>
      <c r="V38" s="12">
        <f t="shared" si="4"/>
        <v>40250</v>
      </c>
      <c r="W38" s="13" t="s">
        <v>1180</v>
      </c>
      <c r="X38" s="6" t="s">
        <v>41</v>
      </c>
      <c r="Y38" s="6" t="s">
        <v>885</v>
      </c>
      <c r="Z38" s="6" t="s">
        <v>36</v>
      </c>
      <c r="AA38" s="50"/>
      <c r="AC38" s="100">
        <v>41045</v>
      </c>
      <c r="AD38" s="14">
        <v>41045</v>
      </c>
      <c r="AE38" s="100">
        <v>0</v>
      </c>
    </row>
    <row r="39" spans="1:31" s="14" customFormat="1" ht="21.75" hidden="1" customHeight="1" x14ac:dyDescent="0.25">
      <c r="A39" s="6">
        <f>SUBTOTAL(3,$D$1:D39)-1</f>
        <v>0</v>
      </c>
      <c r="B39" s="7">
        <v>2000419</v>
      </c>
      <c r="C39" s="15" t="s">
        <v>150</v>
      </c>
      <c r="D39" s="9" t="s">
        <v>151</v>
      </c>
      <c r="E39" s="9" t="s">
        <v>677</v>
      </c>
      <c r="F39" s="9" t="s">
        <v>32</v>
      </c>
      <c r="G39" s="10">
        <v>43681</v>
      </c>
      <c r="H39" s="11" t="s">
        <v>33</v>
      </c>
      <c r="I39" s="11" t="s">
        <v>152</v>
      </c>
      <c r="J39" s="11">
        <f>VLOOKUP(C39,'[1]Sheet1 (5)'!$B$1:$W$121,21,0)</f>
        <v>11350</v>
      </c>
      <c r="K39" s="11">
        <f>VLOOKUP(C39,'[1]Sheet1 (5)'!$B$1:$W$121,22,0)</f>
        <v>17025</v>
      </c>
      <c r="L39" s="12">
        <f t="shared" si="0"/>
        <v>28375</v>
      </c>
      <c r="M39" s="12">
        <f t="shared" si="1"/>
        <v>28375</v>
      </c>
      <c r="N39" s="12">
        <v>795</v>
      </c>
      <c r="O39" s="12">
        <v>1446.6666666666667</v>
      </c>
      <c r="P39" s="12">
        <v>0</v>
      </c>
      <c r="Q39" s="12">
        <v>0</v>
      </c>
      <c r="R39" s="12">
        <f>22950/30*-8</f>
        <v>-6120</v>
      </c>
      <c r="S39" s="12">
        <v>0</v>
      </c>
      <c r="T39" s="12">
        <f t="shared" si="3"/>
        <v>-4673.333333333333</v>
      </c>
      <c r="U39" s="12">
        <f t="shared" si="5"/>
        <v>24496.666666666668</v>
      </c>
      <c r="V39" s="12">
        <f t="shared" si="4"/>
        <v>23701.666666666668</v>
      </c>
      <c r="W39" s="96" t="s">
        <v>1199</v>
      </c>
      <c r="X39" s="6" t="s">
        <v>35</v>
      </c>
      <c r="Y39" s="6" t="s">
        <v>888</v>
      </c>
      <c r="Z39" s="6" t="s">
        <v>36</v>
      </c>
      <c r="AA39" s="50"/>
      <c r="AC39" s="100">
        <v>24496.666666666668</v>
      </c>
      <c r="AD39" s="14">
        <v>24496.666666666668</v>
      </c>
      <c r="AE39" s="100">
        <v>0</v>
      </c>
    </row>
    <row r="40" spans="1:31" s="14" customFormat="1" ht="21.75" hidden="1" customHeight="1" x14ac:dyDescent="0.25">
      <c r="A40" s="6">
        <f>SUBTOTAL(3,$D$1:D40)-1</f>
        <v>0</v>
      </c>
      <c r="B40" s="7">
        <v>2000423</v>
      </c>
      <c r="C40" s="16" t="s">
        <v>153</v>
      </c>
      <c r="D40" s="17" t="s">
        <v>154</v>
      </c>
      <c r="E40" s="9" t="s">
        <v>693</v>
      </c>
      <c r="F40" s="9" t="s">
        <v>72</v>
      </c>
      <c r="G40" s="10">
        <v>43683</v>
      </c>
      <c r="H40" s="11" t="s">
        <v>45</v>
      </c>
      <c r="I40" s="11" t="s">
        <v>850</v>
      </c>
      <c r="J40" s="11">
        <f>VLOOKUP(C40,'[1]Sheet1 (5)'!$B$1:$W$121,21,0)</f>
        <v>8489.3000000000011</v>
      </c>
      <c r="K40" s="11">
        <f>VLOOKUP(C40,'[1]Sheet1 (5)'!$B$1:$W$121,22,0)</f>
        <v>12733.949999999999</v>
      </c>
      <c r="L40" s="12">
        <f t="shared" si="0"/>
        <v>21223.25</v>
      </c>
      <c r="M40" s="12">
        <f t="shared" si="1"/>
        <v>21223.25</v>
      </c>
      <c r="N40" s="12">
        <v>795</v>
      </c>
      <c r="O40" s="12">
        <v>2021.5</v>
      </c>
      <c r="P40" s="12">
        <v>0</v>
      </c>
      <c r="Q40" s="12">
        <v>0</v>
      </c>
      <c r="R40" s="12">
        <v>0</v>
      </c>
      <c r="S40" s="12">
        <v>0</v>
      </c>
      <c r="T40" s="12">
        <f t="shared" si="3"/>
        <v>2021.5</v>
      </c>
      <c r="U40" s="18">
        <f t="shared" si="5"/>
        <v>24039.75</v>
      </c>
      <c r="V40" s="12">
        <f t="shared" si="4"/>
        <v>23244.75</v>
      </c>
      <c r="W40" s="13" t="s">
        <v>1180</v>
      </c>
      <c r="X40" s="6" t="s">
        <v>210</v>
      </c>
      <c r="Y40" s="6" t="s">
        <v>873</v>
      </c>
      <c r="Z40" s="6" t="s">
        <v>36</v>
      </c>
      <c r="AA40" s="50"/>
      <c r="AC40" s="100">
        <v>24039.75</v>
      </c>
      <c r="AD40" s="14">
        <v>24039.75</v>
      </c>
      <c r="AE40" s="100">
        <v>0</v>
      </c>
    </row>
    <row r="41" spans="1:31" s="14" customFormat="1" ht="21.75" hidden="1" customHeight="1" x14ac:dyDescent="0.25">
      <c r="A41" s="6">
        <f>SUBTOTAL(3,$D$1:D41)-1</f>
        <v>0</v>
      </c>
      <c r="B41" s="7">
        <v>2000431</v>
      </c>
      <c r="C41" s="15" t="s">
        <v>156</v>
      </c>
      <c r="D41" s="9" t="s">
        <v>157</v>
      </c>
      <c r="E41" s="9" t="s">
        <v>694</v>
      </c>
      <c r="F41" s="9" t="s">
        <v>48</v>
      </c>
      <c r="G41" s="10">
        <v>43710</v>
      </c>
      <c r="H41" s="11" t="s">
        <v>49</v>
      </c>
      <c r="I41" s="11" t="s">
        <v>852</v>
      </c>
      <c r="J41" s="11">
        <f>VLOOKUP(C41,'[1]Sheet1 (5)'!$B$1:$W$121,21,0)</f>
        <v>12127.5</v>
      </c>
      <c r="K41" s="11">
        <f>VLOOKUP(C41,'[1]Sheet1 (5)'!$B$1:$W$121,22,0)</f>
        <v>18191.25</v>
      </c>
      <c r="L41" s="12">
        <f t="shared" si="0"/>
        <v>30318.75</v>
      </c>
      <c r="M41" s="12">
        <f t="shared" si="1"/>
        <v>30318.75</v>
      </c>
      <c r="N41" s="12">
        <v>795</v>
      </c>
      <c r="O41" s="12">
        <v>2887.5</v>
      </c>
      <c r="P41" s="12">
        <v>0</v>
      </c>
      <c r="Q41" s="12">
        <v>0</v>
      </c>
      <c r="R41" s="12">
        <v>0</v>
      </c>
      <c r="S41" s="12">
        <v>0</v>
      </c>
      <c r="T41" s="12">
        <f t="shared" si="3"/>
        <v>2887.5</v>
      </c>
      <c r="U41" s="12">
        <f t="shared" si="5"/>
        <v>34001.25</v>
      </c>
      <c r="V41" s="12">
        <f t="shared" si="4"/>
        <v>33206.25</v>
      </c>
      <c r="W41" s="13" t="s">
        <v>1180</v>
      </c>
      <c r="X41" s="6" t="s">
        <v>210</v>
      </c>
      <c r="Y41" s="6" t="s">
        <v>876</v>
      </c>
      <c r="Z41" s="6" t="s">
        <v>36</v>
      </c>
      <c r="AA41" s="50"/>
      <c r="AC41" s="100">
        <v>34001.25</v>
      </c>
      <c r="AD41" s="14">
        <v>34001.25</v>
      </c>
      <c r="AE41" s="100">
        <v>0</v>
      </c>
    </row>
    <row r="42" spans="1:31" s="14" customFormat="1" ht="21.75" hidden="1" customHeight="1" x14ac:dyDescent="0.25">
      <c r="A42" s="6">
        <f>SUBTOTAL(3,$D$1:D42)-1</f>
        <v>0</v>
      </c>
      <c r="B42" s="7">
        <v>2000430</v>
      </c>
      <c r="C42" s="15" t="s">
        <v>158</v>
      </c>
      <c r="D42" s="9" t="s">
        <v>159</v>
      </c>
      <c r="E42" s="9" t="s">
        <v>117</v>
      </c>
      <c r="F42" s="9" t="s">
        <v>32</v>
      </c>
      <c r="G42" s="10">
        <v>43709</v>
      </c>
      <c r="H42" s="11" t="s">
        <v>40</v>
      </c>
      <c r="I42" s="11" t="s">
        <v>847</v>
      </c>
      <c r="J42" s="11">
        <f>VLOOKUP(C42,'[1]Sheet1 (5)'!$B$1:$W$121,21,0)</f>
        <v>8500.8000000000011</v>
      </c>
      <c r="K42" s="11">
        <f>VLOOKUP(C42,'[1]Sheet1 (5)'!$B$1:$W$121,22,0)</f>
        <v>12751.199999999999</v>
      </c>
      <c r="L42" s="12">
        <f t="shared" si="0"/>
        <v>21252</v>
      </c>
      <c r="M42" s="12">
        <f t="shared" si="1"/>
        <v>21252</v>
      </c>
      <c r="N42" s="12">
        <v>795</v>
      </c>
      <c r="O42" s="12">
        <v>269.86666666666667</v>
      </c>
      <c r="P42" s="12">
        <v>0</v>
      </c>
      <c r="Q42" s="12">
        <v>0</v>
      </c>
      <c r="R42" s="12">
        <v>0</v>
      </c>
      <c r="S42" s="12">
        <v>0</v>
      </c>
      <c r="T42" s="12">
        <f t="shared" si="3"/>
        <v>269.86666666666667</v>
      </c>
      <c r="U42" s="12">
        <f t="shared" si="5"/>
        <v>22316.866666666665</v>
      </c>
      <c r="V42" s="12">
        <f t="shared" si="4"/>
        <v>21521.866666666665</v>
      </c>
      <c r="W42" s="96" t="s">
        <v>1183</v>
      </c>
      <c r="X42" s="6" t="s">
        <v>889</v>
      </c>
      <c r="Y42" s="6" t="s">
        <v>869</v>
      </c>
      <c r="Z42" s="6" t="s">
        <v>36</v>
      </c>
      <c r="AA42" s="50"/>
      <c r="AC42" s="100">
        <v>22316.866666666665</v>
      </c>
      <c r="AD42" s="14">
        <v>22316.866666666665</v>
      </c>
      <c r="AE42" s="100">
        <v>0</v>
      </c>
    </row>
    <row r="43" spans="1:31" s="14" customFormat="1" ht="21.75" hidden="1" customHeight="1" x14ac:dyDescent="0.25">
      <c r="A43" s="6">
        <f>SUBTOTAL(3,$D$1:D43)-1</f>
        <v>0</v>
      </c>
      <c r="B43" s="7">
        <v>2000416</v>
      </c>
      <c r="C43" s="16" t="s">
        <v>741</v>
      </c>
      <c r="D43" s="17" t="s">
        <v>740</v>
      </c>
      <c r="E43" s="9" t="s">
        <v>461</v>
      </c>
      <c r="F43" s="9" t="s">
        <v>52</v>
      </c>
      <c r="G43" s="10">
        <v>45615</v>
      </c>
      <c r="H43" s="11" t="s">
        <v>33</v>
      </c>
      <c r="I43" s="11" t="s">
        <v>34</v>
      </c>
      <c r="J43" s="11">
        <f>VLOOKUP(C43,'[1]Sheet1 (5)'!$B$1:$W$121,21,0)</f>
        <v>17287.2</v>
      </c>
      <c r="K43" s="11">
        <f>VLOOKUP(C43,'[1]Sheet1 (5)'!$B$1:$W$121,22,0)</f>
        <v>25930.799999999999</v>
      </c>
      <c r="L43" s="12">
        <f t="shared" si="0"/>
        <v>43218</v>
      </c>
      <c r="M43" s="12">
        <f>L43/30*30</f>
        <v>43218</v>
      </c>
      <c r="N43" s="12">
        <v>795</v>
      </c>
      <c r="O43" s="12">
        <v>4116</v>
      </c>
      <c r="P43" s="12">
        <v>0</v>
      </c>
      <c r="Q43" s="12">
        <v>0</v>
      </c>
      <c r="R43" s="12">
        <v>0</v>
      </c>
      <c r="S43" s="12">
        <v>0</v>
      </c>
      <c r="T43" s="12">
        <f t="shared" si="3"/>
        <v>4116</v>
      </c>
      <c r="U43" s="18">
        <f t="shared" si="5"/>
        <v>48129</v>
      </c>
      <c r="V43" s="12">
        <f t="shared" si="4"/>
        <v>47334</v>
      </c>
      <c r="W43" s="13" t="s">
        <v>1180</v>
      </c>
      <c r="X43" s="6" t="s">
        <v>88</v>
      </c>
      <c r="Y43" s="6" t="s">
        <v>868</v>
      </c>
      <c r="Z43" s="6" t="s">
        <v>36</v>
      </c>
      <c r="AA43" s="50"/>
      <c r="AC43" s="100">
        <v>48129</v>
      </c>
      <c r="AD43" s="14">
        <v>48129</v>
      </c>
      <c r="AE43" s="100">
        <v>0</v>
      </c>
    </row>
    <row r="44" spans="1:31" s="14" customFormat="1" ht="21.75" hidden="1" customHeight="1" x14ac:dyDescent="0.25">
      <c r="A44" s="6">
        <f>SUBTOTAL(3,$D$1:D44)-1</f>
        <v>0</v>
      </c>
      <c r="B44" s="7">
        <v>2000438</v>
      </c>
      <c r="C44" s="15" t="s">
        <v>160</v>
      </c>
      <c r="D44" s="9" t="s">
        <v>161</v>
      </c>
      <c r="E44" s="9" t="s">
        <v>1014</v>
      </c>
      <c r="F44" s="9" t="s">
        <v>162</v>
      </c>
      <c r="G44" s="10">
        <v>43730</v>
      </c>
      <c r="H44" s="11" t="s">
        <v>69</v>
      </c>
      <c r="I44" s="11" t="s">
        <v>131</v>
      </c>
      <c r="J44" s="11">
        <f>VLOOKUP(C44,'[1]Sheet1 (5)'!$B$1:$W$121,21,0)</f>
        <v>14000</v>
      </c>
      <c r="K44" s="11">
        <f>VLOOKUP(C44,'[1]Sheet1 (5)'!$B$1:$W$121,22,0)</f>
        <v>21000</v>
      </c>
      <c r="L44" s="12">
        <f t="shared" si="0"/>
        <v>35000</v>
      </c>
      <c r="M44" s="12">
        <f t="shared" ref="M44:M75" si="6">L44</f>
        <v>35000</v>
      </c>
      <c r="N44" s="12">
        <v>795</v>
      </c>
      <c r="O44" s="12">
        <v>12250</v>
      </c>
      <c r="P44" s="12">
        <v>0</v>
      </c>
      <c r="Q44" s="12">
        <v>0</v>
      </c>
      <c r="R44" s="12">
        <v>0</v>
      </c>
      <c r="S44" s="12">
        <v>0</v>
      </c>
      <c r="T44" s="12">
        <f t="shared" si="3"/>
        <v>12250</v>
      </c>
      <c r="U44" s="12">
        <f t="shared" si="5"/>
        <v>48045</v>
      </c>
      <c r="V44" s="12">
        <f t="shared" si="4"/>
        <v>47250</v>
      </c>
      <c r="W44" s="13" t="s">
        <v>1180</v>
      </c>
      <c r="X44" s="6" t="s">
        <v>88</v>
      </c>
      <c r="Y44" s="6" t="s">
        <v>885</v>
      </c>
      <c r="Z44" s="6" t="s">
        <v>36</v>
      </c>
      <c r="AA44" s="50"/>
      <c r="AC44" s="100">
        <v>48045</v>
      </c>
      <c r="AD44" s="14">
        <v>48045</v>
      </c>
      <c r="AE44" s="100">
        <v>0</v>
      </c>
    </row>
    <row r="45" spans="1:31" s="14" customFormat="1" ht="21.75" hidden="1" customHeight="1" x14ac:dyDescent="0.25">
      <c r="A45" s="6">
        <f>SUBTOTAL(3,$D$1:D45)-1</f>
        <v>0</v>
      </c>
      <c r="B45" s="7">
        <v>2000442</v>
      </c>
      <c r="C45" s="15" t="s">
        <v>163</v>
      </c>
      <c r="D45" s="9" t="s">
        <v>164</v>
      </c>
      <c r="E45" s="9" t="s">
        <v>165</v>
      </c>
      <c r="F45" s="9" t="s">
        <v>166</v>
      </c>
      <c r="G45" s="10">
        <v>43740</v>
      </c>
      <c r="H45" s="11" t="s">
        <v>49</v>
      </c>
      <c r="I45" s="11" t="s">
        <v>855</v>
      </c>
      <c r="J45" s="11">
        <f>VLOOKUP(C45,'[1]Sheet1 (5)'!$B$1:$W$121,21,0)</f>
        <v>17054</v>
      </c>
      <c r="K45" s="11">
        <f>VLOOKUP(C45,'[1]Sheet1 (5)'!$B$1:$W$121,22,0)</f>
        <v>25581</v>
      </c>
      <c r="L45" s="12">
        <f t="shared" si="0"/>
        <v>42635</v>
      </c>
      <c r="M45" s="12">
        <f t="shared" si="6"/>
        <v>42635</v>
      </c>
      <c r="N45" s="12">
        <v>795</v>
      </c>
      <c r="O45" s="12">
        <v>4060.5</v>
      </c>
      <c r="P45" s="12">
        <v>0</v>
      </c>
      <c r="Q45" s="12">
        <v>0</v>
      </c>
      <c r="R45" s="12">
        <v>0</v>
      </c>
      <c r="S45" s="12">
        <v>0</v>
      </c>
      <c r="T45" s="12">
        <f t="shared" si="3"/>
        <v>4060.5</v>
      </c>
      <c r="U45" s="12">
        <f t="shared" si="5"/>
        <v>47490.5</v>
      </c>
      <c r="V45" s="12">
        <f t="shared" si="4"/>
        <v>46695.5</v>
      </c>
      <c r="W45" s="13" t="s">
        <v>1180</v>
      </c>
      <c r="X45" s="6" t="s">
        <v>35</v>
      </c>
      <c r="Y45" s="6" t="s">
        <v>887</v>
      </c>
      <c r="Z45" s="6" t="s">
        <v>36</v>
      </c>
      <c r="AA45" s="50"/>
      <c r="AC45" s="100">
        <v>47490.5</v>
      </c>
      <c r="AD45" s="14">
        <v>47490.5</v>
      </c>
      <c r="AE45" s="100">
        <v>0</v>
      </c>
    </row>
    <row r="46" spans="1:31" s="14" customFormat="1" ht="21.75" hidden="1" customHeight="1" x14ac:dyDescent="0.25">
      <c r="A46" s="6">
        <f>SUBTOTAL(3,$D$1:D46)-1</f>
        <v>0</v>
      </c>
      <c r="B46" s="7">
        <v>2000447</v>
      </c>
      <c r="C46" s="15" t="s">
        <v>167</v>
      </c>
      <c r="D46" s="9" t="s">
        <v>761</v>
      </c>
      <c r="E46" s="9" t="s">
        <v>1015</v>
      </c>
      <c r="F46" s="9" t="s">
        <v>48</v>
      </c>
      <c r="G46" s="10">
        <v>43751</v>
      </c>
      <c r="H46" s="11" t="s">
        <v>49</v>
      </c>
      <c r="I46" s="11" t="s">
        <v>852</v>
      </c>
      <c r="J46" s="11">
        <f>VLOOKUP(C46,'[1]Sheet1 (5)'!$B$1:$W$121,21,0)</f>
        <v>11917.5</v>
      </c>
      <c r="K46" s="11">
        <f>VLOOKUP(C46,'[1]Sheet1 (5)'!$B$1:$W$121,22,0)</f>
        <v>17876.25</v>
      </c>
      <c r="L46" s="12">
        <f t="shared" si="0"/>
        <v>29793.75</v>
      </c>
      <c r="M46" s="12">
        <f t="shared" si="6"/>
        <v>29793.75</v>
      </c>
      <c r="N46" s="12">
        <v>795</v>
      </c>
      <c r="O46" s="12">
        <v>2837.5</v>
      </c>
      <c r="P46" s="12">
        <v>0</v>
      </c>
      <c r="Q46" s="12">
        <v>0</v>
      </c>
      <c r="R46" s="12">
        <v>0</v>
      </c>
      <c r="S46" s="12">
        <v>0</v>
      </c>
      <c r="T46" s="12">
        <f t="shared" si="3"/>
        <v>2837.5</v>
      </c>
      <c r="U46" s="12">
        <f t="shared" si="5"/>
        <v>33426.25</v>
      </c>
      <c r="V46" s="12">
        <f t="shared" si="4"/>
        <v>32631.25</v>
      </c>
      <c r="W46" s="13" t="s">
        <v>1180</v>
      </c>
      <c r="X46" s="6" t="s">
        <v>88</v>
      </c>
      <c r="Y46" s="6" t="s">
        <v>876</v>
      </c>
      <c r="Z46" s="6" t="s">
        <v>36</v>
      </c>
      <c r="AA46" s="50"/>
      <c r="AC46" s="100">
        <v>33426.25</v>
      </c>
      <c r="AD46" s="14">
        <v>33426.25</v>
      </c>
      <c r="AE46" s="100">
        <v>0</v>
      </c>
    </row>
    <row r="47" spans="1:31" s="14" customFormat="1" ht="21.75" hidden="1" customHeight="1" x14ac:dyDescent="0.25">
      <c r="A47" s="6">
        <f>SUBTOTAL(3,$D$1:D47)-1</f>
        <v>0</v>
      </c>
      <c r="B47" s="7">
        <v>2000445</v>
      </c>
      <c r="C47" s="15" t="s">
        <v>168</v>
      </c>
      <c r="D47" s="9" t="s">
        <v>169</v>
      </c>
      <c r="E47" s="9" t="s">
        <v>695</v>
      </c>
      <c r="F47" s="9" t="s">
        <v>170</v>
      </c>
      <c r="G47" s="10">
        <v>43745</v>
      </c>
      <c r="H47" s="11" t="s">
        <v>49</v>
      </c>
      <c r="I47" s="11" t="s">
        <v>852</v>
      </c>
      <c r="J47" s="11">
        <f>VLOOKUP(C47,'[1]Sheet1 (5)'!$B$1:$W$121,21,0)</f>
        <v>9979.2000000000007</v>
      </c>
      <c r="K47" s="11">
        <f>VLOOKUP(C47,'[1]Sheet1 (5)'!$B$1:$W$121,22,0)</f>
        <v>14968.8</v>
      </c>
      <c r="L47" s="12">
        <f t="shared" si="0"/>
        <v>24948</v>
      </c>
      <c r="M47" s="12">
        <f t="shared" si="6"/>
        <v>24948</v>
      </c>
      <c r="N47" s="12">
        <v>795</v>
      </c>
      <c r="O47" s="12">
        <v>604.79999999999995</v>
      </c>
      <c r="P47" s="12">
        <v>0</v>
      </c>
      <c r="Q47" s="12">
        <v>0</v>
      </c>
      <c r="R47" s="12">
        <v>0</v>
      </c>
      <c r="S47" s="12">
        <v>0</v>
      </c>
      <c r="T47" s="12">
        <f t="shared" si="3"/>
        <v>604.79999999999995</v>
      </c>
      <c r="U47" s="12">
        <f t="shared" si="5"/>
        <v>26347.8</v>
      </c>
      <c r="V47" s="12">
        <f t="shared" si="4"/>
        <v>25552.799999999999</v>
      </c>
      <c r="W47" s="96" t="s">
        <v>1183</v>
      </c>
      <c r="X47" s="6" t="s">
        <v>889</v>
      </c>
      <c r="Y47" s="6" t="s">
        <v>876</v>
      </c>
      <c r="Z47" s="6" t="s">
        <v>36</v>
      </c>
      <c r="AA47" s="50"/>
      <c r="AC47" s="100">
        <v>26347.8</v>
      </c>
      <c r="AD47" s="14">
        <v>26347.8</v>
      </c>
      <c r="AE47" s="100">
        <v>0</v>
      </c>
    </row>
    <row r="48" spans="1:31" s="14" customFormat="1" ht="21.75" hidden="1" customHeight="1" x14ac:dyDescent="0.25">
      <c r="A48" s="6">
        <f>SUBTOTAL(3,$D$1:D48)-1</f>
        <v>0</v>
      </c>
      <c r="B48" s="7">
        <v>2000459</v>
      </c>
      <c r="C48" s="15" t="s">
        <v>171</v>
      </c>
      <c r="D48" s="9" t="s">
        <v>172</v>
      </c>
      <c r="E48" s="9" t="s">
        <v>696</v>
      </c>
      <c r="F48" s="9" t="s">
        <v>48</v>
      </c>
      <c r="G48" s="10">
        <v>43755</v>
      </c>
      <c r="H48" s="11" t="s">
        <v>40</v>
      </c>
      <c r="I48" s="11" t="s">
        <v>847</v>
      </c>
      <c r="J48" s="11">
        <v>13629</v>
      </c>
      <c r="K48" s="11">
        <v>20443.5</v>
      </c>
      <c r="L48" s="12">
        <f t="shared" si="0"/>
        <v>34072.5</v>
      </c>
      <c r="M48" s="12">
        <f t="shared" si="6"/>
        <v>34072.5</v>
      </c>
      <c r="N48" s="12">
        <v>795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f t="shared" si="3"/>
        <v>0</v>
      </c>
      <c r="U48" s="12">
        <f t="shared" si="5"/>
        <v>34867.5</v>
      </c>
      <c r="V48" s="12">
        <f t="shared" si="4"/>
        <v>34072.5</v>
      </c>
      <c r="W48" s="13"/>
      <c r="X48" s="6" t="s">
        <v>41</v>
      </c>
      <c r="Y48" s="6" t="s">
        <v>869</v>
      </c>
      <c r="Z48" s="6" t="s">
        <v>36</v>
      </c>
      <c r="AA48" s="50"/>
      <c r="AC48" s="100">
        <v>34867.5</v>
      </c>
      <c r="AD48" s="14">
        <v>34867.5</v>
      </c>
      <c r="AE48" s="100">
        <v>0</v>
      </c>
    </row>
    <row r="49" spans="1:31" s="14" customFormat="1" ht="21.75" hidden="1" customHeight="1" x14ac:dyDescent="0.25">
      <c r="A49" s="6">
        <f>SUBTOTAL(3,$D$1:D49)-1</f>
        <v>0</v>
      </c>
      <c r="B49" s="7">
        <v>2000149</v>
      </c>
      <c r="C49" s="15" t="s">
        <v>173</v>
      </c>
      <c r="D49" s="9" t="s">
        <v>174</v>
      </c>
      <c r="E49" s="9" t="s">
        <v>697</v>
      </c>
      <c r="F49" s="9" t="s">
        <v>175</v>
      </c>
      <c r="G49" s="10">
        <v>43772</v>
      </c>
      <c r="H49" s="11" t="s">
        <v>87</v>
      </c>
      <c r="I49" s="11" t="s">
        <v>176</v>
      </c>
      <c r="J49" s="11">
        <f>VLOOKUP(C49,'[1]Sheet1 (5)'!$B$1:$W$121,21,0)</f>
        <v>13109.300000000001</v>
      </c>
      <c r="K49" s="11">
        <f>VLOOKUP(C49,'[1]Sheet1 (5)'!$B$1:$W$121,22,0)</f>
        <v>19663.95</v>
      </c>
      <c r="L49" s="12">
        <f t="shared" si="0"/>
        <v>32773.25</v>
      </c>
      <c r="M49" s="12">
        <f t="shared" si="6"/>
        <v>32773.25</v>
      </c>
      <c r="N49" s="12">
        <v>795</v>
      </c>
      <c r="O49" s="12">
        <v>3121.5</v>
      </c>
      <c r="P49" s="12">
        <v>0</v>
      </c>
      <c r="Q49" s="12">
        <v>0</v>
      </c>
      <c r="R49" s="12">
        <v>0</v>
      </c>
      <c r="S49" s="12">
        <v>0</v>
      </c>
      <c r="T49" s="12">
        <f t="shared" si="3"/>
        <v>3121.5</v>
      </c>
      <c r="U49" s="12">
        <f t="shared" si="5"/>
        <v>36689.75</v>
      </c>
      <c r="V49" s="12">
        <f t="shared" si="4"/>
        <v>35894.75</v>
      </c>
      <c r="W49" s="13" t="s">
        <v>1180</v>
      </c>
      <c r="X49" s="6" t="s">
        <v>56</v>
      </c>
      <c r="Y49" s="6" t="s">
        <v>890</v>
      </c>
      <c r="Z49" s="6" t="s">
        <v>36</v>
      </c>
      <c r="AA49" s="50"/>
      <c r="AC49" s="100">
        <v>36689.75</v>
      </c>
      <c r="AD49" s="14">
        <v>36689.75</v>
      </c>
      <c r="AE49" s="100">
        <v>0</v>
      </c>
    </row>
    <row r="50" spans="1:31" s="14" customFormat="1" ht="21.75" hidden="1" customHeight="1" x14ac:dyDescent="0.25">
      <c r="A50" s="6">
        <f>SUBTOTAL(3,$D$1:D50)-1</f>
        <v>0</v>
      </c>
      <c r="B50" s="7">
        <v>2000466</v>
      </c>
      <c r="C50" s="15" t="s">
        <v>177</v>
      </c>
      <c r="D50" s="9" t="s">
        <v>178</v>
      </c>
      <c r="E50" s="9" t="s">
        <v>140</v>
      </c>
      <c r="F50" s="9" t="s">
        <v>84</v>
      </c>
      <c r="G50" s="10">
        <v>43772</v>
      </c>
      <c r="H50" s="11" t="s">
        <v>49</v>
      </c>
      <c r="I50" s="11" t="s">
        <v>849</v>
      </c>
      <c r="J50" s="11">
        <f>VLOOKUP(C50,'[1]Sheet1 (5)'!$B$1:$W$121,21,0)</f>
        <v>4200</v>
      </c>
      <c r="K50" s="11">
        <f>VLOOKUP(C50,'[1]Sheet1 (5)'!$B$1:$W$121,22,0)</f>
        <v>6300</v>
      </c>
      <c r="L50" s="12">
        <f t="shared" si="0"/>
        <v>10500</v>
      </c>
      <c r="M50" s="12">
        <f t="shared" si="6"/>
        <v>10500</v>
      </c>
      <c r="N50" s="12">
        <v>795</v>
      </c>
      <c r="O50" s="12">
        <v>1000</v>
      </c>
      <c r="P50" s="12">
        <v>0</v>
      </c>
      <c r="Q50" s="12">
        <v>0</v>
      </c>
      <c r="R50" s="12">
        <v>0</v>
      </c>
      <c r="S50" s="12">
        <v>0</v>
      </c>
      <c r="T50" s="12">
        <f t="shared" si="3"/>
        <v>1000</v>
      </c>
      <c r="U50" s="12">
        <f t="shared" si="5"/>
        <v>12295</v>
      </c>
      <c r="V50" s="12">
        <f t="shared" si="4"/>
        <v>11500</v>
      </c>
      <c r="W50" s="13" t="s">
        <v>1180</v>
      </c>
      <c r="X50" s="6" t="s">
        <v>891</v>
      </c>
      <c r="Y50" s="6" t="s">
        <v>871</v>
      </c>
      <c r="Z50" s="6" t="s">
        <v>36</v>
      </c>
      <c r="AA50" s="50"/>
      <c r="AC50" s="100">
        <v>12295</v>
      </c>
      <c r="AD50" s="14">
        <v>12295</v>
      </c>
      <c r="AE50" s="100">
        <v>0</v>
      </c>
    </row>
    <row r="51" spans="1:31" s="14" customFormat="1" ht="21.75" hidden="1" customHeight="1" x14ac:dyDescent="0.25">
      <c r="A51" s="6">
        <f>SUBTOTAL(3,$D$1:D51)-1</f>
        <v>0</v>
      </c>
      <c r="B51" s="7">
        <v>2000465</v>
      </c>
      <c r="C51" s="15" t="s">
        <v>179</v>
      </c>
      <c r="D51" s="9" t="s">
        <v>180</v>
      </c>
      <c r="E51" s="9" t="s">
        <v>181</v>
      </c>
      <c r="F51" s="9" t="s">
        <v>81</v>
      </c>
      <c r="G51" s="10">
        <v>43772</v>
      </c>
      <c r="H51" s="11" t="s">
        <v>49</v>
      </c>
      <c r="I51" s="11" t="s">
        <v>849</v>
      </c>
      <c r="J51" s="11">
        <f>VLOOKUP(C51,'[1]Sheet1 (5)'!$B$1:$W$121,21,0)</f>
        <v>8400</v>
      </c>
      <c r="K51" s="11">
        <f>VLOOKUP(C51,'[1]Sheet1 (5)'!$B$1:$W$121,22,0)</f>
        <v>12600</v>
      </c>
      <c r="L51" s="12">
        <f t="shared" si="0"/>
        <v>21000</v>
      </c>
      <c r="M51" s="12">
        <f t="shared" si="6"/>
        <v>21000</v>
      </c>
      <c r="N51" s="12">
        <v>795</v>
      </c>
      <c r="O51" s="12">
        <v>2000</v>
      </c>
      <c r="P51" s="12">
        <v>0</v>
      </c>
      <c r="Q51" s="12">
        <v>0</v>
      </c>
      <c r="R51" s="12">
        <v>0</v>
      </c>
      <c r="S51" s="12">
        <v>0</v>
      </c>
      <c r="T51" s="12">
        <f t="shared" si="3"/>
        <v>2000</v>
      </c>
      <c r="U51" s="12">
        <f t="shared" si="5"/>
        <v>23795</v>
      </c>
      <c r="V51" s="12">
        <f t="shared" si="4"/>
        <v>23000</v>
      </c>
      <c r="W51" s="13" t="s">
        <v>1180</v>
      </c>
      <c r="X51" s="6" t="s">
        <v>210</v>
      </c>
      <c r="Y51" s="6" t="s">
        <v>871</v>
      </c>
      <c r="Z51" s="6" t="s">
        <v>36</v>
      </c>
      <c r="AA51" s="50"/>
      <c r="AC51" s="100">
        <v>23795</v>
      </c>
      <c r="AD51" s="14">
        <v>23795</v>
      </c>
      <c r="AE51" s="100">
        <v>0</v>
      </c>
    </row>
    <row r="52" spans="1:31" s="14" customFormat="1" ht="21.75" hidden="1" customHeight="1" x14ac:dyDescent="0.25">
      <c r="A52" s="6">
        <f>SUBTOTAL(3,$D$1:D52)-1</f>
        <v>0</v>
      </c>
      <c r="B52" s="7">
        <v>2000464</v>
      </c>
      <c r="C52" s="15" t="s">
        <v>182</v>
      </c>
      <c r="D52" s="9" t="s">
        <v>183</v>
      </c>
      <c r="E52" s="9" t="s">
        <v>181</v>
      </c>
      <c r="F52" s="9" t="s">
        <v>44</v>
      </c>
      <c r="G52" s="10">
        <v>43772</v>
      </c>
      <c r="H52" s="11" t="s">
        <v>49</v>
      </c>
      <c r="I52" s="11" t="s">
        <v>849</v>
      </c>
      <c r="J52" s="11">
        <f>VLOOKUP(C52,'[1]Sheet1 (5)'!$B$1:$W$121,21,0)</f>
        <v>6615</v>
      </c>
      <c r="K52" s="11">
        <f>VLOOKUP(C52,'[1]Sheet1 (5)'!$B$1:$W$121,22,0)</f>
        <v>9922.5</v>
      </c>
      <c r="L52" s="12">
        <f t="shared" si="0"/>
        <v>16537.5</v>
      </c>
      <c r="M52" s="12">
        <f t="shared" si="6"/>
        <v>16537.5</v>
      </c>
      <c r="N52" s="12">
        <v>795</v>
      </c>
      <c r="O52" s="12">
        <v>1575</v>
      </c>
      <c r="P52" s="12">
        <v>0</v>
      </c>
      <c r="Q52" s="12">
        <v>0</v>
      </c>
      <c r="R52" s="12">
        <v>0</v>
      </c>
      <c r="S52" s="12">
        <v>0</v>
      </c>
      <c r="T52" s="12">
        <f t="shared" si="3"/>
        <v>1575</v>
      </c>
      <c r="U52" s="12">
        <f t="shared" si="5"/>
        <v>18907.5</v>
      </c>
      <c r="V52" s="12">
        <f t="shared" si="4"/>
        <v>18112.5</v>
      </c>
      <c r="W52" s="13" t="s">
        <v>1180</v>
      </c>
      <c r="X52" s="6" t="s">
        <v>889</v>
      </c>
      <c r="Y52" s="6" t="s">
        <v>871</v>
      </c>
      <c r="Z52" s="6" t="s">
        <v>36</v>
      </c>
      <c r="AA52" s="50"/>
      <c r="AC52" s="100">
        <v>18907.5</v>
      </c>
      <c r="AD52" s="14">
        <v>18907.5</v>
      </c>
      <c r="AE52" s="100">
        <v>0</v>
      </c>
    </row>
    <row r="53" spans="1:31" s="14" customFormat="1" ht="21.75" hidden="1" customHeight="1" x14ac:dyDescent="0.25">
      <c r="A53" s="6">
        <f>SUBTOTAL(3,$D$1:D53)-1</f>
        <v>0</v>
      </c>
      <c r="B53" s="7">
        <v>2000471</v>
      </c>
      <c r="C53" s="15" t="s">
        <v>184</v>
      </c>
      <c r="D53" s="9" t="s">
        <v>185</v>
      </c>
      <c r="E53" s="9" t="s">
        <v>691</v>
      </c>
      <c r="F53" s="9" t="s">
        <v>114</v>
      </c>
      <c r="G53" s="10">
        <v>43835</v>
      </c>
      <c r="H53" s="11" t="s">
        <v>69</v>
      </c>
      <c r="I53" s="11" t="s">
        <v>131</v>
      </c>
      <c r="J53" s="11">
        <f>VLOOKUP(C53,'[1]Sheet1 (5)'!$B$1:$W$121,21,0)</f>
        <v>24710.400000000001</v>
      </c>
      <c r="K53" s="11">
        <f>VLOOKUP(C53,'[1]Sheet1 (5)'!$B$1:$W$121,22,0)</f>
        <v>37065.599999999999</v>
      </c>
      <c r="L53" s="12">
        <f t="shared" si="0"/>
        <v>61776</v>
      </c>
      <c r="M53" s="12">
        <f t="shared" si="6"/>
        <v>61776</v>
      </c>
      <c r="N53" s="12">
        <v>795</v>
      </c>
      <c r="O53" s="12">
        <v>11232</v>
      </c>
      <c r="P53" s="12">
        <v>0</v>
      </c>
      <c r="Q53" s="12">
        <v>0</v>
      </c>
      <c r="R53" s="12">
        <v>0</v>
      </c>
      <c r="S53" s="12">
        <v>0</v>
      </c>
      <c r="T53" s="12">
        <f t="shared" si="3"/>
        <v>11232</v>
      </c>
      <c r="U53" s="12">
        <f t="shared" si="5"/>
        <v>73803</v>
      </c>
      <c r="V53" s="12">
        <f t="shared" si="4"/>
        <v>73008</v>
      </c>
      <c r="W53" s="13" t="s">
        <v>1180</v>
      </c>
      <c r="X53" s="6" t="s">
        <v>41</v>
      </c>
      <c r="Y53" s="6" t="s">
        <v>885</v>
      </c>
      <c r="Z53" s="6" t="s">
        <v>36</v>
      </c>
      <c r="AA53" s="50"/>
      <c r="AC53" s="100">
        <v>73803</v>
      </c>
      <c r="AD53" s="14">
        <v>73803</v>
      </c>
      <c r="AE53" s="100">
        <v>0</v>
      </c>
    </row>
    <row r="54" spans="1:31" s="14" customFormat="1" ht="21.75" hidden="1" customHeight="1" x14ac:dyDescent="0.25">
      <c r="A54" s="6">
        <f>SUBTOTAL(3,$D$1:D54)-1</f>
        <v>0</v>
      </c>
      <c r="B54" s="7">
        <v>2000267</v>
      </c>
      <c r="C54" s="15" t="s">
        <v>186</v>
      </c>
      <c r="D54" s="9" t="s">
        <v>187</v>
      </c>
      <c r="E54" s="9" t="s">
        <v>698</v>
      </c>
      <c r="F54" s="9" t="s">
        <v>188</v>
      </c>
      <c r="G54" s="10">
        <v>43922</v>
      </c>
      <c r="H54" s="11" t="s">
        <v>33</v>
      </c>
      <c r="I54" s="11" t="s">
        <v>97</v>
      </c>
      <c r="J54" s="11">
        <f>VLOOKUP(C54,'[1]Sheet1 (5)'!$B$1:$W$121,21,0)</f>
        <v>15093.800000000001</v>
      </c>
      <c r="K54" s="11">
        <f>VLOOKUP(C54,'[1]Sheet1 (5)'!$B$1:$W$121,22,0)</f>
        <v>22640.7</v>
      </c>
      <c r="L54" s="12">
        <f t="shared" si="0"/>
        <v>37734.5</v>
      </c>
      <c r="M54" s="12">
        <f t="shared" si="6"/>
        <v>37734.5</v>
      </c>
      <c r="N54" s="12">
        <v>795</v>
      </c>
      <c r="O54" s="12">
        <v>3594</v>
      </c>
      <c r="P54" s="12">
        <v>0</v>
      </c>
      <c r="Q54" s="12">
        <v>0</v>
      </c>
      <c r="R54" s="12">
        <v>0</v>
      </c>
      <c r="S54" s="12">
        <v>0</v>
      </c>
      <c r="T54" s="12">
        <f t="shared" si="3"/>
        <v>3594</v>
      </c>
      <c r="U54" s="12">
        <f t="shared" si="5"/>
        <v>42123.5</v>
      </c>
      <c r="V54" s="12">
        <f t="shared" si="4"/>
        <v>41328.5</v>
      </c>
      <c r="W54" s="13" t="s">
        <v>1180</v>
      </c>
      <c r="X54" s="6" t="s">
        <v>56</v>
      </c>
      <c r="Y54" s="6" t="s">
        <v>880</v>
      </c>
      <c r="Z54" s="6" t="s">
        <v>36</v>
      </c>
      <c r="AA54" s="50"/>
      <c r="AC54" s="100">
        <v>42123.5</v>
      </c>
      <c r="AD54" s="14">
        <v>42123.5</v>
      </c>
      <c r="AE54" s="100">
        <v>0</v>
      </c>
    </row>
    <row r="55" spans="1:31" s="14" customFormat="1" ht="21.75" hidden="1" customHeight="1" x14ac:dyDescent="0.25">
      <c r="A55" s="6">
        <f>SUBTOTAL(3,$D$1:D55)-1</f>
        <v>0</v>
      </c>
      <c r="B55" s="7">
        <v>2000490</v>
      </c>
      <c r="C55" s="15" t="s">
        <v>189</v>
      </c>
      <c r="D55" s="9" t="s">
        <v>190</v>
      </c>
      <c r="E55" s="9" t="s">
        <v>1016</v>
      </c>
      <c r="F55" s="9" t="s">
        <v>114</v>
      </c>
      <c r="G55" s="10">
        <v>43955</v>
      </c>
      <c r="H55" s="11" t="s">
        <v>33</v>
      </c>
      <c r="I55" s="11" t="s">
        <v>97</v>
      </c>
      <c r="J55" s="11">
        <v>19950</v>
      </c>
      <c r="K55" s="11">
        <v>29925</v>
      </c>
      <c r="L55" s="12">
        <f t="shared" si="0"/>
        <v>49875</v>
      </c>
      <c r="M55" s="12">
        <f t="shared" si="6"/>
        <v>49875</v>
      </c>
      <c r="N55" s="12">
        <v>795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f t="shared" si="3"/>
        <v>0</v>
      </c>
      <c r="U55" s="12">
        <f t="shared" si="5"/>
        <v>50670</v>
      </c>
      <c r="V55" s="12">
        <f t="shared" si="4"/>
        <v>49875</v>
      </c>
      <c r="W55" s="13"/>
      <c r="X55" s="6" t="s">
        <v>41</v>
      </c>
      <c r="Y55" s="6" t="s">
        <v>880</v>
      </c>
      <c r="Z55" s="6" t="s">
        <v>36</v>
      </c>
      <c r="AA55" s="50"/>
      <c r="AC55" s="100">
        <v>50670</v>
      </c>
      <c r="AD55" s="14">
        <v>50670</v>
      </c>
      <c r="AE55" s="100">
        <v>0</v>
      </c>
    </row>
    <row r="56" spans="1:31" s="14" customFormat="1" ht="21.75" hidden="1" customHeight="1" x14ac:dyDescent="0.25">
      <c r="A56" s="6">
        <f>SUBTOTAL(3,$D$1:D56)-1</f>
        <v>0</v>
      </c>
      <c r="B56" s="7">
        <v>2000491</v>
      </c>
      <c r="C56" s="15" t="s">
        <v>191</v>
      </c>
      <c r="D56" s="9" t="s">
        <v>192</v>
      </c>
      <c r="E56" s="9" t="s">
        <v>1017</v>
      </c>
      <c r="F56" s="9" t="s">
        <v>130</v>
      </c>
      <c r="G56" s="10">
        <v>43950</v>
      </c>
      <c r="H56" s="11" t="s">
        <v>845</v>
      </c>
      <c r="I56" s="11" t="s">
        <v>856</v>
      </c>
      <c r="J56" s="11">
        <v>32408.600000000002</v>
      </c>
      <c r="K56" s="11">
        <v>48612.9</v>
      </c>
      <c r="L56" s="12">
        <f t="shared" si="0"/>
        <v>81021.5</v>
      </c>
      <c r="M56" s="12">
        <f t="shared" si="6"/>
        <v>81021.5</v>
      </c>
      <c r="N56" s="12">
        <v>795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f t="shared" si="3"/>
        <v>0</v>
      </c>
      <c r="U56" s="12">
        <f t="shared" si="5"/>
        <v>81816.5</v>
      </c>
      <c r="V56" s="12">
        <f t="shared" si="4"/>
        <v>81021.5</v>
      </c>
      <c r="W56" s="13"/>
      <c r="X56" s="6" t="s">
        <v>892</v>
      </c>
      <c r="Y56" s="6" t="s">
        <v>890</v>
      </c>
      <c r="Z56" s="6" t="s">
        <v>36</v>
      </c>
      <c r="AA56" s="50"/>
      <c r="AC56" s="100">
        <v>81816.5</v>
      </c>
      <c r="AD56" s="14">
        <v>81816.5</v>
      </c>
      <c r="AE56" s="100">
        <v>0</v>
      </c>
    </row>
    <row r="57" spans="1:31" s="14" customFormat="1" ht="21.75" hidden="1" customHeight="1" x14ac:dyDescent="0.25">
      <c r="A57" s="6">
        <f>SUBTOTAL(3,$D$1:D57)-1</f>
        <v>0</v>
      </c>
      <c r="B57" s="7">
        <v>2000492</v>
      </c>
      <c r="C57" s="15" t="s">
        <v>194</v>
      </c>
      <c r="D57" s="9" t="s">
        <v>195</v>
      </c>
      <c r="E57" s="9" t="s">
        <v>77</v>
      </c>
      <c r="F57" s="9" t="s">
        <v>32</v>
      </c>
      <c r="G57" s="10">
        <v>43982</v>
      </c>
      <c r="H57" s="11" t="s">
        <v>33</v>
      </c>
      <c r="I57" s="11" t="s">
        <v>97</v>
      </c>
      <c r="J57" s="11">
        <v>6090</v>
      </c>
      <c r="K57" s="11">
        <v>9135</v>
      </c>
      <c r="L57" s="12">
        <f t="shared" si="0"/>
        <v>15225</v>
      </c>
      <c r="M57" s="12">
        <f t="shared" si="6"/>
        <v>15225</v>
      </c>
      <c r="N57" s="12">
        <v>795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f t="shared" si="3"/>
        <v>0</v>
      </c>
      <c r="U57" s="12">
        <f t="shared" si="5"/>
        <v>16020</v>
      </c>
      <c r="V57" s="12">
        <f t="shared" si="4"/>
        <v>15225</v>
      </c>
      <c r="W57" s="13"/>
      <c r="X57" s="6" t="s">
        <v>891</v>
      </c>
      <c r="Y57" s="6" t="s">
        <v>880</v>
      </c>
      <c r="Z57" s="6" t="s">
        <v>36</v>
      </c>
      <c r="AA57" s="50"/>
      <c r="AC57" s="100">
        <v>16020</v>
      </c>
      <c r="AD57" s="14">
        <v>16020</v>
      </c>
      <c r="AE57" s="100">
        <v>0</v>
      </c>
    </row>
    <row r="58" spans="1:31" s="14" customFormat="1" ht="21.75" hidden="1" customHeight="1" x14ac:dyDescent="0.25">
      <c r="A58" s="6">
        <f>SUBTOTAL(3,$D$1:D58)-1</f>
        <v>0</v>
      </c>
      <c r="B58" s="7">
        <v>2000441</v>
      </c>
      <c r="C58" s="15" t="s">
        <v>196</v>
      </c>
      <c r="D58" s="9" t="s">
        <v>197</v>
      </c>
      <c r="E58" s="9" t="s">
        <v>699</v>
      </c>
      <c r="F58" s="9" t="s">
        <v>52</v>
      </c>
      <c r="G58" s="10">
        <v>44007</v>
      </c>
      <c r="H58" s="11" t="s">
        <v>87</v>
      </c>
      <c r="I58" s="11" t="s">
        <v>1008</v>
      </c>
      <c r="J58" s="11">
        <f>VLOOKUP(C58,'[1]Sheet1 (5)'!$B$1:$W$121,21,0)</f>
        <v>17094</v>
      </c>
      <c r="K58" s="11">
        <f>VLOOKUP(C58,'[1]Sheet1 (5)'!$B$1:$W$121,22,0)</f>
        <v>25641</v>
      </c>
      <c r="L58" s="12">
        <f t="shared" si="0"/>
        <v>42735</v>
      </c>
      <c r="M58" s="12">
        <f t="shared" si="6"/>
        <v>42735</v>
      </c>
      <c r="N58" s="12">
        <v>795</v>
      </c>
      <c r="O58" s="12">
        <v>7770</v>
      </c>
      <c r="P58" s="12">
        <v>0</v>
      </c>
      <c r="Q58" s="12">
        <v>0</v>
      </c>
      <c r="R58" s="12">
        <v>0</v>
      </c>
      <c r="S58" s="12">
        <v>0</v>
      </c>
      <c r="T58" s="12">
        <f t="shared" si="3"/>
        <v>7770</v>
      </c>
      <c r="U58" s="12">
        <f t="shared" si="5"/>
        <v>51300</v>
      </c>
      <c r="V58" s="12">
        <f t="shared" si="4"/>
        <v>50505</v>
      </c>
      <c r="W58" s="13" t="s">
        <v>1180</v>
      </c>
      <c r="X58" s="6" t="s">
        <v>210</v>
      </c>
      <c r="Y58" s="6" t="s">
        <v>877</v>
      </c>
      <c r="Z58" s="6" t="s">
        <v>36</v>
      </c>
      <c r="AA58" s="50"/>
      <c r="AC58" s="100">
        <v>51300</v>
      </c>
      <c r="AD58" s="14">
        <v>51300</v>
      </c>
      <c r="AE58" s="100">
        <v>0</v>
      </c>
    </row>
    <row r="59" spans="1:31" s="14" customFormat="1" ht="21.75" hidden="1" customHeight="1" x14ac:dyDescent="0.25">
      <c r="A59" s="6">
        <f>SUBTOTAL(3,$D$1:D59)-1</f>
        <v>0</v>
      </c>
      <c r="B59" s="7">
        <v>2000493</v>
      </c>
      <c r="C59" s="15" t="s">
        <v>198</v>
      </c>
      <c r="D59" s="9" t="s">
        <v>199</v>
      </c>
      <c r="E59" s="9" t="s">
        <v>986</v>
      </c>
      <c r="F59" s="9" t="s">
        <v>52</v>
      </c>
      <c r="G59" s="10">
        <v>44024</v>
      </c>
      <c r="H59" s="11" t="s">
        <v>40</v>
      </c>
      <c r="I59" s="11" t="s">
        <v>854</v>
      </c>
      <c r="J59" s="11">
        <v>21758</v>
      </c>
      <c r="K59" s="11">
        <v>32637</v>
      </c>
      <c r="L59" s="12">
        <f t="shared" si="0"/>
        <v>54395</v>
      </c>
      <c r="M59" s="12">
        <f t="shared" si="6"/>
        <v>54395</v>
      </c>
      <c r="N59" s="12">
        <v>795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f t="shared" si="3"/>
        <v>0</v>
      </c>
      <c r="U59" s="12">
        <f t="shared" si="5"/>
        <v>55190</v>
      </c>
      <c r="V59" s="12">
        <f t="shared" si="4"/>
        <v>54395</v>
      </c>
      <c r="W59" s="13"/>
      <c r="X59" s="6" t="s">
        <v>41</v>
      </c>
      <c r="Y59" s="6" t="s">
        <v>886</v>
      </c>
      <c r="Z59" s="6" t="s">
        <v>36</v>
      </c>
      <c r="AA59" s="50"/>
      <c r="AC59" s="100">
        <v>55190</v>
      </c>
      <c r="AD59" s="14">
        <v>55190</v>
      </c>
      <c r="AE59" s="100">
        <v>0</v>
      </c>
    </row>
    <row r="60" spans="1:31" s="14" customFormat="1" ht="21.75" hidden="1" customHeight="1" x14ac:dyDescent="0.25">
      <c r="A60" s="6">
        <f>SUBTOTAL(3,$D$1:D60)-1</f>
        <v>0</v>
      </c>
      <c r="B60" s="7">
        <v>2000246</v>
      </c>
      <c r="C60" s="15" t="s">
        <v>200</v>
      </c>
      <c r="D60" s="9" t="s">
        <v>201</v>
      </c>
      <c r="E60" s="9" t="s">
        <v>836</v>
      </c>
      <c r="F60" s="9" t="s">
        <v>52</v>
      </c>
      <c r="G60" s="10">
        <v>44020</v>
      </c>
      <c r="H60" s="11" t="s">
        <v>33</v>
      </c>
      <c r="I60" s="11" t="s">
        <v>97</v>
      </c>
      <c r="J60" s="11">
        <v>19000</v>
      </c>
      <c r="K60" s="11">
        <v>28500</v>
      </c>
      <c r="L60" s="12">
        <f t="shared" si="0"/>
        <v>47500</v>
      </c>
      <c r="M60" s="12">
        <f t="shared" si="6"/>
        <v>47500</v>
      </c>
      <c r="N60" s="12">
        <v>795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f t="shared" si="3"/>
        <v>0</v>
      </c>
      <c r="U60" s="12">
        <f t="shared" si="5"/>
        <v>48295</v>
      </c>
      <c r="V60" s="12">
        <f t="shared" si="4"/>
        <v>47500</v>
      </c>
      <c r="W60" s="13"/>
      <c r="X60" s="6" t="s">
        <v>202</v>
      </c>
      <c r="Y60" s="6" t="s">
        <v>880</v>
      </c>
      <c r="Z60" s="6" t="s">
        <v>36</v>
      </c>
      <c r="AA60" s="50"/>
      <c r="AC60" s="100">
        <v>48295</v>
      </c>
      <c r="AD60" s="14">
        <v>48295</v>
      </c>
      <c r="AE60" s="100">
        <v>0</v>
      </c>
    </row>
    <row r="61" spans="1:31" s="14" customFormat="1" ht="21.75" hidden="1" customHeight="1" x14ac:dyDescent="0.25">
      <c r="A61" s="6">
        <f>SUBTOTAL(3,$D$1:D61)-1</f>
        <v>0</v>
      </c>
      <c r="B61" s="7">
        <v>2000278</v>
      </c>
      <c r="C61" s="15" t="s">
        <v>203</v>
      </c>
      <c r="D61" s="9" t="s">
        <v>204</v>
      </c>
      <c r="E61" s="9" t="s">
        <v>100</v>
      </c>
      <c r="F61" s="9" t="s">
        <v>52</v>
      </c>
      <c r="G61" s="10">
        <v>44046</v>
      </c>
      <c r="H61" s="11" t="s">
        <v>33</v>
      </c>
      <c r="I61" s="11" t="s">
        <v>97</v>
      </c>
      <c r="J61" s="11">
        <f>VLOOKUP(C61,'[1]Sheet1 (5)'!$B$1:$W$121,21,0)</f>
        <v>11350</v>
      </c>
      <c r="K61" s="11">
        <f>VLOOKUP(C61,'[1]Sheet1 (5)'!$B$1:$W$121,22,0)</f>
        <v>17025</v>
      </c>
      <c r="L61" s="12">
        <f t="shared" si="0"/>
        <v>28375</v>
      </c>
      <c r="M61" s="12">
        <f t="shared" si="6"/>
        <v>28375</v>
      </c>
      <c r="N61" s="12">
        <v>795</v>
      </c>
      <c r="O61" s="12">
        <v>2233.3333333333335</v>
      </c>
      <c r="P61" s="12">
        <v>0</v>
      </c>
      <c r="Q61" s="12">
        <v>0</v>
      </c>
      <c r="R61" s="12">
        <v>0</v>
      </c>
      <c r="S61" s="12">
        <v>0</v>
      </c>
      <c r="T61" s="12">
        <f t="shared" si="3"/>
        <v>2233.3333333333335</v>
      </c>
      <c r="U61" s="12">
        <f t="shared" si="5"/>
        <v>31403.333333333332</v>
      </c>
      <c r="V61" s="12">
        <f t="shared" si="4"/>
        <v>30608.333333333332</v>
      </c>
      <c r="W61" s="96" t="s">
        <v>1183</v>
      </c>
      <c r="X61" s="6" t="s">
        <v>35</v>
      </c>
      <c r="Y61" s="6" t="s">
        <v>880</v>
      </c>
      <c r="Z61" s="6" t="s">
        <v>36</v>
      </c>
      <c r="AA61" s="50"/>
      <c r="AC61" s="100">
        <v>31403.333333333332</v>
      </c>
      <c r="AD61" s="14">
        <v>31403.333333333332</v>
      </c>
      <c r="AE61" s="100">
        <v>0</v>
      </c>
    </row>
    <row r="62" spans="1:31" s="14" customFormat="1" ht="21.75" hidden="1" customHeight="1" x14ac:dyDescent="0.25">
      <c r="A62" s="6">
        <f>SUBTOTAL(3,$D$1:D62)-1</f>
        <v>0</v>
      </c>
      <c r="B62" s="7">
        <v>2000501</v>
      </c>
      <c r="C62" s="15" t="s">
        <v>205</v>
      </c>
      <c r="D62" s="9" t="s">
        <v>206</v>
      </c>
      <c r="E62" s="9" t="s">
        <v>207</v>
      </c>
      <c r="F62" s="9" t="s">
        <v>72</v>
      </c>
      <c r="G62" s="10">
        <v>44067</v>
      </c>
      <c r="H62" s="11" t="s">
        <v>33</v>
      </c>
      <c r="I62" s="11" t="s">
        <v>91</v>
      </c>
      <c r="J62" s="11">
        <f>VLOOKUP(C62,'[1]Sheet1 (5)'!$B$1:$W$121,21,0)</f>
        <v>17556</v>
      </c>
      <c r="K62" s="11">
        <f>VLOOKUP(C62,'[1]Sheet1 (5)'!$B$1:$W$121,22,0)</f>
        <v>26334</v>
      </c>
      <c r="L62" s="12">
        <f t="shared" si="0"/>
        <v>43890</v>
      </c>
      <c r="M62" s="12">
        <f t="shared" si="6"/>
        <v>43890</v>
      </c>
      <c r="N62" s="12">
        <v>795</v>
      </c>
      <c r="O62" s="12">
        <v>7980</v>
      </c>
      <c r="P62" s="12">
        <v>0</v>
      </c>
      <c r="Q62" s="12">
        <v>0</v>
      </c>
      <c r="R62" s="12">
        <v>0</v>
      </c>
      <c r="S62" s="12">
        <v>0</v>
      </c>
      <c r="T62" s="12">
        <f t="shared" si="3"/>
        <v>7980</v>
      </c>
      <c r="U62" s="12">
        <f t="shared" si="5"/>
        <v>52665</v>
      </c>
      <c r="V62" s="12">
        <f t="shared" si="4"/>
        <v>51870</v>
      </c>
      <c r="W62" s="13" t="s">
        <v>1180</v>
      </c>
      <c r="X62" s="6" t="s">
        <v>88</v>
      </c>
      <c r="Y62" s="6" t="s">
        <v>878</v>
      </c>
      <c r="Z62" s="6" t="s">
        <v>36</v>
      </c>
      <c r="AA62" s="50"/>
      <c r="AC62" s="100">
        <v>52665</v>
      </c>
      <c r="AD62" s="14">
        <v>52665</v>
      </c>
      <c r="AE62" s="100">
        <v>0</v>
      </c>
    </row>
    <row r="63" spans="1:31" s="14" customFormat="1" ht="21.75" hidden="1" customHeight="1" x14ac:dyDescent="0.25">
      <c r="A63" s="6">
        <f>SUBTOTAL(3,$D$1:D63)-1</f>
        <v>0</v>
      </c>
      <c r="B63" s="7">
        <v>2000502</v>
      </c>
      <c r="C63" s="15" t="s">
        <v>208</v>
      </c>
      <c r="D63" s="9" t="s">
        <v>209</v>
      </c>
      <c r="E63" s="9" t="s">
        <v>700</v>
      </c>
      <c r="F63" s="9" t="s">
        <v>32</v>
      </c>
      <c r="G63" s="10">
        <v>44067</v>
      </c>
      <c r="H63" s="11" t="s">
        <v>40</v>
      </c>
      <c r="I63" s="11" t="s">
        <v>854</v>
      </c>
      <c r="J63" s="11">
        <v>8242.5</v>
      </c>
      <c r="K63" s="11">
        <v>12363.75</v>
      </c>
      <c r="L63" s="12">
        <f t="shared" si="0"/>
        <v>20606.25</v>
      </c>
      <c r="M63" s="12">
        <f t="shared" si="6"/>
        <v>20606.25</v>
      </c>
      <c r="N63" s="12">
        <v>795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f t="shared" si="3"/>
        <v>0</v>
      </c>
      <c r="U63" s="12">
        <f t="shared" si="5"/>
        <v>21401.25</v>
      </c>
      <c r="V63" s="12">
        <f t="shared" si="4"/>
        <v>20606.25</v>
      </c>
      <c r="W63" s="13"/>
      <c r="X63" s="6" t="s">
        <v>35</v>
      </c>
      <c r="Y63" s="6" t="s">
        <v>886</v>
      </c>
      <c r="Z63" s="6" t="s">
        <v>36</v>
      </c>
      <c r="AA63" s="50"/>
      <c r="AC63" s="100">
        <v>21401.25</v>
      </c>
      <c r="AD63" s="14">
        <v>21401.25</v>
      </c>
      <c r="AE63" s="100">
        <v>0</v>
      </c>
    </row>
    <row r="64" spans="1:31" s="14" customFormat="1" ht="21.75" hidden="1" customHeight="1" x14ac:dyDescent="0.25">
      <c r="A64" s="6">
        <f>SUBTOTAL(3,$D$1:D64)-1</f>
        <v>0</v>
      </c>
      <c r="B64" s="7">
        <v>2000503</v>
      </c>
      <c r="C64" s="16" t="s">
        <v>211</v>
      </c>
      <c r="D64" s="17" t="s">
        <v>212</v>
      </c>
      <c r="E64" s="9" t="s">
        <v>701</v>
      </c>
      <c r="F64" s="9" t="s">
        <v>48</v>
      </c>
      <c r="G64" s="10">
        <v>44069</v>
      </c>
      <c r="H64" s="11" t="s">
        <v>45</v>
      </c>
      <c r="I64" s="11" t="s">
        <v>857</v>
      </c>
      <c r="J64" s="11">
        <f>VLOOKUP(C64,'[1]Sheet1 (5)'!$B$1:$W$121,21,0)</f>
        <v>37044</v>
      </c>
      <c r="K64" s="11">
        <f>VLOOKUP(C64,'[1]Sheet1 (5)'!$B$1:$W$121,22,0)</f>
        <v>55566</v>
      </c>
      <c r="L64" s="12">
        <f t="shared" si="0"/>
        <v>92610</v>
      </c>
      <c r="M64" s="12">
        <f t="shared" si="6"/>
        <v>92610</v>
      </c>
      <c r="N64" s="12">
        <v>795</v>
      </c>
      <c r="O64" s="12">
        <v>8820</v>
      </c>
      <c r="P64" s="12">
        <v>0</v>
      </c>
      <c r="Q64" s="12">
        <v>0</v>
      </c>
      <c r="R64" s="12">
        <v>0</v>
      </c>
      <c r="S64" s="12">
        <v>0</v>
      </c>
      <c r="T64" s="12">
        <f t="shared" si="3"/>
        <v>8820</v>
      </c>
      <c r="U64" s="18">
        <f t="shared" si="5"/>
        <v>102225</v>
      </c>
      <c r="V64" s="12">
        <f t="shared" si="4"/>
        <v>101430</v>
      </c>
      <c r="W64" s="13" t="s">
        <v>1180</v>
      </c>
      <c r="X64" s="6" t="s">
        <v>881</v>
      </c>
      <c r="Y64" s="6" t="s">
        <v>893</v>
      </c>
      <c r="Z64" s="6" t="s">
        <v>36</v>
      </c>
      <c r="AA64" s="50"/>
      <c r="AC64" s="100">
        <v>102225</v>
      </c>
      <c r="AD64" s="110">
        <v>102225</v>
      </c>
      <c r="AE64" s="100">
        <v>0</v>
      </c>
    </row>
    <row r="65" spans="1:31" s="14" customFormat="1" ht="21.75" hidden="1" customHeight="1" x14ac:dyDescent="0.25">
      <c r="A65" s="6">
        <f>SUBTOTAL(3,$D$1:D65)-1</f>
        <v>0</v>
      </c>
      <c r="B65" s="7">
        <v>2000517</v>
      </c>
      <c r="C65" s="15" t="s">
        <v>214</v>
      </c>
      <c r="D65" s="9" t="s">
        <v>215</v>
      </c>
      <c r="E65" s="9" t="s">
        <v>216</v>
      </c>
      <c r="F65" s="9" t="s">
        <v>84</v>
      </c>
      <c r="G65" s="10">
        <v>44652</v>
      </c>
      <c r="H65" s="11" t="s">
        <v>33</v>
      </c>
      <c r="I65" s="11" t="s">
        <v>97</v>
      </c>
      <c r="J65" s="11">
        <v>8000</v>
      </c>
      <c r="K65" s="11">
        <v>12000</v>
      </c>
      <c r="L65" s="12">
        <f t="shared" si="0"/>
        <v>20000</v>
      </c>
      <c r="M65" s="12">
        <f t="shared" si="6"/>
        <v>20000</v>
      </c>
      <c r="N65" s="12">
        <v>795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f t="shared" si="3"/>
        <v>0</v>
      </c>
      <c r="U65" s="12">
        <f t="shared" si="5"/>
        <v>20795</v>
      </c>
      <c r="V65" s="12">
        <f t="shared" si="4"/>
        <v>20000</v>
      </c>
      <c r="W65" s="13"/>
      <c r="X65" s="6" t="s">
        <v>35</v>
      </c>
      <c r="Y65" s="6" t="s">
        <v>880</v>
      </c>
      <c r="Z65" s="6" t="s">
        <v>36</v>
      </c>
      <c r="AA65" s="50"/>
      <c r="AC65" s="100">
        <v>20795</v>
      </c>
      <c r="AD65" s="14">
        <v>20795</v>
      </c>
      <c r="AE65" s="100">
        <v>0</v>
      </c>
    </row>
    <row r="66" spans="1:31" s="31" customFormat="1" ht="21.75" hidden="1" customHeight="1" x14ac:dyDescent="0.25">
      <c r="A66" s="6">
        <f>SUBTOTAL(3,$D$1:D66)-1</f>
        <v>0</v>
      </c>
      <c r="B66" s="7">
        <v>2000570</v>
      </c>
      <c r="C66" s="15" t="s">
        <v>217</v>
      </c>
      <c r="D66" s="9" t="s">
        <v>218</v>
      </c>
      <c r="E66" s="9" t="s">
        <v>398</v>
      </c>
      <c r="F66" s="9" t="s">
        <v>81</v>
      </c>
      <c r="G66" s="10">
        <v>44652</v>
      </c>
      <c r="H66" s="11" t="s">
        <v>33</v>
      </c>
      <c r="I66" s="11" t="s">
        <v>53</v>
      </c>
      <c r="J66" s="11">
        <f>VLOOKUP(C66,'[1]Sheet1 (5)'!$B$1:$W$121,21,0)</f>
        <v>16669.8</v>
      </c>
      <c r="K66" s="11">
        <f>VLOOKUP(C66,'[1]Sheet1 (5)'!$B$1:$W$121,22,0)</f>
        <v>25004.7</v>
      </c>
      <c r="L66" s="12">
        <f t="shared" ref="L66:L129" si="7">J66+K66</f>
        <v>41674.5</v>
      </c>
      <c r="M66" s="12">
        <f t="shared" si="6"/>
        <v>41674.5</v>
      </c>
      <c r="N66" s="12">
        <v>795</v>
      </c>
      <c r="O66" s="12">
        <v>3969</v>
      </c>
      <c r="P66" s="12">
        <v>0</v>
      </c>
      <c r="Q66" s="12">
        <v>0</v>
      </c>
      <c r="R66" s="12">
        <v>0</v>
      </c>
      <c r="S66" s="12">
        <v>0</v>
      </c>
      <c r="T66" s="12">
        <f t="shared" si="3"/>
        <v>3969</v>
      </c>
      <c r="U66" s="12">
        <f t="shared" ref="U66:U97" si="8">+M66+N66+T66</f>
        <v>46438.5</v>
      </c>
      <c r="V66" s="12">
        <f t="shared" si="4"/>
        <v>45643.5</v>
      </c>
      <c r="W66" s="13" t="s">
        <v>1180</v>
      </c>
      <c r="X66" s="6" t="s">
        <v>41</v>
      </c>
      <c r="Y66" s="6" t="s">
        <v>872</v>
      </c>
      <c r="Z66" s="6" t="s">
        <v>36</v>
      </c>
      <c r="AA66" s="50"/>
      <c r="AC66" s="100">
        <v>46438.5</v>
      </c>
      <c r="AD66" s="14">
        <v>46438.5</v>
      </c>
      <c r="AE66" s="100">
        <v>0</v>
      </c>
    </row>
    <row r="67" spans="1:31" s="14" customFormat="1" ht="21.75" hidden="1" customHeight="1" x14ac:dyDescent="0.25">
      <c r="A67" s="6">
        <f>SUBTOTAL(3,$D$1:D67)-1</f>
        <v>0</v>
      </c>
      <c r="B67" s="19">
        <v>2000509</v>
      </c>
      <c r="C67" s="16" t="s">
        <v>219</v>
      </c>
      <c r="D67" s="17" t="s">
        <v>220</v>
      </c>
      <c r="E67" s="9" t="s">
        <v>1018</v>
      </c>
      <c r="F67" s="17" t="s">
        <v>81</v>
      </c>
      <c r="G67" s="20">
        <v>44566</v>
      </c>
      <c r="H67" s="21" t="s">
        <v>40</v>
      </c>
      <c r="I67" s="21" t="s">
        <v>221</v>
      </c>
      <c r="J67" s="11">
        <f>VLOOKUP(C67,'[1]Sheet1 (5)'!$B$1:$W$121,21,0)</f>
        <v>35583</v>
      </c>
      <c r="K67" s="11">
        <f>VLOOKUP(C67,'[1]Sheet1 (5)'!$B$1:$W$121,22,0)</f>
        <v>53374.5</v>
      </c>
      <c r="L67" s="21">
        <f t="shared" si="7"/>
        <v>88957.5</v>
      </c>
      <c r="M67" s="18">
        <f t="shared" si="6"/>
        <v>88957.5</v>
      </c>
      <c r="N67" s="18">
        <v>795</v>
      </c>
      <c r="O67" s="12">
        <v>16174</v>
      </c>
      <c r="P67" s="18">
        <v>0</v>
      </c>
      <c r="Q67" s="18">
        <v>0</v>
      </c>
      <c r="R67" s="18">
        <v>0</v>
      </c>
      <c r="S67" s="18">
        <v>0</v>
      </c>
      <c r="T67" s="12">
        <f t="shared" ref="T67:T130" si="9">SUM(O67:R67)</f>
        <v>16174</v>
      </c>
      <c r="U67" s="18">
        <f t="shared" si="8"/>
        <v>105926.5</v>
      </c>
      <c r="V67" s="12">
        <f t="shared" ref="V67:V130" si="10">SUM(M67,P67,R67,O67)-S67</f>
        <v>105131.5</v>
      </c>
      <c r="W67" s="13" t="s">
        <v>1180</v>
      </c>
      <c r="X67" s="22" t="s">
        <v>193</v>
      </c>
      <c r="Y67" s="6" t="s">
        <v>894</v>
      </c>
      <c r="Z67" s="22" t="s">
        <v>36</v>
      </c>
      <c r="AA67" s="50"/>
      <c r="AC67" s="100">
        <v>105926.5</v>
      </c>
      <c r="AD67" s="110">
        <v>105926.5</v>
      </c>
      <c r="AE67" s="100">
        <v>0</v>
      </c>
    </row>
    <row r="68" spans="1:31" s="14" customFormat="1" ht="21.75" hidden="1" customHeight="1" x14ac:dyDescent="0.25">
      <c r="A68" s="6">
        <f>SUBTOTAL(3,$D$1:D68)-1</f>
        <v>0</v>
      </c>
      <c r="B68" s="7">
        <v>2000643</v>
      </c>
      <c r="C68" s="15" t="s">
        <v>222</v>
      </c>
      <c r="D68" s="9" t="s">
        <v>223</v>
      </c>
      <c r="E68" s="9" t="s">
        <v>1019</v>
      </c>
      <c r="F68" s="9" t="s">
        <v>224</v>
      </c>
      <c r="G68" s="10">
        <v>44578</v>
      </c>
      <c r="H68" s="11" t="s">
        <v>87</v>
      </c>
      <c r="I68" s="11" t="s">
        <v>858</v>
      </c>
      <c r="J68" s="11">
        <v>15750</v>
      </c>
      <c r="K68" s="11">
        <v>23625</v>
      </c>
      <c r="L68" s="12">
        <f t="shared" si="7"/>
        <v>39375</v>
      </c>
      <c r="M68" s="12">
        <f t="shared" si="6"/>
        <v>39375</v>
      </c>
      <c r="N68" s="12">
        <v>795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f t="shared" si="9"/>
        <v>0</v>
      </c>
      <c r="U68" s="12">
        <f t="shared" si="8"/>
        <v>40170</v>
      </c>
      <c r="V68" s="12">
        <f t="shared" si="10"/>
        <v>39375</v>
      </c>
      <c r="W68" s="13"/>
      <c r="X68" s="6" t="s">
        <v>41</v>
      </c>
      <c r="Y68" s="6" t="s">
        <v>895</v>
      </c>
      <c r="Z68" s="6" t="s">
        <v>36</v>
      </c>
      <c r="AA68" s="50"/>
      <c r="AC68" s="100">
        <v>40170</v>
      </c>
      <c r="AD68" s="14">
        <v>40170</v>
      </c>
      <c r="AE68" s="100">
        <v>0</v>
      </c>
    </row>
    <row r="69" spans="1:31" s="14" customFormat="1" ht="21.75" hidden="1" customHeight="1" x14ac:dyDescent="0.25">
      <c r="A69" s="6">
        <f>SUBTOTAL(3,$D$1:D69)-1</f>
        <v>0</v>
      </c>
      <c r="B69" s="7">
        <v>2000584</v>
      </c>
      <c r="C69" s="16" t="s">
        <v>225</v>
      </c>
      <c r="D69" s="17" t="s">
        <v>226</v>
      </c>
      <c r="E69" s="9" t="s">
        <v>227</v>
      </c>
      <c r="F69" s="9" t="s">
        <v>81</v>
      </c>
      <c r="G69" s="10">
        <v>44593</v>
      </c>
      <c r="H69" s="11" t="s">
        <v>45</v>
      </c>
      <c r="I69" s="11" t="s">
        <v>859</v>
      </c>
      <c r="J69" s="11">
        <v>13860</v>
      </c>
      <c r="K69" s="11">
        <v>20790</v>
      </c>
      <c r="L69" s="12">
        <f t="shared" si="7"/>
        <v>34650</v>
      </c>
      <c r="M69" s="12">
        <f t="shared" si="6"/>
        <v>34650</v>
      </c>
      <c r="N69" s="12">
        <v>795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f t="shared" si="9"/>
        <v>0</v>
      </c>
      <c r="U69" s="18">
        <f t="shared" si="8"/>
        <v>35445</v>
      </c>
      <c r="V69" s="12">
        <f t="shared" si="10"/>
        <v>34650</v>
      </c>
      <c r="W69" s="96"/>
      <c r="X69" s="6" t="s">
        <v>41</v>
      </c>
      <c r="Y69" s="6" t="s">
        <v>896</v>
      </c>
      <c r="Z69" s="6" t="s">
        <v>36</v>
      </c>
      <c r="AA69" s="50"/>
      <c r="AC69" s="100">
        <v>35445</v>
      </c>
      <c r="AD69" s="14">
        <v>35445</v>
      </c>
      <c r="AE69" s="100">
        <v>0</v>
      </c>
    </row>
    <row r="70" spans="1:31" s="14" customFormat="1" ht="21.75" hidden="1" customHeight="1" x14ac:dyDescent="0.25">
      <c r="A70" s="6">
        <f>SUBTOTAL(3,$D$1:D70)-1</f>
        <v>0</v>
      </c>
      <c r="B70" s="7">
        <v>2000647</v>
      </c>
      <c r="C70" s="15" t="s">
        <v>228</v>
      </c>
      <c r="D70" s="9" t="s">
        <v>229</v>
      </c>
      <c r="E70" s="9" t="s">
        <v>1020</v>
      </c>
      <c r="F70" s="9" t="s">
        <v>230</v>
      </c>
      <c r="G70" s="10">
        <v>44594</v>
      </c>
      <c r="H70" s="11" t="s">
        <v>33</v>
      </c>
      <c r="I70" s="11" t="s">
        <v>53</v>
      </c>
      <c r="J70" s="11">
        <v>17984.400000000001</v>
      </c>
      <c r="K70" s="11">
        <v>26976.6</v>
      </c>
      <c r="L70" s="12">
        <f t="shared" si="7"/>
        <v>44961</v>
      </c>
      <c r="M70" s="12">
        <f t="shared" si="6"/>
        <v>44961</v>
      </c>
      <c r="N70" s="12">
        <v>795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f t="shared" si="9"/>
        <v>0</v>
      </c>
      <c r="U70" s="12">
        <f t="shared" si="8"/>
        <v>45756</v>
      </c>
      <c r="V70" s="12">
        <f t="shared" si="10"/>
        <v>44961</v>
      </c>
      <c r="W70" s="13"/>
      <c r="X70" s="6" t="s">
        <v>41</v>
      </c>
      <c r="Y70" s="6" t="s">
        <v>872</v>
      </c>
      <c r="Z70" s="6" t="s">
        <v>36</v>
      </c>
      <c r="AA70" s="50"/>
      <c r="AC70" s="100">
        <v>45756</v>
      </c>
      <c r="AD70" s="14">
        <v>45756</v>
      </c>
      <c r="AE70" s="100">
        <v>0</v>
      </c>
    </row>
    <row r="71" spans="1:31" s="14" customFormat="1" ht="21.75" hidden="1" customHeight="1" x14ac:dyDescent="0.25">
      <c r="A71" s="6">
        <f>SUBTOTAL(3,$D$1:D71)-1</f>
        <v>0</v>
      </c>
      <c r="B71" s="7">
        <v>2000648</v>
      </c>
      <c r="C71" s="15" t="s">
        <v>231</v>
      </c>
      <c r="D71" s="9" t="s">
        <v>232</v>
      </c>
      <c r="E71" s="9" t="s">
        <v>702</v>
      </c>
      <c r="F71" s="9" t="s">
        <v>52</v>
      </c>
      <c r="G71" s="10">
        <v>44594</v>
      </c>
      <c r="H71" s="11" t="s">
        <v>33</v>
      </c>
      <c r="I71" s="11" t="s">
        <v>34</v>
      </c>
      <c r="J71" s="11">
        <v>10268.700000000001</v>
      </c>
      <c r="K71" s="11">
        <v>15403.05</v>
      </c>
      <c r="L71" s="12">
        <f t="shared" si="7"/>
        <v>25671.75</v>
      </c>
      <c r="M71" s="12">
        <f t="shared" si="6"/>
        <v>25671.75</v>
      </c>
      <c r="N71" s="12">
        <v>795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f t="shared" si="9"/>
        <v>0</v>
      </c>
      <c r="U71" s="12">
        <f t="shared" si="8"/>
        <v>26466.75</v>
      </c>
      <c r="V71" s="12">
        <f t="shared" si="10"/>
        <v>25671.75</v>
      </c>
      <c r="W71" s="13"/>
      <c r="X71" s="6" t="s">
        <v>35</v>
      </c>
      <c r="Y71" s="6" t="s">
        <v>868</v>
      </c>
      <c r="Z71" s="6" t="s">
        <v>36</v>
      </c>
      <c r="AA71" s="50"/>
      <c r="AC71" s="100">
        <v>26466.75</v>
      </c>
      <c r="AD71" s="14">
        <v>26466.75</v>
      </c>
      <c r="AE71" s="100">
        <v>0</v>
      </c>
    </row>
    <row r="72" spans="1:31" s="14" customFormat="1" ht="21.75" hidden="1" customHeight="1" x14ac:dyDescent="0.25">
      <c r="A72" s="6">
        <f>SUBTOTAL(3,$D$1:D72)-1</f>
        <v>0</v>
      </c>
      <c r="B72" s="19">
        <v>2000649</v>
      </c>
      <c r="C72" s="16" t="s">
        <v>233</v>
      </c>
      <c r="D72" s="17" t="s">
        <v>234</v>
      </c>
      <c r="E72" s="9" t="s">
        <v>1021</v>
      </c>
      <c r="F72" s="17" t="s">
        <v>235</v>
      </c>
      <c r="G72" s="20">
        <v>44594</v>
      </c>
      <c r="H72" s="11" t="s">
        <v>236</v>
      </c>
      <c r="I72" s="11" t="s">
        <v>237</v>
      </c>
      <c r="J72" s="11">
        <f>VLOOKUP(C72,'[1]Sheet1 (5)'!$B$1:$W$121,21,0)</f>
        <v>16933.98</v>
      </c>
      <c r="K72" s="11">
        <f>VLOOKUP(C72,'[1]Sheet1 (5)'!$B$1:$W$121,22,0)</f>
        <v>25400.969999999998</v>
      </c>
      <c r="L72" s="12">
        <f t="shared" si="7"/>
        <v>42334.95</v>
      </c>
      <c r="M72" s="18">
        <f t="shared" si="6"/>
        <v>42334.95</v>
      </c>
      <c r="N72" s="18">
        <v>795</v>
      </c>
      <c r="O72" s="12">
        <v>11043.899999999994</v>
      </c>
      <c r="P72" s="18">
        <v>0</v>
      </c>
      <c r="Q72" s="18">
        <v>0</v>
      </c>
      <c r="R72" s="18">
        <v>0</v>
      </c>
      <c r="S72" s="18">
        <v>0</v>
      </c>
      <c r="T72" s="12">
        <f t="shared" si="9"/>
        <v>11043.899999999994</v>
      </c>
      <c r="U72" s="18">
        <f t="shared" si="8"/>
        <v>54173.849999999991</v>
      </c>
      <c r="V72" s="12">
        <f t="shared" si="10"/>
        <v>53378.849999999991</v>
      </c>
      <c r="W72" s="13" t="s">
        <v>1180</v>
      </c>
      <c r="X72" s="6" t="s">
        <v>41</v>
      </c>
      <c r="Y72" s="6" t="s">
        <v>897</v>
      </c>
      <c r="Z72" s="22" t="s">
        <v>36</v>
      </c>
      <c r="AA72" s="50"/>
      <c r="AC72" s="100">
        <v>54173.849999999991</v>
      </c>
      <c r="AD72" s="14">
        <v>54173.849999999991</v>
      </c>
      <c r="AE72" s="100">
        <v>0</v>
      </c>
    </row>
    <row r="73" spans="1:31" s="14" customFormat="1" ht="21.75" hidden="1" customHeight="1" x14ac:dyDescent="0.25">
      <c r="A73" s="6">
        <f>SUBTOTAL(3,$D$1:D73)-1</f>
        <v>0</v>
      </c>
      <c r="B73" s="7">
        <v>2000650</v>
      </c>
      <c r="C73" s="15" t="s">
        <v>238</v>
      </c>
      <c r="D73" s="9" t="s">
        <v>239</v>
      </c>
      <c r="E73" s="9" t="s">
        <v>240</v>
      </c>
      <c r="F73" s="9" t="s">
        <v>52</v>
      </c>
      <c r="G73" s="10">
        <v>44595</v>
      </c>
      <c r="H73" s="11" t="s">
        <v>33</v>
      </c>
      <c r="I73" s="11" t="s">
        <v>97</v>
      </c>
      <c r="J73" s="11">
        <v>13200.6</v>
      </c>
      <c r="K73" s="11">
        <v>19800.899999999998</v>
      </c>
      <c r="L73" s="12">
        <f t="shared" si="7"/>
        <v>33001.5</v>
      </c>
      <c r="M73" s="12">
        <f t="shared" si="6"/>
        <v>33001.5</v>
      </c>
      <c r="N73" s="12">
        <v>795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f t="shared" si="9"/>
        <v>0</v>
      </c>
      <c r="U73" s="12">
        <f t="shared" si="8"/>
        <v>33796.5</v>
      </c>
      <c r="V73" s="12">
        <f t="shared" si="10"/>
        <v>33001.5</v>
      </c>
      <c r="W73" s="13"/>
      <c r="X73" s="6" t="s">
        <v>41</v>
      </c>
      <c r="Y73" s="6" t="s">
        <v>880</v>
      </c>
      <c r="Z73" s="6" t="s">
        <v>36</v>
      </c>
      <c r="AA73" s="50"/>
      <c r="AC73" s="100">
        <v>33796.5</v>
      </c>
      <c r="AD73" s="14">
        <v>33796.5</v>
      </c>
      <c r="AE73" s="100">
        <v>0</v>
      </c>
    </row>
    <row r="74" spans="1:31" s="14" customFormat="1" ht="21.75" hidden="1" customHeight="1" x14ac:dyDescent="0.25">
      <c r="A74" s="6">
        <f>SUBTOTAL(3,$D$1:D74)-1</f>
        <v>0</v>
      </c>
      <c r="B74" s="7">
        <v>2000576</v>
      </c>
      <c r="C74" s="15" t="s">
        <v>241</v>
      </c>
      <c r="D74" s="9" t="s">
        <v>242</v>
      </c>
      <c r="E74" s="9" t="s">
        <v>703</v>
      </c>
      <c r="F74" s="9" t="s">
        <v>81</v>
      </c>
      <c r="G74" s="10">
        <v>44621</v>
      </c>
      <c r="H74" s="11" t="s">
        <v>33</v>
      </c>
      <c r="I74" s="11" t="s">
        <v>53</v>
      </c>
      <c r="J74" s="11">
        <v>15750</v>
      </c>
      <c r="K74" s="11">
        <v>23625</v>
      </c>
      <c r="L74" s="12">
        <f t="shared" si="7"/>
        <v>39375</v>
      </c>
      <c r="M74" s="12">
        <f t="shared" si="6"/>
        <v>39375</v>
      </c>
      <c r="N74" s="12">
        <v>795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f t="shared" si="9"/>
        <v>0</v>
      </c>
      <c r="U74" s="12">
        <f t="shared" si="8"/>
        <v>40170</v>
      </c>
      <c r="V74" s="12">
        <f t="shared" si="10"/>
        <v>39375</v>
      </c>
      <c r="W74" s="13"/>
      <c r="X74" s="6" t="s">
        <v>41</v>
      </c>
      <c r="Y74" s="6" t="s">
        <v>872</v>
      </c>
      <c r="Z74" s="6" t="s">
        <v>36</v>
      </c>
      <c r="AA74" s="50"/>
      <c r="AC74" s="100">
        <v>40170</v>
      </c>
      <c r="AD74" s="14">
        <v>40170</v>
      </c>
      <c r="AE74" s="100">
        <v>0</v>
      </c>
    </row>
    <row r="75" spans="1:31" s="14" customFormat="1" ht="21.75" hidden="1" customHeight="1" x14ac:dyDescent="0.25">
      <c r="A75" s="6">
        <f>SUBTOTAL(3,$D$1:D75)-1</f>
        <v>0</v>
      </c>
      <c r="B75" s="7">
        <v>2000591</v>
      </c>
      <c r="C75" s="16" t="s">
        <v>243</v>
      </c>
      <c r="D75" s="17" t="s">
        <v>244</v>
      </c>
      <c r="E75" s="9" t="s">
        <v>704</v>
      </c>
      <c r="F75" s="9" t="s">
        <v>230</v>
      </c>
      <c r="G75" s="10">
        <v>44621</v>
      </c>
      <c r="H75" s="11" t="s">
        <v>45</v>
      </c>
      <c r="I75" s="11" t="s">
        <v>857</v>
      </c>
      <c r="J75" s="11">
        <v>12442.5</v>
      </c>
      <c r="K75" s="11">
        <v>18663.75</v>
      </c>
      <c r="L75" s="12">
        <f t="shared" si="7"/>
        <v>31106.25</v>
      </c>
      <c r="M75" s="12">
        <f t="shared" si="6"/>
        <v>31106.25</v>
      </c>
      <c r="N75" s="12">
        <v>795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f t="shared" si="9"/>
        <v>0</v>
      </c>
      <c r="U75" s="18">
        <f t="shared" si="8"/>
        <v>31901.25</v>
      </c>
      <c r="V75" s="12">
        <f t="shared" si="10"/>
        <v>31106.25</v>
      </c>
      <c r="W75" s="96"/>
      <c r="X75" s="6" t="s">
        <v>41</v>
      </c>
      <c r="Y75" s="6" t="s">
        <v>893</v>
      </c>
      <c r="Z75" s="6" t="s">
        <v>36</v>
      </c>
      <c r="AA75" s="50"/>
      <c r="AC75" s="100">
        <v>31901.25</v>
      </c>
      <c r="AD75" s="14">
        <v>31901.25</v>
      </c>
      <c r="AE75" s="100">
        <v>0</v>
      </c>
    </row>
    <row r="76" spans="1:31" s="14" customFormat="1" ht="21.75" hidden="1" customHeight="1" x14ac:dyDescent="0.25">
      <c r="A76" s="6">
        <f>SUBTOTAL(3,$D$1:D76)-1</f>
        <v>0</v>
      </c>
      <c r="B76" s="7">
        <v>2000660</v>
      </c>
      <c r="C76" s="15" t="s">
        <v>245</v>
      </c>
      <c r="D76" s="9" t="s">
        <v>246</v>
      </c>
      <c r="E76" s="9" t="s">
        <v>247</v>
      </c>
      <c r="F76" s="9" t="s">
        <v>81</v>
      </c>
      <c r="G76" s="10">
        <v>44621</v>
      </c>
      <c r="H76" s="11" t="s">
        <v>33</v>
      </c>
      <c r="I76" s="11" t="s">
        <v>152</v>
      </c>
      <c r="J76" s="11">
        <v>9802</v>
      </c>
      <c r="K76" s="11">
        <v>14703</v>
      </c>
      <c r="L76" s="12">
        <f t="shared" si="7"/>
        <v>24505</v>
      </c>
      <c r="M76" s="12">
        <f t="shared" ref="M76:M107" si="11">L76</f>
        <v>24505</v>
      </c>
      <c r="N76" s="12">
        <v>795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f t="shared" si="9"/>
        <v>0</v>
      </c>
      <c r="U76" s="12">
        <f t="shared" si="8"/>
        <v>25300</v>
      </c>
      <c r="V76" s="12">
        <f t="shared" si="10"/>
        <v>24505</v>
      </c>
      <c r="W76" s="13"/>
      <c r="X76" s="6" t="s">
        <v>35</v>
      </c>
      <c r="Y76" s="6" t="s">
        <v>888</v>
      </c>
      <c r="Z76" s="6" t="s">
        <v>36</v>
      </c>
      <c r="AA76" s="50"/>
      <c r="AC76" s="100">
        <v>25300</v>
      </c>
      <c r="AD76" s="14">
        <v>25300</v>
      </c>
      <c r="AE76" s="100">
        <v>0</v>
      </c>
    </row>
    <row r="77" spans="1:31" s="14" customFormat="1" ht="21.75" hidden="1" customHeight="1" x14ac:dyDescent="0.25">
      <c r="A77" s="6">
        <f>SUBTOTAL(3,$D$1:D77)-1</f>
        <v>0</v>
      </c>
      <c r="B77" s="23">
        <v>2000661</v>
      </c>
      <c r="C77" s="24" t="s">
        <v>248</v>
      </c>
      <c r="D77" s="25" t="s">
        <v>249</v>
      </c>
      <c r="E77" s="9" t="s">
        <v>250</v>
      </c>
      <c r="F77" s="26" t="s">
        <v>52</v>
      </c>
      <c r="G77" s="27">
        <v>44627</v>
      </c>
      <c r="H77" s="11" t="s">
        <v>87</v>
      </c>
      <c r="I77" s="11" t="s">
        <v>1008</v>
      </c>
      <c r="J77" s="28">
        <v>12600</v>
      </c>
      <c r="K77" s="28">
        <v>18900</v>
      </c>
      <c r="L77" s="28">
        <f t="shared" si="7"/>
        <v>31500</v>
      </c>
      <c r="M77" s="28">
        <f t="shared" si="11"/>
        <v>31500</v>
      </c>
      <c r="N77" s="28">
        <v>795</v>
      </c>
      <c r="O77" s="28">
        <v>0</v>
      </c>
      <c r="P77" s="28">
        <v>2312.5</v>
      </c>
      <c r="Q77" s="28">
        <v>0</v>
      </c>
      <c r="R77" s="28">
        <v>0</v>
      </c>
      <c r="S77" s="28">
        <v>0</v>
      </c>
      <c r="T77" s="28">
        <f t="shared" si="9"/>
        <v>2312.5</v>
      </c>
      <c r="U77" s="28">
        <f t="shared" si="8"/>
        <v>34607.5</v>
      </c>
      <c r="V77" s="12">
        <f t="shared" si="10"/>
        <v>33812.5</v>
      </c>
      <c r="W77" s="29" t="s">
        <v>1096</v>
      </c>
      <c r="X77" s="6" t="s">
        <v>35</v>
      </c>
      <c r="Y77" s="6" t="s">
        <v>877</v>
      </c>
      <c r="Z77" s="30" t="s">
        <v>36</v>
      </c>
      <c r="AA77" s="50"/>
      <c r="AC77" s="100">
        <v>34607.5</v>
      </c>
      <c r="AD77" s="14">
        <v>34607.5</v>
      </c>
      <c r="AE77" s="100">
        <v>0</v>
      </c>
    </row>
    <row r="78" spans="1:31" s="14" customFormat="1" ht="21.75" hidden="1" customHeight="1" x14ac:dyDescent="0.25">
      <c r="A78" s="6">
        <f>SUBTOTAL(3,$D$1:D78)-1</f>
        <v>0</v>
      </c>
      <c r="B78" s="7">
        <v>2000518</v>
      </c>
      <c r="C78" s="15" t="s">
        <v>251</v>
      </c>
      <c r="D78" s="9" t="s">
        <v>252</v>
      </c>
      <c r="E78" s="9" t="s">
        <v>100</v>
      </c>
      <c r="F78" s="9" t="s">
        <v>81</v>
      </c>
      <c r="G78" s="10">
        <v>44652</v>
      </c>
      <c r="H78" s="11" t="s">
        <v>33</v>
      </c>
      <c r="I78" s="11" t="s">
        <v>97</v>
      </c>
      <c r="J78" s="11">
        <v>8000</v>
      </c>
      <c r="K78" s="11">
        <v>12000</v>
      </c>
      <c r="L78" s="12">
        <f t="shared" si="7"/>
        <v>20000</v>
      </c>
      <c r="M78" s="12">
        <f t="shared" si="11"/>
        <v>20000</v>
      </c>
      <c r="N78" s="12">
        <v>795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f t="shared" si="9"/>
        <v>0</v>
      </c>
      <c r="U78" s="12">
        <f t="shared" si="8"/>
        <v>20795</v>
      </c>
      <c r="V78" s="12">
        <f t="shared" si="10"/>
        <v>20000</v>
      </c>
      <c r="W78" s="13"/>
      <c r="X78" s="6" t="s">
        <v>35</v>
      </c>
      <c r="Y78" s="6" t="s">
        <v>880</v>
      </c>
      <c r="Z78" s="6" t="s">
        <v>36</v>
      </c>
      <c r="AA78" s="50"/>
      <c r="AC78" s="100">
        <v>20795</v>
      </c>
      <c r="AD78" s="14">
        <v>20795</v>
      </c>
      <c r="AE78" s="100">
        <v>0</v>
      </c>
    </row>
    <row r="79" spans="1:31" s="14" customFormat="1" ht="21.75" hidden="1" customHeight="1" x14ac:dyDescent="0.25">
      <c r="A79" s="6">
        <f>SUBTOTAL(3,$D$1:D79)-1</f>
        <v>0</v>
      </c>
      <c r="B79" s="7">
        <v>2000681</v>
      </c>
      <c r="C79" s="16" t="s">
        <v>254</v>
      </c>
      <c r="D79" s="17" t="s">
        <v>255</v>
      </c>
      <c r="E79" s="9" t="s">
        <v>1022</v>
      </c>
      <c r="F79" s="9" t="s">
        <v>61</v>
      </c>
      <c r="G79" s="10">
        <v>44690</v>
      </c>
      <c r="H79" s="11" t="s">
        <v>45</v>
      </c>
      <c r="I79" s="11" t="s">
        <v>256</v>
      </c>
      <c r="J79" s="11">
        <v>22050</v>
      </c>
      <c r="K79" s="11">
        <v>33075</v>
      </c>
      <c r="L79" s="12">
        <f t="shared" si="7"/>
        <v>55125</v>
      </c>
      <c r="M79" s="12">
        <f t="shared" si="11"/>
        <v>55125</v>
      </c>
      <c r="N79" s="12">
        <v>795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f t="shared" si="9"/>
        <v>0</v>
      </c>
      <c r="U79" s="18">
        <f t="shared" si="8"/>
        <v>55920</v>
      </c>
      <c r="V79" s="12">
        <f t="shared" si="10"/>
        <v>55125</v>
      </c>
      <c r="W79" s="96"/>
      <c r="X79" s="6" t="s">
        <v>41</v>
      </c>
      <c r="Y79" s="6" t="s">
        <v>898</v>
      </c>
      <c r="Z79" s="6" t="s">
        <v>36</v>
      </c>
      <c r="AA79" s="50"/>
      <c r="AC79" s="100">
        <v>55920</v>
      </c>
      <c r="AD79" s="14">
        <v>55920</v>
      </c>
      <c r="AE79" s="100">
        <v>0</v>
      </c>
    </row>
    <row r="80" spans="1:31" s="14" customFormat="1" ht="21.75" hidden="1" customHeight="1" x14ac:dyDescent="0.25">
      <c r="A80" s="6">
        <f>SUBTOTAL(3,$D$1:D80)-1</f>
        <v>0</v>
      </c>
      <c r="B80" s="7">
        <v>2000671</v>
      </c>
      <c r="C80" s="15" t="s">
        <v>257</v>
      </c>
      <c r="D80" s="9" t="s">
        <v>258</v>
      </c>
      <c r="E80" s="9" t="s">
        <v>705</v>
      </c>
      <c r="F80" s="9" t="s">
        <v>130</v>
      </c>
      <c r="G80" s="10">
        <v>44662</v>
      </c>
      <c r="H80" s="11" t="s">
        <v>49</v>
      </c>
      <c r="I80" s="11" t="s">
        <v>1023</v>
      </c>
      <c r="J80" s="11">
        <v>22050</v>
      </c>
      <c r="K80" s="11">
        <v>33075</v>
      </c>
      <c r="L80" s="12">
        <f t="shared" si="7"/>
        <v>55125</v>
      </c>
      <c r="M80" s="12">
        <f t="shared" si="11"/>
        <v>55125</v>
      </c>
      <c r="N80" s="12">
        <v>795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f t="shared" si="9"/>
        <v>0</v>
      </c>
      <c r="U80" s="12">
        <f t="shared" si="8"/>
        <v>55920</v>
      </c>
      <c r="V80" s="12">
        <f t="shared" si="10"/>
        <v>55125</v>
      </c>
      <c r="W80" s="13"/>
      <c r="X80" s="6" t="s">
        <v>41</v>
      </c>
      <c r="Y80" s="6" t="s">
        <v>899</v>
      </c>
      <c r="Z80" s="6" t="s">
        <v>36</v>
      </c>
      <c r="AA80" s="50"/>
      <c r="AC80" s="100">
        <v>55920</v>
      </c>
      <c r="AD80" s="14">
        <v>55920</v>
      </c>
      <c r="AE80" s="100">
        <v>0</v>
      </c>
    </row>
    <row r="81" spans="1:31 16378:16382" s="14" customFormat="1" ht="21.75" hidden="1" customHeight="1" x14ac:dyDescent="0.25">
      <c r="A81" s="6">
        <f>SUBTOTAL(3,$D$1:D81)-1</f>
        <v>0</v>
      </c>
      <c r="B81" s="7">
        <v>2000680</v>
      </c>
      <c r="C81" s="15" t="s">
        <v>259</v>
      </c>
      <c r="D81" s="9" t="s">
        <v>260</v>
      </c>
      <c r="E81" s="9" t="s">
        <v>261</v>
      </c>
      <c r="F81" s="9" t="s">
        <v>81</v>
      </c>
      <c r="G81" s="10">
        <v>44690</v>
      </c>
      <c r="H81" s="11" t="s">
        <v>33</v>
      </c>
      <c r="I81" s="11" t="s">
        <v>91</v>
      </c>
      <c r="J81" s="11">
        <v>17250</v>
      </c>
      <c r="K81" s="11">
        <v>25875</v>
      </c>
      <c r="L81" s="12">
        <f t="shared" si="7"/>
        <v>43125</v>
      </c>
      <c r="M81" s="12">
        <f t="shared" si="11"/>
        <v>43125</v>
      </c>
      <c r="N81" s="12">
        <v>795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f t="shared" si="9"/>
        <v>0</v>
      </c>
      <c r="U81" s="12">
        <f t="shared" si="8"/>
        <v>43920</v>
      </c>
      <c r="V81" s="12">
        <f t="shared" si="10"/>
        <v>43125</v>
      </c>
      <c r="W81" s="13"/>
      <c r="X81" s="6" t="s">
        <v>41</v>
      </c>
      <c r="Y81" s="6" t="s">
        <v>878</v>
      </c>
      <c r="Z81" s="6" t="s">
        <v>36</v>
      </c>
      <c r="AA81" s="50"/>
      <c r="AC81" s="100">
        <v>43920</v>
      </c>
      <c r="AD81" s="14">
        <v>43920</v>
      </c>
      <c r="AE81" s="100">
        <v>0</v>
      </c>
    </row>
    <row r="82" spans="1:31 16378:16382" s="14" customFormat="1" ht="21.75" hidden="1" customHeight="1" x14ac:dyDescent="0.25">
      <c r="A82" s="6">
        <f>SUBTOTAL(3,$D$1:D82)-1</f>
        <v>0</v>
      </c>
      <c r="B82" s="7">
        <v>2000679</v>
      </c>
      <c r="C82" s="15" t="s">
        <v>262</v>
      </c>
      <c r="D82" s="9" t="s">
        <v>263</v>
      </c>
      <c r="E82" s="9" t="s">
        <v>264</v>
      </c>
      <c r="F82" s="9" t="s">
        <v>52</v>
      </c>
      <c r="G82" s="10">
        <v>44678</v>
      </c>
      <c r="H82" s="11" t="s">
        <v>33</v>
      </c>
      <c r="I82" s="11" t="s">
        <v>152</v>
      </c>
      <c r="J82" s="11">
        <f>VLOOKUP(C82,'[1]Sheet1 (5)'!$B$1:$W$121,21,0)</f>
        <v>15750</v>
      </c>
      <c r="K82" s="11">
        <f>VLOOKUP(C82,'[1]Sheet1 (5)'!$B$1:$W$121,22,0)</f>
        <v>23625</v>
      </c>
      <c r="L82" s="12">
        <f t="shared" si="7"/>
        <v>39375</v>
      </c>
      <c r="M82" s="12">
        <f t="shared" si="11"/>
        <v>39375</v>
      </c>
      <c r="N82" s="12">
        <v>795</v>
      </c>
      <c r="O82" s="12">
        <v>3750</v>
      </c>
      <c r="P82" s="12">
        <v>0</v>
      </c>
      <c r="Q82" s="12">
        <v>0</v>
      </c>
      <c r="R82" s="12">
        <v>0</v>
      </c>
      <c r="S82" s="12">
        <v>0</v>
      </c>
      <c r="T82" s="12">
        <f t="shared" si="9"/>
        <v>3750</v>
      </c>
      <c r="U82" s="12">
        <f t="shared" si="8"/>
        <v>43920</v>
      </c>
      <c r="V82" s="12">
        <f t="shared" si="10"/>
        <v>43125</v>
      </c>
      <c r="W82" s="13" t="s">
        <v>1180</v>
      </c>
      <c r="X82" s="6" t="s">
        <v>41</v>
      </c>
      <c r="Y82" s="6" t="s">
        <v>888</v>
      </c>
      <c r="Z82" s="6" t="s">
        <v>36</v>
      </c>
      <c r="AA82" s="50"/>
      <c r="AC82" s="100">
        <v>43920</v>
      </c>
      <c r="AD82" s="14">
        <v>43920</v>
      </c>
      <c r="AE82" s="100">
        <v>0</v>
      </c>
    </row>
    <row r="83" spans="1:31 16378:16382" s="14" customFormat="1" ht="21.75" hidden="1" customHeight="1" x14ac:dyDescent="0.25">
      <c r="A83" s="6">
        <f>SUBTOTAL(3,$D$1:D83)-1</f>
        <v>0</v>
      </c>
      <c r="B83" s="7">
        <v>2000669</v>
      </c>
      <c r="C83" s="15" t="s">
        <v>265</v>
      </c>
      <c r="D83" s="9" t="s">
        <v>266</v>
      </c>
      <c r="E83" s="9" t="s">
        <v>1024</v>
      </c>
      <c r="F83" s="9" t="s">
        <v>52</v>
      </c>
      <c r="G83" s="10">
        <v>44652</v>
      </c>
      <c r="H83" s="11" t="s">
        <v>33</v>
      </c>
      <c r="I83" s="11" t="s">
        <v>53</v>
      </c>
      <c r="J83" s="11">
        <v>21582</v>
      </c>
      <c r="K83" s="11">
        <v>32373</v>
      </c>
      <c r="L83" s="12">
        <f t="shared" si="7"/>
        <v>53955</v>
      </c>
      <c r="M83" s="12">
        <f t="shared" si="11"/>
        <v>53955</v>
      </c>
      <c r="N83" s="12">
        <v>795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f t="shared" si="9"/>
        <v>0</v>
      </c>
      <c r="U83" s="12">
        <f t="shared" si="8"/>
        <v>54750</v>
      </c>
      <c r="V83" s="12">
        <f t="shared" si="10"/>
        <v>53955</v>
      </c>
      <c r="W83" s="13"/>
      <c r="X83" s="6" t="s">
        <v>41</v>
      </c>
      <c r="Y83" s="6">
        <v>4510220</v>
      </c>
      <c r="Z83" s="6" t="s">
        <v>36</v>
      </c>
      <c r="AA83" s="50"/>
      <c r="AC83" s="100">
        <v>54750</v>
      </c>
      <c r="AD83" s="14">
        <v>54750</v>
      </c>
      <c r="AE83" s="100">
        <v>0</v>
      </c>
    </row>
    <row r="84" spans="1:31 16378:16382" s="14" customFormat="1" ht="21.75" hidden="1" customHeight="1" x14ac:dyDescent="0.25">
      <c r="A84" s="6">
        <f>SUBTOTAL(3,$D$1:D84)-1</f>
        <v>0</v>
      </c>
      <c r="B84" s="7">
        <v>2000670</v>
      </c>
      <c r="C84" s="15" t="s">
        <v>267</v>
      </c>
      <c r="D84" s="9" t="s">
        <v>268</v>
      </c>
      <c r="E84" s="9" t="s">
        <v>269</v>
      </c>
      <c r="F84" s="9" t="s">
        <v>84</v>
      </c>
      <c r="G84" s="10">
        <v>44700</v>
      </c>
      <c r="H84" s="11" t="s">
        <v>69</v>
      </c>
      <c r="I84" s="11" t="s">
        <v>270</v>
      </c>
      <c r="J84" s="11">
        <v>46305</v>
      </c>
      <c r="K84" s="11">
        <v>69457.5</v>
      </c>
      <c r="L84" s="12">
        <f t="shared" si="7"/>
        <v>115762.5</v>
      </c>
      <c r="M84" s="12">
        <f t="shared" si="11"/>
        <v>115762.5</v>
      </c>
      <c r="N84" s="12">
        <v>795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f t="shared" si="9"/>
        <v>0</v>
      </c>
      <c r="U84" s="12">
        <f t="shared" si="8"/>
        <v>116557.5</v>
      </c>
      <c r="V84" s="12">
        <f t="shared" si="10"/>
        <v>115762.5</v>
      </c>
      <c r="W84" s="13"/>
      <c r="X84" s="6" t="s">
        <v>746</v>
      </c>
      <c r="Y84" s="6" t="s">
        <v>900</v>
      </c>
      <c r="Z84" s="6" t="s">
        <v>36</v>
      </c>
      <c r="AA84" s="50"/>
      <c r="AC84" s="100">
        <v>116557.5</v>
      </c>
      <c r="AD84" s="110">
        <v>116557.5</v>
      </c>
      <c r="AE84" s="100">
        <v>0</v>
      </c>
    </row>
    <row r="85" spans="1:31 16378:16382" s="14" customFormat="1" ht="21.75" hidden="1" customHeight="1" x14ac:dyDescent="0.25">
      <c r="A85" s="6">
        <f>SUBTOTAL(3,$D$1:D85)-1</f>
        <v>0</v>
      </c>
      <c r="B85" s="7">
        <v>2000690</v>
      </c>
      <c r="C85" s="15" t="s">
        <v>271</v>
      </c>
      <c r="D85" s="88" t="s">
        <v>272</v>
      </c>
      <c r="E85" s="9" t="s">
        <v>273</v>
      </c>
      <c r="F85" s="9" t="s">
        <v>274</v>
      </c>
      <c r="G85" s="10">
        <v>44713</v>
      </c>
      <c r="H85" s="11" t="s">
        <v>69</v>
      </c>
      <c r="I85" s="11" t="s">
        <v>275</v>
      </c>
      <c r="J85" s="11">
        <v>39690</v>
      </c>
      <c r="K85" s="11">
        <v>59535</v>
      </c>
      <c r="L85" s="12">
        <f t="shared" si="7"/>
        <v>99225</v>
      </c>
      <c r="M85" s="12">
        <f t="shared" si="11"/>
        <v>99225</v>
      </c>
      <c r="N85" s="12">
        <v>795</v>
      </c>
      <c r="O85" s="12">
        <v>0</v>
      </c>
      <c r="P85" s="12">
        <v>0</v>
      </c>
      <c r="Q85" s="12">
        <f>M85*15%</f>
        <v>14883.75</v>
      </c>
      <c r="R85" s="12">
        <v>0</v>
      </c>
      <c r="S85" s="12">
        <f>M85*5%</f>
        <v>4961.25</v>
      </c>
      <c r="T85" s="12">
        <f t="shared" si="9"/>
        <v>14883.75</v>
      </c>
      <c r="U85" s="12">
        <f t="shared" si="8"/>
        <v>114903.75</v>
      </c>
      <c r="V85" s="12">
        <f t="shared" si="10"/>
        <v>94263.75</v>
      </c>
      <c r="W85" s="13" t="s">
        <v>1184</v>
      </c>
      <c r="X85" s="6" t="s">
        <v>746</v>
      </c>
      <c r="Y85" s="6" t="s">
        <v>901</v>
      </c>
      <c r="Z85" s="6" t="s">
        <v>36</v>
      </c>
      <c r="AA85" s="14" t="str">
        <f>W85</f>
        <v>Employer pension share for November 2025 - 15%</v>
      </c>
      <c r="AB85" s="14" t="str">
        <f>CONCATENATE(C85," - ", D85," - ",AA85)</f>
        <v>02-2613 - Abdulla Yousuf Abdulla Mohammad - Employer pension share for November 2025 - 15%</v>
      </c>
      <c r="AC85" s="100">
        <v>114903.75</v>
      </c>
      <c r="AD85" s="110">
        <v>114903.75</v>
      </c>
      <c r="AE85" s="100">
        <v>0</v>
      </c>
    </row>
    <row r="86" spans="1:31 16378:16382" s="14" customFormat="1" ht="21.75" hidden="1" customHeight="1" x14ac:dyDescent="0.25">
      <c r="A86" s="6">
        <f>SUBTOTAL(3,$D$1:D86)-1</f>
        <v>0</v>
      </c>
      <c r="B86" s="7">
        <v>2000695</v>
      </c>
      <c r="C86" s="15" t="s">
        <v>276</v>
      </c>
      <c r="D86" s="9" t="s">
        <v>277</v>
      </c>
      <c r="E86" s="9" t="s">
        <v>278</v>
      </c>
      <c r="F86" s="9" t="s">
        <v>279</v>
      </c>
      <c r="G86" s="10">
        <v>44721</v>
      </c>
      <c r="H86" s="11" t="s">
        <v>33</v>
      </c>
      <c r="I86" s="11" t="s">
        <v>34</v>
      </c>
      <c r="J86" s="11">
        <v>13650</v>
      </c>
      <c r="K86" s="11">
        <v>20475</v>
      </c>
      <c r="L86" s="12">
        <f t="shared" si="7"/>
        <v>34125</v>
      </c>
      <c r="M86" s="12">
        <f t="shared" si="11"/>
        <v>34125</v>
      </c>
      <c r="N86" s="12">
        <v>795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f t="shared" si="9"/>
        <v>0</v>
      </c>
      <c r="U86" s="12">
        <f t="shared" si="8"/>
        <v>34920</v>
      </c>
      <c r="V86" s="12">
        <f t="shared" si="10"/>
        <v>34125</v>
      </c>
      <c r="W86" s="13"/>
      <c r="X86" s="6" t="s">
        <v>41</v>
      </c>
      <c r="Y86" s="6" t="s">
        <v>868</v>
      </c>
      <c r="Z86" s="6" t="s">
        <v>36</v>
      </c>
      <c r="AA86" s="50"/>
      <c r="AC86" s="100">
        <v>34920</v>
      </c>
      <c r="AD86" s="14">
        <v>34920</v>
      </c>
      <c r="AE86" s="100">
        <v>0</v>
      </c>
    </row>
    <row r="87" spans="1:31 16378:16382" s="14" customFormat="1" ht="21.75" hidden="1" customHeight="1" x14ac:dyDescent="0.25">
      <c r="A87" s="22">
        <f>SUBTOTAL(3,$D$1:D87)-1</f>
        <v>0</v>
      </c>
      <c r="B87" s="19">
        <v>2000696</v>
      </c>
      <c r="C87" s="16" t="s">
        <v>280</v>
      </c>
      <c r="D87" s="17" t="s">
        <v>281</v>
      </c>
      <c r="E87" s="17" t="s">
        <v>720</v>
      </c>
      <c r="F87" s="21" t="s">
        <v>72</v>
      </c>
      <c r="G87" s="20">
        <v>44725</v>
      </c>
      <c r="H87" s="21" t="s">
        <v>33</v>
      </c>
      <c r="I87" s="21" t="s">
        <v>53</v>
      </c>
      <c r="J87" s="21">
        <v>13440</v>
      </c>
      <c r="K87" s="21">
        <v>20160</v>
      </c>
      <c r="L87" s="18">
        <f t="shared" si="7"/>
        <v>33600</v>
      </c>
      <c r="M87" s="18">
        <f t="shared" si="11"/>
        <v>33600</v>
      </c>
      <c r="N87" s="18">
        <v>795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f t="shared" si="9"/>
        <v>0</v>
      </c>
      <c r="U87" s="18">
        <f t="shared" si="8"/>
        <v>34395</v>
      </c>
      <c r="V87" s="12">
        <f t="shared" si="10"/>
        <v>33600</v>
      </c>
      <c r="W87" s="96"/>
      <c r="X87" s="22" t="s">
        <v>210</v>
      </c>
      <c r="Y87" s="22" t="s">
        <v>872</v>
      </c>
      <c r="Z87" s="30" t="s">
        <v>36</v>
      </c>
      <c r="AA87" s="50"/>
      <c r="AC87" s="100">
        <v>34395</v>
      </c>
      <c r="AD87" s="14">
        <v>34395</v>
      </c>
      <c r="AE87" s="100">
        <v>0</v>
      </c>
      <c r="XEX87" s="22"/>
      <c r="XEY87" s="19"/>
      <c r="XEZ87" s="16"/>
      <c r="XFA87" s="17"/>
      <c r="XFB87" s="21"/>
    </row>
    <row r="88" spans="1:31 16378:16382" s="14" customFormat="1" ht="21.75" hidden="1" customHeight="1" x14ac:dyDescent="0.25">
      <c r="A88" s="6">
        <f>SUBTOTAL(3,$D$1:D88)-1</f>
        <v>0</v>
      </c>
      <c r="B88" s="7">
        <v>2000542</v>
      </c>
      <c r="C88" s="15" t="s">
        <v>282</v>
      </c>
      <c r="D88" s="9" t="s">
        <v>283</v>
      </c>
      <c r="E88" s="9" t="s">
        <v>284</v>
      </c>
      <c r="F88" s="9" t="s">
        <v>230</v>
      </c>
      <c r="G88" s="10">
        <v>44743</v>
      </c>
      <c r="H88" s="11" t="s">
        <v>49</v>
      </c>
      <c r="I88" s="11" t="s">
        <v>861</v>
      </c>
      <c r="J88" s="11">
        <v>13860</v>
      </c>
      <c r="K88" s="11">
        <v>20790</v>
      </c>
      <c r="L88" s="12">
        <f t="shared" si="7"/>
        <v>34650</v>
      </c>
      <c r="M88" s="12">
        <f t="shared" si="11"/>
        <v>34650</v>
      </c>
      <c r="N88" s="12">
        <v>795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f t="shared" si="9"/>
        <v>0</v>
      </c>
      <c r="U88" s="12">
        <f t="shared" si="8"/>
        <v>35445</v>
      </c>
      <c r="V88" s="12">
        <f t="shared" si="10"/>
        <v>34650</v>
      </c>
      <c r="W88" s="13"/>
      <c r="X88" s="6" t="s">
        <v>41</v>
      </c>
      <c r="Y88" s="6" t="s">
        <v>899</v>
      </c>
      <c r="Z88" s="6" t="s">
        <v>36</v>
      </c>
      <c r="AA88" s="50"/>
      <c r="AC88" s="100">
        <v>35445</v>
      </c>
      <c r="AD88" s="14">
        <v>35445</v>
      </c>
      <c r="AE88" s="100">
        <v>0</v>
      </c>
    </row>
    <row r="89" spans="1:31 16378:16382" s="14" customFormat="1" ht="21.75" hidden="1" customHeight="1" x14ac:dyDescent="0.25">
      <c r="A89" s="6">
        <f>SUBTOTAL(3,$D$1:D89)-1</f>
        <v>0</v>
      </c>
      <c r="B89" s="7">
        <v>2000718</v>
      </c>
      <c r="C89" s="15" t="s">
        <v>285</v>
      </c>
      <c r="D89" s="9" t="s">
        <v>286</v>
      </c>
      <c r="E89" s="9" t="s">
        <v>287</v>
      </c>
      <c r="F89" s="9" t="s">
        <v>48</v>
      </c>
      <c r="G89" s="10">
        <v>44748</v>
      </c>
      <c r="H89" s="11" t="s">
        <v>49</v>
      </c>
      <c r="I89" s="11" t="s">
        <v>849</v>
      </c>
      <c r="J89" s="11">
        <v>8233.1</v>
      </c>
      <c r="K89" s="11">
        <v>12349.65</v>
      </c>
      <c r="L89" s="12">
        <f t="shared" si="7"/>
        <v>20582.75</v>
      </c>
      <c r="M89" s="12">
        <f t="shared" si="11"/>
        <v>20582.75</v>
      </c>
      <c r="N89" s="12">
        <v>795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f t="shared" si="9"/>
        <v>0</v>
      </c>
      <c r="U89" s="12">
        <f t="shared" si="8"/>
        <v>21377.75</v>
      </c>
      <c r="V89" s="12">
        <f t="shared" si="10"/>
        <v>20582.75</v>
      </c>
      <c r="W89" s="13"/>
      <c r="X89" s="6" t="s">
        <v>891</v>
      </c>
      <c r="Y89" s="6" t="s">
        <v>871</v>
      </c>
      <c r="Z89" s="6" t="s">
        <v>36</v>
      </c>
      <c r="AA89" s="50"/>
      <c r="AC89" s="100">
        <v>21377.75</v>
      </c>
      <c r="AD89" s="14">
        <v>21377.75</v>
      </c>
      <c r="AE89" s="100">
        <v>0</v>
      </c>
    </row>
    <row r="90" spans="1:31 16378:16382" s="14" customFormat="1" ht="21.75" hidden="1" customHeight="1" x14ac:dyDescent="0.25">
      <c r="A90" s="6">
        <f>SUBTOTAL(3,$D$1:D90)-1</f>
        <v>0</v>
      </c>
      <c r="B90" s="7">
        <v>2000701</v>
      </c>
      <c r="C90" s="15" t="s">
        <v>288</v>
      </c>
      <c r="D90" s="9" t="s">
        <v>289</v>
      </c>
      <c r="E90" s="9" t="s">
        <v>1025</v>
      </c>
      <c r="F90" s="9" t="s">
        <v>48</v>
      </c>
      <c r="G90" s="10">
        <v>44734</v>
      </c>
      <c r="H90" s="11" t="s">
        <v>33</v>
      </c>
      <c r="I90" s="11" t="s">
        <v>53</v>
      </c>
      <c r="J90" s="11">
        <v>13312</v>
      </c>
      <c r="K90" s="11">
        <v>19968</v>
      </c>
      <c r="L90" s="12">
        <f t="shared" si="7"/>
        <v>33280</v>
      </c>
      <c r="M90" s="12">
        <f t="shared" si="11"/>
        <v>33280</v>
      </c>
      <c r="N90" s="12">
        <v>795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f t="shared" si="9"/>
        <v>0</v>
      </c>
      <c r="U90" s="12">
        <f t="shared" si="8"/>
        <v>34075</v>
      </c>
      <c r="V90" s="12">
        <f t="shared" si="10"/>
        <v>33280</v>
      </c>
      <c r="W90" s="13"/>
      <c r="X90" s="6" t="s">
        <v>35</v>
      </c>
      <c r="Y90" s="6" t="s">
        <v>872</v>
      </c>
      <c r="Z90" s="6" t="s">
        <v>36</v>
      </c>
      <c r="AA90" s="50"/>
      <c r="AC90" s="100">
        <v>34075</v>
      </c>
      <c r="AD90" s="14">
        <v>34075</v>
      </c>
      <c r="AE90" s="100">
        <v>0</v>
      </c>
    </row>
    <row r="91" spans="1:31 16378:16382" s="14" customFormat="1" ht="21.75" hidden="1" customHeight="1" x14ac:dyDescent="0.25">
      <c r="A91" s="6">
        <f>SUBTOTAL(3,$D$1:D91)-1</f>
        <v>0</v>
      </c>
      <c r="B91" s="19">
        <v>2000719</v>
      </c>
      <c r="C91" s="16" t="s">
        <v>290</v>
      </c>
      <c r="D91" s="17" t="s">
        <v>291</v>
      </c>
      <c r="E91" s="9" t="s">
        <v>706</v>
      </c>
      <c r="F91" s="17" t="s">
        <v>48</v>
      </c>
      <c r="G91" s="20">
        <v>44755</v>
      </c>
      <c r="H91" s="11" t="s">
        <v>33</v>
      </c>
      <c r="I91" s="11" t="s">
        <v>152</v>
      </c>
      <c r="J91" s="11">
        <f>VLOOKUP(C91,'[1]Sheet1 (5)'!$B$1:$W$121,21,0)</f>
        <v>22137.5</v>
      </c>
      <c r="K91" s="11">
        <f>VLOOKUP(C91,'[1]Sheet1 (5)'!$B$1:$W$121,22,0)</f>
        <v>33206.25</v>
      </c>
      <c r="L91" s="12">
        <f t="shared" si="7"/>
        <v>55343.75</v>
      </c>
      <c r="M91" s="18">
        <f t="shared" si="11"/>
        <v>55343.75</v>
      </c>
      <c r="N91" s="18">
        <v>795</v>
      </c>
      <c r="O91" s="12">
        <v>10062.5</v>
      </c>
      <c r="P91" s="18">
        <v>0</v>
      </c>
      <c r="Q91" s="18">
        <v>0</v>
      </c>
      <c r="R91" s="18">
        <v>0</v>
      </c>
      <c r="S91" s="18">
        <v>0</v>
      </c>
      <c r="T91" s="12">
        <f t="shared" si="9"/>
        <v>10062.5</v>
      </c>
      <c r="U91" s="18">
        <f t="shared" si="8"/>
        <v>66201.25</v>
      </c>
      <c r="V91" s="12">
        <f t="shared" si="10"/>
        <v>65406.25</v>
      </c>
      <c r="W91" s="13" t="s">
        <v>1180</v>
      </c>
      <c r="X91" s="6" t="s">
        <v>88</v>
      </c>
      <c r="Y91" s="6" t="s">
        <v>888</v>
      </c>
      <c r="Z91" s="22" t="s">
        <v>36</v>
      </c>
      <c r="AA91" s="50"/>
      <c r="AC91" s="100">
        <v>66201.25</v>
      </c>
      <c r="AD91" s="14">
        <v>66201.25</v>
      </c>
      <c r="AE91" s="100">
        <v>0</v>
      </c>
    </row>
    <row r="92" spans="1:31 16378:16382" s="14" customFormat="1" ht="21.75" hidden="1" customHeight="1" x14ac:dyDescent="0.25">
      <c r="A92" s="6">
        <f>SUBTOTAL(3,$D$1:D92)-1</f>
        <v>0</v>
      </c>
      <c r="B92" s="7">
        <v>2000707</v>
      </c>
      <c r="C92" s="15" t="s">
        <v>292</v>
      </c>
      <c r="D92" s="9" t="s">
        <v>293</v>
      </c>
      <c r="E92" s="9" t="s">
        <v>458</v>
      </c>
      <c r="F92" s="9" t="s">
        <v>61</v>
      </c>
      <c r="G92" s="10">
        <v>44743</v>
      </c>
      <c r="H92" s="11" t="s">
        <v>69</v>
      </c>
      <c r="I92" s="11" t="s">
        <v>104</v>
      </c>
      <c r="J92" s="11">
        <f>VLOOKUP(C92,'[1]Sheet1 (5)'!$B$1:$W$121,21,0)</f>
        <v>20947.5</v>
      </c>
      <c r="K92" s="11">
        <f>VLOOKUP(C92,'[1]Sheet1 (5)'!$B$1:$W$121,22,0)</f>
        <v>31421.25</v>
      </c>
      <c r="L92" s="12">
        <f t="shared" si="7"/>
        <v>52368.75</v>
      </c>
      <c r="M92" s="12">
        <f t="shared" si="11"/>
        <v>52368.75</v>
      </c>
      <c r="N92" s="12">
        <v>795</v>
      </c>
      <c r="O92" s="12">
        <v>4987.5</v>
      </c>
      <c r="P92" s="12">
        <v>0</v>
      </c>
      <c r="Q92" s="12">
        <v>0</v>
      </c>
      <c r="R92" s="12">
        <v>0</v>
      </c>
      <c r="S92" s="12">
        <v>0</v>
      </c>
      <c r="T92" s="12">
        <f t="shared" si="9"/>
        <v>4987.5</v>
      </c>
      <c r="U92" s="12">
        <f t="shared" si="8"/>
        <v>58151.25</v>
      </c>
      <c r="V92" s="12">
        <f t="shared" si="10"/>
        <v>57356.25</v>
      </c>
      <c r="W92" s="13" t="s">
        <v>1180</v>
      </c>
      <c r="X92" s="6" t="s">
        <v>88</v>
      </c>
      <c r="Y92" s="6" t="s">
        <v>882</v>
      </c>
      <c r="Z92" s="6" t="s">
        <v>36</v>
      </c>
      <c r="AA92" s="50"/>
      <c r="AC92" s="100">
        <v>58151.25</v>
      </c>
      <c r="AD92" s="14">
        <v>58151.25</v>
      </c>
      <c r="AE92" s="100">
        <v>0</v>
      </c>
    </row>
    <row r="93" spans="1:31 16378:16382" s="14" customFormat="1" ht="21.75" hidden="1" customHeight="1" x14ac:dyDescent="0.25">
      <c r="A93" s="6">
        <f>SUBTOTAL(3,$D$1:D93)-1</f>
        <v>0</v>
      </c>
      <c r="B93" s="7">
        <v>2000706</v>
      </c>
      <c r="C93" s="15" t="s">
        <v>295</v>
      </c>
      <c r="D93" s="9" t="s">
        <v>296</v>
      </c>
      <c r="E93" s="9" t="s">
        <v>297</v>
      </c>
      <c r="F93" s="9" t="s">
        <v>298</v>
      </c>
      <c r="G93" s="10">
        <v>44739</v>
      </c>
      <c r="H93" s="11" t="s">
        <v>49</v>
      </c>
      <c r="I93" s="11" t="s">
        <v>852</v>
      </c>
      <c r="J93" s="11">
        <v>15050.7</v>
      </c>
      <c r="K93" s="11">
        <v>22576.05</v>
      </c>
      <c r="L93" s="12">
        <f t="shared" si="7"/>
        <v>37626.75</v>
      </c>
      <c r="M93" s="12">
        <f t="shared" si="11"/>
        <v>37626.75</v>
      </c>
      <c r="N93" s="12">
        <v>795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f t="shared" si="9"/>
        <v>0</v>
      </c>
      <c r="U93" s="12">
        <f t="shared" si="8"/>
        <v>38421.75</v>
      </c>
      <c r="V93" s="12">
        <f t="shared" si="10"/>
        <v>37626.75</v>
      </c>
      <c r="W93" s="13"/>
      <c r="X93" s="6" t="s">
        <v>41</v>
      </c>
      <c r="Y93" s="6" t="s">
        <v>876</v>
      </c>
      <c r="Z93" s="6" t="s">
        <v>36</v>
      </c>
      <c r="AA93" s="50"/>
      <c r="AC93" s="100">
        <v>38421.75</v>
      </c>
      <c r="AD93" s="14">
        <v>38421.75</v>
      </c>
      <c r="AE93" s="100">
        <v>0</v>
      </c>
    </row>
    <row r="94" spans="1:31 16378:16382" s="14" customFormat="1" ht="21.75" hidden="1" customHeight="1" x14ac:dyDescent="0.25">
      <c r="A94" s="6">
        <f>SUBTOTAL(3,$D$1:D94)-1</f>
        <v>0</v>
      </c>
      <c r="B94" s="7">
        <v>2000722</v>
      </c>
      <c r="C94" s="15" t="s">
        <v>299</v>
      </c>
      <c r="D94" s="9" t="s">
        <v>300</v>
      </c>
      <c r="E94" s="9" t="s">
        <v>165</v>
      </c>
      <c r="F94" s="9" t="s">
        <v>301</v>
      </c>
      <c r="G94" s="10">
        <v>44767</v>
      </c>
      <c r="H94" s="11" t="s">
        <v>49</v>
      </c>
      <c r="I94" s="11" t="s">
        <v>855</v>
      </c>
      <c r="J94" s="11">
        <f>VLOOKUP(C94,'[1]Sheet1 (5)'!$B$1:$W$121,21,0)</f>
        <v>13560.800000000001</v>
      </c>
      <c r="K94" s="11">
        <f>VLOOKUP(C94,'[1]Sheet1 (5)'!$B$1:$W$121,22,0)</f>
        <v>20341.2</v>
      </c>
      <c r="L94" s="12">
        <f t="shared" si="7"/>
        <v>33902</v>
      </c>
      <c r="M94" s="12">
        <f t="shared" si="11"/>
        <v>33902</v>
      </c>
      <c r="N94" s="12">
        <v>795</v>
      </c>
      <c r="O94" s="12">
        <v>3229</v>
      </c>
      <c r="P94" s="12">
        <v>0</v>
      </c>
      <c r="Q94" s="12">
        <v>0</v>
      </c>
      <c r="R94" s="12">
        <v>0</v>
      </c>
      <c r="S94" s="12">
        <v>0</v>
      </c>
      <c r="T94" s="12">
        <f t="shared" si="9"/>
        <v>3229</v>
      </c>
      <c r="U94" s="12">
        <f t="shared" si="8"/>
        <v>37926</v>
      </c>
      <c r="V94" s="12">
        <f t="shared" si="10"/>
        <v>37131</v>
      </c>
      <c r="W94" s="13" t="s">
        <v>1180</v>
      </c>
      <c r="X94" s="6" t="s">
        <v>88</v>
      </c>
      <c r="Y94" s="6" t="s">
        <v>887</v>
      </c>
      <c r="Z94" s="6" t="s">
        <v>36</v>
      </c>
      <c r="AA94" s="50"/>
      <c r="AC94" s="100">
        <v>37926</v>
      </c>
      <c r="AD94" s="14">
        <v>37926</v>
      </c>
      <c r="AE94" s="100">
        <v>0</v>
      </c>
    </row>
    <row r="95" spans="1:31 16378:16382" s="14" customFormat="1" ht="21.75" hidden="1" customHeight="1" x14ac:dyDescent="0.25">
      <c r="A95" s="6">
        <f>SUBTOTAL(3,$D$1:D95)-1</f>
        <v>0</v>
      </c>
      <c r="B95" s="7">
        <v>2000716</v>
      </c>
      <c r="C95" s="15" t="s">
        <v>302</v>
      </c>
      <c r="D95" s="87" t="s">
        <v>303</v>
      </c>
      <c r="E95" s="9" t="s">
        <v>394</v>
      </c>
      <c r="F95" s="9" t="s">
        <v>48</v>
      </c>
      <c r="G95" s="10">
        <v>44754</v>
      </c>
      <c r="H95" s="11" t="s">
        <v>69</v>
      </c>
      <c r="I95" s="11" t="s">
        <v>851</v>
      </c>
      <c r="J95" s="11">
        <f>VLOOKUP(C95,'[1]Sheet1 (5)'!$B$1:$W$121,21,0)</f>
        <v>7938</v>
      </c>
      <c r="K95" s="11">
        <f>VLOOKUP(C95,'[1]Sheet1 (5)'!$B$1:$W$121,22,0)</f>
        <v>11907</v>
      </c>
      <c r="L95" s="12">
        <f t="shared" si="7"/>
        <v>19845</v>
      </c>
      <c r="M95" s="12">
        <f t="shared" si="11"/>
        <v>19845</v>
      </c>
      <c r="N95" s="12">
        <v>795</v>
      </c>
      <c r="O95" s="12">
        <v>1890</v>
      </c>
      <c r="P95" s="12">
        <v>0</v>
      </c>
      <c r="Q95" s="12">
        <v>0</v>
      </c>
      <c r="R95" s="12">
        <v>0</v>
      </c>
      <c r="S95" s="12">
        <v>0</v>
      </c>
      <c r="T95" s="12">
        <f t="shared" si="9"/>
        <v>1890</v>
      </c>
      <c r="U95" s="12">
        <f t="shared" si="8"/>
        <v>22530</v>
      </c>
      <c r="V95" s="12">
        <f t="shared" si="10"/>
        <v>21735</v>
      </c>
      <c r="W95" s="13" t="s">
        <v>1180</v>
      </c>
      <c r="X95" s="6" t="s">
        <v>902</v>
      </c>
      <c r="Y95" s="6" t="s">
        <v>875</v>
      </c>
      <c r="Z95" s="6" t="s">
        <v>36</v>
      </c>
      <c r="AA95" s="50"/>
      <c r="AC95" s="100">
        <v>22530</v>
      </c>
      <c r="AD95" s="14">
        <v>22530</v>
      </c>
      <c r="AE95" s="100">
        <v>0</v>
      </c>
    </row>
    <row r="96" spans="1:31 16378:16382" s="14" customFormat="1" ht="21.75" hidden="1" customHeight="1" x14ac:dyDescent="0.25">
      <c r="A96" s="6">
        <f>SUBTOTAL(3,$D$1:D96)-1</f>
        <v>0</v>
      </c>
      <c r="B96" s="19">
        <v>2000702</v>
      </c>
      <c r="C96" s="16" t="s">
        <v>304</v>
      </c>
      <c r="D96" s="17" t="s">
        <v>305</v>
      </c>
      <c r="E96" s="9" t="s">
        <v>1026</v>
      </c>
      <c r="F96" s="17" t="s">
        <v>114</v>
      </c>
      <c r="G96" s="20">
        <v>44754</v>
      </c>
      <c r="H96" s="11" t="s">
        <v>236</v>
      </c>
      <c r="I96" s="11" t="s">
        <v>237</v>
      </c>
      <c r="J96" s="11">
        <f>VLOOKUP(C96,'[1]Sheet1 (5)'!$B$1:$W$121,21,0)</f>
        <v>16789.5</v>
      </c>
      <c r="K96" s="11">
        <f>VLOOKUP(C96,'[1]Sheet1 (5)'!$B$1:$W$121,22,0)</f>
        <v>25184.25</v>
      </c>
      <c r="L96" s="12">
        <f t="shared" si="7"/>
        <v>41973.75</v>
      </c>
      <c r="M96" s="18">
        <f t="shared" si="11"/>
        <v>41973.75</v>
      </c>
      <c r="N96" s="18">
        <v>795</v>
      </c>
      <c r="O96" s="12">
        <v>3997.5</v>
      </c>
      <c r="P96" s="18">
        <v>0</v>
      </c>
      <c r="Q96" s="18">
        <v>0</v>
      </c>
      <c r="R96" s="18">
        <v>0</v>
      </c>
      <c r="S96" s="18">
        <v>0</v>
      </c>
      <c r="T96" s="12">
        <f t="shared" si="9"/>
        <v>3997.5</v>
      </c>
      <c r="U96" s="18">
        <f t="shared" si="8"/>
        <v>46766.25</v>
      </c>
      <c r="V96" s="12">
        <f t="shared" si="10"/>
        <v>45971.25</v>
      </c>
      <c r="W96" s="13" t="s">
        <v>1180</v>
      </c>
      <c r="X96" s="6" t="s">
        <v>88</v>
      </c>
      <c r="Y96" s="6" t="s">
        <v>897</v>
      </c>
      <c r="Z96" s="22" t="s">
        <v>36</v>
      </c>
      <c r="AA96" s="50"/>
      <c r="AC96" s="100">
        <v>46766.25</v>
      </c>
      <c r="AD96" s="14">
        <v>46766.25</v>
      </c>
      <c r="AE96" s="100">
        <v>0</v>
      </c>
    </row>
    <row r="97" spans="1:31" s="14" customFormat="1" ht="21.75" hidden="1" customHeight="1" x14ac:dyDescent="0.25">
      <c r="A97" s="6">
        <f>SUBTOTAL(3,$D$1:D97)-1</f>
        <v>0</v>
      </c>
      <c r="B97" s="19">
        <v>2000732</v>
      </c>
      <c r="C97" s="16" t="s">
        <v>307</v>
      </c>
      <c r="D97" s="17" t="s">
        <v>308</v>
      </c>
      <c r="E97" s="9" t="s">
        <v>1027</v>
      </c>
      <c r="F97" s="17" t="s">
        <v>230</v>
      </c>
      <c r="G97" s="20">
        <v>44774</v>
      </c>
      <c r="H97" s="11" t="s">
        <v>40</v>
      </c>
      <c r="I97" s="11" t="s">
        <v>40</v>
      </c>
      <c r="J97" s="11">
        <f>VLOOKUP(C97,'[1]Sheet1 (5)'!$B$1:$W$121,21,0)</f>
        <v>20328</v>
      </c>
      <c r="K97" s="11">
        <f>VLOOKUP(C97,'[1]Sheet1 (5)'!$B$1:$W$121,22,0)</f>
        <v>30492</v>
      </c>
      <c r="L97" s="12">
        <f t="shared" si="7"/>
        <v>50820</v>
      </c>
      <c r="M97" s="18">
        <f t="shared" si="11"/>
        <v>50820</v>
      </c>
      <c r="N97" s="18">
        <v>795</v>
      </c>
      <c r="O97" s="12">
        <v>4840</v>
      </c>
      <c r="P97" s="3">
        <v>0</v>
      </c>
      <c r="Q97" s="3">
        <v>0</v>
      </c>
      <c r="R97" s="12">
        <v>0</v>
      </c>
      <c r="S97" s="12">
        <v>0</v>
      </c>
      <c r="T97" s="12">
        <f t="shared" si="9"/>
        <v>4840</v>
      </c>
      <c r="U97" s="18">
        <f t="shared" si="8"/>
        <v>56455</v>
      </c>
      <c r="V97" s="12">
        <f t="shared" si="10"/>
        <v>55660</v>
      </c>
      <c r="W97" s="13" t="s">
        <v>1180</v>
      </c>
      <c r="X97" s="6" t="s">
        <v>253</v>
      </c>
      <c r="Y97" s="6" t="s">
        <v>880</v>
      </c>
      <c r="Z97" s="6" t="s">
        <v>36</v>
      </c>
      <c r="AA97" s="50"/>
      <c r="AC97" s="100">
        <v>56455</v>
      </c>
      <c r="AD97" s="14">
        <v>56455</v>
      </c>
      <c r="AE97" s="100">
        <v>0</v>
      </c>
    </row>
    <row r="98" spans="1:31" s="14" customFormat="1" ht="21.75" hidden="1" customHeight="1" x14ac:dyDescent="0.25">
      <c r="A98" s="6">
        <f>SUBTOTAL(3,$D$1:D98)-1</f>
        <v>0</v>
      </c>
      <c r="B98" s="7">
        <v>2000742</v>
      </c>
      <c r="C98" s="15" t="s">
        <v>309</v>
      </c>
      <c r="D98" s="9" t="s">
        <v>310</v>
      </c>
      <c r="E98" s="9" t="s">
        <v>311</v>
      </c>
      <c r="F98" s="9" t="s">
        <v>81</v>
      </c>
      <c r="G98" s="10">
        <v>44809</v>
      </c>
      <c r="H98" s="11" t="s">
        <v>87</v>
      </c>
      <c r="I98" s="11" t="s">
        <v>1008</v>
      </c>
      <c r="J98" s="11">
        <f>VLOOKUP(C98,'[1]Sheet1 (5)'!$B$1:$W$121,21,0)</f>
        <v>12789</v>
      </c>
      <c r="K98" s="11">
        <f>VLOOKUP(C98,'[1]Sheet1 (5)'!$B$1:$W$121,22,0)</f>
        <v>19183.5</v>
      </c>
      <c r="L98" s="12">
        <f t="shared" si="7"/>
        <v>31972.5</v>
      </c>
      <c r="M98" s="12">
        <f t="shared" si="11"/>
        <v>31972.5</v>
      </c>
      <c r="N98" s="12">
        <v>795</v>
      </c>
      <c r="O98" s="12">
        <v>3045</v>
      </c>
      <c r="P98" s="12">
        <v>0</v>
      </c>
      <c r="Q98" s="12">
        <v>0</v>
      </c>
      <c r="R98" s="12">
        <v>0</v>
      </c>
      <c r="S98" s="12">
        <v>0</v>
      </c>
      <c r="T98" s="12">
        <f t="shared" si="9"/>
        <v>3045</v>
      </c>
      <c r="U98" s="12">
        <f t="shared" ref="U98:U129" si="12">+M98+N98+T98</f>
        <v>35812.5</v>
      </c>
      <c r="V98" s="12">
        <f t="shared" si="10"/>
        <v>35017.5</v>
      </c>
      <c r="W98" s="13" t="s">
        <v>1180</v>
      </c>
      <c r="X98" s="6" t="s">
        <v>88</v>
      </c>
      <c r="Y98" s="6" t="s">
        <v>877</v>
      </c>
      <c r="Z98" s="6" t="s">
        <v>36</v>
      </c>
      <c r="AA98" s="50"/>
      <c r="AC98" s="100">
        <v>35812.5</v>
      </c>
      <c r="AD98" s="14">
        <v>35812.5</v>
      </c>
      <c r="AE98" s="100">
        <v>0</v>
      </c>
    </row>
    <row r="99" spans="1:31" s="14" customFormat="1" ht="21.75" hidden="1" customHeight="1" x14ac:dyDescent="0.25">
      <c r="A99" s="6">
        <f>SUBTOTAL(3,$D$1:D99)-1</f>
        <v>0</v>
      </c>
      <c r="B99" s="7">
        <v>2000724</v>
      </c>
      <c r="C99" s="15" t="s">
        <v>312</v>
      </c>
      <c r="D99" s="9" t="s">
        <v>313</v>
      </c>
      <c r="E99" s="9" t="s">
        <v>1028</v>
      </c>
      <c r="F99" s="9" t="s">
        <v>314</v>
      </c>
      <c r="G99" s="10">
        <v>44774</v>
      </c>
      <c r="H99" s="11" t="s">
        <v>69</v>
      </c>
      <c r="I99" s="11" t="s">
        <v>862</v>
      </c>
      <c r="J99" s="11">
        <v>32970</v>
      </c>
      <c r="K99" s="11">
        <v>49455</v>
      </c>
      <c r="L99" s="12">
        <f t="shared" si="7"/>
        <v>82425</v>
      </c>
      <c r="M99" s="12">
        <f t="shared" si="11"/>
        <v>82425</v>
      </c>
      <c r="N99" s="12">
        <v>795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f t="shared" si="9"/>
        <v>0</v>
      </c>
      <c r="U99" s="12">
        <f t="shared" si="12"/>
        <v>83220</v>
      </c>
      <c r="V99" s="12">
        <f t="shared" si="10"/>
        <v>82425</v>
      </c>
      <c r="W99" s="13"/>
      <c r="X99" s="6" t="s">
        <v>202</v>
      </c>
      <c r="Y99" s="6" t="s">
        <v>903</v>
      </c>
      <c r="Z99" s="6" t="s">
        <v>36</v>
      </c>
      <c r="AA99" s="50"/>
      <c r="AC99" s="100">
        <v>83220</v>
      </c>
      <c r="AD99" s="14">
        <v>83220</v>
      </c>
      <c r="AE99" s="100">
        <v>0</v>
      </c>
    </row>
    <row r="100" spans="1:31" s="14" customFormat="1" ht="21.75" hidden="1" customHeight="1" x14ac:dyDescent="0.25">
      <c r="A100" s="6">
        <f>SUBTOTAL(3,$D$1:D100)-1</f>
        <v>0</v>
      </c>
      <c r="B100" s="19">
        <v>2000725</v>
      </c>
      <c r="C100" s="16" t="s">
        <v>315</v>
      </c>
      <c r="D100" s="17" t="s">
        <v>316</v>
      </c>
      <c r="E100" s="9" t="s">
        <v>1029</v>
      </c>
      <c r="F100" s="17" t="s">
        <v>127</v>
      </c>
      <c r="G100" s="20">
        <v>44774</v>
      </c>
      <c r="H100" s="11" t="s">
        <v>69</v>
      </c>
      <c r="I100" s="11" t="s">
        <v>270</v>
      </c>
      <c r="J100" s="11">
        <f>VLOOKUP(C100,'[1]Sheet1 (5)'!$B$1:$W$121,21,0)</f>
        <v>20240</v>
      </c>
      <c r="K100" s="11">
        <f>VLOOKUP(C100,'[1]Sheet1 (5)'!$B$1:$W$121,22,0)</f>
        <v>30360</v>
      </c>
      <c r="L100" s="12">
        <f t="shared" si="7"/>
        <v>50600</v>
      </c>
      <c r="M100" s="18">
        <f t="shared" si="11"/>
        <v>50600</v>
      </c>
      <c r="N100" s="18">
        <v>795</v>
      </c>
      <c r="O100" s="12">
        <v>9200</v>
      </c>
      <c r="P100" s="18">
        <v>0</v>
      </c>
      <c r="Q100" s="18">
        <v>0</v>
      </c>
      <c r="R100" s="18">
        <v>0</v>
      </c>
      <c r="S100" s="18">
        <v>0</v>
      </c>
      <c r="T100" s="12">
        <f t="shared" si="9"/>
        <v>9200</v>
      </c>
      <c r="U100" s="18">
        <f t="shared" si="12"/>
        <v>60595</v>
      </c>
      <c r="V100" s="12">
        <f t="shared" si="10"/>
        <v>59800</v>
      </c>
      <c r="W100" s="13" t="s">
        <v>1180</v>
      </c>
      <c r="X100" s="6" t="s">
        <v>88</v>
      </c>
      <c r="Y100" s="6" t="s">
        <v>900</v>
      </c>
      <c r="Z100" s="22" t="s">
        <v>36</v>
      </c>
      <c r="AA100" s="50"/>
      <c r="AC100" s="100">
        <v>60595</v>
      </c>
      <c r="AD100" s="14">
        <v>60595</v>
      </c>
      <c r="AE100" s="100">
        <v>0</v>
      </c>
    </row>
    <row r="101" spans="1:31" s="14" customFormat="1" ht="21.75" hidden="1" customHeight="1" x14ac:dyDescent="0.25">
      <c r="A101" s="6">
        <f>SUBTOTAL(3,$D$1:D101)-1</f>
        <v>0</v>
      </c>
      <c r="B101" s="7">
        <v>2000741</v>
      </c>
      <c r="C101" s="15" t="s">
        <v>317</v>
      </c>
      <c r="D101" s="9" t="s">
        <v>318</v>
      </c>
      <c r="E101" s="9" t="s">
        <v>319</v>
      </c>
      <c r="F101" s="9" t="s">
        <v>320</v>
      </c>
      <c r="G101" s="10">
        <v>44802</v>
      </c>
      <c r="H101" s="11" t="s">
        <v>49</v>
      </c>
      <c r="I101" s="11" t="s">
        <v>855</v>
      </c>
      <c r="J101" s="11">
        <v>19360</v>
      </c>
      <c r="K101" s="11">
        <v>29040</v>
      </c>
      <c r="L101" s="12">
        <f t="shared" si="7"/>
        <v>48400</v>
      </c>
      <c r="M101" s="12">
        <f t="shared" si="11"/>
        <v>48400</v>
      </c>
      <c r="N101" s="12">
        <v>795</v>
      </c>
      <c r="O101" s="12">
        <f>44000*0.1*2</f>
        <v>8800</v>
      </c>
      <c r="P101" s="12">
        <v>0</v>
      </c>
      <c r="Q101" s="12">
        <v>0</v>
      </c>
      <c r="R101" s="12">
        <v>0</v>
      </c>
      <c r="S101" s="12">
        <v>0</v>
      </c>
      <c r="T101" s="12">
        <f t="shared" si="9"/>
        <v>8800</v>
      </c>
      <c r="U101" s="12">
        <f t="shared" si="12"/>
        <v>57995</v>
      </c>
      <c r="V101" s="12">
        <f t="shared" si="10"/>
        <v>57200</v>
      </c>
      <c r="W101" s="13" t="s">
        <v>1180</v>
      </c>
      <c r="X101" s="6" t="s">
        <v>253</v>
      </c>
      <c r="Y101" s="6" t="s">
        <v>887</v>
      </c>
      <c r="Z101" s="6" t="s">
        <v>36</v>
      </c>
      <c r="AA101" s="50"/>
      <c r="AC101" s="100">
        <v>57995</v>
      </c>
      <c r="AD101" s="14">
        <v>57995</v>
      </c>
      <c r="AE101" s="100">
        <v>0</v>
      </c>
    </row>
    <row r="102" spans="1:31" s="14" customFormat="1" ht="21.75" hidden="1" customHeight="1" x14ac:dyDescent="0.25">
      <c r="A102" s="6">
        <f>SUBTOTAL(3,$D$1:D102)-1</f>
        <v>0</v>
      </c>
      <c r="B102" s="7">
        <v>2000589</v>
      </c>
      <c r="C102" s="16" t="s">
        <v>321</v>
      </c>
      <c r="D102" s="17" t="s">
        <v>322</v>
      </c>
      <c r="E102" s="9" t="s">
        <v>323</v>
      </c>
      <c r="F102" s="9" t="s">
        <v>81</v>
      </c>
      <c r="G102" s="10">
        <v>44824</v>
      </c>
      <c r="H102" s="11" t="s">
        <v>45</v>
      </c>
      <c r="I102" s="11" t="s">
        <v>848</v>
      </c>
      <c r="J102" s="11">
        <v>9802</v>
      </c>
      <c r="K102" s="11">
        <v>14703</v>
      </c>
      <c r="L102" s="12">
        <f t="shared" si="7"/>
        <v>24505</v>
      </c>
      <c r="M102" s="12">
        <f t="shared" si="11"/>
        <v>24505</v>
      </c>
      <c r="N102" s="12">
        <v>795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f t="shared" si="9"/>
        <v>0</v>
      </c>
      <c r="U102" s="18">
        <f t="shared" si="12"/>
        <v>25300</v>
      </c>
      <c r="V102" s="12">
        <f t="shared" si="10"/>
        <v>24505</v>
      </c>
      <c r="W102" s="96"/>
      <c r="X102" s="6" t="s">
        <v>35</v>
      </c>
      <c r="Y102" s="6" t="s">
        <v>870</v>
      </c>
      <c r="Z102" s="6" t="s">
        <v>36</v>
      </c>
      <c r="AA102" s="50"/>
      <c r="AC102" s="100">
        <v>25300</v>
      </c>
      <c r="AD102" s="14">
        <v>25300</v>
      </c>
      <c r="AE102" s="100">
        <v>0</v>
      </c>
    </row>
    <row r="103" spans="1:31" s="14" customFormat="1" ht="21.75" hidden="1" customHeight="1" x14ac:dyDescent="0.25">
      <c r="A103" s="6">
        <f>SUBTOTAL(3,$D$1:D103)-1</f>
        <v>0</v>
      </c>
      <c r="B103" s="7">
        <v>2000735</v>
      </c>
      <c r="C103" s="15" t="s">
        <v>324</v>
      </c>
      <c r="D103" s="88" t="s">
        <v>325</v>
      </c>
      <c r="E103" s="9" t="s">
        <v>513</v>
      </c>
      <c r="F103" s="9" t="s">
        <v>274</v>
      </c>
      <c r="G103" s="10">
        <v>44795</v>
      </c>
      <c r="H103" s="11" t="s">
        <v>69</v>
      </c>
      <c r="I103" s="11" t="s">
        <v>294</v>
      </c>
      <c r="J103" s="11">
        <f>VLOOKUP(C103,'[1]Sheet1 (5)'!$B$1:$W$121,21,0)</f>
        <v>35280</v>
      </c>
      <c r="K103" s="11">
        <f>VLOOKUP(C103,'[1]Sheet1 (5)'!$B$1:$W$121,22,0)</f>
        <v>52920</v>
      </c>
      <c r="L103" s="12">
        <f t="shared" si="7"/>
        <v>88200</v>
      </c>
      <c r="M103" s="12">
        <f t="shared" si="11"/>
        <v>88200</v>
      </c>
      <c r="N103" s="12">
        <v>795</v>
      </c>
      <c r="O103" s="12">
        <v>8400</v>
      </c>
      <c r="P103" s="12">
        <v>0</v>
      </c>
      <c r="Q103" s="12">
        <v>12600</v>
      </c>
      <c r="R103" s="12">
        <v>0</v>
      </c>
      <c r="S103" s="12">
        <v>4200</v>
      </c>
      <c r="T103" s="12">
        <f t="shared" si="9"/>
        <v>21000</v>
      </c>
      <c r="U103" s="12">
        <f t="shared" si="12"/>
        <v>109995</v>
      </c>
      <c r="V103" s="12">
        <f t="shared" si="10"/>
        <v>92400</v>
      </c>
      <c r="W103" s="13" t="s">
        <v>1180</v>
      </c>
      <c r="X103" s="6" t="s">
        <v>202</v>
      </c>
      <c r="Y103" s="6" t="s">
        <v>1077</v>
      </c>
      <c r="Z103" s="6" t="s">
        <v>36</v>
      </c>
      <c r="AA103" s="14" t="str">
        <f>W103</f>
        <v>Increment Arrears w.e.f. 01.09.2025</v>
      </c>
      <c r="AB103" s="14" t="str">
        <f>CONCATENATE(C103," - ", D103," - ",AA103)</f>
        <v>02-2777 - Khulood Al Thani - Increment Arrears w.e.f. 01.09.2025</v>
      </c>
      <c r="AC103" s="100">
        <v>109995</v>
      </c>
      <c r="AD103" s="110">
        <v>109995</v>
      </c>
      <c r="AE103" s="100">
        <v>0</v>
      </c>
    </row>
    <row r="104" spans="1:31" s="14" customFormat="1" ht="21.75" hidden="1" customHeight="1" x14ac:dyDescent="0.25">
      <c r="A104" s="6">
        <f>SUBTOTAL(3,$D$1:D104)-1</f>
        <v>0</v>
      </c>
      <c r="B104" s="23">
        <v>2000739</v>
      </c>
      <c r="C104" s="24" t="s">
        <v>326</v>
      </c>
      <c r="D104" s="25" t="s">
        <v>327</v>
      </c>
      <c r="E104" s="9" t="s">
        <v>808</v>
      </c>
      <c r="F104" s="26" t="s">
        <v>328</v>
      </c>
      <c r="G104" s="27">
        <v>44804</v>
      </c>
      <c r="H104" s="11" t="s">
        <v>236</v>
      </c>
      <c r="I104" s="11" t="s">
        <v>237</v>
      </c>
      <c r="J104" s="28">
        <v>16720</v>
      </c>
      <c r="K104" s="28">
        <v>25080</v>
      </c>
      <c r="L104" s="28">
        <f t="shared" si="7"/>
        <v>41800</v>
      </c>
      <c r="M104" s="28">
        <f t="shared" si="11"/>
        <v>41800</v>
      </c>
      <c r="N104" s="28">
        <v>795</v>
      </c>
      <c r="O104" s="28">
        <v>0</v>
      </c>
      <c r="P104" s="28">
        <f>2312.5/30*7</f>
        <v>539.58333333333326</v>
      </c>
      <c r="Q104" s="28">
        <v>0</v>
      </c>
      <c r="R104" s="28">
        <v>0</v>
      </c>
      <c r="S104" s="28">
        <v>0</v>
      </c>
      <c r="T104" s="28">
        <f t="shared" si="9"/>
        <v>539.58333333333326</v>
      </c>
      <c r="U104" s="28">
        <f t="shared" si="12"/>
        <v>43134.583333333336</v>
      </c>
      <c r="V104" s="12">
        <f t="shared" si="10"/>
        <v>42339.583333333336</v>
      </c>
      <c r="W104" s="29" t="s">
        <v>798</v>
      </c>
      <c r="X104" s="6" t="s">
        <v>88</v>
      </c>
      <c r="Y104" s="6" t="s">
        <v>897</v>
      </c>
      <c r="Z104" s="30" t="s">
        <v>36</v>
      </c>
      <c r="AA104" s="50"/>
      <c r="AC104" s="100">
        <v>43134.583333333336</v>
      </c>
      <c r="AD104" s="14">
        <v>43134.582999999999</v>
      </c>
      <c r="AE104" s="100">
        <v>3.3333333703922108E-4</v>
      </c>
    </row>
    <row r="105" spans="1:31" s="14" customFormat="1" ht="21.75" hidden="1" customHeight="1" x14ac:dyDescent="0.25">
      <c r="A105" s="6">
        <f>SUBTOTAL(3,$D$1:D105)-1</f>
        <v>0</v>
      </c>
      <c r="B105" s="7">
        <v>2000538</v>
      </c>
      <c r="C105" s="16" t="s">
        <v>329</v>
      </c>
      <c r="D105" s="17" t="s">
        <v>330</v>
      </c>
      <c r="E105" s="9" t="s">
        <v>1030</v>
      </c>
      <c r="F105" s="9" t="s">
        <v>48</v>
      </c>
      <c r="G105" s="10">
        <v>44831</v>
      </c>
      <c r="H105" s="11" t="s">
        <v>45</v>
      </c>
      <c r="I105" s="11" t="s">
        <v>256</v>
      </c>
      <c r="J105" s="11">
        <f>VLOOKUP(C105,'[1]Sheet1 (5)'!$B$1:$W$121,21,0)</f>
        <v>23284.800000000003</v>
      </c>
      <c r="K105" s="11">
        <f>VLOOKUP(C105,'[1]Sheet1 (5)'!$B$1:$W$121,22,0)</f>
        <v>34927.199999999997</v>
      </c>
      <c r="L105" s="12">
        <f t="shared" si="7"/>
        <v>58212</v>
      </c>
      <c r="M105" s="12">
        <f t="shared" si="11"/>
        <v>58212</v>
      </c>
      <c r="N105" s="12">
        <v>795</v>
      </c>
      <c r="O105" s="12">
        <v>10584</v>
      </c>
      <c r="P105" s="12">
        <v>0</v>
      </c>
      <c r="Q105" s="12">
        <v>0</v>
      </c>
      <c r="R105" s="12">
        <v>0</v>
      </c>
      <c r="S105" s="12">
        <v>0</v>
      </c>
      <c r="T105" s="12">
        <f t="shared" si="9"/>
        <v>10584</v>
      </c>
      <c r="U105" s="18">
        <f t="shared" si="12"/>
        <v>69591</v>
      </c>
      <c r="V105" s="12">
        <f t="shared" si="10"/>
        <v>68796</v>
      </c>
      <c r="W105" s="13" t="s">
        <v>1180</v>
      </c>
      <c r="X105" s="6" t="s">
        <v>202</v>
      </c>
      <c r="Y105" s="6" t="s">
        <v>898</v>
      </c>
      <c r="Z105" s="6" t="s">
        <v>36</v>
      </c>
      <c r="AA105" s="50"/>
      <c r="AC105" s="100">
        <v>69591</v>
      </c>
      <c r="AD105" s="14">
        <v>69591</v>
      </c>
      <c r="AE105" s="100">
        <v>0</v>
      </c>
    </row>
    <row r="106" spans="1:31" s="14" customFormat="1" ht="21.75" hidden="1" customHeight="1" x14ac:dyDescent="0.25">
      <c r="A106" s="6">
        <f>SUBTOTAL(3,$D$1:D106)-1</f>
        <v>0</v>
      </c>
      <c r="B106" s="7">
        <v>2000745</v>
      </c>
      <c r="C106" s="16" t="s">
        <v>331</v>
      </c>
      <c r="D106" s="17" t="s">
        <v>332</v>
      </c>
      <c r="E106" s="9" t="s">
        <v>333</v>
      </c>
      <c r="F106" s="9" t="s">
        <v>48</v>
      </c>
      <c r="G106" s="10">
        <v>44806</v>
      </c>
      <c r="H106" s="11" t="s">
        <v>45</v>
      </c>
      <c r="I106" s="11" t="s">
        <v>857</v>
      </c>
      <c r="J106" s="11">
        <f>VLOOKUP(C106,'[1]Sheet1 (5)'!$B$1:$W$121,21,0)</f>
        <v>15435</v>
      </c>
      <c r="K106" s="11">
        <f>VLOOKUP(C106,'[1]Sheet1 (5)'!$B$1:$W$121,22,0)</f>
        <v>23152.5</v>
      </c>
      <c r="L106" s="12">
        <f t="shared" si="7"/>
        <v>38587.5</v>
      </c>
      <c r="M106" s="12">
        <f t="shared" si="11"/>
        <v>38587.5</v>
      </c>
      <c r="N106" s="12">
        <v>795</v>
      </c>
      <c r="O106" s="12">
        <v>3675</v>
      </c>
      <c r="P106" s="12">
        <v>0</v>
      </c>
      <c r="Q106" s="12">
        <v>0</v>
      </c>
      <c r="R106" s="12">
        <v>0</v>
      </c>
      <c r="S106" s="12">
        <v>0</v>
      </c>
      <c r="T106" s="12">
        <f t="shared" si="9"/>
        <v>3675</v>
      </c>
      <c r="U106" s="18">
        <f t="shared" si="12"/>
        <v>43057.5</v>
      </c>
      <c r="V106" s="12">
        <f t="shared" si="10"/>
        <v>42262.5</v>
      </c>
      <c r="W106" s="13" t="s">
        <v>1180</v>
      </c>
      <c r="X106" s="6" t="s">
        <v>88</v>
      </c>
      <c r="Y106" s="6" t="s">
        <v>893</v>
      </c>
      <c r="Z106" s="6" t="s">
        <v>36</v>
      </c>
      <c r="AA106" s="50"/>
      <c r="AC106" s="100">
        <v>43057.5</v>
      </c>
      <c r="AD106" s="14">
        <v>43057.5</v>
      </c>
      <c r="AE106" s="100">
        <v>0</v>
      </c>
    </row>
    <row r="107" spans="1:31" s="14" customFormat="1" ht="21.75" hidden="1" customHeight="1" x14ac:dyDescent="0.25">
      <c r="A107" s="6">
        <f>SUBTOTAL(3,$D$1:D107)-1</f>
        <v>0</v>
      </c>
      <c r="B107" s="7">
        <v>2000562</v>
      </c>
      <c r="C107" s="15" t="s">
        <v>334</v>
      </c>
      <c r="D107" s="9" t="s">
        <v>335</v>
      </c>
      <c r="E107" s="9" t="s">
        <v>336</v>
      </c>
      <c r="F107" s="9" t="s">
        <v>114</v>
      </c>
      <c r="G107" s="10">
        <v>44805</v>
      </c>
      <c r="H107" s="11" t="s">
        <v>49</v>
      </c>
      <c r="I107" s="11" t="s">
        <v>855</v>
      </c>
      <c r="J107" s="11">
        <v>12810</v>
      </c>
      <c r="K107" s="11">
        <v>19215</v>
      </c>
      <c r="L107" s="12">
        <f t="shared" si="7"/>
        <v>32025</v>
      </c>
      <c r="M107" s="12">
        <f t="shared" si="11"/>
        <v>32025</v>
      </c>
      <c r="N107" s="12">
        <v>795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f t="shared" si="9"/>
        <v>0</v>
      </c>
      <c r="U107" s="12">
        <f t="shared" si="12"/>
        <v>32820</v>
      </c>
      <c r="V107" s="12">
        <f t="shared" si="10"/>
        <v>32025</v>
      </c>
      <c r="W107" s="13"/>
      <c r="X107" s="6" t="s">
        <v>41</v>
      </c>
      <c r="Y107" s="6" t="s">
        <v>887</v>
      </c>
      <c r="Z107" s="6" t="s">
        <v>36</v>
      </c>
      <c r="AA107" s="50"/>
      <c r="AC107" s="100">
        <v>32820</v>
      </c>
      <c r="AD107" s="14">
        <v>32820</v>
      </c>
      <c r="AE107" s="100">
        <v>0</v>
      </c>
    </row>
    <row r="108" spans="1:31" s="14" customFormat="1" ht="21.75" hidden="1" customHeight="1" x14ac:dyDescent="0.25">
      <c r="A108" s="6">
        <f>SUBTOTAL(3,$D$1:D108)-1</f>
        <v>0</v>
      </c>
      <c r="B108" s="7">
        <v>2000751</v>
      </c>
      <c r="C108" s="15" t="s">
        <v>337</v>
      </c>
      <c r="D108" s="9" t="s">
        <v>338</v>
      </c>
      <c r="E108" s="9" t="s">
        <v>707</v>
      </c>
      <c r="F108" s="9" t="s">
        <v>52</v>
      </c>
      <c r="G108" s="10">
        <v>44806</v>
      </c>
      <c r="H108" s="11" t="s">
        <v>33</v>
      </c>
      <c r="I108" s="11" t="s">
        <v>152</v>
      </c>
      <c r="J108" s="11">
        <f>VLOOKUP(C108,'[1]Sheet1 (5)'!$B$1:$W$121,21,0)</f>
        <v>10412.1</v>
      </c>
      <c r="K108" s="11">
        <f>VLOOKUP(C108,'[1]Sheet1 (5)'!$B$1:$W$121,22,0)</f>
        <v>15618.15</v>
      </c>
      <c r="L108" s="12">
        <f t="shared" si="7"/>
        <v>26030.25</v>
      </c>
      <c r="M108" s="12">
        <f t="shared" ref="M108:M140" si="13">L108</f>
        <v>26030.25</v>
      </c>
      <c r="N108" s="12">
        <v>795</v>
      </c>
      <c r="O108" s="12">
        <v>4733</v>
      </c>
      <c r="P108" s="12">
        <v>0</v>
      </c>
      <c r="Q108" s="12">
        <v>0</v>
      </c>
      <c r="R108" s="12">
        <v>0</v>
      </c>
      <c r="S108" s="12">
        <v>0</v>
      </c>
      <c r="T108" s="12">
        <f t="shared" si="9"/>
        <v>4733</v>
      </c>
      <c r="U108" s="12">
        <f t="shared" si="12"/>
        <v>31558.25</v>
      </c>
      <c r="V108" s="12">
        <f t="shared" si="10"/>
        <v>30763.25</v>
      </c>
      <c r="W108" s="13" t="s">
        <v>1180</v>
      </c>
      <c r="X108" s="6" t="s">
        <v>210</v>
      </c>
      <c r="Y108" s="6" t="s">
        <v>888</v>
      </c>
      <c r="Z108" s="6" t="s">
        <v>36</v>
      </c>
      <c r="AA108" s="50"/>
      <c r="AC108" s="100">
        <v>31558.25</v>
      </c>
      <c r="AD108" s="14">
        <v>31558.25</v>
      </c>
      <c r="AE108" s="100">
        <v>0</v>
      </c>
    </row>
    <row r="109" spans="1:31" s="14" customFormat="1" ht="21.75" hidden="1" customHeight="1" x14ac:dyDescent="0.25">
      <c r="A109" s="6">
        <f>SUBTOTAL(3,$D$1:D109)-1</f>
        <v>0</v>
      </c>
      <c r="B109" s="7">
        <v>2000760</v>
      </c>
      <c r="C109" s="15" t="s">
        <v>339</v>
      </c>
      <c r="D109" s="9" t="s">
        <v>340</v>
      </c>
      <c r="E109" s="9" t="s">
        <v>100</v>
      </c>
      <c r="F109" s="9" t="s">
        <v>72</v>
      </c>
      <c r="G109" s="10">
        <v>44817</v>
      </c>
      <c r="H109" s="11" t="s">
        <v>33</v>
      </c>
      <c r="I109" s="11" t="s">
        <v>97</v>
      </c>
      <c r="J109" s="11">
        <f>VLOOKUP(C109,'[1]Sheet1 (5)'!$B$1:$W$121,21,0)</f>
        <v>8400</v>
      </c>
      <c r="K109" s="11">
        <f>VLOOKUP(C109,'[1]Sheet1 (5)'!$B$1:$W$121,22,0)</f>
        <v>12600</v>
      </c>
      <c r="L109" s="12">
        <f t="shared" si="7"/>
        <v>21000</v>
      </c>
      <c r="M109" s="12">
        <f t="shared" si="13"/>
        <v>21000</v>
      </c>
      <c r="N109" s="12">
        <v>795</v>
      </c>
      <c r="O109" s="12">
        <v>2000</v>
      </c>
      <c r="P109" s="12">
        <v>0</v>
      </c>
      <c r="Q109" s="12">
        <v>0</v>
      </c>
      <c r="R109" s="12">
        <v>0</v>
      </c>
      <c r="S109" s="12">
        <v>0</v>
      </c>
      <c r="T109" s="12">
        <f t="shared" si="9"/>
        <v>2000</v>
      </c>
      <c r="U109" s="12">
        <f t="shared" si="12"/>
        <v>23795</v>
      </c>
      <c r="V109" s="12">
        <f t="shared" si="10"/>
        <v>23000</v>
      </c>
      <c r="W109" s="13" t="s">
        <v>1180</v>
      </c>
      <c r="X109" s="6" t="s">
        <v>210</v>
      </c>
      <c r="Y109" s="6" t="s">
        <v>880</v>
      </c>
      <c r="Z109" s="6" t="s">
        <v>36</v>
      </c>
      <c r="AA109" s="50"/>
      <c r="AC109" s="100">
        <v>23795</v>
      </c>
      <c r="AD109" s="14">
        <v>23795</v>
      </c>
      <c r="AE109" s="100">
        <v>0</v>
      </c>
    </row>
    <row r="110" spans="1:31" s="14" customFormat="1" ht="21.75" hidden="1" customHeight="1" x14ac:dyDescent="0.25">
      <c r="A110" s="6">
        <f>SUBTOTAL(3,$D$1:D110)-1</f>
        <v>0</v>
      </c>
      <c r="B110" s="7">
        <v>2000759</v>
      </c>
      <c r="C110" s="15" t="s">
        <v>341</v>
      </c>
      <c r="D110" s="9" t="s">
        <v>342</v>
      </c>
      <c r="E110" s="9" t="s">
        <v>925</v>
      </c>
      <c r="F110" s="9" t="s">
        <v>114</v>
      </c>
      <c r="G110" s="10">
        <v>44816</v>
      </c>
      <c r="H110" s="11" t="s">
        <v>236</v>
      </c>
      <c r="I110" s="11" t="s">
        <v>306</v>
      </c>
      <c r="J110" s="11">
        <v>14700</v>
      </c>
      <c r="K110" s="11">
        <v>22050</v>
      </c>
      <c r="L110" s="12">
        <f t="shared" si="7"/>
        <v>36750</v>
      </c>
      <c r="M110" s="12">
        <f t="shared" si="13"/>
        <v>36750</v>
      </c>
      <c r="N110" s="12">
        <v>795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f t="shared" si="9"/>
        <v>0</v>
      </c>
      <c r="U110" s="12">
        <f t="shared" si="12"/>
        <v>37545</v>
      </c>
      <c r="V110" s="12">
        <f t="shared" si="10"/>
        <v>36750</v>
      </c>
      <c r="W110" s="13" t="s">
        <v>1101</v>
      </c>
      <c r="X110" s="6" t="s">
        <v>88</v>
      </c>
      <c r="Y110" s="6" t="s">
        <v>904</v>
      </c>
      <c r="Z110" s="6" t="s">
        <v>36</v>
      </c>
      <c r="AA110" s="50"/>
      <c r="AC110" s="100">
        <v>37545</v>
      </c>
      <c r="AD110" s="14">
        <v>37545</v>
      </c>
      <c r="AE110" s="100">
        <v>0</v>
      </c>
    </row>
    <row r="111" spans="1:31" s="14" customFormat="1" ht="21.75" hidden="1" customHeight="1" x14ac:dyDescent="0.25">
      <c r="A111" s="6">
        <f>SUBTOTAL(3,$D$1:D111)-1</f>
        <v>0</v>
      </c>
      <c r="B111" s="7">
        <v>2000776</v>
      </c>
      <c r="C111" s="15" t="s">
        <v>343</v>
      </c>
      <c r="D111" s="9" t="s">
        <v>344</v>
      </c>
      <c r="E111" s="9" t="s">
        <v>708</v>
      </c>
      <c r="F111" s="9" t="s">
        <v>48</v>
      </c>
      <c r="G111" s="10">
        <v>44838</v>
      </c>
      <c r="H111" s="11" t="s">
        <v>87</v>
      </c>
      <c r="I111" s="11" t="s">
        <v>176</v>
      </c>
      <c r="J111" s="11">
        <f>VLOOKUP(C111,'[1]Sheet1 (5)'!$B$1:$W$121,21,0)</f>
        <v>31460</v>
      </c>
      <c r="K111" s="11">
        <f>VLOOKUP(C111,'[1]Sheet1 (5)'!$B$1:$W$121,22,0)</f>
        <v>47190</v>
      </c>
      <c r="L111" s="12">
        <f t="shared" si="7"/>
        <v>78650</v>
      </c>
      <c r="M111" s="12">
        <f t="shared" si="13"/>
        <v>78650</v>
      </c>
      <c r="N111" s="12">
        <v>795</v>
      </c>
      <c r="O111" s="12">
        <v>14300</v>
      </c>
      <c r="P111" s="12">
        <v>0</v>
      </c>
      <c r="Q111" s="12">
        <v>0</v>
      </c>
      <c r="R111" s="12">
        <v>0</v>
      </c>
      <c r="S111" s="12">
        <v>0</v>
      </c>
      <c r="T111" s="12">
        <f t="shared" si="9"/>
        <v>14300</v>
      </c>
      <c r="U111" s="12">
        <f t="shared" si="12"/>
        <v>93745</v>
      </c>
      <c r="V111" s="12">
        <f t="shared" si="10"/>
        <v>92950</v>
      </c>
      <c r="W111" s="13" t="s">
        <v>1180</v>
      </c>
      <c r="X111" s="6" t="s">
        <v>202</v>
      </c>
      <c r="Y111" s="6" t="s">
        <v>890</v>
      </c>
      <c r="Z111" s="6" t="s">
        <v>36</v>
      </c>
      <c r="AA111" s="50"/>
      <c r="AC111" s="100">
        <v>93745</v>
      </c>
      <c r="AD111" s="14">
        <v>93745</v>
      </c>
      <c r="AE111" s="100">
        <v>0</v>
      </c>
    </row>
    <row r="112" spans="1:31" s="14" customFormat="1" ht="21.75" hidden="1" customHeight="1" x14ac:dyDescent="0.25">
      <c r="A112" s="6">
        <f>SUBTOTAL(3,$D$1:D112)-1</f>
        <v>0</v>
      </c>
      <c r="B112" s="7">
        <v>2000535</v>
      </c>
      <c r="C112" s="16" t="s">
        <v>345</v>
      </c>
      <c r="D112" s="17" t="s">
        <v>346</v>
      </c>
      <c r="E112" s="9" t="s">
        <v>347</v>
      </c>
      <c r="F112" s="9" t="s">
        <v>348</v>
      </c>
      <c r="G112" s="10">
        <v>44831</v>
      </c>
      <c r="H112" s="11" t="s">
        <v>45</v>
      </c>
      <c r="I112" s="11" t="s">
        <v>107</v>
      </c>
      <c r="J112" s="11">
        <v>14000</v>
      </c>
      <c r="K112" s="11">
        <v>21000</v>
      </c>
      <c r="L112" s="12">
        <f t="shared" si="7"/>
        <v>35000</v>
      </c>
      <c r="M112" s="12">
        <f t="shared" si="13"/>
        <v>35000</v>
      </c>
      <c r="N112" s="12">
        <v>795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f t="shared" si="9"/>
        <v>0</v>
      </c>
      <c r="U112" s="18">
        <f t="shared" si="12"/>
        <v>35795</v>
      </c>
      <c r="V112" s="12">
        <f t="shared" si="10"/>
        <v>35000</v>
      </c>
      <c r="W112" s="96"/>
      <c r="X112" s="6" t="s">
        <v>41</v>
      </c>
      <c r="Y112" s="6" t="s">
        <v>883</v>
      </c>
      <c r="Z112" s="6" t="s">
        <v>36</v>
      </c>
      <c r="AA112" s="50"/>
      <c r="AC112" s="100">
        <v>35795</v>
      </c>
      <c r="AD112" s="14">
        <v>35795</v>
      </c>
      <c r="AE112" s="100">
        <v>0</v>
      </c>
    </row>
    <row r="113" spans="1:31" s="14" customFormat="1" ht="21.75" hidden="1" customHeight="1" x14ac:dyDescent="0.25">
      <c r="A113" s="6">
        <f>SUBTOTAL(3,$D$1:D113)-1</f>
        <v>0</v>
      </c>
      <c r="B113" s="7">
        <v>2000766</v>
      </c>
      <c r="C113" s="15" t="s">
        <v>349</v>
      </c>
      <c r="D113" s="9" t="s">
        <v>350</v>
      </c>
      <c r="E113" s="9" t="s">
        <v>213</v>
      </c>
      <c r="F113" s="9" t="s">
        <v>81</v>
      </c>
      <c r="G113" s="10">
        <v>44841</v>
      </c>
      <c r="H113" s="11" t="s">
        <v>69</v>
      </c>
      <c r="I113" s="11" t="s">
        <v>294</v>
      </c>
      <c r="J113" s="11">
        <f>VLOOKUP(C113,'[1]Sheet1 (5)'!$B$1:$W$121,21,0)</f>
        <v>48300</v>
      </c>
      <c r="K113" s="11">
        <f>VLOOKUP(C113,'[1]Sheet1 (5)'!$B$1:$W$121,22,0)</f>
        <v>72450</v>
      </c>
      <c r="L113" s="12">
        <f t="shared" si="7"/>
        <v>120750</v>
      </c>
      <c r="M113" s="12">
        <f t="shared" si="13"/>
        <v>120750</v>
      </c>
      <c r="N113" s="12">
        <v>795</v>
      </c>
      <c r="O113" s="12">
        <v>31500</v>
      </c>
      <c r="P113" s="12">
        <v>0</v>
      </c>
      <c r="Q113" s="12">
        <v>0</v>
      </c>
      <c r="R113" s="12">
        <v>0</v>
      </c>
      <c r="S113" s="12">
        <v>0</v>
      </c>
      <c r="T113" s="12">
        <f t="shared" si="9"/>
        <v>31500</v>
      </c>
      <c r="U113" s="12">
        <f t="shared" si="12"/>
        <v>153045</v>
      </c>
      <c r="V113" s="12">
        <f t="shared" si="10"/>
        <v>152250</v>
      </c>
      <c r="W113" s="13" t="s">
        <v>1180</v>
      </c>
      <c r="X113" s="6" t="s">
        <v>202</v>
      </c>
      <c r="Y113" s="6" t="s">
        <v>1077</v>
      </c>
      <c r="Z113" s="6" t="s">
        <v>36</v>
      </c>
      <c r="AA113" s="50"/>
      <c r="AC113" s="100">
        <v>153045</v>
      </c>
      <c r="AD113" s="110">
        <v>153045</v>
      </c>
      <c r="AE113" s="100">
        <v>0</v>
      </c>
    </row>
    <row r="114" spans="1:31" s="14" customFormat="1" ht="21.75" hidden="1" customHeight="1" x14ac:dyDescent="0.25">
      <c r="A114" s="6">
        <f>SUBTOTAL(3,$D$1:D114)-1</f>
        <v>0</v>
      </c>
      <c r="B114" s="7">
        <v>2000763</v>
      </c>
      <c r="C114" s="15" t="s">
        <v>351</v>
      </c>
      <c r="D114" s="9" t="s">
        <v>352</v>
      </c>
      <c r="E114" s="9" t="s">
        <v>709</v>
      </c>
      <c r="F114" s="9" t="s">
        <v>52</v>
      </c>
      <c r="G114" s="10">
        <v>44826</v>
      </c>
      <c r="H114" s="11" t="s">
        <v>87</v>
      </c>
      <c r="I114" s="11" t="s">
        <v>1008</v>
      </c>
      <c r="J114" s="11">
        <f>VLOOKUP(C114,'[1]Sheet1 (5)'!$B$1:$W$121,21,0)</f>
        <v>9732.9</v>
      </c>
      <c r="K114" s="11">
        <f>VLOOKUP(C114,'[1]Sheet1 (5)'!$B$1:$W$121,22,0)</f>
        <v>14599.35</v>
      </c>
      <c r="L114" s="12">
        <f t="shared" si="7"/>
        <v>24332.25</v>
      </c>
      <c r="M114" s="12">
        <f t="shared" si="13"/>
        <v>24332.25</v>
      </c>
      <c r="N114" s="12">
        <v>795</v>
      </c>
      <c r="O114" s="12">
        <v>2317.5</v>
      </c>
      <c r="P114" s="12">
        <v>0</v>
      </c>
      <c r="Q114" s="12">
        <v>0</v>
      </c>
      <c r="R114" s="12">
        <v>0</v>
      </c>
      <c r="S114" s="12">
        <v>0</v>
      </c>
      <c r="T114" s="12">
        <f t="shared" si="9"/>
        <v>2317.5</v>
      </c>
      <c r="U114" s="12">
        <f t="shared" si="12"/>
        <v>27444.75</v>
      </c>
      <c r="V114" s="12">
        <f t="shared" si="10"/>
        <v>26649.75</v>
      </c>
      <c r="W114" s="13" t="s">
        <v>1180</v>
      </c>
      <c r="X114" s="6" t="s">
        <v>210</v>
      </c>
      <c r="Y114" s="6" t="s">
        <v>877</v>
      </c>
      <c r="Z114" s="6" t="s">
        <v>36</v>
      </c>
      <c r="AA114" s="50"/>
      <c r="AC114" s="100">
        <v>27444.75</v>
      </c>
      <c r="AD114" s="14">
        <v>27444.75</v>
      </c>
      <c r="AE114" s="100">
        <v>0</v>
      </c>
    </row>
    <row r="115" spans="1:31" s="14" customFormat="1" ht="21.75" hidden="1" customHeight="1" x14ac:dyDescent="0.25">
      <c r="A115" s="6">
        <f>SUBTOTAL(3,$D$1:D115)-1</f>
        <v>0</v>
      </c>
      <c r="B115" s="7">
        <v>2000548</v>
      </c>
      <c r="C115" s="16" t="s">
        <v>353</v>
      </c>
      <c r="D115" s="17" t="s">
        <v>354</v>
      </c>
      <c r="E115" s="9" t="s">
        <v>1031</v>
      </c>
      <c r="F115" s="9" t="s">
        <v>355</v>
      </c>
      <c r="G115" s="10">
        <v>44831</v>
      </c>
      <c r="H115" s="11" t="s">
        <v>45</v>
      </c>
      <c r="I115" s="11" t="s">
        <v>256</v>
      </c>
      <c r="J115" s="11">
        <f>VLOOKUP(C115,'[1]Sheet1 (5)'!$B$1:$W$121,21,0)</f>
        <v>14700</v>
      </c>
      <c r="K115" s="11">
        <f>VLOOKUP(C115,'[1]Sheet1 (5)'!$B$1:$W$121,22,0)</f>
        <v>22050</v>
      </c>
      <c r="L115" s="12">
        <f t="shared" si="7"/>
        <v>36750</v>
      </c>
      <c r="M115" s="12">
        <f t="shared" si="13"/>
        <v>36750</v>
      </c>
      <c r="N115" s="12">
        <v>795</v>
      </c>
      <c r="O115" s="12">
        <v>3500</v>
      </c>
      <c r="P115" s="12">
        <v>0</v>
      </c>
      <c r="Q115" s="12">
        <v>0</v>
      </c>
      <c r="R115" s="12">
        <v>0</v>
      </c>
      <c r="S115" s="12">
        <v>0</v>
      </c>
      <c r="T115" s="12">
        <f t="shared" si="9"/>
        <v>3500</v>
      </c>
      <c r="U115" s="18">
        <f t="shared" si="12"/>
        <v>41045</v>
      </c>
      <c r="V115" s="12">
        <f t="shared" si="10"/>
        <v>40250</v>
      </c>
      <c r="W115" s="13" t="s">
        <v>1180</v>
      </c>
      <c r="X115" s="6" t="s">
        <v>56</v>
      </c>
      <c r="Y115" s="6" t="s">
        <v>898</v>
      </c>
      <c r="Z115" s="6" t="s">
        <v>36</v>
      </c>
      <c r="AA115" s="50"/>
      <c r="AC115" s="100">
        <v>41045</v>
      </c>
      <c r="AD115" s="14">
        <v>41045</v>
      </c>
      <c r="AE115" s="100">
        <v>0</v>
      </c>
    </row>
    <row r="116" spans="1:31" s="14" customFormat="1" ht="21.75" hidden="1" customHeight="1" x14ac:dyDescent="0.25">
      <c r="A116" s="6">
        <f>SUBTOTAL(3,$D$1:D116)-1</f>
        <v>0</v>
      </c>
      <c r="B116" s="7">
        <v>2000758</v>
      </c>
      <c r="C116" s="15" t="s">
        <v>356</v>
      </c>
      <c r="D116" s="9" t="s">
        <v>357</v>
      </c>
      <c r="E116" s="9" t="s">
        <v>358</v>
      </c>
      <c r="F116" s="9" t="s">
        <v>130</v>
      </c>
      <c r="G116" s="10">
        <v>44816</v>
      </c>
      <c r="H116" s="11" t="s">
        <v>69</v>
      </c>
      <c r="I116" s="11" t="s">
        <v>104</v>
      </c>
      <c r="J116" s="11">
        <v>37800</v>
      </c>
      <c r="K116" s="11">
        <v>56700</v>
      </c>
      <c r="L116" s="12">
        <f t="shared" si="7"/>
        <v>94500</v>
      </c>
      <c r="M116" s="12">
        <f t="shared" si="13"/>
        <v>94500</v>
      </c>
      <c r="N116" s="12">
        <v>795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f t="shared" si="9"/>
        <v>0</v>
      </c>
      <c r="U116" s="12">
        <f t="shared" si="12"/>
        <v>95295</v>
      </c>
      <c r="V116" s="12">
        <f t="shared" si="10"/>
        <v>94500</v>
      </c>
      <c r="W116" s="13"/>
      <c r="X116" s="6" t="s">
        <v>202</v>
      </c>
      <c r="Y116" s="6" t="s">
        <v>882</v>
      </c>
      <c r="Z116" s="6" t="s">
        <v>36</v>
      </c>
      <c r="AA116" s="50"/>
      <c r="AC116" s="100">
        <v>95295</v>
      </c>
      <c r="AD116" s="14">
        <v>95295</v>
      </c>
      <c r="AE116" s="100">
        <v>0</v>
      </c>
    </row>
    <row r="117" spans="1:31" s="14" customFormat="1" ht="21.75" hidden="1" customHeight="1" x14ac:dyDescent="0.25">
      <c r="A117" s="6">
        <f>SUBTOTAL(3,$D$1:D117)-1</f>
        <v>0</v>
      </c>
      <c r="B117" s="7">
        <v>2000774</v>
      </c>
      <c r="C117" s="15" t="s">
        <v>359</v>
      </c>
      <c r="D117" s="9" t="s">
        <v>360</v>
      </c>
      <c r="E117" s="9" t="s">
        <v>702</v>
      </c>
      <c r="F117" s="9" t="s">
        <v>32</v>
      </c>
      <c r="G117" s="10">
        <v>44839</v>
      </c>
      <c r="H117" s="11" t="s">
        <v>33</v>
      </c>
      <c r="I117" s="11" t="s">
        <v>34</v>
      </c>
      <c r="J117" s="11">
        <f>VLOOKUP(C117,'[1]Sheet1 (5)'!$B$1:$W$121,21,0)</f>
        <v>12535.6</v>
      </c>
      <c r="K117" s="11">
        <f>VLOOKUP(C117,'[1]Sheet1 (5)'!$B$1:$W$121,22,0)</f>
        <v>18803.399999999998</v>
      </c>
      <c r="L117" s="12">
        <f t="shared" si="7"/>
        <v>31339</v>
      </c>
      <c r="M117" s="12">
        <f t="shared" si="13"/>
        <v>31339</v>
      </c>
      <c r="N117" s="12">
        <v>795</v>
      </c>
      <c r="O117" s="12">
        <v>5698</v>
      </c>
      <c r="P117" s="12">
        <v>0</v>
      </c>
      <c r="Q117" s="12">
        <v>0</v>
      </c>
      <c r="R117" s="12">
        <v>0</v>
      </c>
      <c r="S117" s="12">
        <v>0</v>
      </c>
      <c r="T117" s="12">
        <f t="shared" si="9"/>
        <v>5698</v>
      </c>
      <c r="U117" s="12">
        <f t="shared" si="12"/>
        <v>37832</v>
      </c>
      <c r="V117" s="12">
        <f t="shared" si="10"/>
        <v>37037</v>
      </c>
      <c r="W117" s="13" t="s">
        <v>1180</v>
      </c>
      <c r="X117" s="6" t="s">
        <v>35</v>
      </c>
      <c r="Y117" s="6" t="s">
        <v>868</v>
      </c>
      <c r="Z117" s="6" t="s">
        <v>36</v>
      </c>
      <c r="AA117" s="50"/>
      <c r="AC117" s="100">
        <v>37832</v>
      </c>
      <c r="AD117" s="14">
        <v>37832</v>
      </c>
      <c r="AE117" s="100">
        <v>0</v>
      </c>
    </row>
    <row r="118" spans="1:31" s="14" customFormat="1" ht="21.75" hidden="1" customHeight="1" x14ac:dyDescent="0.25">
      <c r="A118" s="6">
        <f>SUBTOTAL(3,$D$1:D118)-1</f>
        <v>0</v>
      </c>
      <c r="B118" s="7">
        <v>2000770</v>
      </c>
      <c r="C118" s="15" t="s">
        <v>361</v>
      </c>
      <c r="D118" s="9" t="s">
        <v>362</v>
      </c>
      <c r="E118" s="9" t="s">
        <v>1032</v>
      </c>
      <c r="F118" s="9" t="s">
        <v>363</v>
      </c>
      <c r="G118" s="10">
        <v>44837</v>
      </c>
      <c r="H118" s="11" t="s">
        <v>236</v>
      </c>
      <c r="I118" s="11" t="s">
        <v>237</v>
      </c>
      <c r="J118" s="11">
        <f>VLOOKUP(C118,'[1]Sheet1 (5)'!$B$1:$W$121,21,0)</f>
        <v>13608</v>
      </c>
      <c r="K118" s="11">
        <f>VLOOKUP(C118,'[1]Sheet1 (5)'!$B$1:$W$121,22,0)</f>
        <v>20412</v>
      </c>
      <c r="L118" s="12">
        <f t="shared" si="7"/>
        <v>34020</v>
      </c>
      <c r="M118" s="12">
        <f t="shared" si="13"/>
        <v>34020</v>
      </c>
      <c r="N118" s="12">
        <v>795</v>
      </c>
      <c r="O118" s="12">
        <v>3240</v>
      </c>
      <c r="P118" s="12">
        <v>0</v>
      </c>
      <c r="Q118" s="12">
        <v>0</v>
      </c>
      <c r="R118" s="12">
        <v>0</v>
      </c>
      <c r="S118" s="12">
        <v>0</v>
      </c>
      <c r="T118" s="12">
        <f t="shared" si="9"/>
        <v>3240</v>
      </c>
      <c r="U118" s="12">
        <f t="shared" si="12"/>
        <v>38055</v>
      </c>
      <c r="V118" s="12">
        <f t="shared" si="10"/>
        <v>37260</v>
      </c>
      <c r="W118" s="13" t="s">
        <v>1180</v>
      </c>
      <c r="X118" s="6" t="s">
        <v>210</v>
      </c>
      <c r="Y118" s="6" t="s">
        <v>897</v>
      </c>
      <c r="Z118" s="6" t="s">
        <v>36</v>
      </c>
      <c r="AA118" s="50"/>
      <c r="AC118" s="100">
        <v>38055</v>
      </c>
      <c r="AD118" s="14">
        <v>38055</v>
      </c>
      <c r="AE118" s="100">
        <v>0</v>
      </c>
    </row>
    <row r="119" spans="1:31" s="14" customFormat="1" ht="21.75" hidden="1" customHeight="1" x14ac:dyDescent="0.25">
      <c r="A119" s="6">
        <f>SUBTOTAL(3,$D$1:D119)-1</f>
        <v>0</v>
      </c>
      <c r="B119" s="7">
        <v>2000778</v>
      </c>
      <c r="C119" s="15" t="s">
        <v>364</v>
      </c>
      <c r="D119" s="9" t="s">
        <v>365</v>
      </c>
      <c r="E119" s="9" t="s">
        <v>458</v>
      </c>
      <c r="F119" s="9" t="s">
        <v>127</v>
      </c>
      <c r="G119" s="10">
        <v>44844</v>
      </c>
      <c r="H119" s="11" t="s">
        <v>40</v>
      </c>
      <c r="I119" s="11" t="s">
        <v>40</v>
      </c>
      <c r="J119" s="11">
        <f>VLOOKUP(C119,'[1]Sheet1 (5)'!$B$1:$W$121,21,0)</f>
        <v>20727</v>
      </c>
      <c r="K119" s="11">
        <f>VLOOKUP(C119,'[1]Sheet1 (5)'!$B$1:$W$121,22,0)</f>
        <v>31090.5</v>
      </c>
      <c r="L119" s="12">
        <f t="shared" si="7"/>
        <v>51817.5</v>
      </c>
      <c r="M119" s="12">
        <f t="shared" si="13"/>
        <v>51817.5</v>
      </c>
      <c r="N119" s="12">
        <v>795</v>
      </c>
      <c r="O119" s="12">
        <v>4935</v>
      </c>
      <c r="P119" s="12">
        <v>0</v>
      </c>
      <c r="Q119" s="12">
        <v>0</v>
      </c>
      <c r="R119" s="12">
        <v>0</v>
      </c>
      <c r="S119" s="12">
        <v>0</v>
      </c>
      <c r="T119" s="12">
        <f t="shared" si="9"/>
        <v>4935</v>
      </c>
      <c r="U119" s="12">
        <f t="shared" si="12"/>
        <v>57547.5</v>
      </c>
      <c r="V119" s="12">
        <f t="shared" si="10"/>
        <v>56752.5</v>
      </c>
      <c r="W119" s="13" t="s">
        <v>1180</v>
      </c>
      <c r="X119" s="6" t="s">
        <v>88</v>
      </c>
      <c r="Y119" s="6" t="s">
        <v>905</v>
      </c>
      <c r="Z119" s="6" t="s">
        <v>36</v>
      </c>
      <c r="AA119" s="50"/>
      <c r="AC119" s="100">
        <v>57547.5</v>
      </c>
      <c r="AD119" s="14">
        <v>57547.5</v>
      </c>
      <c r="AE119" s="100">
        <v>0</v>
      </c>
    </row>
    <row r="120" spans="1:31" s="14" customFormat="1" ht="21.75" hidden="1" customHeight="1" x14ac:dyDescent="0.25">
      <c r="A120" s="6">
        <f>SUBTOTAL(3,$D$1:D120)-1</f>
        <v>0</v>
      </c>
      <c r="B120" s="7">
        <v>2000777</v>
      </c>
      <c r="C120" s="15" t="s">
        <v>366</v>
      </c>
      <c r="D120" s="9" t="s">
        <v>367</v>
      </c>
      <c r="E120" s="9" t="s">
        <v>1033</v>
      </c>
      <c r="F120" s="9" t="s">
        <v>81</v>
      </c>
      <c r="G120" s="10">
        <v>44839</v>
      </c>
      <c r="H120" s="11" t="s">
        <v>87</v>
      </c>
      <c r="I120" s="11" t="s">
        <v>176</v>
      </c>
      <c r="J120" s="11">
        <f>VLOOKUP(C120,'[1]Sheet1 (5)'!$B$1:$W$121,21,0)</f>
        <v>16170</v>
      </c>
      <c r="K120" s="11">
        <f>VLOOKUP(C120,'[1]Sheet1 (5)'!$B$1:$W$121,22,0)</f>
        <v>24255</v>
      </c>
      <c r="L120" s="12">
        <f t="shared" si="7"/>
        <v>40425</v>
      </c>
      <c r="M120" s="12">
        <f t="shared" si="13"/>
        <v>40425</v>
      </c>
      <c r="N120" s="12">
        <v>795</v>
      </c>
      <c r="O120" s="12">
        <v>3850</v>
      </c>
      <c r="P120" s="12">
        <v>0</v>
      </c>
      <c r="Q120" s="12">
        <v>0</v>
      </c>
      <c r="R120" s="12">
        <v>0</v>
      </c>
      <c r="S120" s="12">
        <v>0</v>
      </c>
      <c r="T120" s="12">
        <f t="shared" si="9"/>
        <v>3850</v>
      </c>
      <c r="U120" s="12">
        <f t="shared" si="12"/>
        <v>45070</v>
      </c>
      <c r="V120" s="12">
        <f t="shared" si="10"/>
        <v>44275</v>
      </c>
      <c r="W120" s="13" t="s">
        <v>1180</v>
      </c>
      <c r="X120" s="6" t="s">
        <v>88</v>
      </c>
      <c r="Y120" s="6" t="s">
        <v>890</v>
      </c>
      <c r="Z120" s="6" t="s">
        <v>36</v>
      </c>
      <c r="AA120" s="50"/>
      <c r="AC120" s="100">
        <v>45070</v>
      </c>
      <c r="AD120" s="14">
        <v>45070</v>
      </c>
      <c r="AE120" s="100">
        <v>0</v>
      </c>
    </row>
    <row r="121" spans="1:31" s="14" customFormat="1" ht="21.75" hidden="1" customHeight="1" x14ac:dyDescent="0.25">
      <c r="A121" s="6">
        <f>SUBTOTAL(3,$D$1:D121)-1</f>
        <v>0</v>
      </c>
      <c r="B121" s="7">
        <v>2000767</v>
      </c>
      <c r="C121" s="16" t="s">
        <v>368</v>
      </c>
      <c r="D121" s="89" t="s">
        <v>369</v>
      </c>
      <c r="E121" s="9" t="s">
        <v>726</v>
      </c>
      <c r="F121" s="9" t="s">
        <v>274</v>
      </c>
      <c r="G121" s="10">
        <v>44837</v>
      </c>
      <c r="H121" s="11" t="s">
        <v>45</v>
      </c>
      <c r="I121" s="11" t="s">
        <v>370</v>
      </c>
      <c r="J121" s="11">
        <v>10500</v>
      </c>
      <c r="K121" s="11">
        <v>15750</v>
      </c>
      <c r="L121" s="12">
        <f t="shared" si="7"/>
        <v>26250</v>
      </c>
      <c r="M121" s="12">
        <f t="shared" si="13"/>
        <v>26250</v>
      </c>
      <c r="N121" s="12">
        <v>795</v>
      </c>
      <c r="O121" s="12">
        <v>0</v>
      </c>
      <c r="P121" s="12">
        <v>0</v>
      </c>
      <c r="Q121" s="12">
        <f>M121*15%</f>
        <v>3937.5</v>
      </c>
      <c r="R121" s="12">
        <v>0</v>
      </c>
      <c r="S121" s="12">
        <f>M121*5%</f>
        <v>1312.5</v>
      </c>
      <c r="T121" s="12">
        <f t="shared" si="9"/>
        <v>3937.5</v>
      </c>
      <c r="U121" s="18">
        <f t="shared" si="12"/>
        <v>30982.5</v>
      </c>
      <c r="V121" s="12">
        <f t="shared" si="10"/>
        <v>24937.5</v>
      </c>
      <c r="W121" s="13" t="s">
        <v>1184</v>
      </c>
      <c r="X121" s="6" t="s">
        <v>210</v>
      </c>
      <c r="Y121" s="6" t="s">
        <v>906</v>
      </c>
      <c r="Z121" s="6" t="s">
        <v>36</v>
      </c>
      <c r="AA121" s="14" t="str">
        <f>W121</f>
        <v>Employer pension share for November 2025 - 15%</v>
      </c>
      <c r="AB121" s="14" t="str">
        <f>CONCATENATE(C121," - ", D121," - ",AA121)</f>
        <v>02-2913 - Amna Al Harmoodi - Employer pension share for November 2025 - 15%</v>
      </c>
      <c r="AC121" s="100">
        <v>30982.5</v>
      </c>
      <c r="AD121" s="14">
        <v>30982.5</v>
      </c>
      <c r="AE121" s="100">
        <v>0</v>
      </c>
    </row>
    <row r="122" spans="1:31" s="14" customFormat="1" ht="21.75" hidden="1" customHeight="1" x14ac:dyDescent="0.25">
      <c r="A122" s="6">
        <f>SUBTOTAL(3,$D$1:D122)-1</f>
        <v>0</v>
      </c>
      <c r="B122" s="7">
        <v>2000773</v>
      </c>
      <c r="C122" s="15" t="s">
        <v>371</v>
      </c>
      <c r="D122" s="9" t="s">
        <v>372</v>
      </c>
      <c r="E122" s="9" t="s">
        <v>373</v>
      </c>
      <c r="F122" s="9" t="s">
        <v>52</v>
      </c>
      <c r="G122" s="10">
        <v>44839</v>
      </c>
      <c r="H122" s="11" t="s">
        <v>33</v>
      </c>
      <c r="I122" s="11" t="s">
        <v>53</v>
      </c>
      <c r="J122" s="11">
        <f>VLOOKUP(C122,'[1]Sheet1 (5)'!$B$1:$W$121,21,0)</f>
        <v>11917.5</v>
      </c>
      <c r="K122" s="11">
        <f>VLOOKUP(C122,'[1]Sheet1 (5)'!$B$1:$W$121,22,0)</f>
        <v>17876.25</v>
      </c>
      <c r="L122" s="12">
        <f t="shared" si="7"/>
        <v>29793.75</v>
      </c>
      <c r="M122" s="12">
        <f t="shared" si="13"/>
        <v>29793.75</v>
      </c>
      <c r="N122" s="12">
        <v>795</v>
      </c>
      <c r="O122" s="12">
        <v>2837.5</v>
      </c>
      <c r="P122" s="12">
        <v>0</v>
      </c>
      <c r="Q122" s="12">
        <v>0</v>
      </c>
      <c r="R122" s="12">
        <v>0</v>
      </c>
      <c r="S122" s="12">
        <v>0</v>
      </c>
      <c r="T122" s="12">
        <f t="shared" si="9"/>
        <v>2837.5</v>
      </c>
      <c r="U122" s="12">
        <f t="shared" si="12"/>
        <v>33426.25</v>
      </c>
      <c r="V122" s="12">
        <f t="shared" si="10"/>
        <v>32631.25</v>
      </c>
      <c r="W122" s="13" t="s">
        <v>1180</v>
      </c>
      <c r="X122" s="6" t="s">
        <v>88</v>
      </c>
      <c r="Y122" s="6" t="s">
        <v>872</v>
      </c>
      <c r="Z122" s="6" t="s">
        <v>36</v>
      </c>
      <c r="AA122" s="50"/>
      <c r="AC122" s="100">
        <v>33426.25</v>
      </c>
      <c r="AD122" s="14">
        <v>33426.25</v>
      </c>
      <c r="AE122" s="100">
        <v>0</v>
      </c>
    </row>
    <row r="123" spans="1:31" s="14" customFormat="1" ht="21.75" hidden="1" customHeight="1" x14ac:dyDescent="0.25">
      <c r="A123" s="6">
        <f>SUBTOTAL(3,$D$1:D123)-1</f>
        <v>0</v>
      </c>
      <c r="B123" s="7">
        <v>2000807</v>
      </c>
      <c r="C123" s="15" t="s">
        <v>374</v>
      </c>
      <c r="D123" s="9" t="s">
        <v>375</v>
      </c>
      <c r="E123" s="9" t="s">
        <v>376</v>
      </c>
      <c r="F123" s="9" t="s">
        <v>363</v>
      </c>
      <c r="G123" s="10">
        <v>44866</v>
      </c>
      <c r="H123" s="11" t="s">
        <v>40</v>
      </c>
      <c r="I123" s="11" t="s">
        <v>221</v>
      </c>
      <c r="J123" s="11">
        <f>VLOOKUP(C123,'[1]Sheet1 (5)'!$B$1:$W$121,21,0)</f>
        <v>24200</v>
      </c>
      <c r="K123" s="11">
        <f>VLOOKUP(C123,'[1]Sheet1 (5)'!$B$1:$W$121,22,0)</f>
        <v>36300</v>
      </c>
      <c r="L123" s="12">
        <f t="shared" si="7"/>
        <v>60500</v>
      </c>
      <c r="M123" s="12">
        <f t="shared" si="13"/>
        <v>60500</v>
      </c>
      <c r="N123" s="12">
        <v>795</v>
      </c>
      <c r="O123" s="12">
        <v>11000</v>
      </c>
      <c r="P123" s="12">
        <v>0</v>
      </c>
      <c r="Q123" s="12">
        <v>0</v>
      </c>
      <c r="R123" s="12">
        <v>0</v>
      </c>
      <c r="S123" s="12">
        <v>0</v>
      </c>
      <c r="T123" s="12">
        <f t="shared" si="9"/>
        <v>11000</v>
      </c>
      <c r="U123" s="12">
        <f t="shared" si="12"/>
        <v>72295</v>
      </c>
      <c r="V123" s="12">
        <f t="shared" si="10"/>
        <v>71500</v>
      </c>
      <c r="W123" s="13" t="s">
        <v>1180</v>
      </c>
      <c r="X123" s="6" t="s">
        <v>88</v>
      </c>
      <c r="Y123" s="6" t="s">
        <v>894</v>
      </c>
      <c r="Z123" s="6" t="s">
        <v>36</v>
      </c>
      <c r="AA123" s="50"/>
      <c r="AC123" s="100">
        <v>72295</v>
      </c>
      <c r="AD123" s="14">
        <v>72295</v>
      </c>
      <c r="AE123" s="100">
        <v>0</v>
      </c>
    </row>
    <row r="124" spans="1:31" s="14" customFormat="1" ht="21.75" hidden="1" customHeight="1" x14ac:dyDescent="0.25">
      <c r="A124" s="6">
        <f>SUBTOTAL(3,$D$1:D124)-1</f>
        <v>0</v>
      </c>
      <c r="B124" s="7">
        <v>2000802</v>
      </c>
      <c r="C124" s="15" t="s">
        <v>377</v>
      </c>
      <c r="D124" s="9" t="s">
        <v>378</v>
      </c>
      <c r="E124" s="9" t="s">
        <v>682</v>
      </c>
      <c r="F124" s="9" t="s">
        <v>44</v>
      </c>
      <c r="G124" s="10">
        <v>44859</v>
      </c>
      <c r="H124" s="11" t="s">
        <v>33</v>
      </c>
      <c r="I124" s="11" t="s">
        <v>34</v>
      </c>
      <c r="J124" s="11">
        <f>VLOOKUP(C124,'[1]Sheet1 (5)'!$B$1:$W$121,21,0)</f>
        <v>13230</v>
      </c>
      <c r="K124" s="11">
        <f>VLOOKUP(C124,'[1]Sheet1 (5)'!$B$1:$W$121,22,0)</f>
        <v>19845</v>
      </c>
      <c r="L124" s="12">
        <f t="shared" si="7"/>
        <v>33075</v>
      </c>
      <c r="M124" s="12">
        <f t="shared" si="13"/>
        <v>33075</v>
      </c>
      <c r="N124" s="12">
        <v>795</v>
      </c>
      <c r="O124" s="12">
        <v>3150</v>
      </c>
      <c r="P124" s="12">
        <v>0</v>
      </c>
      <c r="Q124" s="12">
        <v>0</v>
      </c>
      <c r="R124" s="12">
        <v>0</v>
      </c>
      <c r="S124" s="12">
        <v>0</v>
      </c>
      <c r="T124" s="12">
        <f t="shared" si="9"/>
        <v>3150</v>
      </c>
      <c r="U124" s="12">
        <f t="shared" si="12"/>
        <v>37020</v>
      </c>
      <c r="V124" s="12">
        <f t="shared" si="10"/>
        <v>36225</v>
      </c>
      <c r="W124" s="13" t="s">
        <v>1180</v>
      </c>
      <c r="X124" s="6" t="s">
        <v>210</v>
      </c>
      <c r="Y124" s="6" t="s">
        <v>868</v>
      </c>
      <c r="Z124" s="6" t="s">
        <v>36</v>
      </c>
      <c r="AA124" s="50"/>
      <c r="AC124" s="100">
        <v>37020</v>
      </c>
      <c r="AD124" s="14">
        <v>37020</v>
      </c>
      <c r="AE124" s="100">
        <v>0</v>
      </c>
    </row>
    <row r="125" spans="1:31" s="14" customFormat="1" ht="21.75" hidden="1" customHeight="1" x14ac:dyDescent="0.25">
      <c r="A125" s="6">
        <f>SUBTOTAL(3,$D$1:D125)-1</f>
        <v>0</v>
      </c>
      <c r="B125" s="7">
        <v>2000801</v>
      </c>
      <c r="C125" s="15" t="s">
        <v>379</v>
      </c>
      <c r="D125" s="9" t="s">
        <v>380</v>
      </c>
      <c r="E125" s="9" t="s">
        <v>402</v>
      </c>
      <c r="F125" s="9" t="s">
        <v>52</v>
      </c>
      <c r="G125" s="10">
        <v>44859</v>
      </c>
      <c r="H125" s="11" t="s">
        <v>33</v>
      </c>
      <c r="I125" s="11" t="s">
        <v>34</v>
      </c>
      <c r="J125" s="11">
        <f>VLOOKUP(C125,'[1]Sheet1 (5)'!$B$1:$W$121,21,0)</f>
        <v>13230</v>
      </c>
      <c r="K125" s="11">
        <f>VLOOKUP(C125,'[1]Sheet1 (5)'!$B$1:$W$121,22,0)</f>
        <v>19845</v>
      </c>
      <c r="L125" s="12">
        <f t="shared" si="7"/>
        <v>33075</v>
      </c>
      <c r="M125" s="12">
        <f t="shared" si="13"/>
        <v>33075</v>
      </c>
      <c r="N125" s="12">
        <v>795</v>
      </c>
      <c r="O125" s="12">
        <v>3150</v>
      </c>
      <c r="P125" s="12">
        <v>0</v>
      </c>
      <c r="Q125" s="12">
        <v>0</v>
      </c>
      <c r="R125" s="12">
        <v>0</v>
      </c>
      <c r="S125" s="12">
        <v>0</v>
      </c>
      <c r="T125" s="12">
        <f t="shared" si="9"/>
        <v>3150</v>
      </c>
      <c r="U125" s="12">
        <f t="shared" si="12"/>
        <v>37020</v>
      </c>
      <c r="V125" s="12">
        <f t="shared" si="10"/>
        <v>36225</v>
      </c>
      <c r="W125" s="13" t="s">
        <v>1180</v>
      </c>
      <c r="X125" s="6" t="s">
        <v>88</v>
      </c>
      <c r="Y125" s="6" t="s">
        <v>868</v>
      </c>
      <c r="Z125" s="6" t="s">
        <v>36</v>
      </c>
      <c r="AA125" s="50"/>
      <c r="AC125" s="100">
        <v>37020</v>
      </c>
      <c r="AD125" s="14">
        <v>37020</v>
      </c>
      <c r="AE125" s="100">
        <v>0</v>
      </c>
    </row>
    <row r="126" spans="1:31" s="14" customFormat="1" ht="21.75" hidden="1" customHeight="1" x14ac:dyDescent="0.25">
      <c r="A126" s="6">
        <f>SUBTOTAL(3,$D$1:D126)-1</f>
        <v>0</v>
      </c>
      <c r="B126" s="7">
        <v>2000805</v>
      </c>
      <c r="C126" s="16" t="s">
        <v>381</v>
      </c>
      <c r="D126" s="17" t="s">
        <v>382</v>
      </c>
      <c r="E126" s="9" t="s">
        <v>1034</v>
      </c>
      <c r="F126" s="9" t="s">
        <v>121</v>
      </c>
      <c r="G126" s="10">
        <v>44865</v>
      </c>
      <c r="H126" s="11" t="s">
        <v>45</v>
      </c>
      <c r="I126" s="11" t="s">
        <v>848</v>
      </c>
      <c r="J126" s="11">
        <f>VLOOKUP(C126,'[1]Sheet1 (5)'!$B$1:$W$121,21,0)</f>
        <v>12485</v>
      </c>
      <c r="K126" s="11">
        <f>VLOOKUP(C126,'[1]Sheet1 (5)'!$B$1:$W$121,22,0)</f>
        <v>18727.5</v>
      </c>
      <c r="L126" s="12">
        <f t="shared" si="7"/>
        <v>31212.5</v>
      </c>
      <c r="M126" s="12">
        <f t="shared" si="13"/>
        <v>31212.5</v>
      </c>
      <c r="N126" s="12">
        <v>795</v>
      </c>
      <c r="O126" s="12">
        <v>5675</v>
      </c>
      <c r="P126" s="12">
        <v>0</v>
      </c>
      <c r="Q126" s="12">
        <v>0</v>
      </c>
      <c r="R126" s="12">
        <v>0</v>
      </c>
      <c r="S126" s="12">
        <v>0</v>
      </c>
      <c r="T126" s="12">
        <f t="shared" si="9"/>
        <v>5675</v>
      </c>
      <c r="U126" s="18">
        <f t="shared" si="12"/>
        <v>37682.5</v>
      </c>
      <c r="V126" s="12">
        <f t="shared" si="10"/>
        <v>36887.5</v>
      </c>
      <c r="W126" s="13" t="s">
        <v>1180</v>
      </c>
      <c r="X126" s="6" t="s">
        <v>88</v>
      </c>
      <c r="Y126" s="6" t="s">
        <v>870</v>
      </c>
      <c r="Z126" s="6" t="s">
        <v>36</v>
      </c>
      <c r="AA126" s="50"/>
      <c r="AC126" s="100">
        <v>37682.5</v>
      </c>
      <c r="AD126" s="14">
        <v>37682.5</v>
      </c>
      <c r="AE126" s="100">
        <v>0</v>
      </c>
    </row>
    <row r="127" spans="1:31" s="14" customFormat="1" ht="21.75" hidden="1" customHeight="1" x14ac:dyDescent="0.25">
      <c r="A127" s="6">
        <f>SUBTOTAL(3,$D$1:D127)-1</f>
        <v>0</v>
      </c>
      <c r="B127" s="19">
        <v>2000808</v>
      </c>
      <c r="C127" s="16" t="s">
        <v>383</v>
      </c>
      <c r="D127" s="87" t="s">
        <v>384</v>
      </c>
      <c r="E127" s="9" t="s">
        <v>1035</v>
      </c>
      <c r="F127" s="17" t="s">
        <v>114</v>
      </c>
      <c r="G127" s="20">
        <v>44867</v>
      </c>
      <c r="H127" s="11" t="s">
        <v>69</v>
      </c>
      <c r="I127" s="11" t="s">
        <v>270</v>
      </c>
      <c r="J127" s="11">
        <f>VLOOKUP(C127,'[1]Sheet1 (5)'!$B$1:$W$121,21,0)</f>
        <v>19320</v>
      </c>
      <c r="K127" s="11">
        <f>VLOOKUP(C127,'[1]Sheet1 (5)'!$B$1:$W$121,22,0)</f>
        <v>28980</v>
      </c>
      <c r="L127" s="12">
        <f t="shared" si="7"/>
        <v>48300</v>
      </c>
      <c r="M127" s="18">
        <f t="shared" si="13"/>
        <v>48300</v>
      </c>
      <c r="N127" s="18">
        <v>795</v>
      </c>
      <c r="O127" s="12">
        <v>4600</v>
      </c>
      <c r="P127" s="18">
        <v>0</v>
      </c>
      <c r="Q127" s="18">
        <v>0</v>
      </c>
      <c r="R127" s="18">
        <v>0</v>
      </c>
      <c r="S127" s="18">
        <v>0</v>
      </c>
      <c r="T127" s="12">
        <f t="shared" si="9"/>
        <v>4600</v>
      </c>
      <c r="U127" s="18">
        <f t="shared" si="12"/>
        <v>53695</v>
      </c>
      <c r="V127" s="12">
        <f t="shared" si="10"/>
        <v>52900</v>
      </c>
      <c r="W127" s="13" t="s">
        <v>1180</v>
      </c>
      <c r="X127" s="6" t="s">
        <v>56</v>
      </c>
      <c r="Y127" s="6" t="s">
        <v>900</v>
      </c>
      <c r="Z127" s="22" t="s">
        <v>149</v>
      </c>
      <c r="AA127" s="50"/>
      <c r="AC127" s="100">
        <v>53695</v>
      </c>
      <c r="AD127" s="14">
        <v>53695</v>
      </c>
      <c r="AE127" s="100">
        <v>0</v>
      </c>
    </row>
    <row r="128" spans="1:31" s="14" customFormat="1" ht="21.75" hidden="1" customHeight="1" x14ac:dyDescent="0.25">
      <c r="A128" s="6">
        <f>SUBTOTAL(3,$D$1:D128)-1</f>
        <v>0</v>
      </c>
      <c r="B128" s="7">
        <v>2000821</v>
      </c>
      <c r="C128" s="15" t="s">
        <v>385</v>
      </c>
      <c r="D128" s="9" t="s">
        <v>386</v>
      </c>
      <c r="E128" s="9" t="s">
        <v>710</v>
      </c>
      <c r="F128" s="9" t="s">
        <v>52</v>
      </c>
      <c r="G128" s="10">
        <v>44922</v>
      </c>
      <c r="H128" s="11" t="s">
        <v>33</v>
      </c>
      <c r="I128" s="11" t="s">
        <v>53</v>
      </c>
      <c r="J128" s="11">
        <f>VLOOKUP(C128,'[1]Sheet1 (5)'!$B$1:$W$121,21,0)</f>
        <v>10143</v>
      </c>
      <c r="K128" s="11">
        <f>VLOOKUP(C128,'[1]Sheet1 (5)'!$B$1:$W$121,22,0)</f>
        <v>15214.5</v>
      </c>
      <c r="L128" s="12">
        <f t="shared" si="7"/>
        <v>25357.5</v>
      </c>
      <c r="M128" s="12">
        <f t="shared" si="13"/>
        <v>25357.5</v>
      </c>
      <c r="N128" s="12">
        <v>795</v>
      </c>
      <c r="O128" s="12">
        <v>2415</v>
      </c>
      <c r="P128" s="12">
        <v>0</v>
      </c>
      <c r="Q128" s="12">
        <v>0</v>
      </c>
      <c r="R128" s="12">
        <v>0</v>
      </c>
      <c r="S128" s="12">
        <v>0</v>
      </c>
      <c r="T128" s="12">
        <f t="shared" si="9"/>
        <v>2415</v>
      </c>
      <c r="U128" s="12">
        <f t="shared" si="12"/>
        <v>28567.5</v>
      </c>
      <c r="V128" s="12">
        <f t="shared" si="10"/>
        <v>27772.5</v>
      </c>
      <c r="W128" s="13" t="s">
        <v>1180</v>
      </c>
      <c r="X128" s="6" t="s">
        <v>210</v>
      </c>
      <c r="Y128" s="6" t="s">
        <v>872</v>
      </c>
      <c r="Z128" s="6" t="s">
        <v>36</v>
      </c>
      <c r="AA128" s="50"/>
      <c r="AC128" s="100">
        <v>28567.5</v>
      </c>
      <c r="AD128" s="14">
        <v>28567.5</v>
      </c>
      <c r="AE128" s="100">
        <v>0</v>
      </c>
    </row>
    <row r="129" spans="1:33 16378:16382" s="14" customFormat="1" ht="21.75" hidden="1" customHeight="1" x14ac:dyDescent="0.25">
      <c r="A129" s="6">
        <f>SUBTOTAL(3,$D$1:D129)-1</f>
        <v>0</v>
      </c>
      <c r="B129" s="7">
        <v>2000627</v>
      </c>
      <c r="C129" s="15" t="s">
        <v>387</v>
      </c>
      <c r="D129" s="9" t="s">
        <v>388</v>
      </c>
      <c r="E129" s="9" t="s">
        <v>389</v>
      </c>
      <c r="F129" s="9" t="s">
        <v>48</v>
      </c>
      <c r="G129" s="10">
        <v>44866</v>
      </c>
      <c r="H129" s="11" t="s">
        <v>33</v>
      </c>
      <c r="I129" s="11" t="s">
        <v>97</v>
      </c>
      <c r="J129" s="11">
        <v>13440</v>
      </c>
      <c r="K129" s="11">
        <v>20160</v>
      </c>
      <c r="L129" s="12">
        <f t="shared" si="7"/>
        <v>33600</v>
      </c>
      <c r="M129" s="12">
        <f t="shared" si="13"/>
        <v>33600</v>
      </c>
      <c r="N129" s="12">
        <v>795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f t="shared" si="9"/>
        <v>0</v>
      </c>
      <c r="U129" s="12">
        <f t="shared" si="12"/>
        <v>34395</v>
      </c>
      <c r="V129" s="12">
        <f t="shared" si="10"/>
        <v>33600</v>
      </c>
      <c r="W129" s="13"/>
      <c r="X129" s="6" t="s">
        <v>88</v>
      </c>
      <c r="Y129" s="6" t="s">
        <v>880</v>
      </c>
      <c r="Z129" s="6" t="s">
        <v>36</v>
      </c>
      <c r="AA129" s="50"/>
      <c r="AC129" s="100">
        <v>34395</v>
      </c>
      <c r="AD129" s="14">
        <v>34395</v>
      </c>
      <c r="AE129" s="100">
        <v>0</v>
      </c>
    </row>
    <row r="130" spans="1:33 16378:16382" s="14" customFormat="1" ht="21.75" hidden="1" customHeight="1" x14ac:dyDescent="0.25">
      <c r="A130" s="6">
        <f>SUBTOTAL(3,$D$1:D130)-1</f>
        <v>0</v>
      </c>
      <c r="B130" s="7">
        <v>2000810</v>
      </c>
      <c r="C130" s="15" t="s">
        <v>390</v>
      </c>
      <c r="D130" s="9" t="s">
        <v>391</v>
      </c>
      <c r="E130" s="9" t="s">
        <v>711</v>
      </c>
      <c r="F130" s="9" t="s">
        <v>52</v>
      </c>
      <c r="G130" s="10">
        <v>44879</v>
      </c>
      <c r="H130" s="11" t="s">
        <v>33</v>
      </c>
      <c r="I130" s="11" t="s">
        <v>53</v>
      </c>
      <c r="J130" s="11">
        <v>32340</v>
      </c>
      <c r="K130" s="11">
        <v>48510</v>
      </c>
      <c r="L130" s="12">
        <f t="shared" ref="L130:L194" si="14">J130+K130</f>
        <v>80850</v>
      </c>
      <c r="M130" s="12">
        <f t="shared" si="13"/>
        <v>80850</v>
      </c>
      <c r="N130" s="12">
        <v>795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f t="shared" si="9"/>
        <v>0</v>
      </c>
      <c r="U130" s="12">
        <f t="shared" ref="U130:U162" si="15">+M130+N130+T130</f>
        <v>81645</v>
      </c>
      <c r="V130" s="12">
        <f t="shared" si="10"/>
        <v>80850</v>
      </c>
      <c r="W130" s="13"/>
      <c r="X130" s="6" t="s">
        <v>88</v>
      </c>
      <c r="Y130" s="6" t="s">
        <v>872</v>
      </c>
      <c r="Z130" s="6" t="s">
        <v>36</v>
      </c>
      <c r="AA130" s="50"/>
      <c r="AC130" s="100">
        <v>81645</v>
      </c>
      <c r="AD130" s="14">
        <v>81645</v>
      </c>
      <c r="AE130" s="100">
        <v>0</v>
      </c>
    </row>
    <row r="131" spans="1:33 16378:16382" s="14" customFormat="1" ht="21.75" hidden="1" customHeight="1" x14ac:dyDescent="0.25">
      <c r="A131" s="22">
        <f>SUBTOTAL(3,$D$1:D131)-1</f>
        <v>0</v>
      </c>
      <c r="B131" s="19">
        <v>2000811</v>
      </c>
      <c r="C131" s="16" t="s">
        <v>392</v>
      </c>
      <c r="D131" s="17" t="s">
        <v>393</v>
      </c>
      <c r="E131" s="17" t="s">
        <v>1036</v>
      </c>
      <c r="F131" s="21" t="s">
        <v>395</v>
      </c>
      <c r="G131" s="20">
        <v>44881</v>
      </c>
      <c r="H131" s="21" t="s">
        <v>69</v>
      </c>
      <c r="I131" s="21" t="s">
        <v>275</v>
      </c>
      <c r="J131" s="21">
        <f>VLOOKUP(C131,'[1]Sheet1 (5)'!$B$1:$W$121,21,0)</f>
        <v>13860</v>
      </c>
      <c r="K131" s="21">
        <f>VLOOKUP(C131,'[1]Sheet1 (5)'!$B$1:$W$121,22,0)</f>
        <v>20790</v>
      </c>
      <c r="L131" s="18">
        <f t="shared" si="14"/>
        <v>34650</v>
      </c>
      <c r="M131" s="18">
        <f t="shared" si="13"/>
        <v>34650</v>
      </c>
      <c r="N131" s="18">
        <v>795</v>
      </c>
      <c r="O131" s="18">
        <v>6300</v>
      </c>
      <c r="P131" s="18">
        <f>2312.5*-2</f>
        <v>-4625</v>
      </c>
      <c r="Q131" s="18">
        <v>0</v>
      </c>
      <c r="R131" s="18">
        <v>0</v>
      </c>
      <c r="S131" s="18">
        <v>0</v>
      </c>
      <c r="T131" s="18">
        <f t="shared" ref="T131:T195" si="16">SUM(O131:R131)</f>
        <v>1675</v>
      </c>
      <c r="U131" s="18">
        <f t="shared" si="15"/>
        <v>37120</v>
      </c>
      <c r="V131" s="12">
        <f t="shared" ref="V131:V194" si="17">SUM(M131,P131,R131,O131)-S131</f>
        <v>36325</v>
      </c>
      <c r="W131" s="96" t="s">
        <v>1181</v>
      </c>
      <c r="X131" s="22" t="s">
        <v>210</v>
      </c>
      <c r="Y131" s="22" t="s">
        <v>901</v>
      </c>
      <c r="Z131" s="30" t="s">
        <v>36</v>
      </c>
      <c r="AA131" s="50"/>
      <c r="AC131" s="100">
        <v>37120</v>
      </c>
      <c r="AD131" s="14">
        <v>37120</v>
      </c>
      <c r="AE131" s="100">
        <v>0</v>
      </c>
      <c r="XEX131" s="22"/>
      <c r="XEY131" s="19"/>
      <c r="XEZ131" s="16"/>
      <c r="XFA131" s="17"/>
      <c r="XFB131" s="21"/>
    </row>
    <row r="132" spans="1:33 16378:16382" s="14" customFormat="1" ht="21.75" hidden="1" customHeight="1" x14ac:dyDescent="0.25">
      <c r="A132" s="6">
        <f>SUBTOTAL(3,$D$1:D132)-1</f>
        <v>0</v>
      </c>
      <c r="B132" s="7">
        <v>2000813</v>
      </c>
      <c r="C132" s="15" t="s">
        <v>396</v>
      </c>
      <c r="D132" s="88" t="s">
        <v>397</v>
      </c>
      <c r="E132" s="9" t="s">
        <v>398</v>
      </c>
      <c r="F132" s="9" t="s">
        <v>399</v>
      </c>
      <c r="G132" s="10">
        <v>44889</v>
      </c>
      <c r="H132" s="11" t="s">
        <v>33</v>
      </c>
      <c r="I132" s="11" t="s">
        <v>53</v>
      </c>
      <c r="J132" s="11">
        <f>VLOOKUP(C132,'[1]Sheet1 (5)'!$B$1:$W$121,21,0)</f>
        <v>12618.400000000001</v>
      </c>
      <c r="K132" s="11">
        <f>VLOOKUP(C132,'[1]Sheet1 (5)'!$B$1:$W$121,22,0)</f>
        <v>18927.599999999999</v>
      </c>
      <c r="L132" s="12">
        <f t="shared" si="14"/>
        <v>31546</v>
      </c>
      <c r="M132" s="12">
        <f t="shared" si="13"/>
        <v>31546</v>
      </c>
      <c r="N132" s="12">
        <v>795</v>
      </c>
      <c r="O132" s="12">
        <v>3004.5</v>
      </c>
      <c r="P132" s="12">
        <v>0</v>
      </c>
      <c r="Q132" s="12">
        <f>M132*11%</f>
        <v>3470.06</v>
      </c>
      <c r="R132" s="12">
        <v>0</v>
      </c>
      <c r="S132" s="12">
        <f>M132*10%</f>
        <v>3154.6000000000004</v>
      </c>
      <c r="T132" s="12">
        <f t="shared" si="16"/>
        <v>6474.5599999999995</v>
      </c>
      <c r="U132" s="12">
        <f t="shared" si="15"/>
        <v>38815.56</v>
      </c>
      <c r="V132" s="12">
        <f t="shared" si="17"/>
        <v>31395.9</v>
      </c>
      <c r="W132" s="13" t="s">
        <v>1185</v>
      </c>
      <c r="X132" s="6" t="s">
        <v>88</v>
      </c>
      <c r="Y132" s="6" t="s">
        <v>872</v>
      </c>
      <c r="Z132" s="6" t="s">
        <v>36</v>
      </c>
      <c r="AA132" s="14" t="str">
        <f>W132</f>
        <v>Increment Arrears w.e.f. 01.09.2025, Employer pension share for November 2025 - 11%</v>
      </c>
      <c r="AB132" s="14" t="str">
        <f>CONCATENATE(C132," - ", D132," - ",AA132)</f>
        <v>02-3034 - Iman F A Haidous - Increment Arrears w.e.f. 01.09.2025, Employer pension share for November 2025 - 11%</v>
      </c>
      <c r="AC132" s="100">
        <v>38815.56</v>
      </c>
      <c r="AD132" s="14">
        <v>38815.56</v>
      </c>
      <c r="AE132" s="100">
        <v>0</v>
      </c>
    </row>
    <row r="133" spans="1:33 16378:16382" s="14" customFormat="1" ht="21.75" hidden="1" customHeight="1" x14ac:dyDescent="0.25">
      <c r="A133" s="6">
        <f>SUBTOTAL(3,$D$1:D133)-1</f>
        <v>0</v>
      </c>
      <c r="B133" s="7">
        <v>2000561</v>
      </c>
      <c r="C133" s="15" t="s">
        <v>400</v>
      </c>
      <c r="D133" s="9" t="s">
        <v>401</v>
      </c>
      <c r="E133" s="9" t="s">
        <v>402</v>
      </c>
      <c r="F133" s="9" t="s">
        <v>52</v>
      </c>
      <c r="G133" s="10">
        <v>44903</v>
      </c>
      <c r="H133" s="11" t="s">
        <v>33</v>
      </c>
      <c r="I133" s="11" t="s">
        <v>34</v>
      </c>
      <c r="J133" s="11">
        <v>13650</v>
      </c>
      <c r="K133" s="11">
        <v>20475</v>
      </c>
      <c r="L133" s="12">
        <f t="shared" si="14"/>
        <v>34125</v>
      </c>
      <c r="M133" s="12">
        <f t="shared" si="13"/>
        <v>34125</v>
      </c>
      <c r="N133" s="12">
        <v>795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f t="shared" si="16"/>
        <v>0</v>
      </c>
      <c r="U133" s="12">
        <f t="shared" si="15"/>
        <v>34920</v>
      </c>
      <c r="V133" s="12">
        <f t="shared" si="17"/>
        <v>34125</v>
      </c>
      <c r="W133" s="13"/>
      <c r="X133" s="6" t="s">
        <v>41</v>
      </c>
      <c r="Y133" s="6" t="s">
        <v>868</v>
      </c>
      <c r="Z133" s="6" t="s">
        <v>36</v>
      </c>
      <c r="AA133" s="50"/>
      <c r="AC133" s="100">
        <v>34920</v>
      </c>
      <c r="AD133" s="14">
        <v>34920</v>
      </c>
      <c r="AE133" s="100">
        <v>0</v>
      </c>
    </row>
    <row r="134" spans="1:33 16378:16382" s="14" customFormat="1" ht="21.75" hidden="1" customHeight="1" x14ac:dyDescent="0.25">
      <c r="A134" s="6">
        <f>SUBTOTAL(3,$D$1:D134)-1</f>
        <v>0</v>
      </c>
      <c r="B134" s="23">
        <v>2000803</v>
      </c>
      <c r="C134" s="24" t="s">
        <v>403</v>
      </c>
      <c r="D134" s="25" t="s">
        <v>404</v>
      </c>
      <c r="E134" s="9" t="s">
        <v>712</v>
      </c>
      <c r="F134" s="26" t="s">
        <v>114</v>
      </c>
      <c r="G134" s="27">
        <v>44928</v>
      </c>
      <c r="H134" s="11" t="s">
        <v>33</v>
      </c>
      <c r="I134" s="11" t="s">
        <v>34</v>
      </c>
      <c r="J134" s="28">
        <v>19845</v>
      </c>
      <c r="K134" s="28">
        <v>29767.5</v>
      </c>
      <c r="L134" s="28">
        <f t="shared" si="14"/>
        <v>49612.5</v>
      </c>
      <c r="M134" s="28">
        <f t="shared" si="13"/>
        <v>49612.5</v>
      </c>
      <c r="N134" s="28">
        <v>795</v>
      </c>
      <c r="O134" s="28">
        <f>2362.5*2</f>
        <v>4725</v>
      </c>
      <c r="P134" s="28">
        <f>-3250*2</f>
        <v>-6500</v>
      </c>
      <c r="Q134" s="28">
        <v>0</v>
      </c>
      <c r="R134" s="28">
        <v>0</v>
      </c>
      <c r="S134" s="28">
        <v>0</v>
      </c>
      <c r="T134" s="28">
        <f t="shared" si="16"/>
        <v>-1775</v>
      </c>
      <c r="U134" s="28">
        <f t="shared" si="15"/>
        <v>48632.5</v>
      </c>
      <c r="V134" s="12">
        <f t="shared" si="17"/>
        <v>47837.5</v>
      </c>
      <c r="W134" s="96" t="s">
        <v>1181</v>
      </c>
      <c r="X134" s="6" t="s">
        <v>88</v>
      </c>
      <c r="Y134" s="6" t="s">
        <v>868</v>
      </c>
      <c r="Z134" s="30" t="s">
        <v>36</v>
      </c>
      <c r="AA134" s="50"/>
      <c r="AC134" s="100">
        <v>48632.5</v>
      </c>
      <c r="AD134" s="14">
        <v>48632.5</v>
      </c>
      <c r="AE134" s="100">
        <v>0</v>
      </c>
      <c r="AF134" s="14">
        <v>49612.5</v>
      </c>
      <c r="AG134" s="100">
        <v>2362.5</v>
      </c>
    </row>
    <row r="135" spans="1:33 16378:16382" s="14" customFormat="1" ht="21.75" hidden="1" customHeight="1" x14ac:dyDescent="0.25">
      <c r="A135" s="6">
        <f>SUBTOTAL(3,$D$1:D135)-1</f>
        <v>0</v>
      </c>
      <c r="B135" s="7">
        <v>2000887</v>
      </c>
      <c r="C135" s="15" t="s">
        <v>408</v>
      </c>
      <c r="D135" s="9" t="s">
        <v>409</v>
      </c>
      <c r="E135" s="9" t="s">
        <v>714</v>
      </c>
      <c r="F135" s="9" t="s">
        <v>52</v>
      </c>
      <c r="G135" s="10">
        <v>44986</v>
      </c>
      <c r="H135" s="11" t="s">
        <v>33</v>
      </c>
      <c r="I135" s="11" t="s">
        <v>34</v>
      </c>
      <c r="J135" s="11">
        <v>13582.800000000001</v>
      </c>
      <c r="K135" s="11">
        <v>20374.2</v>
      </c>
      <c r="L135" s="12">
        <f t="shared" si="14"/>
        <v>33957</v>
      </c>
      <c r="M135" s="12">
        <f t="shared" si="13"/>
        <v>33957</v>
      </c>
      <c r="N135" s="12">
        <f>795*2</f>
        <v>1590</v>
      </c>
      <c r="O135" s="12">
        <v>3234</v>
      </c>
      <c r="P135" s="12">
        <v>32340</v>
      </c>
      <c r="Q135" s="12">
        <v>0</v>
      </c>
      <c r="R135" s="12">
        <v>0</v>
      </c>
      <c r="S135" s="12">
        <v>0</v>
      </c>
      <c r="T135" s="12">
        <f t="shared" si="16"/>
        <v>35574</v>
      </c>
      <c r="U135" s="12">
        <f t="shared" si="15"/>
        <v>71121</v>
      </c>
      <c r="V135" s="12">
        <f t="shared" si="17"/>
        <v>69531</v>
      </c>
      <c r="W135" s="13" t="s">
        <v>1197</v>
      </c>
      <c r="X135" s="13" t="s">
        <v>88</v>
      </c>
      <c r="Y135" s="6" t="s">
        <v>868</v>
      </c>
      <c r="Z135" s="6" t="s">
        <v>36</v>
      </c>
      <c r="AA135" s="50"/>
      <c r="AB135" s="14">
        <f>M135+O135+N135</f>
        <v>38781</v>
      </c>
      <c r="AC135" s="100">
        <v>71121</v>
      </c>
      <c r="AD135" s="14">
        <v>71121</v>
      </c>
      <c r="AE135" s="100">
        <v>0</v>
      </c>
    </row>
    <row r="136" spans="1:33 16378:16382" s="14" customFormat="1" ht="21.75" hidden="1" customHeight="1" x14ac:dyDescent="0.25">
      <c r="A136" s="6">
        <f>SUBTOTAL(3,$D$1:D136)-1</f>
        <v>0</v>
      </c>
      <c r="B136" s="7">
        <v>2000884</v>
      </c>
      <c r="C136" s="15" t="s">
        <v>405</v>
      </c>
      <c r="D136" s="9" t="s">
        <v>406</v>
      </c>
      <c r="E136" s="9" t="s">
        <v>713</v>
      </c>
      <c r="F136" s="9" t="s">
        <v>407</v>
      </c>
      <c r="G136" s="10">
        <v>44985</v>
      </c>
      <c r="H136" s="11" t="s">
        <v>49</v>
      </c>
      <c r="I136" s="11" t="s">
        <v>1023</v>
      </c>
      <c r="J136" s="11">
        <f>VLOOKUP(C136,'[1]Sheet1 (5)'!$B$1:$W$121,21,0)</f>
        <v>15435</v>
      </c>
      <c r="K136" s="11">
        <f>VLOOKUP(C136,'[1]Sheet1 (5)'!$B$1:$W$121,22,0)</f>
        <v>23152.5</v>
      </c>
      <c r="L136" s="12">
        <f t="shared" si="14"/>
        <v>38587.5</v>
      </c>
      <c r="M136" s="12">
        <f t="shared" si="13"/>
        <v>38587.5</v>
      </c>
      <c r="N136" s="12">
        <v>795</v>
      </c>
      <c r="O136" s="12">
        <v>3675</v>
      </c>
      <c r="P136" s="12">
        <v>0</v>
      </c>
      <c r="Q136" s="12">
        <v>0</v>
      </c>
      <c r="R136" s="12">
        <v>0</v>
      </c>
      <c r="S136" s="12">
        <v>0</v>
      </c>
      <c r="T136" s="12">
        <f t="shared" si="16"/>
        <v>3675</v>
      </c>
      <c r="U136" s="12">
        <f t="shared" si="15"/>
        <v>43057.5</v>
      </c>
      <c r="V136" s="12">
        <f t="shared" si="17"/>
        <v>42262.5</v>
      </c>
      <c r="W136" s="13" t="s">
        <v>1180</v>
      </c>
      <c r="X136" s="6" t="s">
        <v>88</v>
      </c>
      <c r="Y136" s="6" t="s">
        <v>899</v>
      </c>
      <c r="Z136" s="6" t="s">
        <v>36</v>
      </c>
      <c r="AA136" s="50"/>
      <c r="AC136" s="100">
        <v>43057.5</v>
      </c>
      <c r="AD136" s="14">
        <v>43057.5</v>
      </c>
      <c r="AE136" s="100">
        <v>0</v>
      </c>
    </row>
    <row r="137" spans="1:33 16378:16382" s="14" customFormat="1" ht="21.75" hidden="1" customHeight="1" x14ac:dyDescent="0.25">
      <c r="A137" s="6">
        <f>SUBTOTAL(3,$D$1:D137)-1</f>
        <v>0</v>
      </c>
      <c r="B137" s="7">
        <v>2000886</v>
      </c>
      <c r="C137" s="15" t="s">
        <v>410</v>
      </c>
      <c r="D137" s="9" t="s">
        <v>411</v>
      </c>
      <c r="E137" s="9" t="s">
        <v>715</v>
      </c>
      <c r="F137" s="9" t="s">
        <v>363</v>
      </c>
      <c r="G137" s="10">
        <v>44991</v>
      </c>
      <c r="H137" s="11" t="s">
        <v>69</v>
      </c>
      <c r="I137" s="11" t="s">
        <v>275</v>
      </c>
      <c r="J137" s="11">
        <f>VLOOKUP(C137,'[1]Sheet1 (5)'!$B$1:$W$121,21,0)</f>
        <v>20837.300000000003</v>
      </c>
      <c r="K137" s="11">
        <f>VLOOKUP(C137,'[1]Sheet1 (5)'!$B$1:$W$121,22,0)</f>
        <v>31255.949999999997</v>
      </c>
      <c r="L137" s="12">
        <f t="shared" si="14"/>
        <v>52093.25</v>
      </c>
      <c r="M137" s="12">
        <f t="shared" si="13"/>
        <v>52093.25</v>
      </c>
      <c r="N137" s="12">
        <v>795</v>
      </c>
      <c r="O137" s="12">
        <v>4961.5</v>
      </c>
      <c r="P137" s="12">
        <v>0</v>
      </c>
      <c r="Q137" s="12">
        <v>0</v>
      </c>
      <c r="R137" s="12">
        <v>0</v>
      </c>
      <c r="S137" s="12">
        <v>0</v>
      </c>
      <c r="T137" s="12">
        <f t="shared" si="16"/>
        <v>4961.5</v>
      </c>
      <c r="U137" s="12">
        <f t="shared" si="15"/>
        <v>57849.75</v>
      </c>
      <c r="V137" s="12">
        <f t="shared" si="17"/>
        <v>57054.75</v>
      </c>
      <c r="W137" s="13" t="s">
        <v>1180</v>
      </c>
      <c r="X137" s="6" t="s">
        <v>88</v>
      </c>
      <c r="Y137" s="6" t="s">
        <v>901</v>
      </c>
      <c r="Z137" s="6" t="s">
        <v>36</v>
      </c>
      <c r="AA137" s="50"/>
      <c r="AC137" s="100">
        <v>57849.75</v>
      </c>
      <c r="AD137" s="14">
        <v>57849.75</v>
      </c>
      <c r="AE137" s="100">
        <v>0</v>
      </c>
    </row>
    <row r="138" spans="1:33 16378:16382" s="14" customFormat="1" ht="21.75" customHeight="1" x14ac:dyDescent="0.25">
      <c r="A138" s="6">
        <f>SUBTOTAL(3,$D$1:D138)-1</f>
        <v>1</v>
      </c>
      <c r="B138" s="23">
        <v>2000896</v>
      </c>
      <c r="C138" s="24" t="s">
        <v>412</v>
      </c>
      <c r="D138" s="25" t="s">
        <v>413</v>
      </c>
      <c r="E138" s="9" t="s">
        <v>926</v>
      </c>
      <c r="F138" s="26" t="s">
        <v>81</v>
      </c>
      <c r="G138" s="27">
        <v>45000</v>
      </c>
      <c r="H138" s="11" t="s">
        <v>33</v>
      </c>
      <c r="I138" s="11" t="s">
        <v>152</v>
      </c>
      <c r="J138" s="28">
        <v>32550</v>
      </c>
      <c r="K138" s="28">
        <v>48825</v>
      </c>
      <c r="L138" s="28">
        <f t="shared" si="14"/>
        <v>81375</v>
      </c>
      <c r="M138" s="28">
        <f t="shared" si="13"/>
        <v>81375</v>
      </c>
      <c r="N138" s="28">
        <v>795</v>
      </c>
      <c r="O138" s="28">
        <v>0</v>
      </c>
      <c r="P138" s="28">
        <f>4500+(4500/30*7)</f>
        <v>5550</v>
      </c>
      <c r="Q138" s="28">
        <v>0</v>
      </c>
      <c r="R138" s="28">
        <v>0</v>
      </c>
      <c r="S138" s="28">
        <v>0</v>
      </c>
      <c r="T138" s="28">
        <f t="shared" si="16"/>
        <v>5550</v>
      </c>
      <c r="U138" s="28">
        <f t="shared" si="15"/>
        <v>87720</v>
      </c>
      <c r="V138" s="12">
        <f t="shared" si="17"/>
        <v>86925</v>
      </c>
      <c r="W138" s="29" t="s">
        <v>1194</v>
      </c>
      <c r="X138" s="6" t="s">
        <v>202</v>
      </c>
      <c r="Y138" s="6" t="s">
        <v>888</v>
      </c>
      <c r="Z138" s="30" t="s">
        <v>36</v>
      </c>
      <c r="AA138" s="50"/>
      <c r="AC138" s="100">
        <v>87720</v>
      </c>
      <c r="AD138" s="14">
        <v>87720</v>
      </c>
      <c r="AE138" s="100">
        <v>0</v>
      </c>
    </row>
    <row r="139" spans="1:33 16378:16382" s="14" customFormat="1" ht="21.75" hidden="1" customHeight="1" x14ac:dyDescent="0.25">
      <c r="A139" s="6">
        <f>SUBTOTAL(3,$D$1:D139)-1</f>
        <v>1</v>
      </c>
      <c r="B139" s="7">
        <v>2000899</v>
      </c>
      <c r="C139" s="15" t="s">
        <v>414</v>
      </c>
      <c r="D139" s="9" t="s">
        <v>415</v>
      </c>
      <c r="E139" s="9" t="s">
        <v>716</v>
      </c>
      <c r="F139" s="9" t="s">
        <v>407</v>
      </c>
      <c r="G139" s="10">
        <v>45016</v>
      </c>
      <c r="H139" s="11" t="s">
        <v>49</v>
      </c>
      <c r="I139" s="11" t="s">
        <v>62</v>
      </c>
      <c r="J139" s="11">
        <f>VLOOKUP(C139,'[1]Sheet1 (5)'!$B$1:$W$121,21,0)</f>
        <v>18480</v>
      </c>
      <c r="K139" s="11">
        <f>VLOOKUP(C139,'[1]Sheet1 (5)'!$B$1:$W$121,22,0)</f>
        <v>27720</v>
      </c>
      <c r="L139" s="12">
        <f t="shared" si="14"/>
        <v>46200</v>
      </c>
      <c r="M139" s="12">
        <f t="shared" si="13"/>
        <v>46200</v>
      </c>
      <c r="N139" s="12">
        <v>795</v>
      </c>
      <c r="O139" s="12">
        <v>8400</v>
      </c>
      <c r="P139" s="12">
        <v>0</v>
      </c>
      <c r="Q139" s="12">
        <v>0</v>
      </c>
      <c r="R139" s="12">
        <v>0</v>
      </c>
      <c r="S139" s="12">
        <v>0</v>
      </c>
      <c r="T139" s="12">
        <f t="shared" si="16"/>
        <v>8400</v>
      </c>
      <c r="U139" s="12">
        <f t="shared" si="15"/>
        <v>55395</v>
      </c>
      <c r="V139" s="12">
        <f t="shared" si="17"/>
        <v>54600</v>
      </c>
      <c r="W139" s="13" t="s">
        <v>1180</v>
      </c>
      <c r="X139" s="6" t="s">
        <v>88</v>
      </c>
      <c r="Y139" s="6" t="s">
        <v>874</v>
      </c>
      <c r="Z139" s="6" t="s">
        <v>36</v>
      </c>
      <c r="AA139" s="50"/>
      <c r="AC139" s="100">
        <v>55395</v>
      </c>
      <c r="AD139" s="14">
        <v>55395</v>
      </c>
      <c r="AE139" s="100">
        <v>0</v>
      </c>
    </row>
    <row r="140" spans="1:33 16378:16382" s="14" customFormat="1" ht="21.75" hidden="1" customHeight="1" x14ac:dyDescent="0.25">
      <c r="A140" s="6">
        <f>SUBTOTAL(3,$D$1:D140)-1</f>
        <v>1</v>
      </c>
      <c r="B140" s="7">
        <v>2000905</v>
      </c>
      <c r="C140" s="15" t="s">
        <v>416</v>
      </c>
      <c r="D140" s="9" t="s">
        <v>417</v>
      </c>
      <c r="E140" s="9" t="s">
        <v>1037</v>
      </c>
      <c r="F140" s="9" t="s">
        <v>419</v>
      </c>
      <c r="G140" s="10">
        <v>45020</v>
      </c>
      <c r="H140" s="11" t="s">
        <v>40</v>
      </c>
      <c r="I140" s="11" t="s">
        <v>847</v>
      </c>
      <c r="J140" s="11">
        <f>VLOOKUP(C140,'[1]Sheet1 (5)'!$B$1:$W$121,21,0)</f>
        <v>43537.700000000004</v>
      </c>
      <c r="K140" s="11">
        <f>VLOOKUP(C140,'[1]Sheet1 (5)'!$B$1:$W$121,22,0)</f>
        <v>65306.549999999996</v>
      </c>
      <c r="L140" s="12">
        <f t="shared" si="14"/>
        <v>108844.25</v>
      </c>
      <c r="M140" s="12">
        <f t="shared" si="13"/>
        <v>108844.25</v>
      </c>
      <c r="N140" s="12">
        <v>795</v>
      </c>
      <c r="O140" s="12">
        <v>10366</v>
      </c>
      <c r="P140" s="12">
        <v>0</v>
      </c>
      <c r="Q140" s="12">
        <v>0</v>
      </c>
      <c r="R140" s="12">
        <v>0</v>
      </c>
      <c r="S140" s="12">
        <v>0</v>
      </c>
      <c r="T140" s="12">
        <f t="shared" si="16"/>
        <v>10366</v>
      </c>
      <c r="U140" s="12">
        <f t="shared" si="15"/>
        <v>120005.25</v>
      </c>
      <c r="V140" s="12">
        <f t="shared" si="17"/>
        <v>119210.25</v>
      </c>
      <c r="W140" s="13" t="s">
        <v>1180</v>
      </c>
      <c r="X140" s="6" t="s">
        <v>202</v>
      </c>
      <c r="Y140" s="6" t="s">
        <v>869</v>
      </c>
      <c r="Z140" s="6" t="s">
        <v>36</v>
      </c>
      <c r="AA140" s="50"/>
      <c r="AC140" s="100">
        <v>120005.25</v>
      </c>
      <c r="AD140" s="110">
        <v>120005.25</v>
      </c>
      <c r="AE140" s="100">
        <v>0</v>
      </c>
    </row>
    <row r="141" spans="1:33 16378:16382" s="14" customFormat="1" ht="21.75" hidden="1" customHeight="1" x14ac:dyDescent="0.25">
      <c r="A141" s="6">
        <f>SUBTOTAL(3,$D$1:D141)-1</f>
        <v>1</v>
      </c>
      <c r="B141" s="7">
        <v>2000900</v>
      </c>
      <c r="C141" s="15" t="s">
        <v>420</v>
      </c>
      <c r="D141" s="9" t="s">
        <v>421</v>
      </c>
      <c r="E141" s="9" t="s">
        <v>1038</v>
      </c>
      <c r="F141" s="9" t="s">
        <v>114</v>
      </c>
      <c r="G141" s="10">
        <v>45012</v>
      </c>
      <c r="H141" s="11" t="s">
        <v>69</v>
      </c>
      <c r="I141" s="11" t="s">
        <v>104</v>
      </c>
      <c r="J141" s="11">
        <f>VLOOKUP(C141,'[1]Sheet1 (5)'!$B$1:$W$121,21,0)</f>
        <v>15435</v>
      </c>
      <c r="K141" s="11">
        <f>VLOOKUP(C141,'[1]Sheet1 (5)'!$B$1:$W$121,22,0)</f>
        <v>23152.5</v>
      </c>
      <c r="L141" s="12">
        <f t="shared" si="14"/>
        <v>38587.5</v>
      </c>
      <c r="M141" s="12">
        <f t="shared" ref="M141:M172" si="18">L141</f>
        <v>38587.5</v>
      </c>
      <c r="N141" s="12">
        <v>795</v>
      </c>
      <c r="O141" s="12">
        <v>3675</v>
      </c>
      <c r="P141" s="12">
        <v>0</v>
      </c>
      <c r="Q141" s="12">
        <v>0</v>
      </c>
      <c r="R141" s="12">
        <v>0</v>
      </c>
      <c r="S141" s="12">
        <v>0</v>
      </c>
      <c r="T141" s="12">
        <f t="shared" si="16"/>
        <v>3675</v>
      </c>
      <c r="U141" s="12">
        <f t="shared" si="15"/>
        <v>43057.5</v>
      </c>
      <c r="V141" s="12">
        <f t="shared" si="17"/>
        <v>42262.5</v>
      </c>
      <c r="W141" s="13" t="s">
        <v>1180</v>
      </c>
      <c r="X141" s="6" t="s">
        <v>88</v>
      </c>
      <c r="Y141" s="6" t="s">
        <v>882</v>
      </c>
      <c r="Z141" s="6" t="s">
        <v>36</v>
      </c>
      <c r="AA141" s="50"/>
      <c r="AC141" s="100">
        <v>43057.5</v>
      </c>
      <c r="AD141" s="14">
        <v>43057.5</v>
      </c>
      <c r="AE141" s="100">
        <v>0</v>
      </c>
    </row>
    <row r="142" spans="1:33 16378:16382" s="14" customFormat="1" ht="21.75" hidden="1" customHeight="1" x14ac:dyDescent="0.25">
      <c r="A142" s="6">
        <f>SUBTOTAL(3,$D$1:D142)-1</f>
        <v>1</v>
      </c>
      <c r="B142" s="7">
        <v>2000901</v>
      </c>
      <c r="C142" s="15" t="s">
        <v>422</v>
      </c>
      <c r="D142" s="9" t="s">
        <v>423</v>
      </c>
      <c r="E142" s="9" t="s">
        <v>424</v>
      </c>
      <c r="F142" s="9" t="s">
        <v>230</v>
      </c>
      <c r="G142" s="10">
        <v>45020</v>
      </c>
      <c r="H142" s="11" t="s">
        <v>87</v>
      </c>
      <c r="I142" s="11" t="s">
        <v>1008</v>
      </c>
      <c r="J142" s="11">
        <f>VLOOKUP(C142,'[1]Sheet1 (5)'!$B$1:$W$121,21,0)</f>
        <v>27720</v>
      </c>
      <c r="K142" s="11">
        <f>VLOOKUP(C142,'[1]Sheet1 (5)'!$B$1:$W$121,22,0)</f>
        <v>41580</v>
      </c>
      <c r="L142" s="12">
        <f t="shared" si="14"/>
        <v>69300</v>
      </c>
      <c r="M142" s="12">
        <f t="shared" si="18"/>
        <v>69300</v>
      </c>
      <c r="N142" s="12">
        <v>795</v>
      </c>
      <c r="O142" s="12">
        <v>6600</v>
      </c>
      <c r="P142" s="12">
        <v>0</v>
      </c>
      <c r="Q142" s="12">
        <v>0</v>
      </c>
      <c r="R142" s="12">
        <v>0</v>
      </c>
      <c r="S142" s="12">
        <v>0</v>
      </c>
      <c r="T142" s="12">
        <f t="shared" si="16"/>
        <v>6600</v>
      </c>
      <c r="U142" s="12">
        <f t="shared" si="15"/>
        <v>76695</v>
      </c>
      <c r="V142" s="12">
        <f t="shared" si="17"/>
        <v>75900</v>
      </c>
      <c r="W142" s="13" t="s">
        <v>1180</v>
      </c>
      <c r="X142" s="6" t="s">
        <v>202</v>
      </c>
      <c r="Y142" s="6" t="s">
        <v>877</v>
      </c>
      <c r="Z142" s="6" t="s">
        <v>36</v>
      </c>
      <c r="AA142" s="50"/>
      <c r="AC142" s="100">
        <v>76695</v>
      </c>
      <c r="AD142" s="14">
        <v>76695</v>
      </c>
      <c r="AE142" s="100">
        <v>0</v>
      </c>
    </row>
    <row r="143" spans="1:33 16378:16382" s="14" customFormat="1" ht="21.75" hidden="1" customHeight="1" x14ac:dyDescent="0.25">
      <c r="A143" s="6">
        <f>SUBTOTAL(3,$D$1:D143)-1</f>
        <v>1</v>
      </c>
      <c r="B143" s="7">
        <v>2000898</v>
      </c>
      <c r="C143" s="15" t="s">
        <v>425</v>
      </c>
      <c r="D143" s="9" t="s">
        <v>426</v>
      </c>
      <c r="E143" s="9" t="s">
        <v>427</v>
      </c>
      <c r="F143" s="9" t="s">
        <v>84</v>
      </c>
      <c r="G143" s="10">
        <v>45012</v>
      </c>
      <c r="H143" s="11" t="s">
        <v>33</v>
      </c>
      <c r="I143" s="11" t="s">
        <v>34</v>
      </c>
      <c r="J143" s="11">
        <v>16720</v>
      </c>
      <c r="K143" s="11">
        <v>25080</v>
      </c>
      <c r="L143" s="12">
        <f t="shared" si="14"/>
        <v>41800</v>
      </c>
      <c r="M143" s="12">
        <f t="shared" si="18"/>
        <v>41800</v>
      </c>
      <c r="N143" s="12">
        <v>795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f t="shared" si="16"/>
        <v>0</v>
      </c>
      <c r="U143" s="12">
        <f t="shared" si="15"/>
        <v>42595</v>
      </c>
      <c r="V143" s="12">
        <f t="shared" si="17"/>
        <v>41800</v>
      </c>
      <c r="W143" s="13"/>
      <c r="X143" s="6" t="s">
        <v>41</v>
      </c>
      <c r="Y143" s="6" t="s">
        <v>868</v>
      </c>
      <c r="Z143" s="6" t="s">
        <v>36</v>
      </c>
      <c r="AA143" s="50"/>
      <c r="AC143" s="100">
        <v>42595</v>
      </c>
      <c r="AD143" s="14">
        <v>42595</v>
      </c>
      <c r="AE143" s="100">
        <v>0</v>
      </c>
    </row>
    <row r="144" spans="1:33 16378:16382" s="14" customFormat="1" ht="21.75" hidden="1" customHeight="1" x14ac:dyDescent="0.25">
      <c r="A144" s="6">
        <f>SUBTOTAL(3,$D$1:D144)-1</f>
        <v>1</v>
      </c>
      <c r="B144" s="7">
        <v>2000914</v>
      </c>
      <c r="C144" s="15" t="s">
        <v>428</v>
      </c>
      <c r="D144" s="9" t="s">
        <v>429</v>
      </c>
      <c r="E144" s="9" t="s">
        <v>717</v>
      </c>
      <c r="F144" s="9" t="s">
        <v>166</v>
      </c>
      <c r="G144" s="10">
        <v>45055</v>
      </c>
      <c r="H144" s="11" t="s">
        <v>69</v>
      </c>
      <c r="I144" s="11" t="s">
        <v>862</v>
      </c>
      <c r="J144" s="11">
        <f>VLOOKUP(C144,'[1]Sheet1 (5)'!$B$1:$W$121,21,0)</f>
        <v>19404</v>
      </c>
      <c r="K144" s="11">
        <f>VLOOKUP(C144,'[1]Sheet1 (5)'!$B$1:$W$121,22,0)</f>
        <v>29106</v>
      </c>
      <c r="L144" s="12">
        <f t="shared" si="14"/>
        <v>48510</v>
      </c>
      <c r="M144" s="12">
        <f t="shared" si="18"/>
        <v>48510</v>
      </c>
      <c r="N144" s="12">
        <f>795</f>
        <v>795</v>
      </c>
      <c r="O144" s="12">
        <v>4620</v>
      </c>
      <c r="P144" s="12">
        <v>0</v>
      </c>
      <c r="Q144" s="12">
        <v>0</v>
      </c>
      <c r="R144" s="12">
        <v>0</v>
      </c>
      <c r="S144" s="12">
        <v>0</v>
      </c>
      <c r="T144" s="12">
        <f t="shared" si="16"/>
        <v>4620</v>
      </c>
      <c r="U144" s="12">
        <f t="shared" si="15"/>
        <v>53925</v>
      </c>
      <c r="V144" s="12">
        <f t="shared" si="17"/>
        <v>53130</v>
      </c>
      <c r="W144" s="13" t="s">
        <v>1180</v>
      </c>
      <c r="X144" s="6" t="s">
        <v>88</v>
      </c>
      <c r="Y144" s="6" t="s">
        <v>901</v>
      </c>
      <c r="Z144" s="6" t="s">
        <v>36</v>
      </c>
      <c r="AA144" s="50"/>
      <c r="AC144" s="100">
        <v>53925</v>
      </c>
      <c r="AD144" s="14">
        <v>53925</v>
      </c>
      <c r="AE144" s="100">
        <v>0</v>
      </c>
    </row>
    <row r="145" spans="1:31 16378:16382" s="14" customFormat="1" ht="21.75" hidden="1" customHeight="1" x14ac:dyDescent="0.25">
      <c r="A145" s="22">
        <f>SUBTOTAL(3,$D$1:D145)-1</f>
        <v>1</v>
      </c>
      <c r="B145" s="19">
        <v>2000902</v>
      </c>
      <c r="C145" s="16" t="s">
        <v>430</v>
      </c>
      <c r="D145" s="17" t="s">
        <v>431</v>
      </c>
      <c r="E145" s="17" t="s">
        <v>718</v>
      </c>
      <c r="F145" s="21" t="s">
        <v>314</v>
      </c>
      <c r="G145" s="20">
        <v>45019</v>
      </c>
      <c r="H145" s="21" t="s">
        <v>69</v>
      </c>
      <c r="I145" s="21" t="s">
        <v>1039</v>
      </c>
      <c r="J145" s="21">
        <f>VLOOKUP(C145,'[1]Sheet1 (5)'!$B$1:$W$121,21,0)</f>
        <v>17971.8</v>
      </c>
      <c r="K145" s="21">
        <f>VLOOKUP(C145,'[1]Sheet1 (5)'!$B$1:$W$121,22,0)</f>
        <v>26957.7</v>
      </c>
      <c r="L145" s="18">
        <f t="shared" si="14"/>
        <v>44929.5</v>
      </c>
      <c r="M145" s="18">
        <f t="shared" si="18"/>
        <v>44929.5</v>
      </c>
      <c r="N145" s="18">
        <v>795</v>
      </c>
      <c r="O145" s="18">
        <v>8169</v>
      </c>
      <c r="P145" s="18">
        <v>2312.5</v>
      </c>
      <c r="Q145" s="18">
        <v>0</v>
      </c>
      <c r="R145" s="18">
        <v>0</v>
      </c>
      <c r="S145" s="18">
        <v>0</v>
      </c>
      <c r="T145" s="18">
        <f t="shared" si="16"/>
        <v>10481.5</v>
      </c>
      <c r="U145" s="18">
        <f t="shared" si="15"/>
        <v>56206</v>
      </c>
      <c r="V145" s="12">
        <f t="shared" si="17"/>
        <v>55411</v>
      </c>
      <c r="W145" s="96" t="s">
        <v>1237</v>
      </c>
      <c r="X145" s="22" t="s">
        <v>88</v>
      </c>
      <c r="Y145" s="22" t="s">
        <v>907</v>
      </c>
      <c r="Z145" s="30" t="s">
        <v>36</v>
      </c>
      <c r="AA145" s="50"/>
      <c r="AC145" s="100">
        <v>56206</v>
      </c>
      <c r="AD145" s="14">
        <v>56206</v>
      </c>
      <c r="AE145" s="100">
        <v>0</v>
      </c>
      <c r="XEX145" s="22"/>
      <c r="XEY145" s="19"/>
      <c r="XEZ145" s="16"/>
      <c r="XFA145" s="17"/>
      <c r="XFB145" s="21"/>
    </row>
    <row r="146" spans="1:31 16378:16382" s="14" customFormat="1" ht="21.75" hidden="1" customHeight="1" x14ac:dyDescent="0.25">
      <c r="A146" s="6">
        <f>SUBTOTAL(3,$D$1:D146)-1</f>
        <v>1</v>
      </c>
      <c r="B146" s="7">
        <v>2000537</v>
      </c>
      <c r="C146" s="16" t="s">
        <v>432</v>
      </c>
      <c r="D146" s="17" t="s">
        <v>433</v>
      </c>
      <c r="E146" s="9" t="s">
        <v>1040</v>
      </c>
      <c r="F146" s="9" t="s">
        <v>48</v>
      </c>
      <c r="G146" s="10">
        <v>45027</v>
      </c>
      <c r="H146" s="11" t="s">
        <v>45</v>
      </c>
      <c r="I146" s="11" t="s">
        <v>107</v>
      </c>
      <c r="J146" s="11">
        <f>VLOOKUP(C146,'[1]Sheet1 (5)'!$B$1:$W$121,21,0)</f>
        <v>19404</v>
      </c>
      <c r="K146" s="11">
        <f>VLOOKUP(C146,'[1]Sheet1 (5)'!$B$1:$W$121,22,0)</f>
        <v>29106</v>
      </c>
      <c r="L146" s="12">
        <f t="shared" si="14"/>
        <v>48510</v>
      </c>
      <c r="M146" s="12">
        <f t="shared" si="18"/>
        <v>48510</v>
      </c>
      <c r="N146" s="12">
        <f>795</f>
        <v>795</v>
      </c>
      <c r="O146" s="12">
        <v>4620</v>
      </c>
      <c r="P146" s="12">
        <v>0</v>
      </c>
      <c r="Q146" s="12">
        <v>0</v>
      </c>
      <c r="R146" s="12">
        <v>0</v>
      </c>
      <c r="S146" s="12">
        <v>0</v>
      </c>
      <c r="T146" s="12">
        <f t="shared" si="16"/>
        <v>4620</v>
      </c>
      <c r="U146" s="18">
        <f t="shared" si="15"/>
        <v>53925</v>
      </c>
      <c r="V146" s="12">
        <f t="shared" si="17"/>
        <v>53130</v>
      </c>
      <c r="W146" s="13" t="s">
        <v>1180</v>
      </c>
      <c r="X146" s="6" t="s">
        <v>202</v>
      </c>
      <c r="Y146" s="6" t="s">
        <v>883</v>
      </c>
      <c r="Z146" s="6" t="s">
        <v>36</v>
      </c>
      <c r="AA146" s="50"/>
      <c r="AC146" s="100">
        <v>53925</v>
      </c>
      <c r="AD146" s="14">
        <v>53925</v>
      </c>
      <c r="AE146" s="100">
        <v>0</v>
      </c>
    </row>
    <row r="147" spans="1:31 16378:16382" s="14" customFormat="1" ht="21.75" hidden="1" customHeight="1" x14ac:dyDescent="0.25">
      <c r="A147" s="6">
        <f>SUBTOTAL(3,$D$1:D147)-1</f>
        <v>1</v>
      </c>
      <c r="B147" s="7">
        <v>2000915</v>
      </c>
      <c r="C147" s="15" t="s">
        <v>434</v>
      </c>
      <c r="D147" s="9" t="s">
        <v>435</v>
      </c>
      <c r="E147" s="9" t="s">
        <v>714</v>
      </c>
      <c r="F147" s="9" t="s">
        <v>52</v>
      </c>
      <c r="G147" s="10">
        <v>45027</v>
      </c>
      <c r="H147" s="11" t="s">
        <v>33</v>
      </c>
      <c r="I147" s="11" t="s">
        <v>34</v>
      </c>
      <c r="J147" s="11">
        <f>VLOOKUP(C147,'[1]Sheet1 (5)'!$B$1:$W$121,21,0)</f>
        <v>15435</v>
      </c>
      <c r="K147" s="11">
        <f>VLOOKUP(C147,'[1]Sheet1 (5)'!$B$1:$W$121,22,0)</f>
        <v>23152.5</v>
      </c>
      <c r="L147" s="12">
        <f t="shared" si="14"/>
        <v>38587.5</v>
      </c>
      <c r="M147" s="12">
        <f t="shared" si="18"/>
        <v>38587.5</v>
      </c>
      <c r="N147" s="12">
        <f>795</f>
        <v>795</v>
      </c>
      <c r="O147" s="12">
        <v>3675</v>
      </c>
      <c r="P147" s="12">
        <v>0</v>
      </c>
      <c r="Q147" s="12">
        <v>0</v>
      </c>
      <c r="R147" s="12">
        <v>0</v>
      </c>
      <c r="S147" s="12">
        <v>0</v>
      </c>
      <c r="T147" s="12">
        <f t="shared" si="16"/>
        <v>3675</v>
      </c>
      <c r="U147" s="12">
        <f t="shared" si="15"/>
        <v>43057.5</v>
      </c>
      <c r="V147" s="12">
        <f t="shared" si="17"/>
        <v>42262.5</v>
      </c>
      <c r="W147" s="13" t="s">
        <v>1180</v>
      </c>
      <c r="X147" s="6" t="s">
        <v>88</v>
      </c>
      <c r="Y147" s="6" t="s">
        <v>868</v>
      </c>
      <c r="Z147" s="6" t="s">
        <v>36</v>
      </c>
      <c r="AA147" s="50"/>
      <c r="AC147" s="100">
        <v>43057.5</v>
      </c>
      <c r="AD147" s="14">
        <v>43057.5</v>
      </c>
      <c r="AE147" s="100">
        <v>0</v>
      </c>
    </row>
    <row r="148" spans="1:31 16378:16382" s="14" customFormat="1" ht="21.75" hidden="1" customHeight="1" x14ac:dyDescent="0.25">
      <c r="A148" s="6">
        <f>SUBTOTAL(3,$D$1:D148)-1</f>
        <v>1</v>
      </c>
      <c r="B148" s="7">
        <v>2000922</v>
      </c>
      <c r="C148" s="15" t="s">
        <v>436</v>
      </c>
      <c r="D148" s="9" t="s">
        <v>437</v>
      </c>
      <c r="E148" s="9" t="s">
        <v>1041</v>
      </c>
      <c r="F148" s="9" t="s">
        <v>407</v>
      </c>
      <c r="G148" s="10">
        <v>45047</v>
      </c>
      <c r="H148" s="11" t="s">
        <v>87</v>
      </c>
      <c r="I148" s="11" t="s">
        <v>858</v>
      </c>
      <c r="J148" s="11">
        <f>VLOOKUP(C148,'[1]Sheet1 (5)'!$B$1:$W$121,21,0)</f>
        <v>10001.900000000001</v>
      </c>
      <c r="K148" s="11">
        <f>VLOOKUP(C148,'[1]Sheet1 (5)'!$B$1:$W$121,22,0)</f>
        <v>15002.849999999999</v>
      </c>
      <c r="L148" s="12">
        <f t="shared" si="14"/>
        <v>25004.75</v>
      </c>
      <c r="M148" s="12">
        <f t="shared" si="18"/>
        <v>25004.75</v>
      </c>
      <c r="N148" s="12">
        <f>795</f>
        <v>795</v>
      </c>
      <c r="O148" s="12">
        <v>2381.5</v>
      </c>
      <c r="P148" s="12">
        <v>0</v>
      </c>
      <c r="Q148" s="12">
        <v>0</v>
      </c>
      <c r="R148" s="12">
        <v>0</v>
      </c>
      <c r="S148" s="12">
        <v>0</v>
      </c>
      <c r="T148" s="12">
        <f t="shared" si="16"/>
        <v>2381.5</v>
      </c>
      <c r="U148" s="12">
        <f t="shared" si="15"/>
        <v>28181.25</v>
      </c>
      <c r="V148" s="12">
        <f t="shared" si="17"/>
        <v>27386.25</v>
      </c>
      <c r="W148" s="13" t="s">
        <v>1180</v>
      </c>
      <c r="X148" s="6" t="s">
        <v>908</v>
      </c>
      <c r="Y148" s="6" t="s">
        <v>895</v>
      </c>
      <c r="Z148" s="6" t="s">
        <v>36</v>
      </c>
      <c r="AA148" s="50"/>
      <c r="AC148" s="100">
        <v>28181.25</v>
      </c>
      <c r="AD148" s="14">
        <v>28181.25</v>
      </c>
      <c r="AE148" s="100">
        <v>0</v>
      </c>
    </row>
    <row r="149" spans="1:31 16378:16382" s="14" customFormat="1" ht="21.75" hidden="1" customHeight="1" x14ac:dyDescent="0.25">
      <c r="A149" s="6">
        <f>SUBTOTAL(3,$D$1:D149)-1</f>
        <v>1</v>
      </c>
      <c r="B149" s="7">
        <v>2000913</v>
      </c>
      <c r="C149" s="15" t="s">
        <v>439</v>
      </c>
      <c r="D149" s="9" t="s">
        <v>440</v>
      </c>
      <c r="E149" s="9" t="s">
        <v>1042</v>
      </c>
      <c r="F149" s="9" t="s">
        <v>230</v>
      </c>
      <c r="G149" s="10">
        <v>45033</v>
      </c>
      <c r="H149" s="11" t="s">
        <v>69</v>
      </c>
      <c r="I149" s="11" t="s">
        <v>104</v>
      </c>
      <c r="J149" s="11">
        <f>VLOOKUP(C149,'[1]Sheet1 (5)'!$B$1:$W$121,21,0)</f>
        <v>28014</v>
      </c>
      <c r="K149" s="11">
        <f>VLOOKUP(C149,'[1]Sheet1 (5)'!$B$1:$W$121,22,0)</f>
        <v>42021</v>
      </c>
      <c r="L149" s="12">
        <f t="shared" si="14"/>
        <v>70035</v>
      </c>
      <c r="M149" s="12">
        <f t="shared" si="18"/>
        <v>70035</v>
      </c>
      <c r="N149" s="12">
        <f>795</f>
        <v>795</v>
      </c>
      <c r="O149" s="12">
        <v>6670</v>
      </c>
      <c r="P149" s="12">
        <v>0</v>
      </c>
      <c r="Q149" s="12">
        <v>0</v>
      </c>
      <c r="R149" s="12">
        <v>0</v>
      </c>
      <c r="S149" s="12">
        <v>0</v>
      </c>
      <c r="T149" s="12">
        <f t="shared" si="16"/>
        <v>6670</v>
      </c>
      <c r="U149" s="12">
        <f t="shared" si="15"/>
        <v>77500</v>
      </c>
      <c r="V149" s="12">
        <f t="shared" si="17"/>
        <v>76705</v>
      </c>
      <c r="W149" s="13" t="s">
        <v>1180</v>
      </c>
      <c r="X149" s="6" t="s">
        <v>253</v>
      </c>
      <c r="Y149" s="6" t="s">
        <v>882</v>
      </c>
      <c r="Z149" s="6" t="s">
        <v>36</v>
      </c>
      <c r="AA149" s="50"/>
      <c r="AC149" s="100">
        <v>77500</v>
      </c>
      <c r="AD149" s="14">
        <v>77500</v>
      </c>
      <c r="AE149" s="100">
        <v>0</v>
      </c>
    </row>
    <row r="150" spans="1:31 16378:16382" s="14" customFormat="1" ht="21.75" hidden="1" customHeight="1" x14ac:dyDescent="0.25">
      <c r="A150" s="6">
        <f>SUBTOTAL(3,$D$1:D150)-1</f>
        <v>1</v>
      </c>
      <c r="B150" s="7">
        <v>2000918</v>
      </c>
      <c r="C150" s="15" t="s">
        <v>441</v>
      </c>
      <c r="D150" s="9" t="s">
        <v>442</v>
      </c>
      <c r="E150" s="9" t="s">
        <v>1043</v>
      </c>
      <c r="F150" s="9" t="s">
        <v>48</v>
      </c>
      <c r="G150" s="10">
        <v>45042</v>
      </c>
      <c r="H150" s="11" t="s">
        <v>40</v>
      </c>
      <c r="I150" s="11" t="s">
        <v>221</v>
      </c>
      <c r="J150" s="11">
        <f>VLOOKUP(C150,'[1]Sheet1 (5)'!$B$1:$W$121,21,0)</f>
        <v>32972.5</v>
      </c>
      <c r="K150" s="11">
        <f>VLOOKUP(C150,'[1]Sheet1 (5)'!$B$1:$W$121,22,0)</f>
        <v>49458.75</v>
      </c>
      <c r="L150" s="12">
        <f t="shared" si="14"/>
        <v>82431.25</v>
      </c>
      <c r="M150" s="12">
        <f t="shared" si="18"/>
        <v>82431.25</v>
      </c>
      <c r="N150" s="12">
        <f>795</f>
        <v>795</v>
      </c>
      <c r="O150" s="12">
        <v>14987.5</v>
      </c>
      <c r="P150" s="12">
        <v>0</v>
      </c>
      <c r="Q150" s="12">
        <v>0</v>
      </c>
      <c r="R150" s="12">
        <v>0</v>
      </c>
      <c r="S150" s="12">
        <v>0</v>
      </c>
      <c r="T150" s="12">
        <f t="shared" si="16"/>
        <v>14987.5</v>
      </c>
      <c r="U150" s="12">
        <f t="shared" si="15"/>
        <v>98213.75</v>
      </c>
      <c r="V150" s="12">
        <f t="shared" si="17"/>
        <v>97418.75</v>
      </c>
      <c r="W150" s="13" t="s">
        <v>1180</v>
      </c>
      <c r="X150" s="6" t="s">
        <v>88</v>
      </c>
      <c r="Y150" s="6" t="s">
        <v>894</v>
      </c>
      <c r="Z150" s="6" t="s">
        <v>36</v>
      </c>
      <c r="AA150" s="50"/>
      <c r="AC150" s="100">
        <v>98213.75</v>
      </c>
      <c r="AD150" s="110">
        <v>98213.75</v>
      </c>
      <c r="AE150" s="100">
        <v>0</v>
      </c>
    </row>
    <row r="151" spans="1:31 16378:16382" s="14" customFormat="1" ht="21.75" hidden="1" customHeight="1" x14ac:dyDescent="0.25">
      <c r="A151" s="6">
        <f>SUBTOTAL(3,$D$1:D151)-1</f>
        <v>1</v>
      </c>
      <c r="B151" s="7">
        <v>2000897</v>
      </c>
      <c r="C151" s="15" t="s">
        <v>443</v>
      </c>
      <c r="D151" s="9" t="s">
        <v>444</v>
      </c>
      <c r="E151" s="9" t="s">
        <v>719</v>
      </c>
      <c r="F151" s="9" t="s">
        <v>445</v>
      </c>
      <c r="G151" s="10">
        <v>45040</v>
      </c>
      <c r="H151" s="11" t="s">
        <v>69</v>
      </c>
      <c r="I151" s="11" t="s">
        <v>851</v>
      </c>
      <c r="J151" s="11">
        <f>VLOOKUP(C151,'[1]Sheet1 (5)'!$B$1:$W$121,21,0)</f>
        <v>19404</v>
      </c>
      <c r="K151" s="11">
        <f>VLOOKUP(C151,'[1]Sheet1 (5)'!$B$1:$W$121,22,0)</f>
        <v>29106</v>
      </c>
      <c r="L151" s="12">
        <f t="shared" si="14"/>
        <v>48510</v>
      </c>
      <c r="M151" s="12">
        <f t="shared" si="18"/>
        <v>48510</v>
      </c>
      <c r="N151" s="12">
        <f>795</f>
        <v>795</v>
      </c>
      <c r="O151" s="12">
        <v>8820</v>
      </c>
      <c r="P151" s="12">
        <v>0</v>
      </c>
      <c r="Q151" s="12">
        <v>0</v>
      </c>
      <c r="R151" s="12">
        <v>0</v>
      </c>
      <c r="S151" s="12">
        <v>0</v>
      </c>
      <c r="T151" s="12">
        <f t="shared" si="16"/>
        <v>8820</v>
      </c>
      <c r="U151" s="12">
        <f t="shared" si="15"/>
        <v>58125</v>
      </c>
      <c r="V151" s="12">
        <f t="shared" si="17"/>
        <v>57330</v>
      </c>
      <c r="W151" s="13" t="s">
        <v>1180</v>
      </c>
      <c r="X151" s="6" t="s">
        <v>202</v>
      </c>
      <c r="Y151" s="6" t="s">
        <v>875</v>
      </c>
      <c r="Z151" s="6" t="s">
        <v>36</v>
      </c>
      <c r="AA151" s="50"/>
      <c r="AC151" s="100">
        <v>58125</v>
      </c>
      <c r="AD151" s="14">
        <v>58125</v>
      </c>
      <c r="AE151" s="100">
        <v>0</v>
      </c>
    </row>
    <row r="152" spans="1:31 16378:16382" s="14" customFormat="1" ht="21.75" hidden="1" customHeight="1" x14ac:dyDescent="0.25">
      <c r="A152" s="6">
        <f>SUBTOTAL(3,$D$1:D152)-1</f>
        <v>1</v>
      </c>
      <c r="B152" s="7">
        <v>2000920</v>
      </c>
      <c r="C152" s="15" t="s">
        <v>446</v>
      </c>
      <c r="D152" s="9" t="s">
        <v>447</v>
      </c>
      <c r="E152" s="9" t="s">
        <v>1044</v>
      </c>
      <c r="F152" s="9" t="s">
        <v>230</v>
      </c>
      <c r="G152" s="10">
        <v>45054</v>
      </c>
      <c r="H152" s="11" t="s">
        <v>236</v>
      </c>
      <c r="I152" s="11" t="s">
        <v>448</v>
      </c>
      <c r="J152" s="11">
        <f>VLOOKUP(C152,'[1]Sheet1 (5)'!$B$1:$W$121,21,0)</f>
        <v>12485</v>
      </c>
      <c r="K152" s="11">
        <f>VLOOKUP(C152,'[1]Sheet1 (5)'!$B$1:$W$121,22,0)</f>
        <v>18727.5</v>
      </c>
      <c r="L152" s="12">
        <f t="shared" si="14"/>
        <v>31212.5</v>
      </c>
      <c r="M152" s="12">
        <f t="shared" si="18"/>
        <v>31212.5</v>
      </c>
      <c r="N152" s="12">
        <f>795</f>
        <v>795</v>
      </c>
      <c r="O152" s="12">
        <v>5675</v>
      </c>
      <c r="P152" s="12">
        <v>0</v>
      </c>
      <c r="Q152" s="12">
        <v>0</v>
      </c>
      <c r="R152" s="12">
        <v>0</v>
      </c>
      <c r="S152" s="12">
        <v>0</v>
      </c>
      <c r="T152" s="12">
        <f t="shared" si="16"/>
        <v>5675</v>
      </c>
      <c r="U152" s="12">
        <f t="shared" si="15"/>
        <v>37682.5</v>
      </c>
      <c r="V152" s="12">
        <f t="shared" si="17"/>
        <v>36887.5</v>
      </c>
      <c r="W152" s="13" t="s">
        <v>1180</v>
      </c>
      <c r="X152" s="6" t="s">
        <v>56</v>
      </c>
      <c r="Y152" s="6" t="s">
        <v>910</v>
      </c>
      <c r="Z152" s="6" t="s">
        <v>36</v>
      </c>
      <c r="AA152" s="50"/>
      <c r="AC152" s="100">
        <v>37682.5</v>
      </c>
      <c r="AD152" s="14">
        <v>37682.5</v>
      </c>
      <c r="AE152" s="100">
        <v>0</v>
      </c>
    </row>
    <row r="153" spans="1:31 16378:16382" s="14" customFormat="1" ht="21.75" hidden="1" customHeight="1" x14ac:dyDescent="0.25">
      <c r="A153" s="6">
        <f>SUBTOTAL(3,$D$1:D153)-1</f>
        <v>1</v>
      </c>
      <c r="B153" s="7">
        <v>2000862</v>
      </c>
      <c r="C153" s="15" t="s">
        <v>449</v>
      </c>
      <c r="D153" s="9" t="s">
        <v>450</v>
      </c>
      <c r="E153" s="9" t="s">
        <v>720</v>
      </c>
      <c r="F153" s="9" t="s">
        <v>32</v>
      </c>
      <c r="G153" s="10">
        <v>45047</v>
      </c>
      <c r="H153" s="11" t="s">
        <v>33</v>
      </c>
      <c r="I153" s="11" t="s">
        <v>53</v>
      </c>
      <c r="J153" s="11">
        <f>VLOOKUP(C153,'[1]Sheet1 (5)'!$B$1:$W$121,21,0)</f>
        <v>8400</v>
      </c>
      <c r="K153" s="11">
        <f>VLOOKUP(C153,'[1]Sheet1 (5)'!$B$1:$W$121,22,0)</f>
        <v>12600</v>
      </c>
      <c r="L153" s="12">
        <f t="shared" si="14"/>
        <v>21000</v>
      </c>
      <c r="M153" s="12">
        <f t="shared" si="18"/>
        <v>21000</v>
      </c>
      <c r="N153" s="12">
        <f>795</f>
        <v>795</v>
      </c>
      <c r="O153" s="12">
        <v>2000</v>
      </c>
      <c r="P153" s="12">
        <v>0</v>
      </c>
      <c r="Q153" s="12">
        <v>0</v>
      </c>
      <c r="R153" s="12">
        <v>0</v>
      </c>
      <c r="S153" s="12">
        <v>0</v>
      </c>
      <c r="T153" s="12">
        <f t="shared" si="16"/>
        <v>2000</v>
      </c>
      <c r="U153" s="12">
        <f t="shared" si="15"/>
        <v>23795</v>
      </c>
      <c r="V153" s="12">
        <f t="shared" si="17"/>
        <v>23000</v>
      </c>
      <c r="W153" s="13" t="s">
        <v>1180</v>
      </c>
      <c r="X153" s="6" t="s">
        <v>210</v>
      </c>
      <c r="Y153" s="6" t="s">
        <v>872</v>
      </c>
      <c r="Z153" s="6" t="s">
        <v>36</v>
      </c>
      <c r="AA153" s="50"/>
      <c r="AC153" s="100">
        <v>23795</v>
      </c>
      <c r="AD153" s="14">
        <v>23795</v>
      </c>
      <c r="AE153" s="100">
        <v>0</v>
      </c>
    </row>
    <row r="154" spans="1:31 16378:16382" s="14" customFormat="1" ht="21.75" hidden="1" customHeight="1" x14ac:dyDescent="0.25">
      <c r="A154" s="6">
        <f>SUBTOTAL(3,$D$1:D154)-1</f>
        <v>1</v>
      </c>
      <c r="B154" s="7">
        <v>2000926</v>
      </c>
      <c r="C154" s="15" t="s">
        <v>451</v>
      </c>
      <c r="D154" s="9" t="s">
        <v>452</v>
      </c>
      <c r="E154" s="9" t="s">
        <v>453</v>
      </c>
      <c r="F154" s="9" t="s">
        <v>48</v>
      </c>
      <c r="G154" s="10">
        <v>45055</v>
      </c>
      <c r="H154" s="11" t="s">
        <v>33</v>
      </c>
      <c r="I154" s="11" t="s">
        <v>34</v>
      </c>
      <c r="J154" s="11">
        <f>VLOOKUP(C154,'[1]Sheet1 (5)'!$B$1:$W$121,21,0)</f>
        <v>15876</v>
      </c>
      <c r="K154" s="11">
        <f>VLOOKUP(C154,'[1]Sheet1 (5)'!$B$1:$W$121,22,0)</f>
        <v>23814</v>
      </c>
      <c r="L154" s="12">
        <f t="shared" si="14"/>
        <v>39690</v>
      </c>
      <c r="M154" s="12">
        <f t="shared" si="18"/>
        <v>39690</v>
      </c>
      <c r="N154" s="12">
        <f>795</f>
        <v>795</v>
      </c>
      <c r="O154" s="12">
        <v>3780</v>
      </c>
      <c r="P154" s="12">
        <v>0</v>
      </c>
      <c r="Q154" s="12">
        <v>0</v>
      </c>
      <c r="R154" s="12">
        <v>0</v>
      </c>
      <c r="S154" s="12">
        <v>0</v>
      </c>
      <c r="T154" s="12">
        <f t="shared" si="16"/>
        <v>3780</v>
      </c>
      <c r="U154" s="12">
        <f t="shared" si="15"/>
        <v>44265</v>
      </c>
      <c r="V154" s="12">
        <f t="shared" si="17"/>
        <v>43470</v>
      </c>
      <c r="W154" s="13" t="s">
        <v>1180</v>
      </c>
      <c r="X154" s="6" t="s">
        <v>88</v>
      </c>
      <c r="Y154" s="6" t="s">
        <v>868</v>
      </c>
      <c r="Z154" s="6" t="s">
        <v>36</v>
      </c>
      <c r="AA154" s="50"/>
      <c r="AC154" s="100">
        <v>44265</v>
      </c>
      <c r="AD154" s="14">
        <v>44265</v>
      </c>
      <c r="AE154" s="100">
        <v>0</v>
      </c>
    </row>
    <row r="155" spans="1:31 16378:16382" s="14" customFormat="1" ht="21.75" hidden="1" customHeight="1" x14ac:dyDescent="0.25">
      <c r="A155" s="6">
        <f>SUBTOTAL(3,$D$1:D155)-1</f>
        <v>1</v>
      </c>
      <c r="B155" s="7">
        <v>2000545</v>
      </c>
      <c r="C155" s="15" t="s">
        <v>454</v>
      </c>
      <c r="D155" s="9" t="s">
        <v>455</v>
      </c>
      <c r="E155" s="9" t="s">
        <v>721</v>
      </c>
      <c r="F155" s="9" t="s">
        <v>235</v>
      </c>
      <c r="G155" s="10">
        <v>45078</v>
      </c>
      <c r="H155" s="11" t="s">
        <v>49</v>
      </c>
      <c r="I155" s="11" t="s">
        <v>1023</v>
      </c>
      <c r="J155" s="11">
        <f>VLOOKUP(C155,'[1]Sheet1 (5)'!$B$1:$W$121,21,0)</f>
        <v>23384</v>
      </c>
      <c r="K155" s="11">
        <f>VLOOKUP(C155,'[1]Sheet1 (5)'!$B$1:$W$121,22,0)</f>
        <v>35076</v>
      </c>
      <c r="L155" s="12">
        <f t="shared" si="14"/>
        <v>58460</v>
      </c>
      <c r="M155" s="12">
        <f t="shared" si="18"/>
        <v>58460</v>
      </c>
      <c r="N155" s="12">
        <f>795</f>
        <v>795</v>
      </c>
      <c r="O155" s="12">
        <v>5567.5</v>
      </c>
      <c r="P155" s="12">
        <v>0</v>
      </c>
      <c r="Q155" s="12">
        <v>0</v>
      </c>
      <c r="R155" s="12">
        <v>0</v>
      </c>
      <c r="S155" s="12">
        <v>0</v>
      </c>
      <c r="T155" s="12">
        <f t="shared" si="16"/>
        <v>5567.5</v>
      </c>
      <c r="U155" s="12">
        <f t="shared" si="15"/>
        <v>64822.5</v>
      </c>
      <c r="V155" s="12">
        <f t="shared" si="17"/>
        <v>64027.5</v>
      </c>
      <c r="W155" s="13" t="s">
        <v>1180</v>
      </c>
      <c r="X155" s="6" t="s">
        <v>88</v>
      </c>
      <c r="Y155" s="6" t="s">
        <v>887</v>
      </c>
      <c r="Z155" s="6" t="s">
        <v>36</v>
      </c>
      <c r="AA155" s="50"/>
      <c r="AC155" s="100">
        <v>64822.5</v>
      </c>
      <c r="AD155" s="14">
        <v>64822.5</v>
      </c>
      <c r="AE155" s="100">
        <v>0</v>
      </c>
    </row>
    <row r="156" spans="1:31 16378:16382" s="14" customFormat="1" ht="21.75" hidden="1" customHeight="1" x14ac:dyDescent="0.25">
      <c r="A156" s="6">
        <f>SUBTOTAL(3,$D$1:D156)-1</f>
        <v>1</v>
      </c>
      <c r="B156" s="23">
        <v>2000939</v>
      </c>
      <c r="C156" s="24" t="s">
        <v>456</v>
      </c>
      <c r="D156" s="25" t="s">
        <v>457</v>
      </c>
      <c r="E156" s="9" t="s">
        <v>1045</v>
      </c>
      <c r="F156" s="26" t="s">
        <v>274</v>
      </c>
      <c r="G156" s="27">
        <v>45078</v>
      </c>
      <c r="H156" s="11" t="s">
        <v>33</v>
      </c>
      <c r="I156" s="11" t="s">
        <v>91</v>
      </c>
      <c r="J156" s="28">
        <f>VLOOKUP(C156,'[1]Sheet1 (5)'!$B$1:$W$121,21,0)</f>
        <v>28263.300000000003</v>
      </c>
      <c r="K156" s="28">
        <f>VLOOKUP(C156,'[1]Sheet1 (5)'!$B$1:$W$121,22,0)</f>
        <v>42394.95</v>
      </c>
      <c r="L156" s="28">
        <f t="shared" si="14"/>
        <v>70658.25</v>
      </c>
      <c r="M156" s="28">
        <f t="shared" si="18"/>
        <v>70658.25</v>
      </c>
      <c r="N156" s="28">
        <f>795</f>
        <v>795</v>
      </c>
      <c r="O156" s="28">
        <v>6729.2999999999884</v>
      </c>
      <c r="P156" s="28">
        <f>-4500+6750</f>
        <v>2250</v>
      </c>
      <c r="Q156" s="28">
        <v>10094.040000000001</v>
      </c>
      <c r="R156" s="28">
        <v>0</v>
      </c>
      <c r="S156" s="28">
        <v>3364.6800000000003</v>
      </c>
      <c r="T156" s="28">
        <f t="shared" si="16"/>
        <v>19073.339999999989</v>
      </c>
      <c r="U156" s="28">
        <f t="shared" si="15"/>
        <v>90526.59</v>
      </c>
      <c r="V156" s="12">
        <f t="shared" si="17"/>
        <v>76272.87</v>
      </c>
      <c r="W156" s="29" t="s">
        <v>1186</v>
      </c>
      <c r="X156" s="6" t="s">
        <v>41</v>
      </c>
      <c r="Y156" s="6" t="s">
        <v>878</v>
      </c>
      <c r="Z156" s="30" t="s">
        <v>36</v>
      </c>
      <c r="AA156" s="50" t="s">
        <v>1099</v>
      </c>
      <c r="AB156" s="14" t="str">
        <f>CONCATENATE(C156," - ", D156," - ",AA156)</f>
        <v>02-3731 - Hamad Ali Khalifa Abdulla Alrumaithi - Employer pension share for October 2025 - 15%</v>
      </c>
      <c r="AC156" s="100">
        <v>90526.59</v>
      </c>
      <c r="AD156" s="14">
        <v>90526.59</v>
      </c>
      <c r="AE156" s="100">
        <v>0</v>
      </c>
    </row>
    <row r="157" spans="1:31 16378:16382" s="14" customFormat="1" ht="21.75" hidden="1" customHeight="1" x14ac:dyDescent="0.25">
      <c r="A157" s="6">
        <f>SUBTOTAL(3,$D$1:D157)-1</f>
        <v>1</v>
      </c>
      <c r="B157" s="7">
        <v>2000934</v>
      </c>
      <c r="C157" s="15" t="s">
        <v>459</v>
      </c>
      <c r="D157" s="9" t="s">
        <v>460</v>
      </c>
      <c r="E157" s="9" t="s">
        <v>461</v>
      </c>
      <c r="F157" s="9" t="s">
        <v>48</v>
      </c>
      <c r="G157" s="10">
        <v>45070</v>
      </c>
      <c r="H157" s="11" t="s">
        <v>33</v>
      </c>
      <c r="I157" s="11" t="s">
        <v>34</v>
      </c>
      <c r="J157" s="11">
        <f>VLOOKUP(C157,'[1]Sheet1 (5)'!$B$1:$W$121,21,0)</f>
        <v>16170</v>
      </c>
      <c r="K157" s="11">
        <f>VLOOKUP(C157,'[1]Sheet1 (5)'!$B$1:$W$121,22,0)</f>
        <v>24255</v>
      </c>
      <c r="L157" s="12">
        <f t="shared" si="14"/>
        <v>40425</v>
      </c>
      <c r="M157" s="12">
        <f t="shared" si="18"/>
        <v>40425</v>
      </c>
      <c r="N157" s="12">
        <f>795</f>
        <v>795</v>
      </c>
      <c r="O157" s="12">
        <v>7350</v>
      </c>
      <c r="P157" s="12">
        <v>0</v>
      </c>
      <c r="Q157" s="12">
        <v>0</v>
      </c>
      <c r="R157" s="12">
        <v>0</v>
      </c>
      <c r="S157" s="12">
        <v>0</v>
      </c>
      <c r="T157" s="12">
        <f t="shared" si="16"/>
        <v>7350</v>
      </c>
      <c r="U157" s="12">
        <f t="shared" si="15"/>
        <v>48570</v>
      </c>
      <c r="V157" s="12">
        <f t="shared" si="17"/>
        <v>47775</v>
      </c>
      <c r="W157" s="13" t="s">
        <v>1180</v>
      </c>
      <c r="X157" s="6" t="s">
        <v>88</v>
      </c>
      <c r="Y157" s="6" t="s">
        <v>868</v>
      </c>
      <c r="Z157" s="6" t="s">
        <v>36</v>
      </c>
      <c r="AA157" s="50"/>
      <c r="AC157" s="100">
        <v>48570</v>
      </c>
      <c r="AD157" s="14">
        <v>48570</v>
      </c>
      <c r="AE157" s="100">
        <v>0</v>
      </c>
    </row>
    <row r="158" spans="1:31 16378:16382" s="14" customFormat="1" ht="21.75" hidden="1" customHeight="1" x14ac:dyDescent="0.25">
      <c r="A158" s="6">
        <f>SUBTOTAL(3,$D$1:D158)-1</f>
        <v>1</v>
      </c>
      <c r="B158" s="7">
        <v>2000929</v>
      </c>
      <c r="C158" s="15" t="s">
        <v>462</v>
      </c>
      <c r="D158" s="9" t="s">
        <v>463</v>
      </c>
      <c r="E158" s="9" t="s">
        <v>722</v>
      </c>
      <c r="F158" s="9" t="s">
        <v>52</v>
      </c>
      <c r="G158" s="10">
        <v>45063</v>
      </c>
      <c r="H158" s="11" t="s">
        <v>33</v>
      </c>
      <c r="I158" s="11" t="s">
        <v>53</v>
      </c>
      <c r="J158" s="11">
        <f>VLOOKUP(C158,'[1]Sheet1 (5)'!$B$1:$W$121,21,0)</f>
        <v>13084.5</v>
      </c>
      <c r="K158" s="11">
        <f>VLOOKUP(C158,'[1]Sheet1 (5)'!$B$1:$W$121,22,0)</f>
        <v>19626.75</v>
      </c>
      <c r="L158" s="12">
        <f t="shared" si="14"/>
        <v>32711.25</v>
      </c>
      <c r="M158" s="12">
        <f t="shared" si="18"/>
        <v>32711.25</v>
      </c>
      <c r="N158" s="12">
        <f>795</f>
        <v>795</v>
      </c>
      <c r="O158" s="12">
        <v>3115.5</v>
      </c>
      <c r="P158" s="12">
        <v>0</v>
      </c>
      <c r="Q158" s="12">
        <v>0</v>
      </c>
      <c r="R158" s="12">
        <v>0</v>
      </c>
      <c r="S158" s="12">
        <v>0</v>
      </c>
      <c r="T158" s="12">
        <f t="shared" si="16"/>
        <v>3115.5</v>
      </c>
      <c r="U158" s="12">
        <f t="shared" si="15"/>
        <v>36621.75</v>
      </c>
      <c r="V158" s="12">
        <f t="shared" si="17"/>
        <v>35826.75</v>
      </c>
      <c r="W158" s="13" t="s">
        <v>1180</v>
      </c>
      <c r="X158" s="6" t="s">
        <v>88</v>
      </c>
      <c r="Y158" s="6" t="s">
        <v>872</v>
      </c>
      <c r="Z158" s="6" t="s">
        <v>36</v>
      </c>
      <c r="AA158" s="50"/>
      <c r="AC158" s="100">
        <v>36621.75</v>
      </c>
      <c r="AD158" s="14">
        <v>36621.75</v>
      </c>
      <c r="AE158" s="100">
        <v>0</v>
      </c>
    </row>
    <row r="159" spans="1:31 16378:16382" s="14" customFormat="1" ht="21.75" hidden="1" customHeight="1" x14ac:dyDescent="0.25">
      <c r="A159" s="6">
        <f>SUBTOTAL(3,$D$1:D159)-1</f>
        <v>1</v>
      </c>
      <c r="B159" s="7">
        <v>2000912</v>
      </c>
      <c r="C159" s="15" t="s">
        <v>464</v>
      </c>
      <c r="D159" s="9" t="s">
        <v>465</v>
      </c>
      <c r="E159" s="9" t="s">
        <v>466</v>
      </c>
      <c r="F159" s="9" t="s">
        <v>81</v>
      </c>
      <c r="G159" s="10">
        <v>45064</v>
      </c>
      <c r="H159" s="11" t="s">
        <v>87</v>
      </c>
      <c r="I159" s="11" t="s">
        <v>1008</v>
      </c>
      <c r="J159" s="11">
        <f>VLOOKUP(C159,'[1]Sheet1 (5)'!$B$1:$W$121,21,0)</f>
        <v>11245.5</v>
      </c>
      <c r="K159" s="11">
        <f>VLOOKUP(C159,'[1]Sheet1 (5)'!$B$1:$W$121,22,0)</f>
        <v>16868.25</v>
      </c>
      <c r="L159" s="12">
        <f t="shared" si="14"/>
        <v>28113.75</v>
      </c>
      <c r="M159" s="12">
        <f t="shared" si="18"/>
        <v>28113.75</v>
      </c>
      <c r="N159" s="12">
        <f>795</f>
        <v>795</v>
      </c>
      <c r="O159" s="12">
        <v>2677.5</v>
      </c>
      <c r="P159" s="12">
        <v>0</v>
      </c>
      <c r="Q159" s="12">
        <v>0</v>
      </c>
      <c r="R159" s="12">
        <v>0</v>
      </c>
      <c r="S159" s="12">
        <v>0</v>
      </c>
      <c r="T159" s="12">
        <f t="shared" si="16"/>
        <v>2677.5</v>
      </c>
      <c r="U159" s="12">
        <f t="shared" si="15"/>
        <v>31586.25</v>
      </c>
      <c r="V159" s="12">
        <f t="shared" si="17"/>
        <v>30791.25</v>
      </c>
      <c r="W159" s="13" t="s">
        <v>1180</v>
      </c>
      <c r="X159" s="6" t="s">
        <v>210</v>
      </c>
      <c r="Y159" s="6" t="s">
        <v>877</v>
      </c>
      <c r="Z159" s="6" t="s">
        <v>36</v>
      </c>
      <c r="AA159" s="50"/>
      <c r="AC159" s="100">
        <v>31586.25</v>
      </c>
      <c r="AD159" s="14">
        <v>31586.25</v>
      </c>
      <c r="AE159" s="100">
        <v>0</v>
      </c>
    </row>
    <row r="160" spans="1:31 16378:16382" s="14" customFormat="1" ht="21.75" hidden="1" customHeight="1" x14ac:dyDescent="0.25">
      <c r="A160" s="6">
        <f>SUBTOTAL(3,$D$1:D160)-1</f>
        <v>1</v>
      </c>
      <c r="B160" s="7">
        <v>2000948</v>
      </c>
      <c r="C160" s="15" t="s">
        <v>467</v>
      </c>
      <c r="D160" s="9" t="s">
        <v>468</v>
      </c>
      <c r="E160" s="9" t="s">
        <v>155</v>
      </c>
      <c r="F160" s="9" t="s">
        <v>230</v>
      </c>
      <c r="G160" s="10">
        <v>45089</v>
      </c>
      <c r="H160" s="11" t="s">
        <v>49</v>
      </c>
      <c r="I160" s="11" t="s">
        <v>855</v>
      </c>
      <c r="J160" s="11">
        <f>VLOOKUP(C160,'[1]Sheet1 (5)'!$B$1:$W$121,21,0)</f>
        <v>11576.300000000001</v>
      </c>
      <c r="K160" s="11">
        <f>VLOOKUP(C160,'[1]Sheet1 (5)'!$B$1:$W$121,22,0)</f>
        <v>17364.45</v>
      </c>
      <c r="L160" s="12">
        <f t="shared" si="14"/>
        <v>28940.75</v>
      </c>
      <c r="M160" s="12">
        <f t="shared" si="18"/>
        <v>28940.75</v>
      </c>
      <c r="N160" s="12">
        <f>795</f>
        <v>795</v>
      </c>
      <c r="O160" s="12">
        <v>2756.5</v>
      </c>
      <c r="P160" s="12">
        <v>0</v>
      </c>
      <c r="Q160" s="12">
        <v>0</v>
      </c>
      <c r="R160" s="12">
        <v>0</v>
      </c>
      <c r="S160" s="12">
        <v>0</v>
      </c>
      <c r="T160" s="12">
        <f t="shared" si="16"/>
        <v>2756.5</v>
      </c>
      <c r="U160" s="12">
        <f t="shared" si="15"/>
        <v>32492.25</v>
      </c>
      <c r="V160" s="12">
        <f t="shared" si="17"/>
        <v>31697.25</v>
      </c>
      <c r="W160" s="13" t="s">
        <v>1180</v>
      </c>
      <c r="X160" s="6" t="s">
        <v>210</v>
      </c>
      <c r="Y160" s="6" t="s">
        <v>887</v>
      </c>
      <c r="Z160" s="6" t="s">
        <v>36</v>
      </c>
      <c r="AA160" s="50"/>
      <c r="AC160" s="100">
        <v>32492.25</v>
      </c>
      <c r="AD160" s="14">
        <v>32492.25</v>
      </c>
      <c r="AE160" s="100">
        <v>0</v>
      </c>
    </row>
    <row r="161" spans="1:31" s="14" customFormat="1" ht="21.75" hidden="1" customHeight="1" x14ac:dyDescent="0.25">
      <c r="A161" s="6">
        <f>SUBTOTAL(3,$D$1:D161)-1</f>
        <v>1</v>
      </c>
      <c r="B161" s="7">
        <v>2000928</v>
      </c>
      <c r="C161" s="15" t="s">
        <v>469</v>
      </c>
      <c r="D161" s="9" t="s">
        <v>470</v>
      </c>
      <c r="E161" s="9" t="s">
        <v>723</v>
      </c>
      <c r="F161" s="9" t="s">
        <v>230</v>
      </c>
      <c r="G161" s="10">
        <v>45063</v>
      </c>
      <c r="H161" s="11" t="s">
        <v>236</v>
      </c>
      <c r="I161" s="11" t="s">
        <v>306</v>
      </c>
      <c r="J161" s="11">
        <v>14700</v>
      </c>
      <c r="K161" s="11">
        <v>22050</v>
      </c>
      <c r="L161" s="12">
        <f t="shared" si="14"/>
        <v>36750</v>
      </c>
      <c r="M161" s="12">
        <f t="shared" si="18"/>
        <v>36750</v>
      </c>
      <c r="N161" s="12">
        <f>795</f>
        <v>795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f t="shared" si="16"/>
        <v>0</v>
      </c>
      <c r="U161" s="12">
        <f t="shared" si="15"/>
        <v>37545</v>
      </c>
      <c r="V161" s="12">
        <f t="shared" si="17"/>
        <v>36750</v>
      </c>
      <c r="W161" s="13"/>
      <c r="X161" s="6" t="s">
        <v>88</v>
      </c>
      <c r="Y161" s="6" t="s">
        <v>904</v>
      </c>
      <c r="Z161" s="6" t="s">
        <v>36</v>
      </c>
      <c r="AA161" s="50"/>
      <c r="AC161" s="100">
        <v>37545</v>
      </c>
      <c r="AD161" s="14">
        <v>37545</v>
      </c>
      <c r="AE161" s="100">
        <v>0</v>
      </c>
    </row>
    <row r="162" spans="1:31" s="14" customFormat="1" ht="21.75" hidden="1" customHeight="1" x14ac:dyDescent="0.25">
      <c r="A162" s="6">
        <f>SUBTOTAL(3,$D$1:D162)-1</f>
        <v>1</v>
      </c>
      <c r="B162" s="7">
        <v>2000936</v>
      </c>
      <c r="C162" s="15" t="s">
        <v>471</v>
      </c>
      <c r="D162" s="9" t="s">
        <v>472</v>
      </c>
      <c r="E162" s="9" t="s">
        <v>724</v>
      </c>
      <c r="F162" s="9" t="s">
        <v>81</v>
      </c>
      <c r="G162" s="10">
        <v>45076</v>
      </c>
      <c r="H162" s="11" t="s">
        <v>40</v>
      </c>
      <c r="I162" s="11" t="s">
        <v>847</v>
      </c>
      <c r="J162" s="11">
        <v>18900</v>
      </c>
      <c r="K162" s="11">
        <v>28350</v>
      </c>
      <c r="L162" s="12">
        <f t="shared" si="14"/>
        <v>47250</v>
      </c>
      <c r="M162" s="12">
        <f t="shared" si="18"/>
        <v>47250</v>
      </c>
      <c r="N162" s="12">
        <f>795</f>
        <v>795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f t="shared" si="16"/>
        <v>0</v>
      </c>
      <c r="U162" s="12">
        <f t="shared" si="15"/>
        <v>48045</v>
      </c>
      <c r="V162" s="12">
        <f t="shared" si="17"/>
        <v>47250</v>
      </c>
      <c r="W162" s="13"/>
      <c r="X162" s="6" t="s">
        <v>88</v>
      </c>
      <c r="Y162" s="6" t="s">
        <v>869</v>
      </c>
      <c r="Z162" s="6" t="s">
        <v>36</v>
      </c>
      <c r="AA162" s="50"/>
      <c r="AC162" s="100">
        <v>48045</v>
      </c>
      <c r="AD162" s="14">
        <v>48045</v>
      </c>
      <c r="AE162" s="100">
        <v>0</v>
      </c>
    </row>
    <row r="163" spans="1:31" s="14" customFormat="1" ht="21.75" hidden="1" customHeight="1" x14ac:dyDescent="0.25">
      <c r="A163" s="6">
        <f>SUBTOTAL(3,$D$1:D163)-1</f>
        <v>1</v>
      </c>
      <c r="B163" s="7">
        <v>2000938</v>
      </c>
      <c r="C163" s="15" t="s">
        <v>473</v>
      </c>
      <c r="D163" s="9" t="s">
        <v>474</v>
      </c>
      <c r="E163" s="9" t="s">
        <v>394</v>
      </c>
      <c r="F163" s="9" t="s">
        <v>348</v>
      </c>
      <c r="G163" s="10">
        <v>45078</v>
      </c>
      <c r="H163" s="11" t="s">
        <v>69</v>
      </c>
      <c r="I163" s="11" t="s">
        <v>1039</v>
      </c>
      <c r="J163" s="11">
        <f>VLOOKUP(C163,'[1]Sheet1 (5)'!$B$1:$W$121,21,0)</f>
        <v>8400</v>
      </c>
      <c r="K163" s="11">
        <f>VLOOKUP(C163,'[1]Sheet1 (5)'!$B$1:$W$121,22,0)</f>
        <v>12600</v>
      </c>
      <c r="L163" s="12">
        <f t="shared" si="14"/>
        <v>21000</v>
      </c>
      <c r="M163" s="12">
        <f t="shared" si="18"/>
        <v>21000</v>
      </c>
      <c r="N163" s="12">
        <f>795</f>
        <v>795</v>
      </c>
      <c r="O163" s="12">
        <v>2000</v>
      </c>
      <c r="P163" s="12">
        <v>0</v>
      </c>
      <c r="Q163" s="12">
        <v>0</v>
      </c>
      <c r="R163" s="12">
        <v>0</v>
      </c>
      <c r="S163" s="12">
        <v>0</v>
      </c>
      <c r="T163" s="12">
        <f t="shared" si="16"/>
        <v>2000</v>
      </c>
      <c r="U163" s="12">
        <f t="shared" ref="U163:U166" si="19">+M163+N163+T163</f>
        <v>23795</v>
      </c>
      <c r="V163" s="12">
        <f t="shared" si="17"/>
        <v>23000</v>
      </c>
      <c r="W163" s="13" t="s">
        <v>1180</v>
      </c>
      <c r="X163" s="6" t="s">
        <v>210</v>
      </c>
      <c r="Y163" s="6" t="s">
        <v>907</v>
      </c>
      <c r="Z163" s="6" t="s">
        <v>36</v>
      </c>
      <c r="AA163" s="50"/>
      <c r="AC163" s="100">
        <v>23795</v>
      </c>
      <c r="AD163" s="14">
        <v>23795</v>
      </c>
      <c r="AE163" s="100">
        <v>0</v>
      </c>
    </row>
    <row r="164" spans="1:31" s="14" customFormat="1" ht="21.75" hidden="1" customHeight="1" x14ac:dyDescent="0.25">
      <c r="A164" s="6">
        <f>SUBTOTAL(3,$D$1:D164)-1</f>
        <v>1</v>
      </c>
      <c r="B164" s="7">
        <v>2000935</v>
      </c>
      <c r="C164" s="15" t="s">
        <v>475</v>
      </c>
      <c r="D164" s="9" t="s">
        <v>476</v>
      </c>
      <c r="E164" s="9" t="s">
        <v>725</v>
      </c>
      <c r="F164" s="9" t="s">
        <v>363</v>
      </c>
      <c r="G164" s="10">
        <v>45082</v>
      </c>
      <c r="H164" s="11" t="s">
        <v>236</v>
      </c>
      <c r="I164" s="11" t="s">
        <v>237</v>
      </c>
      <c r="J164" s="11">
        <f>VLOOKUP(C164,'[1]Sheet1 (5)'!$B$1:$W$121,21,0)</f>
        <v>30870</v>
      </c>
      <c r="K164" s="11">
        <f>VLOOKUP(C164,'[1]Sheet1 (5)'!$B$1:$W$121,22,0)</f>
        <v>46305</v>
      </c>
      <c r="L164" s="12">
        <f t="shared" si="14"/>
        <v>77175</v>
      </c>
      <c r="M164" s="12">
        <f t="shared" si="18"/>
        <v>77175</v>
      </c>
      <c r="N164" s="12">
        <f>795</f>
        <v>795</v>
      </c>
      <c r="O164" s="12">
        <v>7350</v>
      </c>
      <c r="P164" s="12">
        <v>0</v>
      </c>
      <c r="Q164" s="12">
        <v>0</v>
      </c>
      <c r="R164" s="12">
        <v>0</v>
      </c>
      <c r="S164" s="12">
        <v>0</v>
      </c>
      <c r="T164" s="12">
        <f t="shared" si="16"/>
        <v>7350</v>
      </c>
      <c r="U164" s="12">
        <f t="shared" si="19"/>
        <v>85320</v>
      </c>
      <c r="V164" s="12">
        <f t="shared" si="17"/>
        <v>84525</v>
      </c>
      <c r="W164" s="13" t="s">
        <v>1180</v>
      </c>
      <c r="X164" s="6" t="s">
        <v>202</v>
      </c>
      <c r="Y164" s="6" t="s">
        <v>897</v>
      </c>
      <c r="Z164" s="6" t="s">
        <v>36</v>
      </c>
      <c r="AA164" s="50"/>
      <c r="AC164" s="100">
        <v>85320</v>
      </c>
      <c r="AD164" s="14">
        <v>85320</v>
      </c>
      <c r="AE164" s="100">
        <v>0</v>
      </c>
    </row>
    <row r="165" spans="1:31" s="14" customFormat="1" ht="21.75" hidden="1" customHeight="1" x14ac:dyDescent="0.25">
      <c r="A165" s="6">
        <f>SUBTOTAL(3,$D$1:D165)-1</f>
        <v>1</v>
      </c>
      <c r="B165" s="7">
        <v>2000937</v>
      </c>
      <c r="C165" s="15" t="s">
        <v>477</v>
      </c>
      <c r="D165" s="9" t="s">
        <v>478</v>
      </c>
      <c r="E165" s="9" t="s">
        <v>1046</v>
      </c>
      <c r="F165" s="9" t="s">
        <v>479</v>
      </c>
      <c r="G165" s="10">
        <v>45070</v>
      </c>
      <c r="H165" s="11" t="s">
        <v>69</v>
      </c>
      <c r="I165" s="11" t="s">
        <v>104</v>
      </c>
      <c r="J165" s="11">
        <f>VLOOKUP(C165,'[1]Sheet1 (5)'!$B$1:$W$121,21,0)</f>
        <v>9261</v>
      </c>
      <c r="K165" s="11">
        <f>VLOOKUP(C165,'[1]Sheet1 (5)'!$B$1:$W$121,22,0)</f>
        <v>13891.5</v>
      </c>
      <c r="L165" s="12">
        <f t="shared" si="14"/>
        <v>23152.5</v>
      </c>
      <c r="M165" s="12">
        <f t="shared" si="18"/>
        <v>23152.5</v>
      </c>
      <c r="N165" s="12">
        <f>795</f>
        <v>795</v>
      </c>
      <c r="O165" s="12">
        <v>2205</v>
      </c>
      <c r="P165" s="12">
        <v>0</v>
      </c>
      <c r="Q165" s="12">
        <v>0</v>
      </c>
      <c r="R165" s="12">
        <v>0</v>
      </c>
      <c r="S165" s="12">
        <v>0</v>
      </c>
      <c r="T165" s="12">
        <f t="shared" si="16"/>
        <v>2205</v>
      </c>
      <c r="U165" s="12">
        <f t="shared" si="19"/>
        <v>26152.5</v>
      </c>
      <c r="V165" s="12">
        <f t="shared" si="17"/>
        <v>25357.5</v>
      </c>
      <c r="W165" s="13" t="s">
        <v>1180</v>
      </c>
      <c r="X165" s="6" t="s">
        <v>210</v>
      </c>
      <c r="Y165" s="6" t="s">
        <v>882</v>
      </c>
      <c r="Z165" s="6" t="s">
        <v>36</v>
      </c>
      <c r="AA165" s="50"/>
      <c r="AC165" s="100">
        <v>26152.5</v>
      </c>
      <c r="AD165" s="14">
        <v>26152.5</v>
      </c>
      <c r="AE165" s="100">
        <v>0</v>
      </c>
    </row>
    <row r="166" spans="1:31" s="14" customFormat="1" ht="21.75" hidden="1" customHeight="1" x14ac:dyDescent="0.25">
      <c r="A166" s="6">
        <f>SUBTOTAL(3,$D$1:D166)-1</f>
        <v>1</v>
      </c>
      <c r="B166" s="7">
        <v>2000945</v>
      </c>
      <c r="C166" s="16" t="s">
        <v>480</v>
      </c>
      <c r="D166" s="17" t="s">
        <v>481</v>
      </c>
      <c r="E166" s="9" t="s">
        <v>1047</v>
      </c>
      <c r="F166" s="9" t="s">
        <v>348</v>
      </c>
      <c r="G166" s="10">
        <v>45078</v>
      </c>
      <c r="H166" s="11" t="s">
        <v>45</v>
      </c>
      <c r="I166" s="11" t="s">
        <v>370</v>
      </c>
      <c r="J166" s="11">
        <f>VLOOKUP(C166,'[1]Sheet1 (5)'!$B$1:$W$121,21,0)</f>
        <v>11350</v>
      </c>
      <c r="K166" s="11">
        <f>VLOOKUP(C166,'[1]Sheet1 (5)'!$B$1:$W$121,22,0)</f>
        <v>17025</v>
      </c>
      <c r="L166" s="12">
        <f t="shared" si="14"/>
        <v>28375</v>
      </c>
      <c r="M166" s="12">
        <f t="shared" si="18"/>
        <v>28375</v>
      </c>
      <c r="N166" s="12">
        <f>795</f>
        <v>795</v>
      </c>
      <c r="O166" s="12">
        <v>12650</v>
      </c>
      <c r="P166" s="12">
        <v>0</v>
      </c>
      <c r="Q166" s="12">
        <v>0</v>
      </c>
      <c r="R166" s="12">
        <v>0</v>
      </c>
      <c r="S166" s="12">
        <v>0</v>
      </c>
      <c r="T166" s="12">
        <f t="shared" si="16"/>
        <v>12650</v>
      </c>
      <c r="U166" s="18">
        <f t="shared" si="19"/>
        <v>41820</v>
      </c>
      <c r="V166" s="12">
        <f t="shared" si="17"/>
        <v>41025</v>
      </c>
      <c r="W166" s="13" t="s">
        <v>1180</v>
      </c>
      <c r="X166" s="6" t="s">
        <v>210</v>
      </c>
      <c r="Y166" s="6" t="s">
        <v>906</v>
      </c>
      <c r="Z166" s="6" t="s">
        <v>36</v>
      </c>
      <c r="AA166" s="50"/>
      <c r="AC166" s="100">
        <v>41820</v>
      </c>
      <c r="AD166" s="14">
        <v>41820</v>
      </c>
      <c r="AE166" s="100">
        <v>0</v>
      </c>
    </row>
    <row r="167" spans="1:31" s="14" customFormat="1" ht="21.75" hidden="1" customHeight="1" x14ac:dyDescent="0.25">
      <c r="A167" s="6">
        <f>SUBTOTAL(3,$D$1:D167)-1</f>
        <v>1</v>
      </c>
      <c r="B167" s="7">
        <v>2000942</v>
      </c>
      <c r="C167" s="15" t="s">
        <v>482</v>
      </c>
      <c r="D167" s="9" t="s">
        <v>483</v>
      </c>
      <c r="E167" s="9" t="s">
        <v>402</v>
      </c>
      <c r="F167" s="9" t="s">
        <v>48</v>
      </c>
      <c r="G167" s="10">
        <v>45089</v>
      </c>
      <c r="H167" s="11" t="s">
        <v>33</v>
      </c>
      <c r="I167" s="11" t="s">
        <v>34</v>
      </c>
      <c r="J167" s="11">
        <f>VLOOKUP(C167,'[1]Sheet1 (5)'!$B$1:$W$121,21,0)</f>
        <v>14332.5</v>
      </c>
      <c r="K167" s="11">
        <f>VLOOKUP(C167,'[1]Sheet1 (5)'!$B$1:$W$121,22,0)</f>
        <v>21498.75</v>
      </c>
      <c r="L167" s="12">
        <f t="shared" si="14"/>
        <v>35831.25</v>
      </c>
      <c r="M167" s="12">
        <f t="shared" si="18"/>
        <v>35831.25</v>
      </c>
      <c r="N167" s="12">
        <f>795</f>
        <v>795</v>
      </c>
      <c r="O167" s="12">
        <v>3412.5</v>
      </c>
      <c r="P167" s="12">
        <v>0</v>
      </c>
      <c r="Q167" s="12">
        <v>0</v>
      </c>
      <c r="R167" s="12">
        <v>0</v>
      </c>
      <c r="S167" s="12">
        <v>0</v>
      </c>
      <c r="T167" s="12">
        <f t="shared" si="16"/>
        <v>3412.5</v>
      </c>
      <c r="U167" s="12">
        <f>M167+N167+T167</f>
        <v>40038.75</v>
      </c>
      <c r="V167" s="12">
        <f t="shared" si="17"/>
        <v>39243.75</v>
      </c>
      <c r="W167" s="13" t="s">
        <v>1180</v>
      </c>
      <c r="X167" s="6" t="s">
        <v>88</v>
      </c>
      <c r="Y167" s="6" t="s">
        <v>868</v>
      </c>
      <c r="Z167" s="6" t="s">
        <v>36</v>
      </c>
      <c r="AA167" s="50"/>
      <c r="AC167" s="100">
        <v>40038.75</v>
      </c>
      <c r="AD167" s="14">
        <v>40038.75</v>
      </c>
      <c r="AE167" s="100">
        <v>0</v>
      </c>
    </row>
    <row r="168" spans="1:31" s="14" customFormat="1" ht="21.75" hidden="1" customHeight="1" x14ac:dyDescent="0.25">
      <c r="A168" s="6">
        <f>SUBTOTAL(3,$D$1:D168)-1</f>
        <v>1</v>
      </c>
      <c r="B168" s="7">
        <v>2000944</v>
      </c>
      <c r="C168" s="15" t="s">
        <v>484</v>
      </c>
      <c r="D168" s="9" t="s">
        <v>485</v>
      </c>
      <c r="E168" s="9" t="s">
        <v>402</v>
      </c>
      <c r="F168" s="9" t="s">
        <v>486</v>
      </c>
      <c r="G168" s="10">
        <v>45089</v>
      </c>
      <c r="H168" s="11" t="s">
        <v>33</v>
      </c>
      <c r="I168" s="11" t="s">
        <v>34</v>
      </c>
      <c r="J168" s="11">
        <f>VLOOKUP(C168,'[1]Sheet1 (5)'!$B$1:$W$121,21,0)</f>
        <v>16758</v>
      </c>
      <c r="K168" s="11">
        <f>VLOOKUP(C168,'[1]Sheet1 (5)'!$B$1:$W$121,22,0)</f>
        <v>25137</v>
      </c>
      <c r="L168" s="12">
        <f t="shared" si="14"/>
        <v>41895</v>
      </c>
      <c r="M168" s="12">
        <f t="shared" si="18"/>
        <v>41895</v>
      </c>
      <c r="N168" s="12">
        <f>795</f>
        <v>795</v>
      </c>
      <c r="O168" s="12">
        <v>3990</v>
      </c>
      <c r="P168" s="12">
        <v>0</v>
      </c>
      <c r="Q168" s="12">
        <v>0</v>
      </c>
      <c r="R168" s="12">
        <v>0</v>
      </c>
      <c r="S168" s="12">
        <v>0</v>
      </c>
      <c r="T168" s="12">
        <f t="shared" si="16"/>
        <v>3990</v>
      </c>
      <c r="U168" s="12">
        <f>M168+N168+T168</f>
        <v>46680</v>
      </c>
      <c r="V168" s="12">
        <f t="shared" si="17"/>
        <v>45885</v>
      </c>
      <c r="W168" s="13" t="s">
        <v>1180</v>
      </c>
      <c r="X168" s="6" t="s">
        <v>88</v>
      </c>
      <c r="Y168" s="6" t="s">
        <v>868</v>
      </c>
      <c r="Z168" s="6" t="s">
        <v>36</v>
      </c>
      <c r="AA168" s="50"/>
      <c r="AC168" s="100">
        <v>46680</v>
      </c>
      <c r="AD168" s="14">
        <v>46680</v>
      </c>
      <c r="AE168" s="100">
        <v>0</v>
      </c>
    </row>
    <row r="169" spans="1:31" ht="21.75" hidden="1" customHeight="1" x14ac:dyDescent="0.25">
      <c r="A169" s="6">
        <f>SUBTOTAL(3,$D$1:D169)-1</f>
        <v>1</v>
      </c>
      <c r="B169" s="7">
        <v>2000946</v>
      </c>
      <c r="C169" s="15" t="s">
        <v>487</v>
      </c>
      <c r="D169" s="9" t="s">
        <v>488</v>
      </c>
      <c r="E169" s="9" t="s">
        <v>727</v>
      </c>
      <c r="F169" s="9" t="s">
        <v>52</v>
      </c>
      <c r="G169" s="10">
        <v>45083</v>
      </c>
      <c r="H169" s="11" t="s">
        <v>33</v>
      </c>
      <c r="I169" s="11" t="s">
        <v>97</v>
      </c>
      <c r="J169" s="11">
        <v>14700</v>
      </c>
      <c r="K169" s="11">
        <v>22050</v>
      </c>
      <c r="L169" s="12">
        <f t="shared" si="14"/>
        <v>36750</v>
      </c>
      <c r="M169" s="12">
        <f t="shared" si="18"/>
        <v>36750</v>
      </c>
      <c r="N169" s="12">
        <f>795</f>
        <v>795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f t="shared" si="16"/>
        <v>0</v>
      </c>
      <c r="U169" s="12">
        <f>M169+N169+T169</f>
        <v>37545</v>
      </c>
      <c r="V169" s="12">
        <f t="shared" si="17"/>
        <v>36750</v>
      </c>
      <c r="W169" s="13"/>
      <c r="X169" s="6" t="s">
        <v>88</v>
      </c>
      <c r="Y169" s="6" t="s">
        <v>880</v>
      </c>
      <c r="Z169" s="6" t="s">
        <v>36</v>
      </c>
      <c r="AA169" s="50"/>
      <c r="AC169" s="100">
        <v>37545</v>
      </c>
      <c r="AD169" s="14">
        <v>37545</v>
      </c>
      <c r="AE169" s="100">
        <v>0</v>
      </c>
    </row>
    <row r="170" spans="1:31" s="14" customFormat="1" ht="21.75" hidden="1" customHeight="1" x14ac:dyDescent="0.25">
      <c r="A170" s="6">
        <f>SUBTOTAL(3,$D$1:D170)-1</f>
        <v>1</v>
      </c>
      <c r="B170" s="23">
        <v>2000955</v>
      </c>
      <c r="C170" s="24" t="s">
        <v>489</v>
      </c>
      <c r="D170" s="25" t="s">
        <v>490</v>
      </c>
      <c r="E170" s="9" t="s">
        <v>927</v>
      </c>
      <c r="F170" s="26" t="s">
        <v>274</v>
      </c>
      <c r="G170" s="27">
        <v>45113</v>
      </c>
      <c r="H170" s="11" t="s">
        <v>49</v>
      </c>
      <c r="I170" s="11" t="s">
        <v>62</v>
      </c>
      <c r="J170" s="28">
        <v>33600</v>
      </c>
      <c r="K170" s="28">
        <v>50400</v>
      </c>
      <c r="L170" s="28">
        <f t="shared" si="14"/>
        <v>84000</v>
      </c>
      <c r="M170" s="28">
        <f t="shared" si="18"/>
        <v>84000</v>
      </c>
      <c r="N170" s="28">
        <f>795</f>
        <v>795</v>
      </c>
      <c r="O170" s="28">
        <v>0</v>
      </c>
      <c r="P170" s="28">
        <v>6750</v>
      </c>
      <c r="Q170" s="28">
        <v>12000</v>
      </c>
      <c r="R170" s="28">
        <v>0</v>
      </c>
      <c r="S170" s="28">
        <v>4000</v>
      </c>
      <c r="T170" s="28">
        <f t="shared" si="16"/>
        <v>18750</v>
      </c>
      <c r="U170" s="28">
        <f>M170+N170+T170</f>
        <v>103545</v>
      </c>
      <c r="V170" s="12">
        <f t="shared" si="17"/>
        <v>86750</v>
      </c>
      <c r="W170" s="29" t="s">
        <v>1187</v>
      </c>
      <c r="X170" s="6" t="s">
        <v>202</v>
      </c>
      <c r="Y170" s="6" t="s">
        <v>874</v>
      </c>
      <c r="Z170" s="30" t="s">
        <v>36</v>
      </c>
      <c r="AA170" s="50" t="s">
        <v>1099</v>
      </c>
      <c r="AB170" s="14" t="str">
        <f>CONCATENATE(C170," - ", D170," - ",AA170)</f>
        <v>02-3810 - Mashael Mohamed Mathkour Al-Ali - Employer pension share for October 2025 - 15%</v>
      </c>
      <c r="AC170" s="100">
        <v>103545</v>
      </c>
      <c r="AD170" s="110">
        <v>103545</v>
      </c>
      <c r="AE170" s="100">
        <v>0</v>
      </c>
    </row>
    <row r="171" spans="1:31" s="14" customFormat="1" ht="21.75" hidden="1" customHeight="1" x14ac:dyDescent="0.25">
      <c r="A171" s="6">
        <f>SUBTOTAL(3,$D$1:D171)-1</f>
        <v>1</v>
      </c>
      <c r="B171" s="23">
        <v>2000953</v>
      </c>
      <c r="C171" s="24" t="s">
        <v>491</v>
      </c>
      <c r="D171" s="25" t="s">
        <v>492</v>
      </c>
      <c r="E171" s="9" t="s">
        <v>928</v>
      </c>
      <c r="F171" s="26" t="s">
        <v>274</v>
      </c>
      <c r="G171" s="27">
        <v>45117</v>
      </c>
      <c r="H171" s="11" t="s">
        <v>45</v>
      </c>
      <c r="I171" s="11" t="s">
        <v>107</v>
      </c>
      <c r="J171" s="28">
        <v>22260</v>
      </c>
      <c r="K171" s="28">
        <v>33390</v>
      </c>
      <c r="L171" s="28">
        <f t="shared" si="14"/>
        <v>55650</v>
      </c>
      <c r="M171" s="28">
        <f t="shared" si="18"/>
        <v>55650</v>
      </c>
      <c r="N171" s="28">
        <f>795</f>
        <v>795</v>
      </c>
      <c r="O171" s="28">
        <v>0</v>
      </c>
      <c r="P171" s="28">
        <f>6750+(6750/30*7)+6750</f>
        <v>15075</v>
      </c>
      <c r="Q171" s="28">
        <v>7950</v>
      </c>
      <c r="R171" s="28">
        <v>0</v>
      </c>
      <c r="S171" s="28">
        <v>2650</v>
      </c>
      <c r="T171" s="28">
        <f t="shared" si="16"/>
        <v>23025</v>
      </c>
      <c r="U171" s="28">
        <f>M171+N171+T171</f>
        <v>79470</v>
      </c>
      <c r="V171" s="12">
        <f t="shared" si="17"/>
        <v>68075</v>
      </c>
      <c r="W171" s="29" t="s">
        <v>1196</v>
      </c>
      <c r="X171" s="6" t="s">
        <v>88</v>
      </c>
      <c r="Y171" s="6" t="s">
        <v>883</v>
      </c>
      <c r="Z171" s="30" t="s">
        <v>36</v>
      </c>
      <c r="AA171" s="50" t="s">
        <v>1099</v>
      </c>
      <c r="AB171" s="14" t="str">
        <f>CONCATENATE(C171," - ", D171," - ",AA171)</f>
        <v>02-3812 - Asma Abdulla Saeed Abunawas Alfalasi - Employer pension share for October 2025 - 15%</v>
      </c>
      <c r="AC171" s="100">
        <v>79470</v>
      </c>
      <c r="AD171" s="14">
        <v>79470</v>
      </c>
      <c r="AE171" s="100">
        <v>0</v>
      </c>
    </row>
    <row r="172" spans="1:31" ht="21.75" hidden="1" customHeight="1" x14ac:dyDescent="0.25">
      <c r="A172" s="6">
        <f>SUBTOTAL(3,$D$1:D172)-1</f>
        <v>1</v>
      </c>
      <c r="B172" s="7">
        <v>2000549</v>
      </c>
      <c r="C172" s="34" t="s">
        <v>493</v>
      </c>
      <c r="D172" s="11" t="s">
        <v>494</v>
      </c>
      <c r="E172" s="9" t="s">
        <v>1048</v>
      </c>
      <c r="F172" s="9" t="s">
        <v>48</v>
      </c>
      <c r="G172" s="10">
        <v>45139</v>
      </c>
      <c r="H172" s="11" t="s">
        <v>40</v>
      </c>
      <c r="I172" s="11" t="s">
        <v>847</v>
      </c>
      <c r="J172" s="11">
        <f>VLOOKUP(C172,'[1]Sheet1 (5)'!$B$1:$W$121,21,0)</f>
        <v>19404</v>
      </c>
      <c r="K172" s="11">
        <f>VLOOKUP(C172,'[1]Sheet1 (5)'!$B$1:$W$121,22,0)</f>
        <v>29106</v>
      </c>
      <c r="L172" s="12">
        <f t="shared" si="14"/>
        <v>48510</v>
      </c>
      <c r="M172" s="12">
        <f t="shared" si="18"/>
        <v>48510</v>
      </c>
      <c r="N172" s="12">
        <f>795</f>
        <v>795</v>
      </c>
      <c r="O172" s="12">
        <v>4620</v>
      </c>
      <c r="P172" s="12">
        <v>0</v>
      </c>
      <c r="Q172" s="12">
        <v>0</v>
      </c>
      <c r="R172" s="12">
        <v>0</v>
      </c>
      <c r="S172" s="12">
        <v>0</v>
      </c>
      <c r="T172" s="12">
        <f t="shared" si="16"/>
        <v>4620</v>
      </c>
      <c r="U172" s="12">
        <f>+M172+N172+T172</f>
        <v>53925</v>
      </c>
      <c r="V172" s="12">
        <f t="shared" si="17"/>
        <v>53130</v>
      </c>
      <c r="W172" s="13" t="s">
        <v>1180</v>
      </c>
      <c r="X172" s="6" t="s">
        <v>88</v>
      </c>
      <c r="Y172" s="6" t="s">
        <v>869</v>
      </c>
      <c r="Z172" s="6" t="s">
        <v>36</v>
      </c>
      <c r="AA172" s="50"/>
      <c r="AC172" s="100">
        <v>53925</v>
      </c>
      <c r="AD172" s="14">
        <v>53925</v>
      </c>
      <c r="AE172" s="100">
        <v>0</v>
      </c>
    </row>
    <row r="173" spans="1:31" ht="21.75" hidden="1" customHeight="1" x14ac:dyDescent="0.25">
      <c r="A173" s="6">
        <f>SUBTOTAL(3,$D$1:D173)-1</f>
        <v>1</v>
      </c>
      <c r="B173" s="7">
        <v>2000954</v>
      </c>
      <c r="C173" s="81" t="s">
        <v>495</v>
      </c>
      <c r="D173" s="21" t="s">
        <v>496</v>
      </c>
      <c r="E173" s="9" t="s">
        <v>929</v>
      </c>
      <c r="F173" s="9" t="s">
        <v>48</v>
      </c>
      <c r="G173" s="10">
        <v>45108</v>
      </c>
      <c r="H173" s="11" t="s">
        <v>45</v>
      </c>
      <c r="I173" s="11" t="s">
        <v>848</v>
      </c>
      <c r="J173" s="11">
        <v>9450</v>
      </c>
      <c r="K173" s="11">
        <v>14175</v>
      </c>
      <c r="L173" s="12">
        <f t="shared" si="14"/>
        <v>23625</v>
      </c>
      <c r="M173" s="12">
        <f>L173/30*30</f>
        <v>23625</v>
      </c>
      <c r="N173" s="12">
        <f>795</f>
        <v>795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f t="shared" si="16"/>
        <v>0</v>
      </c>
      <c r="U173" s="18">
        <f>M173+N173+T173</f>
        <v>24420</v>
      </c>
      <c r="V173" s="12">
        <f t="shared" si="17"/>
        <v>23625</v>
      </c>
      <c r="W173" s="13"/>
      <c r="X173" s="6" t="s">
        <v>210</v>
      </c>
      <c r="Y173" s="6" t="s">
        <v>870</v>
      </c>
      <c r="Z173" s="6" t="s">
        <v>36</v>
      </c>
      <c r="AA173" s="50"/>
      <c r="AC173" s="100">
        <v>24420</v>
      </c>
      <c r="AD173" s="14">
        <v>24420</v>
      </c>
      <c r="AE173" s="100">
        <v>0</v>
      </c>
    </row>
    <row r="174" spans="1:31" s="14" customFormat="1" ht="21.75" hidden="1" customHeight="1" x14ac:dyDescent="0.25">
      <c r="A174" s="6">
        <f>SUBTOTAL(3,$D$1:D174)-1</f>
        <v>1</v>
      </c>
      <c r="B174" s="7">
        <v>2000685</v>
      </c>
      <c r="C174" s="33" t="s">
        <v>498</v>
      </c>
      <c r="D174" s="11" t="s">
        <v>499</v>
      </c>
      <c r="E174" s="9" t="s">
        <v>1049</v>
      </c>
      <c r="F174" s="9" t="s">
        <v>52</v>
      </c>
      <c r="G174" s="10">
        <v>45111</v>
      </c>
      <c r="H174" s="11" t="s">
        <v>69</v>
      </c>
      <c r="I174" s="11" t="s">
        <v>104</v>
      </c>
      <c r="J174" s="11">
        <v>12600</v>
      </c>
      <c r="K174" s="11">
        <v>18900</v>
      </c>
      <c r="L174" s="12">
        <f t="shared" si="14"/>
        <v>31500</v>
      </c>
      <c r="M174" s="12">
        <f>L174/30*30</f>
        <v>31500</v>
      </c>
      <c r="N174" s="12">
        <f>795</f>
        <v>795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f t="shared" si="16"/>
        <v>0</v>
      </c>
      <c r="U174" s="12">
        <f>M174+N174+T174</f>
        <v>32295</v>
      </c>
      <c r="V174" s="12">
        <f t="shared" si="17"/>
        <v>31500</v>
      </c>
      <c r="W174" s="13"/>
      <c r="X174" s="6" t="s">
        <v>41</v>
      </c>
      <c r="Y174" s="6" t="s">
        <v>882</v>
      </c>
      <c r="Z174" s="6" t="s">
        <v>36</v>
      </c>
      <c r="AA174" s="50"/>
      <c r="AC174" s="100">
        <v>32295</v>
      </c>
      <c r="AD174" s="14">
        <v>32295</v>
      </c>
      <c r="AE174" s="100">
        <v>0</v>
      </c>
    </row>
    <row r="175" spans="1:31" ht="21.75" hidden="1" customHeight="1" x14ac:dyDescent="0.25">
      <c r="A175" s="6">
        <f>SUBTOTAL(3,$D$1:D175)-1</f>
        <v>1</v>
      </c>
      <c r="B175" s="19">
        <v>2000566</v>
      </c>
      <c r="C175" s="16" t="s">
        <v>500</v>
      </c>
      <c r="D175" s="17" t="s">
        <v>501</v>
      </c>
      <c r="E175" s="9" t="s">
        <v>1050</v>
      </c>
      <c r="F175" s="17" t="s">
        <v>48</v>
      </c>
      <c r="G175" s="20">
        <v>45113</v>
      </c>
      <c r="H175" s="11" t="s">
        <v>45</v>
      </c>
      <c r="I175" s="11" t="s">
        <v>107</v>
      </c>
      <c r="J175" s="11">
        <f>VLOOKUP(C175,'[1]Sheet1 (5)'!$B$1:$W$121,21,0)</f>
        <v>16170</v>
      </c>
      <c r="K175" s="11">
        <f>VLOOKUP(C175,'[1]Sheet1 (5)'!$B$1:$W$121,22,0)</f>
        <v>24255</v>
      </c>
      <c r="L175" s="12">
        <f t="shared" si="14"/>
        <v>40425</v>
      </c>
      <c r="M175" s="18">
        <f>L175</f>
        <v>40425</v>
      </c>
      <c r="N175" s="18">
        <f>795</f>
        <v>795</v>
      </c>
      <c r="O175" s="12">
        <v>3850</v>
      </c>
      <c r="P175" s="18">
        <v>0</v>
      </c>
      <c r="Q175" s="18">
        <v>0</v>
      </c>
      <c r="R175" s="18">
        <v>0</v>
      </c>
      <c r="S175" s="18">
        <v>0</v>
      </c>
      <c r="T175" s="12">
        <f t="shared" si="16"/>
        <v>3850</v>
      </c>
      <c r="U175" s="18">
        <f>M175+N175+T175</f>
        <v>45070</v>
      </c>
      <c r="V175" s="12">
        <f t="shared" si="17"/>
        <v>44275</v>
      </c>
      <c r="W175" s="13" t="s">
        <v>1180</v>
      </c>
      <c r="X175" s="6" t="s">
        <v>253</v>
      </c>
      <c r="Y175" s="6" t="s">
        <v>883</v>
      </c>
      <c r="Z175" s="22" t="s">
        <v>36</v>
      </c>
      <c r="AA175" s="50"/>
      <c r="AC175" s="100">
        <v>45070</v>
      </c>
      <c r="AD175" s="14">
        <v>45070</v>
      </c>
      <c r="AE175" s="100">
        <v>0</v>
      </c>
    </row>
    <row r="176" spans="1:31" ht="21.75" hidden="1" customHeight="1" x14ac:dyDescent="0.25">
      <c r="A176" s="6">
        <f>SUBTOTAL(3,$D$1:D176)-1</f>
        <v>1</v>
      </c>
      <c r="B176" s="7">
        <v>2001001</v>
      </c>
      <c r="C176" s="34" t="s">
        <v>502</v>
      </c>
      <c r="D176" s="11" t="s">
        <v>503</v>
      </c>
      <c r="E176" s="9" t="s">
        <v>930</v>
      </c>
      <c r="F176" s="9" t="s">
        <v>504</v>
      </c>
      <c r="G176" s="10">
        <v>45146</v>
      </c>
      <c r="H176" s="11" t="s">
        <v>87</v>
      </c>
      <c r="I176" s="11" t="s">
        <v>176</v>
      </c>
      <c r="J176" s="11">
        <v>12600</v>
      </c>
      <c r="K176" s="11">
        <v>18900</v>
      </c>
      <c r="L176" s="12">
        <f t="shared" si="14"/>
        <v>31500</v>
      </c>
      <c r="M176" s="12">
        <f>L176</f>
        <v>31500</v>
      </c>
      <c r="N176" s="12">
        <f>795</f>
        <v>795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f t="shared" si="16"/>
        <v>0</v>
      </c>
      <c r="U176" s="12">
        <f>+M176+N176+T176</f>
        <v>32295</v>
      </c>
      <c r="V176" s="12">
        <f t="shared" si="17"/>
        <v>31500</v>
      </c>
      <c r="W176" s="13"/>
      <c r="X176" s="6" t="s">
        <v>88</v>
      </c>
      <c r="Y176" s="6" t="s">
        <v>890</v>
      </c>
      <c r="Z176" s="6" t="s">
        <v>36</v>
      </c>
      <c r="AA176" s="50"/>
      <c r="AC176" s="100">
        <v>32295</v>
      </c>
      <c r="AD176" s="14">
        <v>32295</v>
      </c>
      <c r="AE176" s="100">
        <v>0</v>
      </c>
    </row>
    <row r="177" spans="1:31 16378:16382" s="14" customFormat="1" ht="21.75" hidden="1" customHeight="1" x14ac:dyDescent="0.25">
      <c r="A177" s="6">
        <f>SUBTOTAL(3,$D$1:D177)-1</f>
        <v>1</v>
      </c>
      <c r="B177" s="23">
        <v>2000941</v>
      </c>
      <c r="C177" s="24" t="s">
        <v>505</v>
      </c>
      <c r="D177" s="25" t="s">
        <v>506</v>
      </c>
      <c r="E177" s="9" t="s">
        <v>453</v>
      </c>
      <c r="F177" s="26" t="s">
        <v>48</v>
      </c>
      <c r="G177" s="27">
        <v>45180</v>
      </c>
      <c r="H177" s="11" t="s">
        <v>33</v>
      </c>
      <c r="I177" s="11" t="s">
        <v>34</v>
      </c>
      <c r="J177" s="28">
        <v>21000</v>
      </c>
      <c r="K177" s="28">
        <v>31500</v>
      </c>
      <c r="L177" s="28">
        <f t="shared" si="14"/>
        <v>52500</v>
      </c>
      <c r="M177" s="28">
        <f>L177/30*30</f>
        <v>52500</v>
      </c>
      <c r="N177" s="28">
        <f>795</f>
        <v>795</v>
      </c>
      <c r="O177" s="28">
        <v>0</v>
      </c>
      <c r="P177" s="28">
        <f>2312.5</f>
        <v>2312.5</v>
      </c>
      <c r="Q177" s="28">
        <v>0</v>
      </c>
      <c r="R177" s="28">
        <v>0</v>
      </c>
      <c r="S177" s="28">
        <v>0</v>
      </c>
      <c r="T177" s="28">
        <f t="shared" si="16"/>
        <v>2312.5</v>
      </c>
      <c r="U177" s="28">
        <f>+M177+N177+T177</f>
        <v>55607.5</v>
      </c>
      <c r="V177" s="12">
        <f t="shared" si="17"/>
        <v>54812.5</v>
      </c>
      <c r="W177" s="29" t="s">
        <v>1097</v>
      </c>
      <c r="X177" s="6" t="s">
        <v>88</v>
      </c>
      <c r="Y177" s="6" t="s">
        <v>868</v>
      </c>
      <c r="Z177" s="30" t="s">
        <v>36</v>
      </c>
      <c r="AA177" s="50"/>
      <c r="AC177" s="100">
        <v>55607.5</v>
      </c>
      <c r="AD177" s="14">
        <v>55607.5</v>
      </c>
      <c r="AE177" s="100">
        <v>0</v>
      </c>
    </row>
    <row r="178" spans="1:31 16378:16382" ht="21.75" hidden="1" customHeight="1" x14ac:dyDescent="0.25">
      <c r="A178" s="6">
        <f>SUBTOTAL(3,$D$1:D178)-1</f>
        <v>1</v>
      </c>
      <c r="B178" s="7">
        <v>2000980</v>
      </c>
      <c r="C178" s="33" t="s">
        <v>507</v>
      </c>
      <c r="D178" s="11" t="s">
        <v>508</v>
      </c>
      <c r="E178" s="9" t="s">
        <v>931</v>
      </c>
      <c r="F178" s="9" t="s">
        <v>230</v>
      </c>
      <c r="G178" s="10">
        <v>45120</v>
      </c>
      <c r="H178" s="11" t="s">
        <v>33</v>
      </c>
      <c r="I178" s="11" t="s">
        <v>152</v>
      </c>
      <c r="J178" s="11">
        <v>27300</v>
      </c>
      <c r="K178" s="11">
        <v>40950</v>
      </c>
      <c r="L178" s="12">
        <f t="shared" si="14"/>
        <v>68250</v>
      </c>
      <c r="M178" s="12">
        <f t="shared" ref="M178:M204" si="20">L178</f>
        <v>68250</v>
      </c>
      <c r="N178" s="12">
        <f>795</f>
        <v>795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f t="shared" si="16"/>
        <v>0</v>
      </c>
      <c r="U178" s="12">
        <f>M178+N178+T178</f>
        <v>69045</v>
      </c>
      <c r="V178" s="12">
        <f t="shared" si="17"/>
        <v>68250</v>
      </c>
      <c r="W178" s="13"/>
      <c r="X178" s="6" t="s">
        <v>88</v>
      </c>
      <c r="Y178" s="6" t="s">
        <v>888</v>
      </c>
      <c r="Z178" s="6" t="s">
        <v>36</v>
      </c>
      <c r="AA178" s="50"/>
      <c r="AC178" s="100">
        <v>69045</v>
      </c>
      <c r="AD178" s="14">
        <v>69045</v>
      </c>
      <c r="AE178" s="100">
        <v>0</v>
      </c>
    </row>
    <row r="179" spans="1:31 16378:16382" ht="21.75" hidden="1" customHeight="1" x14ac:dyDescent="0.25">
      <c r="A179" s="6">
        <f>SUBTOTAL(3,$D$1:D179)-1</f>
        <v>1</v>
      </c>
      <c r="B179" s="7">
        <v>2001021</v>
      </c>
      <c r="C179" s="34" t="s">
        <v>509</v>
      </c>
      <c r="D179" s="11" t="s">
        <v>510</v>
      </c>
      <c r="E179" s="9" t="s">
        <v>1048</v>
      </c>
      <c r="F179" s="9" t="s">
        <v>48</v>
      </c>
      <c r="G179" s="10">
        <v>45149</v>
      </c>
      <c r="H179" s="11" t="s">
        <v>40</v>
      </c>
      <c r="I179" s="11" t="s">
        <v>847</v>
      </c>
      <c r="J179" s="11">
        <f>VLOOKUP(C179,'[1]Sheet1 (5)'!$B$1:$W$121,21,0)</f>
        <v>22487.9</v>
      </c>
      <c r="K179" s="11">
        <f>VLOOKUP(C179,'[1]Sheet1 (5)'!$B$1:$W$121,22,0)</f>
        <v>33731.85</v>
      </c>
      <c r="L179" s="12">
        <f t="shared" si="14"/>
        <v>56219.75</v>
      </c>
      <c r="M179" s="12">
        <f t="shared" si="20"/>
        <v>56219.75</v>
      </c>
      <c r="N179" s="12">
        <f>795</f>
        <v>795</v>
      </c>
      <c r="O179" s="12">
        <v>5354.5</v>
      </c>
      <c r="P179" s="12">
        <v>0</v>
      </c>
      <c r="Q179" s="12">
        <v>0</v>
      </c>
      <c r="R179" s="12">
        <v>0</v>
      </c>
      <c r="S179" s="12">
        <v>0</v>
      </c>
      <c r="T179" s="12">
        <f t="shared" si="16"/>
        <v>5354.5</v>
      </c>
      <c r="U179" s="12">
        <f>+M179+N179+T179</f>
        <v>62369.25</v>
      </c>
      <c r="V179" s="12">
        <f t="shared" si="17"/>
        <v>61574.25</v>
      </c>
      <c r="W179" s="13" t="s">
        <v>1180</v>
      </c>
      <c r="X179" s="6" t="s">
        <v>41</v>
      </c>
      <c r="Y179" s="6" t="s">
        <v>869</v>
      </c>
      <c r="Z179" s="6" t="s">
        <v>36</v>
      </c>
      <c r="AA179" s="50"/>
      <c r="AC179" s="100">
        <v>62369.25</v>
      </c>
      <c r="AD179" s="14">
        <v>62369.25</v>
      </c>
      <c r="AE179" s="100">
        <v>0</v>
      </c>
    </row>
    <row r="180" spans="1:31 16378:16382" ht="21.75" hidden="1" customHeight="1" x14ac:dyDescent="0.25">
      <c r="A180" s="6">
        <f>SUBTOTAL(3,$D$1:D180)-1</f>
        <v>1</v>
      </c>
      <c r="B180" s="7">
        <v>2000983</v>
      </c>
      <c r="C180" s="33" t="s">
        <v>511</v>
      </c>
      <c r="D180" s="11" t="s">
        <v>512</v>
      </c>
      <c r="E180" s="9" t="s">
        <v>418</v>
      </c>
      <c r="F180" s="9" t="s">
        <v>52</v>
      </c>
      <c r="G180" s="10">
        <v>45127</v>
      </c>
      <c r="H180" s="11" t="s">
        <v>40</v>
      </c>
      <c r="I180" s="11" t="s">
        <v>847</v>
      </c>
      <c r="J180" s="11">
        <v>24200</v>
      </c>
      <c r="K180" s="11">
        <v>36300</v>
      </c>
      <c r="L180" s="12">
        <f t="shared" si="14"/>
        <v>60500</v>
      </c>
      <c r="M180" s="12">
        <f t="shared" si="20"/>
        <v>60500</v>
      </c>
      <c r="N180" s="12">
        <f>795</f>
        <v>795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f t="shared" si="16"/>
        <v>0</v>
      </c>
      <c r="U180" s="12">
        <f>M180+N180+T180</f>
        <v>61295</v>
      </c>
      <c r="V180" s="12">
        <f t="shared" si="17"/>
        <v>60500</v>
      </c>
      <c r="W180" s="13"/>
      <c r="X180" s="6" t="s">
        <v>202</v>
      </c>
      <c r="Y180" s="6" t="s">
        <v>869</v>
      </c>
      <c r="Z180" s="6" t="s">
        <v>36</v>
      </c>
      <c r="AA180" s="50"/>
      <c r="AC180" s="100">
        <v>61295</v>
      </c>
      <c r="AD180" s="14">
        <v>61295</v>
      </c>
      <c r="AE180" s="100">
        <v>0</v>
      </c>
    </row>
    <row r="181" spans="1:31 16378:16382" ht="21.75" hidden="1" customHeight="1" x14ac:dyDescent="0.25">
      <c r="A181" s="6">
        <f>SUBTOTAL(3,$D$1:D181)-1</f>
        <v>1</v>
      </c>
      <c r="B181" s="7">
        <v>2000998</v>
      </c>
      <c r="C181" s="35" t="s">
        <v>514</v>
      </c>
      <c r="D181" s="21" t="s">
        <v>515</v>
      </c>
      <c r="E181" s="9" t="s">
        <v>497</v>
      </c>
      <c r="F181" s="9" t="s">
        <v>407</v>
      </c>
      <c r="G181" s="10">
        <v>45139</v>
      </c>
      <c r="H181" s="11" t="s">
        <v>45</v>
      </c>
      <c r="I181" s="11" t="s">
        <v>848</v>
      </c>
      <c r="J181" s="11">
        <v>10500</v>
      </c>
      <c r="K181" s="11">
        <v>15750</v>
      </c>
      <c r="L181" s="12">
        <f t="shared" si="14"/>
        <v>26250</v>
      </c>
      <c r="M181" s="12">
        <f t="shared" si="20"/>
        <v>26250</v>
      </c>
      <c r="N181" s="12">
        <f>795</f>
        <v>795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f t="shared" si="16"/>
        <v>0</v>
      </c>
      <c r="U181" s="18">
        <f>+M181+N181+T181</f>
        <v>27045</v>
      </c>
      <c r="V181" s="12">
        <f t="shared" si="17"/>
        <v>26250</v>
      </c>
      <c r="W181" s="13"/>
      <c r="X181" s="6" t="s">
        <v>210</v>
      </c>
      <c r="Y181" s="6" t="s">
        <v>870</v>
      </c>
      <c r="Z181" s="6" t="s">
        <v>36</v>
      </c>
      <c r="AA181" s="50"/>
      <c r="AC181" s="100">
        <v>27045</v>
      </c>
      <c r="AD181" s="14">
        <v>27045</v>
      </c>
      <c r="AE181" s="100">
        <v>0</v>
      </c>
    </row>
    <row r="182" spans="1:31 16378:16382" ht="21.75" hidden="1" customHeight="1" x14ac:dyDescent="0.25">
      <c r="A182" s="6">
        <f>SUBTOTAL(3,$D$1:D182)-1</f>
        <v>1</v>
      </c>
      <c r="B182" s="7">
        <v>2000978</v>
      </c>
      <c r="C182" s="35" t="s">
        <v>516</v>
      </c>
      <c r="D182" s="90" t="s">
        <v>517</v>
      </c>
      <c r="E182" s="9" t="s">
        <v>518</v>
      </c>
      <c r="F182" s="9" t="s">
        <v>519</v>
      </c>
      <c r="G182" s="10">
        <v>45117</v>
      </c>
      <c r="H182" s="11" t="s">
        <v>45</v>
      </c>
      <c r="I182" s="11" t="s">
        <v>107</v>
      </c>
      <c r="J182" s="11">
        <v>8400</v>
      </c>
      <c r="K182" s="11">
        <v>12600</v>
      </c>
      <c r="L182" s="12">
        <f t="shared" si="14"/>
        <v>21000</v>
      </c>
      <c r="M182" s="12">
        <f t="shared" si="20"/>
        <v>21000</v>
      </c>
      <c r="N182" s="12">
        <f>795</f>
        <v>795</v>
      </c>
      <c r="O182" s="12">
        <v>0</v>
      </c>
      <c r="P182" s="12">
        <v>0</v>
      </c>
      <c r="Q182" s="12">
        <f>M182*14%</f>
        <v>2940.0000000000005</v>
      </c>
      <c r="R182" s="12">
        <v>0</v>
      </c>
      <c r="S182" s="12">
        <f>M182*7%</f>
        <v>1470.0000000000002</v>
      </c>
      <c r="T182" s="12">
        <f t="shared" si="16"/>
        <v>2940.0000000000005</v>
      </c>
      <c r="U182" s="18">
        <f>M182+N182+T182</f>
        <v>24735</v>
      </c>
      <c r="V182" s="12">
        <f t="shared" si="17"/>
        <v>19530</v>
      </c>
      <c r="W182" s="13" t="s">
        <v>1188</v>
      </c>
      <c r="X182" s="6" t="s">
        <v>210</v>
      </c>
      <c r="Y182" s="6" t="s">
        <v>883</v>
      </c>
      <c r="Z182" s="6" t="s">
        <v>36</v>
      </c>
      <c r="AA182" s="14" t="str">
        <f>W182</f>
        <v>Employer pension share for November 2025 - 14%</v>
      </c>
      <c r="AB182" s="14" t="str">
        <f>CONCATENATE(C182," - ", D182," - ",AA182)</f>
        <v>02-3908 - Dabyah Taha Saleh Ebrahim Juma Al Jenaid - Employer pension share for November 2025 - 14%</v>
      </c>
      <c r="AC182" s="100">
        <v>24735</v>
      </c>
      <c r="AD182" s="14">
        <v>24735</v>
      </c>
      <c r="AE182" s="100">
        <v>0</v>
      </c>
    </row>
    <row r="183" spans="1:31 16378:16382" s="14" customFormat="1" ht="21.75" hidden="1" customHeight="1" x14ac:dyDescent="0.25">
      <c r="A183" s="6">
        <f>SUBTOTAL(3,$D$1:D183)-1</f>
        <v>1</v>
      </c>
      <c r="B183" s="19">
        <v>2000982</v>
      </c>
      <c r="C183" s="16" t="s">
        <v>520</v>
      </c>
      <c r="D183" s="17" t="s">
        <v>521</v>
      </c>
      <c r="E183" s="9" t="s">
        <v>932</v>
      </c>
      <c r="F183" s="17" t="s">
        <v>127</v>
      </c>
      <c r="G183" s="20">
        <v>45131</v>
      </c>
      <c r="H183" s="21" t="s">
        <v>87</v>
      </c>
      <c r="I183" s="21" t="s">
        <v>176</v>
      </c>
      <c r="J183" s="11">
        <v>27300</v>
      </c>
      <c r="K183" s="11">
        <v>40950</v>
      </c>
      <c r="L183" s="12">
        <f t="shared" si="14"/>
        <v>68250</v>
      </c>
      <c r="M183" s="18">
        <f t="shared" si="20"/>
        <v>68250</v>
      </c>
      <c r="N183" s="18">
        <f>795</f>
        <v>795</v>
      </c>
      <c r="O183" s="12">
        <v>0</v>
      </c>
      <c r="P183" s="12">
        <v>0</v>
      </c>
      <c r="Q183" s="18">
        <v>0</v>
      </c>
      <c r="R183" s="18">
        <v>0</v>
      </c>
      <c r="S183" s="18">
        <v>0</v>
      </c>
      <c r="T183" s="12">
        <f t="shared" si="16"/>
        <v>0</v>
      </c>
      <c r="U183" s="18">
        <f>M183+N183+T183</f>
        <v>69045</v>
      </c>
      <c r="V183" s="12">
        <f t="shared" si="17"/>
        <v>68250</v>
      </c>
      <c r="W183" s="13"/>
      <c r="X183" s="22" t="s">
        <v>202</v>
      </c>
      <c r="Y183" s="6" t="s">
        <v>890</v>
      </c>
      <c r="Z183" s="22" t="s">
        <v>36</v>
      </c>
      <c r="AA183" s="50"/>
      <c r="AC183" s="100">
        <v>69045</v>
      </c>
      <c r="AD183" s="14">
        <v>69045</v>
      </c>
      <c r="AE183" s="100">
        <v>0</v>
      </c>
    </row>
    <row r="184" spans="1:31 16378:16382" s="31" customFormat="1" ht="21.75" hidden="1" customHeight="1" x14ac:dyDescent="0.25">
      <c r="A184" s="6">
        <f>SUBTOTAL(3,$D$1:D184)-1</f>
        <v>1</v>
      </c>
      <c r="B184" s="7">
        <v>2000981</v>
      </c>
      <c r="C184" s="33" t="s">
        <v>522</v>
      </c>
      <c r="D184" s="11" t="s">
        <v>523</v>
      </c>
      <c r="E184" s="9" t="s">
        <v>524</v>
      </c>
      <c r="F184" s="9" t="s">
        <v>121</v>
      </c>
      <c r="G184" s="10">
        <v>45127</v>
      </c>
      <c r="H184" s="11" t="s">
        <v>69</v>
      </c>
      <c r="I184" s="11" t="s">
        <v>853</v>
      </c>
      <c r="J184" s="11">
        <v>8946</v>
      </c>
      <c r="K184" s="11">
        <v>13419</v>
      </c>
      <c r="L184" s="12">
        <f t="shared" si="14"/>
        <v>22365</v>
      </c>
      <c r="M184" s="12">
        <f t="shared" si="20"/>
        <v>22365</v>
      </c>
      <c r="N184" s="12">
        <f>795</f>
        <v>795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f t="shared" si="16"/>
        <v>0</v>
      </c>
      <c r="U184" s="12">
        <f>M184+N184+T184</f>
        <v>23160</v>
      </c>
      <c r="V184" s="12">
        <f t="shared" si="17"/>
        <v>22365</v>
      </c>
      <c r="W184" s="13"/>
      <c r="X184" s="6" t="s">
        <v>210</v>
      </c>
      <c r="Y184" s="6" t="s">
        <v>884</v>
      </c>
      <c r="Z184" s="6" t="s">
        <v>36</v>
      </c>
      <c r="AA184" s="50"/>
      <c r="AC184" s="100">
        <v>23160</v>
      </c>
      <c r="AD184" s="14">
        <v>23160</v>
      </c>
      <c r="AE184" s="100">
        <v>0</v>
      </c>
    </row>
    <row r="185" spans="1:31 16378:16382" s="14" customFormat="1" ht="21.75" hidden="1" customHeight="1" x14ac:dyDescent="0.25">
      <c r="A185" s="22">
        <f>SUBTOTAL(3,$D$1:D185)-1</f>
        <v>1</v>
      </c>
      <c r="B185" s="19">
        <v>2000984</v>
      </c>
      <c r="C185" s="16" t="s">
        <v>525</v>
      </c>
      <c r="D185" s="17" t="s">
        <v>526</v>
      </c>
      <c r="E185" s="17" t="s">
        <v>527</v>
      </c>
      <c r="F185" s="21" t="s">
        <v>72</v>
      </c>
      <c r="G185" s="20">
        <v>45140</v>
      </c>
      <c r="H185" s="21" t="s">
        <v>33</v>
      </c>
      <c r="I185" s="21" t="s">
        <v>97</v>
      </c>
      <c r="J185" s="21">
        <v>31401</v>
      </c>
      <c r="K185" s="21">
        <v>47102</v>
      </c>
      <c r="L185" s="18">
        <f t="shared" si="14"/>
        <v>78503</v>
      </c>
      <c r="M185" s="18">
        <f t="shared" si="20"/>
        <v>78503</v>
      </c>
      <c r="N185" s="18">
        <f>795</f>
        <v>795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f t="shared" si="16"/>
        <v>0</v>
      </c>
      <c r="U185" s="18">
        <f t="shared" ref="U185:U216" si="21">+M185+N185+T185</f>
        <v>79298</v>
      </c>
      <c r="V185" s="12">
        <f t="shared" si="17"/>
        <v>78503</v>
      </c>
      <c r="W185" s="96"/>
      <c r="X185" s="22" t="s">
        <v>253</v>
      </c>
      <c r="Y185" s="22" t="s">
        <v>880</v>
      </c>
      <c r="Z185" s="30" t="s">
        <v>36</v>
      </c>
      <c r="AA185" s="50"/>
      <c r="AC185" s="100">
        <v>79298</v>
      </c>
      <c r="AD185" s="14">
        <v>79298</v>
      </c>
      <c r="AE185" s="100">
        <v>0</v>
      </c>
      <c r="XEX185" s="22"/>
      <c r="XEY185" s="19"/>
      <c r="XEZ185" s="16"/>
      <c r="XFA185" s="17"/>
      <c r="XFB185" s="21"/>
    </row>
    <row r="186" spans="1:31 16378:16382" ht="21.75" hidden="1" customHeight="1" x14ac:dyDescent="0.25">
      <c r="A186" s="6">
        <f>SUBTOTAL(3,$D$1:D186)-1</f>
        <v>1</v>
      </c>
      <c r="B186" s="7">
        <v>2000997</v>
      </c>
      <c r="C186" s="34" t="s">
        <v>528</v>
      </c>
      <c r="D186" s="11" t="s">
        <v>529</v>
      </c>
      <c r="E186" s="9" t="s">
        <v>933</v>
      </c>
      <c r="F186" s="9" t="s">
        <v>407</v>
      </c>
      <c r="G186" s="10">
        <v>45139</v>
      </c>
      <c r="H186" s="11" t="s">
        <v>33</v>
      </c>
      <c r="I186" s="11" t="s">
        <v>97</v>
      </c>
      <c r="J186" s="11">
        <v>10500</v>
      </c>
      <c r="K186" s="11">
        <v>15750</v>
      </c>
      <c r="L186" s="12">
        <f t="shared" si="14"/>
        <v>26250</v>
      </c>
      <c r="M186" s="12">
        <f t="shared" si="20"/>
        <v>26250</v>
      </c>
      <c r="N186" s="12">
        <f>795</f>
        <v>795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f t="shared" si="16"/>
        <v>0</v>
      </c>
      <c r="U186" s="12">
        <f t="shared" si="21"/>
        <v>27045</v>
      </c>
      <c r="V186" s="12">
        <f t="shared" si="17"/>
        <v>26250</v>
      </c>
      <c r="W186" s="13"/>
      <c r="X186" s="6" t="s">
        <v>210</v>
      </c>
      <c r="Y186" s="6" t="s">
        <v>880</v>
      </c>
      <c r="Z186" s="6" t="s">
        <v>36</v>
      </c>
      <c r="AA186" s="50"/>
      <c r="AC186" s="100">
        <v>27045</v>
      </c>
      <c r="AD186" s="14">
        <v>27045</v>
      </c>
      <c r="AE186" s="100">
        <v>0</v>
      </c>
    </row>
    <row r="187" spans="1:31 16378:16382" ht="21.75" hidden="1" customHeight="1" x14ac:dyDescent="0.25">
      <c r="A187" s="6">
        <f>SUBTOTAL(3,$D$1:D187)-1</f>
        <v>1</v>
      </c>
      <c r="B187" s="7">
        <v>2001011</v>
      </c>
      <c r="C187" s="34" t="s">
        <v>531</v>
      </c>
      <c r="D187" s="11" t="s">
        <v>532</v>
      </c>
      <c r="E187" s="9" t="s">
        <v>1051</v>
      </c>
      <c r="F187" s="9" t="s">
        <v>48</v>
      </c>
      <c r="G187" s="10">
        <v>45142</v>
      </c>
      <c r="H187" s="11" t="s">
        <v>40</v>
      </c>
      <c r="I187" s="11" t="s">
        <v>854</v>
      </c>
      <c r="J187" s="11">
        <f>VLOOKUP(C187,'[1]Sheet1 (5)'!$B$1:$W$121,21,0)</f>
        <v>40480</v>
      </c>
      <c r="K187" s="11">
        <f>VLOOKUP(C187,'[1]Sheet1 (5)'!$B$1:$W$121,22,0)</f>
        <v>60720</v>
      </c>
      <c r="L187" s="12">
        <f t="shared" si="14"/>
        <v>101200</v>
      </c>
      <c r="M187" s="12">
        <f t="shared" si="20"/>
        <v>101200</v>
      </c>
      <c r="N187" s="12">
        <f>795</f>
        <v>795</v>
      </c>
      <c r="O187" s="12">
        <v>26400</v>
      </c>
      <c r="P187" s="12">
        <v>0</v>
      </c>
      <c r="Q187" s="12">
        <v>0</v>
      </c>
      <c r="R187" s="12">
        <v>0</v>
      </c>
      <c r="S187" s="12">
        <v>0</v>
      </c>
      <c r="T187" s="12">
        <f t="shared" si="16"/>
        <v>26400</v>
      </c>
      <c r="U187" s="12">
        <f t="shared" si="21"/>
        <v>128395</v>
      </c>
      <c r="V187" s="12">
        <f t="shared" si="17"/>
        <v>127600</v>
      </c>
      <c r="W187" s="13" t="s">
        <v>1180</v>
      </c>
      <c r="X187" s="6" t="s">
        <v>202</v>
      </c>
      <c r="Y187" s="6" t="s">
        <v>886</v>
      </c>
      <c r="Z187" s="6" t="s">
        <v>36</v>
      </c>
      <c r="AA187" s="50"/>
      <c r="AC187" s="100">
        <v>128395</v>
      </c>
      <c r="AD187" s="110">
        <v>128395</v>
      </c>
      <c r="AE187" s="100">
        <v>0</v>
      </c>
    </row>
    <row r="188" spans="1:31 16378:16382" ht="21.75" hidden="1" customHeight="1" x14ac:dyDescent="0.25">
      <c r="A188" s="6">
        <f>SUBTOTAL(3,$D$1:D188)-1</f>
        <v>1</v>
      </c>
      <c r="B188" s="7">
        <v>2001025</v>
      </c>
      <c r="C188" s="34" t="s">
        <v>533</v>
      </c>
      <c r="D188" s="11" t="s">
        <v>534</v>
      </c>
      <c r="E188" s="9" t="s">
        <v>934</v>
      </c>
      <c r="F188" s="9" t="s">
        <v>130</v>
      </c>
      <c r="G188" s="10">
        <v>45174</v>
      </c>
      <c r="H188" s="11" t="s">
        <v>49</v>
      </c>
      <c r="I188" s="11" t="s">
        <v>852</v>
      </c>
      <c r="J188" s="11">
        <v>18700.5</v>
      </c>
      <c r="K188" s="11">
        <v>28050.75</v>
      </c>
      <c r="L188" s="12">
        <f t="shared" si="14"/>
        <v>46751.25</v>
      </c>
      <c r="M188" s="12">
        <f t="shared" si="20"/>
        <v>46751.25</v>
      </c>
      <c r="N188" s="12">
        <f>795</f>
        <v>795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f t="shared" si="16"/>
        <v>0</v>
      </c>
      <c r="U188" s="12">
        <f t="shared" si="21"/>
        <v>47546.25</v>
      </c>
      <c r="V188" s="12">
        <f t="shared" si="17"/>
        <v>46751.25</v>
      </c>
      <c r="W188" s="13"/>
      <c r="X188" s="6" t="s">
        <v>88</v>
      </c>
      <c r="Y188" s="6" t="s">
        <v>876</v>
      </c>
      <c r="Z188" s="6" t="s">
        <v>36</v>
      </c>
      <c r="AA188" s="50"/>
      <c r="AC188" s="100">
        <v>47546.25</v>
      </c>
      <c r="AD188" s="14">
        <v>47546.25</v>
      </c>
      <c r="AE188" s="100">
        <v>0</v>
      </c>
    </row>
    <row r="189" spans="1:31 16378:16382" ht="21.75" hidden="1" customHeight="1" x14ac:dyDescent="0.25">
      <c r="A189" s="6">
        <f>SUBTOTAL(3,$D$1:D189)-1</f>
        <v>1</v>
      </c>
      <c r="B189" s="7">
        <v>2000516</v>
      </c>
      <c r="C189" s="34" t="s">
        <v>535</v>
      </c>
      <c r="D189" s="11" t="s">
        <v>536</v>
      </c>
      <c r="E189" s="9" t="s">
        <v>537</v>
      </c>
      <c r="F189" s="9" t="s">
        <v>348</v>
      </c>
      <c r="G189" s="10">
        <v>45139</v>
      </c>
      <c r="H189" s="11" t="s">
        <v>87</v>
      </c>
      <c r="I189" s="11" t="s">
        <v>176</v>
      </c>
      <c r="J189" s="11">
        <f>VLOOKUP(C189,'[1]Sheet1 (5)'!$B$1:$W$121,21,0)</f>
        <v>22921.300000000003</v>
      </c>
      <c r="K189" s="11">
        <f>VLOOKUP(C189,'[1]Sheet1 (5)'!$B$1:$W$121,22,0)</f>
        <v>34381.949999999997</v>
      </c>
      <c r="L189" s="12">
        <f t="shared" si="14"/>
        <v>57303.25</v>
      </c>
      <c r="M189" s="12">
        <f t="shared" si="20"/>
        <v>57303.25</v>
      </c>
      <c r="N189" s="12">
        <f>795</f>
        <v>795</v>
      </c>
      <c r="O189" s="12">
        <v>10419</v>
      </c>
      <c r="P189" s="12">
        <v>0</v>
      </c>
      <c r="Q189" s="12">
        <v>0</v>
      </c>
      <c r="R189" s="12">
        <v>0</v>
      </c>
      <c r="S189" s="12">
        <v>0</v>
      </c>
      <c r="T189" s="12">
        <f t="shared" si="16"/>
        <v>10419</v>
      </c>
      <c r="U189" s="12">
        <f t="shared" si="21"/>
        <v>68517.25</v>
      </c>
      <c r="V189" s="12">
        <f t="shared" si="17"/>
        <v>67722.25</v>
      </c>
      <c r="W189" s="13" t="s">
        <v>1180</v>
      </c>
      <c r="X189" s="6" t="s">
        <v>88</v>
      </c>
      <c r="Y189" s="6" t="s">
        <v>890</v>
      </c>
      <c r="Z189" s="6" t="s">
        <v>36</v>
      </c>
      <c r="AA189" s="50"/>
      <c r="AC189" s="100">
        <v>68517.25</v>
      </c>
      <c r="AD189" s="14">
        <v>68517.25</v>
      </c>
      <c r="AE189" s="100">
        <v>0</v>
      </c>
    </row>
    <row r="190" spans="1:31 16378:16382" s="14" customFormat="1" ht="21.75" hidden="1" customHeight="1" x14ac:dyDescent="0.25">
      <c r="A190" s="6">
        <f>SUBTOTAL(3,$D$1:D190)-1</f>
        <v>1</v>
      </c>
      <c r="B190" s="7">
        <v>2000824</v>
      </c>
      <c r="C190" s="34" t="s">
        <v>538</v>
      </c>
      <c r="D190" s="11" t="s">
        <v>539</v>
      </c>
      <c r="E190" s="9" t="s">
        <v>1052</v>
      </c>
      <c r="F190" s="9" t="s">
        <v>72</v>
      </c>
      <c r="G190" s="10">
        <v>45160</v>
      </c>
      <c r="H190" s="11" t="s">
        <v>69</v>
      </c>
      <c r="I190" s="11" t="s">
        <v>851</v>
      </c>
      <c r="J190" s="11">
        <v>18900</v>
      </c>
      <c r="K190" s="11">
        <v>28350</v>
      </c>
      <c r="L190" s="12">
        <f t="shared" si="14"/>
        <v>47250</v>
      </c>
      <c r="M190" s="12">
        <f t="shared" si="20"/>
        <v>47250</v>
      </c>
      <c r="N190" s="12">
        <f>795</f>
        <v>795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f t="shared" si="16"/>
        <v>0</v>
      </c>
      <c r="U190" s="12">
        <f t="shared" si="21"/>
        <v>48045</v>
      </c>
      <c r="V190" s="12">
        <f t="shared" si="17"/>
        <v>47250</v>
      </c>
      <c r="W190" s="13"/>
      <c r="X190" s="6" t="s">
        <v>88</v>
      </c>
      <c r="Y190" s="6" t="s">
        <v>875</v>
      </c>
      <c r="Z190" s="6" t="s">
        <v>36</v>
      </c>
      <c r="AA190" s="50"/>
      <c r="AC190" s="100">
        <v>48045</v>
      </c>
      <c r="AD190" s="14">
        <v>48045</v>
      </c>
      <c r="AE190" s="100">
        <v>0</v>
      </c>
    </row>
    <row r="191" spans="1:31 16378:16382" ht="21.75" hidden="1" customHeight="1" x14ac:dyDescent="0.25">
      <c r="A191" s="6">
        <f>SUBTOTAL(3,$D$1:D191)-1</f>
        <v>1</v>
      </c>
      <c r="B191" s="7">
        <v>2001020</v>
      </c>
      <c r="C191" s="34" t="s">
        <v>540</v>
      </c>
      <c r="D191" s="11" t="s">
        <v>541</v>
      </c>
      <c r="E191" s="9" t="s">
        <v>935</v>
      </c>
      <c r="F191" s="9" t="s">
        <v>52</v>
      </c>
      <c r="G191" s="10">
        <v>45154</v>
      </c>
      <c r="H191" s="11" t="s">
        <v>87</v>
      </c>
      <c r="I191" s="11" t="s">
        <v>1008</v>
      </c>
      <c r="J191" s="11">
        <v>24000</v>
      </c>
      <c r="K191" s="11">
        <v>36000</v>
      </c>
      <c r="L191" s="12">
        <f t="shared" si="14"/>
        <v>60000</v>
      </c>
      <c r="M191" s="12">
        <f t="shared" si="20"/>
        <v>60000</v>
      </c>
      <c r="N191" s="12">
        <f>795</f>
        <v>795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f t="shared" si="16"/>
        <v>0</v>
      </c>
      <c r="U191" s="12">
        <f t="shared" si="21"/>
        <v>60795</v>
      </c>
      <c r="V191" s="12">
        <f t="shared" si="17"/>
        <v>60000</v>
      </c>
      <c r="W191" s="13"/>
      <c r="X191" s="6" t="s">
        <v>202</v>
      </c>
      <c r="Y191" s="6" t="s">
        <v>877</v>
      </c>
      <c r="Z191" s="6" t="s">
        <v>36</v>
      </c>
      <c r="AA191" s="50"/>
      <c r="AC191" s="100">
        <v>60795</v>
      </c>
      <c r="AD191" s="14">
        <v>60795</v>
      </c>
      <c r="AE191" s="100">
        <v>0</v>
      </c>
    </row>
    <row r="192" spans="1:31 16378:16382" s="14" customFormat="1" ht="21.75" hidden="1" customHeight="1" x14ac:dyDescent="0.25">
      <c r="A192" s="6">
        <f>SUBTOTAL(3,$D$1:D192)-1</f>
        <v>1</v>
      </c>
      <c r="B192" s="23">
        <v>2001003</v>
      </c>
      <c r="C192" s="24" t="s">
        <v>542</v>
      </c>
      <c r="D192" s="25" t="s">
        <v>543</v>
      </c>
      <c r="E192" s="9" t="s">
        <v>544</v>
      </c>
      <c r="F192" s="26" t="s">
        <v>230</v>
      </c>
      <c r="G192" s="27">
        <v>45147</v>
      </c>
      <c r="H192" s="11" t="s">
        <v>33</v>
      </c>
      <c r="I192" s="11" t="s">
        <v>97</v>
      </c>
      <c r="J192" s="28">
        <v>32550</v>
      </c>
      <c r="K192" s="28">
        <v>48825</v>
      </c>
      <c r="L192" s="28">
        <f t="shared" si="14"/>
        <v>81375</v>
      </c>
      <c r="M192" s="28">
        <f t="shared" si="20"/>
        <v>81375</v>
      </c>
      <c r="N192" s="28">
        <f>795</f>
        <v>795</v>
      </c>
      <c r="O192" s="28">
        <v>0</v>
      </c>
      <c r="P192" s="28">
        <f>3250+(3250/30*15)</f>
        <v>4875</v>
      </c>
      <c r="Q192" s="28">
        <v>0</v>
      </c>
      <c r="R192" s="28">
        <v>0</v>
      </c>
      <c r="S192" s="28">
        <v>0</v>
      </c>
      <c r="T192" s="28">
        <f t="shared" si="16"/>
        <v>4875</v>
      </c>
      <c r="U192" s="28">
        <f t="shared" si="21"/>
        <v>87045</v>
      </c>
      <c r="V192" s="12">
        <f t="shared" si="17"/>
        <v>86250</v>
      </c>
      <c r="W192" s="29" t="s">
        <v>1100</v>
      </c>
      <c r="X192" s="6" t="s">
        <v>202</v>
      </c>
      <c r="Y192" s="6" t="s">
        <v>880</v>
      </c>
      <c r="Z192" s="30" t="s">
        <v>36</v>
      </c>
      <c r="AA192" s="50"/>
      <c r="AC192" s="100">
        <v>87045</v>
      </c>
      <c r="AD192" s="14">
        <v>87045</v>
      </c>
      <c r="AE192" s="100">
        <v>0</v>
      </c>
    </row>
    <row r="193" spans="1:31" s="14" customFormat="1" ht="21.75" hidden="1" customHeight="1" x14ac:dyDescent="0.25">
      <c r="A193" s="6">
        <f>SUBTOTAL(3,$D$1:D193)-1</f>
        <v>1</v>
      </c>
      <c r="B193" s="23">
        <v>2001013</v>
      </c>
      <c r="C193" s="24" t="s">
        <v>545</v>
      </c>
      <c r="D193" s="25" t="s">
        <v>546</v>
      </c>
      <c r="E193" s="9" t="s">
        <v>458</v>
      </c>
      <c r="F193" s="26" t="s">
        <v>547</v>
      </c>
      <c r="G193" s="27">
        <v>45166</v>
      </c>
      <c r="H193" s="11" t="s">
        <v>45</v>
      </c>
      <c r="I193" s="11" t="s">
        <v>256</v>
      </c>
      <c r="J193" s="28">
        <v>16800</v>
      </c>
      <c r="K193" s="28">
        <v>25200</v>
      </c>
      <c r="L193" s="28">
        <f t="shared" si="14"/>
        <v>42000</v>
      </c>
      <c r="M193" s="28">
        <f t="shared" si="20"/>
        <v>42000</v>
      </c>
      <c r="N193" s="28">
        <f>795</f>
        <v>795</v>
      </c>
      <c r="O193" s="28">
        <v>0</v>
      </c>
      <c r="P193" s="28">
        <v>3250</v>
      </c>
      <c r="Q193" s="28">
        <f>M193*76%*9%</f>
        <v>2872.7999999999997</v>
      </c>
      <c r="R193" s="28">
        <f>40000/30*-2</f>
        <v>-2666.6666666666665</v>
      </c>
      <c r="S193" s="28">
        <f>M193*76%*9%</f>
        <v>2872.7999999999997</v>
      </c>
      <c r="T193" s="28">
        <f t="shared" si="16"/>
        <v>3456.1333333333328</v>
      </c>
      <c r="U193" s="28">
        <f t="shared" si="21"/>
        <v>46251.133333333331</v>
      </c>
      <c r="V193" s="12">
        <f t="shared" si="17"/>
        <v>39710.533333333333</v>
      </c>
      <c r="W193" s="29" t="s">
        <v>1198</v>
      </c>
      <c r="X193" s="6" t="s">
        <v>88</v>
      </c>
      <c r="Y193" s="6" t="s">
        <v>898</v>
      </c>
      <c r="Z193" s="30" t="s">
        <v>36</v>
      </c>
      <c r="AA193" s="50" t="str">
        <f>W193</f>
        <v>2024 Salary adjustment for unpaid days - Computed on 2024 pay, Employer pension share for November 2025 - 09%, Extra Allowance for 1 year Starting 01 August 2025 to 31 July 2026</v>
      </c>
      <c r="AB193" s="14" t="str">
        <f>CONCATENATE(C193," - ", D193," - ",AA193)</f>
        <v>02-3997 - Seham Salema A Bajammal - 2024 Salary adjustment for unpaid days - Computed on 2024 pay, Employer pension share for November 2025 - 09%, Extra Allowance for 1 year Starting 01 August 2025 to 31 July 2026</v>
      </c>
      <c r="AC193" s="100">
        <v>46251.133333333331</v>
      </c>
      <c r="AD193" s="14">
        <v>46251.133000000002</v>
      </c>
      <c r="AE193" s="100">
        <v>3.3333332976326346E-4</v>
      </c>
    </row>
    <row r="194" spans="1:31" s="14" customFormat="1" ht="21.75" hidden="1" customHeight="1" x14ac:dyDescent="0.25">
      <c r="A194" s="6">
        <f>SUBTOTAL(3,$D$1:D194)-1</f>
        <v>1</v>
      </c>
      <c r="B194" s="23">
        <v>2000392</v>
      </c>
      <c r="C194" s="24" t="s">
        <v>548</v>
      </c>
      <c r="D194" s="25" t="s">
        <v>549</v>
      </c>
      <c r="E194" s="9" t="s">
        <v>936</v>
      </c>
      <c r="F194" s="26" t="s">
        <v>550</v>
      </c>
      <c r="G194" s="27">
        <v>45170</v>
      </c>
      <c r="H194" s="11" t="s">
        <v>33</v>
      </c>
      <c r="I194" s="11" t="s">
        <v>53</v>
      </c>
      <c r="J194" s="28">
        <v>9240</v>
      </c>
      <c r="K194" s="28">
        <v>13860</v>
      </c>
      <c r="L194" s="28">
        <f t="shared" si="14"/>
        <v>23100</v>
      </c>
      <c r="M194" s="28">
        <f t="shared" si="20"/>
        <v>23100</v>
      </c>
      <c r="N194" s="28">
        <f>795</f>
        <v>795</v>
      </c>
      <c r="O194" s="28">
        <v>0</v>
      </c>
      <c r="P194" s="28">
        <v>2312.5</v>
      </c>
      <c r="Q194" s="28">
        <v>0</v>
      </c>
      <c r="R194" s="28">
        <v>0</v>
      </c>
      <c r="S194" s="28">
        <v>0</v>
      </c>
      <c r="T194" s="28">
        <f t="shared" si="16"/>
        <v>2312.5</v>
      </c>
      <c r="U194" s="28">
        <f t="shared" si="21"/>
        <v>26207.5</v>
      </c>
      <c r="V194" s="12">
        <f t="shared" si="17"/>
        <v>25412.5</v>
      </c>
      <c r="W194" s="29" t="s">
        <v>1098</v>
      </c>
      <c r="X194" s="6" t="s">
        <v>210</v>
      </c>
      <c r="Y194" s="6" t="s">
        <v>872</v>
      </c>
      <c r="Z194" s="30" t="s">
        <v>149</v>
      </c>
      <c r="AA194" s="50"/>
      <c r="AC194" s="100">
        <v>26207.5</v>
      </c>
      <c r="AD194" s="14">
        <v>26207.5</v>
      </c>
      <c r="AE194" s="100">
        <v>0</v>
      </c>
    </row>
    <row r="195" spans="1:31" ht="21.75" hidden="1" customHeight="1" x14ac:dyDescent="0.25">
      <c r="A195" s="6">
        <f>SUBTOTAL(3,$D$1:D195)-1</f>
        <v>1</v>
      </c>
      <c r="B195" s="7">
        <v>2001008</v>
      </c>
      <c r="C195" s="33" t="s">
        <v>551</v>
      </c>
      <c r="D195" s="91" t="s">
        <v>552</v>
      </c>
      <c r="E195" s="9" t="s">
        <v>96</v>
      </c>
      <c r="F195" s="9" t="s">
        <v>553</v>
      </c>
      <c r="G195" s="10">
        <v>45170</v>
      </c>
      <c r="H195" s="11" t="s">
        <v>33</v>
      </c>
      <c r="I195" s="11" t="s">
        <v>97</v>
      </c>
      <c r="J195" s="11">
        <v>6300</v>
      </c>
      <c r="K195" s="11">
        <v>9450</v>
      </c>
      <c r="L195" s="12">
        <f t="shared" ref="L195:L204" si="22">J195+K195</f>
        <v>15750</v>
      </c>
      <c r="M195" s="12">
        <f t="shared" si="20"/>
        <v>15750</v>
      </c>
      <c r="N195" s="12">
        <f>795</f>
        <v>795</v>
      </c>
      <c r="O195" s="12">
        <v>0</v>
      </c>
      <c r="P195" s="12">
        <v>0</v>
      </c>
      <c r="Q195" s="12">
        <f>M195*11%</f>
        <v>1732.5</v>
      </c>
      <c r="R195" s="12">
        <v>0</v>
      </c>
      <c r="S195" s="12">
        <f>M195*7.5%</f>
        <v>1181.25</v>
      </c>
      <c r="T195" s="12">
        <f t="shared" si="16"/>
        <v>1732.5</v>
      </c>
      <c r="U195" s="12">
        <f t="shared" si="21"/>
        <v>18277.5</v>
      </c>
      <c r="V195" s="12">
        <f t="shared" ref="V195:V258" si="23">SUM(M195,P195,R195,O195)-S195</f>
        <v>14568.75</v>
      </c>
      <c r="W195" s="13" t="s">
        <v>1189</v>
      </c>
      <c r="X195" s="6" t="s">
        <v>908</v>
      </c>
      <c r="Y195" s="6" t="s">
        <v>880</v>
      </c>
      <c r="Z195" s="6" t="s">
        <v>36</v>
      </c>
      <c r="AA195" s="14" t="str">
        <f>W195</f>
        <v>Employer pension share for November 2025 - 11%</v>
      </c>
      <c r="AB195" s="14" t="str">
        <f>CONCATENATE(C195," - ", D195," - ",AA195)</f>
        <v>02-4013 - Khaloud Nasser AlMandhari - Employer pension share for November 2025 - 11%</v>
      </c>
      <c r="AC195" s="100">
        <v>18277.5</v>
      </c>
      <c r="AD195" s="14">
        <v>18277.5</v>
      </c>
      <c r="AE195" s="100">
        <v>0</v>
      </c>
    </row>
    <row r="196" spans="1:31" ht="21.75" hidden="1" customHeight="1" x14ac:dyDescent="0.25">
      <c r="A196" s="6">
        <f>SUBTOTAL(3,$D$1:D196)-1</f>
        <v>1</v>
      </c>
      <c r="B196" s="7">
        <v>2001019</v>
      </c>
      <c r="C196" s="34" t="s">
        <v>554</v>
      </c>
      <c r="D196" s="11" t="s">
        <v>555</v>
      </c>
      <c r="E196" s="9" t="s">
        <v>556</v>
      </c>
      <c r="F196" s="9" t="s">
        <v>52</v>
      </c>
      <c r="G196" s="10">
        <v>45173</v>
      </c>
      <c r="H196" s="11" t="s">
        <v>40</v>
      </c>
      <c r="I196" s="11" t="s">
        <v>847</v>
      </c>
      <c r="J196" s="11">
        <v>25200</v>
      </c>
      <c r="K196" s="11">
        <v>37800</v>
      </c>
      <c r="L196" s="12">
        <f t="shared" si="22"/>
        <v>63000</v>
      </c>
      <c r="M196" s="12">
        <f t="shared" si="20"/>
        <v>63000</v>
      </c>
      <c r="N196" s="12">
        <f>795</f>
        <v>795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f t="shared" ref="T196:T259" si="24">SUM(O196:R196)</f>
        <v>0</v>
      </c>
      <c r="U196" s="12">
        <f t="shared" si="21"/>
        <v>63795</v>
      </c>
      <c r="V196" s="12">
        <f t="shared" si="23"/>
        <v>63000</v>
      </c>
      <c r="W196" s="13"/>
      <c r="X196" s="6" t="s">
        <v>88</v>
      </c>
      <c r="Y196" s="6" t="s">
        <v>869</v>
      </c>
      <c r="Z196" s="6" t="s">
        <v>36</v>
      </c>
      <c r="AA196" s="50"/>
      <c r="AC196" s="100">
        <v>63795</v>
      </c>
      <c r="AD196" s="14">
        <v>63795</v>
      </c>
      <c r="AE196" s="100">
        <v>0</v>
      </c>
    </row>
    <row r="197" spans="1:31" s="14" customFormat="1" ht="21.75" hidden="1" customHeight="1" x14ac:dyDescent="0.25">
      <c r="A197" s="6">
        <f>SUBTOTAL(3,$D$1:D197)-1</f>
        <v>1</v>
      </c>
      <c r="B197" s="7">
        <v>2001037</v>
      </c>
      <c r="C197" s="34" t="s">
        <v>557</v>
      </c>
      <c r="D197" s="11" t="s">
        <v>558</v>
      </c>
      <c r="E197" s="9" t="s">
        <v>559</v>
      </c>
      <c r="F197" s="9" t="s">
        <v>81</v>
      </c>
      <c r="G197" s="10">
        <v>45202</v>
      </c>
      <c r="H197" s="11" t="s">
        <v>236</v>
      </c>
      <c r="I197" s="11" t="s">
        <v>306</v>
      </c>
      <c r="J197" s="11">
        <v>19650</v>
      </c>
      <c r="K197" s="11">
        <v>29476</v>
      </c>
      <c r="L197" s="12">
        <f t="shared" si="22"/>
        <v>49126</v>
      </c>
      <c r="M197" s="12">
        <f t="shared" si="20"/>
        <v>49126</v>
      </c>
      <c r="N197" s="12">
        <f>795</f>
        <v>795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f t="shared" si="24"/>
        <v>0</v>
      </c>
      <c r="U197" s="12">
        <f t="shared" si="21"/>
        <v>49921</v>
      </c>
      <c r="V197" s="12">
        <f t="shared" si="23"/>
        <v>49126</v>
      </c>
      <c r="W197" s="96"/>
      <c r="X197" s="6" t="s">
        <v>41</v>
      </c>
      <c r="Y197" s="6" t="s">
        <v>904</v>
      </c>
      <c r="Z197" s="6" t="s">
        <v>36</v>
      </c>
      <c r="AA197" s="50"/>
      <c r="AC197" s="100">
        <v>49921</v>
      </c>
      <c r="AD197" s="14">
        <v>49921</v>
      </c>
      <c r="AE197" s="100">
        <v>0</v>
      </c>
    </row>
    <row r="198" spans="1:31" ht="21.75" hidden="1" customHeight="1" x14ac:dyDescent="0.25">
      <c r="A198" s="6">
        <f>SUBTOTAL(3,$D$1:D198)-1</f>
        <v>1</v>
      </c>
      <c r="B198" s="7">
        <v>2001014</v>
      </c>
      <c r="C198" s="34" t="s">
        <v>560</v>
      </c>
      <c r="D198" s="11" t="s">
        <v>561</v>
      </c>
      <c r="E198" s="9" t="s">
        <v>1053</v>
      </c>
      <c r="F198" s="9" t="s">
        <v>52</v>
      </c>
      <c r="G198" s="10">
        <v>45181</v>
      </c>
      <c r="H198" s="11" t="s">
        <v>69</v>
      </c>
      <c r="I198" s="11" t="s">
        <v>131</v>
      </c>
      <c r="J198" s="11">
        <v>6394.5</v>
      </c>
      <c r="K198" s="11">
        <v>9591.75</v>
      </c>
      <c r="L198" s="12">
        <f t="shared" si="22"/>
        <v>15986.25</v>
      </c>
      <c r="M198" s="12">
        <f t="shared" si="20"/>
        <v>15986.25</v>
      </c>
      <c r="N198" s="12">
        <f>795</f>
        <v>795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f t="shared" si="24"/>
        <v>0</v>
      </c>
      <c r="U198" s="12">
        <f t="shared" si="21"/>
        <v>16781.25</v>
      </c>
      <c r="V198" s="12">
        <f t="shared" si="23"/>
        <v>15986.25</v>
      </c>
      <c r="W198" s="13"/>
      <c r="X198" s="6" t="s">
        <v>908</v>
      </c>
      <c r="Y198" s="6" t="s">
        <v>885</v>
      </c>
      <c r="Z198" s="6" t="s">
        <v>36</v>
      </c>
      <c r="AA198" s="50"/>
      <c r="AC198" s="100">
        <v>16781.25</v>
      </c>
      <c r="AD198" s="14">
        <v>16781.25</v>
      </c>
      <c r="AE198" s="100">
        <v>0</v>
      </c>
    </row>
    <row r="199" spans="1:31" ht="21.75" hidden="1" customHeight="1" x14ac:dyDescent="0.25">
      <c r="A199" s="6">
        <f>SUBTOTAL(3,$D$1:D199)-1</f>
        <v>1</v>
      </c>
      <c r="B199" s="7">
        <v>2001028</v>
      </c>
      <c r="C199" s="34" t="s">
        <v>15</v>
      </c>
      <c r="D199" s="11" t="s">
        <v>16</v>
      </c>
      <c r="E199" s="9" t="s">
        <v>1054</v>
      </c>
      <c r="F199" s="9" t="s">
        <v>363</v>
      </c>
      <c r="G199" s="10">
        <v>45187</v>
      </c>
      <c r="H199" s="11" t="s">
        <v>69</v>
      </c>
      <c r="I199" s="11" t="s">
        <v>104</v>
      </c>
      <c r="J199" s="11">
        <v>21000</v>
      </c>
      <c r="K199" s="11">
        <v>31500</v>
      </c>
      <c r="L199" s="12">
        <f t="shared" si="22"/>
        <v>52500</v>
      </c>
      <c r="M199" s="12">
        <f t="shared" si="20"/>
        <v>52500</v>
      </c>
      <c r="N199" s="12">
        <f>795</f>
        <v>795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f t="shared" si="24"/>
        <v>0</v>
      </c>
      <c r="U199" s="12">
        <f t="shared" si="21"/>
        <v>53295</v>
      </c>
      <c r="V199" s="12">
        <f t="shared" si="23"/>
        <v>52500</v>
      </c>
      <c r="W199" s="13"/>
      <c r="X199" s="6" t="s">
        <v>88</v>
      </c>
      <c r="Y199" s="6" t="s">
        <v>882</v>
      </c>
      <c r="Z199" s="6" t="s">
        <v>36</v>
      </c>
      <c r="AA199" s="50"/>
      <c r="AC199" s="100">
        <v>53295</v>
      </c>
      <c r="AD199" s="14">
        <v>53295</v>
      </c>
      <c r="AE199" s="100">
        <v>0</v>
      </c>
    </row>
    <row r="200" spans="1:31" ht="21.75" hidden="1" customHeight="1" x14ac:dyDescent="0.25">
      <c r="A200" s="6">
        <f>SUBTOTAL(3,$D$1:D200)-1</f>
        <v>1</v>
      </c>
      <c r="B200" s="7">
        <v>2001016</v>
      </c>
      <c r="C200" s="34" t="s">
        <v>562</v>
      </c>
      <c r="D200" s="11" t="s">
        <v>563</v>
      </c>
      <c r="E200" s="9" t="s">
        <v>564</v>
      </c>
      <c r="F200" s="9" t="s">
        <v>52</v>
      </c>
      <c r="G200" s="10">
        <v>45182</v>
      </c>
      <c r="H200" s="11" t="s">
        <v>33</v>
      </c>
      <c r="I200" s="11" t="s">
        <v>34</v>
      </c>
      <c r="J200" s="11">
        <f>VLOOKUP(C200,'[1]Sheet1 (5)'!$B$1:$W$121,21,0)</f>
        <v>14582.2</v>
      </c>
      <c r="K200" s="11">
        <f>VLOOKUP(C200,'[1]Sheet1 (5)'!$B$1:$W$121,22,0)</f>
        <v>21873.3</v>
      </c>
      <c r="L200" s="12">
        <f t="shared" si="22"/>
        <v>36455.5</v>
      </c>
      <c r="M200" s="12">
        <f t="shared" si="20"/>
        <v>36455.5</v>
      </c>
      <c r="N200" s="12">
        <f>795</f>
        <v>795</v>
      </c>
      <c r="O200" s="12">
        <v>6628.5</v>
      </c>
      <c r="P200" s="12">
        <v>0</v>
      </c>
      <c r="Q200" s="12">
        <v>0</v>
      </c>
      <c r="R200" s="12">
        <v>0</v>
      </c>
      <c r="S200" s="12">
        <v>0</v>
      </c>
      <c r="T200" s="12">
        <f t="shared" si="24"/>
        <v>6628.5</v>
      </c>
      <c r="U200" s="12">
        <f t="shared" si="21"/>
        <v>43879</v>
      </c>
      <c r="V200" s="12">
        <f t="shared" si="23"/>
        <v>43084</v>
      </c>
      <c r="W200" s="13" t="s">
        <v>1180</v>
      </c>
      <c r="X200" s="6" t="s">
        <v>88</v>
      </c>
      <c r="Y200" s="6" t="s">
        <v>868</v>
      </c>
      <c r="Z200" s="6" t="s">
        <v>36</v>
      </c>
      <c r="AA200" s="50"/>
      <c r="AC200" s="100">
        <v>43879</v>
      </c>
      <c r="AD200" s="14">
        <v>43879</v>
      </c>
      <c r="AE200" s="100">
        <v>0</v>
      </c>
    </row>
    <row r="201" spans="1:31" ht="21.75" hidden="1" customHeight="1" x14ac:dyDescent="0.25">
      <c r="A201" s="6">
        <f>SUBTOTAL(3,$D$1:D201)-1</f>
        <v>1</v>
      </c>
      <c r="B201" s="7">
        <v>2001061</v>
      </c>
      <c r="C201" s="34" t="s">
        <v>565</v>
      </c>
      <c r="D201" s="11" t="s">
        <v>566</v>
      </c>
      <c r="E201" s="9" t="s">
        <v>567</v>
      </c>
      <c r="F201" s="9" t="s">
        <v>114</v>
      </c>
      <c r="G201" s="10">
        <v>45231</v>
      </c>
      <c r="H201" s="11" t="s">
        <v>49</v>
      </c>
      <c r="I201" s="11" t="s">
        <v>855</v>
      </c>
      <c r="J201" s="11">
        <v>12600</v>
      </c>
      <c r="K201" s="11">
        <v>18900</v>
      </c>
      <c r="L201" s="12">
        <f t="shared" si="22"/>
        <v>31500</v>
      </c>
      <c r="M201" s="12">
        <f t="shared" si="20"/>
        <v>31500</v>
      </c>
      <c r="N201" s="12">
        <v>795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f t="shared" si="24"/>
        <v>0</v>
      </c>
      <c r="U201" s="12">
        <f t="shared" si="21"/>
        <v>32295</v>
      </c>
      <c r="V201" s="12">
        <f t="shared" si="23"/>
        <v>31500</v>
      </c>
      <c r="W201" s="13"/>
      <c r="X201" s="6" t="s">
        <v>88</v>
      </c>
      <c r="Y201" s="6" t="s">
        <v>887</v>
      </c>
      <c r="Z201" s="6" t="s">
        <v>36</v>
      </c>
      <c r="AA201" s="50"/>
      <c r="AC201" s="100">
        <v>32295</v>
      </c>
      <c r="AD201" s="14">
        <v>32295</v>
      </c>
      <c r="AE201" s="100">
        <v>0</v>
      </c>
    </row>
    <row r="202" spans="1:31" s="14" customFormat="1" ht="21.75" hidden="1" customHeight="1" x14ac:dyDescent="0.25">
      <c r="A202" s="6">
        <f>SUBTOTAL(3,$D$1:D202)-1</f>
        <v>1</v>
      </c>
      <c r="B202" s="23">
        <v>2001038</v>
      </c>
      <c r="C202" s="24" t="s">
        <v>568</v>
      </c>
      <c r="D202" s="25" t="s">
        <v>569</v>
      </c>
      <c r="E202" s="9" t="s">
        <v>937</v>
      </c>
      <c r="F202" s="26" t="s">
        <v>52</v>
      </c>
      <c r="G202" s="27">
        <v>45201</v>
      </c>
      <c r="H202" s="11" t="s">
        <v>236</v>
      </c>
      <c r="I202" s="11" t="s">
        <v>864</v>
      </c>
      <c r="J202" s="28">
        <v>23642.600000000002</v>
      </c>
      <c r="K202" s="28">
        <v>35463.9</v>
      </c>
      <c r="L202" s="28">
        <f t="shared" si="22"/>
        <v>59106.5</v>
      </c>
      <c r="M202" s="28">
        <f t="shared" si="20"/>
        <v>59106.5</v>
      </c>
      <c r="N202" s="28">
        <f>795</f>
        <v>795</v>
      </c>
      <c r="O202" s="28">
        <v>0</v>
      </c>
      <c r="P202" s="28">
        <f>4500</f>
        <v>4500</v>
      </c>
      <c r="Q202" s="28">
        <v>0</v>
      </c>
      <c r="R202" s="28">
        <v>0</v>
      </c>
      <c r="S202" s="28">
        <v>0</v>
      </c>
      <c r="T202" s="28">
        <f t="shared" si="24"/>
        <v>4500</v>
      </c>
      <c r="U202" s="28">
        <f t="shared" si="21"/>
        <v>64401.5</v>
      </c>
      <c r="V202" s="12">
        <f t="shared" si="23"/>
        <v>63606.5</v>
      </c>
      <c r="W202" s="29" t="s">
        <v>996</v>
      </c>
      <c r="X202" s="6" t="s">
        <v>202</v>
      </c>
      <c r="Y202" s="6" t="s">
        <v>911</v>
      </c>
      <c r="Z202" s="30" t="s">
        <v>36</v>
      </c>
      <c r="AA202" s="50"/>
      <c r="AC202" s="100">
        <v>64401.5</v>
      </c>
      <c r="AD202" s="14">
        <v>64401.5</v>
      </c>
      <c r="AE202" s="100">
        <v>0</v>
      </c>
    </row>
    <row r="203" spans="1:31" ht="21.75" hidden="1" customHeight="1" x14ac:dyDescent="0.25">
      <c r="A203" s="6">
        <f>SUBTOTAL(3,$D$1:D203)-1</f>
        <v>1</v>
      </c>
      <c r="B203" s="7">
        <v>2001058</v>
      </c>
      <c r="C203" s="34" t="s">
        <v>570</v>
      </c>
      <c r="D203" s="11" t="s">
        <v>571</v>
      </c>
      <c r="E203" s="9" t="s">
        <v>572</v>
      </c>
      <c r="F203" s="9" t="s">
        <v>81</v>
      </c>
      <c r="G203" s="10">
        <v>45209</v>
      </c>
      <c r="H203" s="11" t="s">
        <v>236</v>
      </c>
      <c r="I203" s="11" t="s">
        <v>306</v>
      </c>
      <c r="J203" s="11">
        <v>19748</v>
      </c>
      <c r="K203" s="11">
        <v>29622</v>
      </c>
      <c r="L203" s="12">
        <f t="shared" si="22"/>
        <v>49370</v>
      </c>
      <c r="M203" s="12">
        <f t="shared" si="20"/>
        <v>49370</v>
      </c>
      <c r="N203" s="12">
        <f>795</f>
        <v>795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f t="shared" si="24"/>
        <v>0</v>
      </c>
      <c r="U203" s="12">
        <f t="shared" si="21"/>
        <v>50165</v>
      </c>
      <c r="V203" s="12">
        <f t="shared" si="23"/>
        <v>49370</v>
      </c>
      <c r="W203" s="96"/>
      <c r="X203" s="6" t="s">
        <v>41</v>
      </c>
      <c r="Y203" s="6" t="s">
        <v>904</v>
      </c>
      <c r="Z203" s="6" t="s">
        <v>36</v>
      </c>
      <c r="AA203" s="50"/>
      <c r="AC203" s="100">
        <v>50165</v>
      </c>
      <c r="AD203" s="14">
        <v>50165</v>
      </c>
      <c r="AE203" s="100">
        <v>0</v>
      </c>
    </row>
    <row r="204" spans="1:31" s="14" customFormat="1" ht="21.75" hidden="1" customHeight="1" x14ac:dyDescent="0.25">
      <c r="A204" s="6">
        <f>SUBTOTAL(3,$D$1:D204)-1</f>
        <v>1</v>
      </c>
      <c r="B204" s="23">
        <v>2001040</v>
      </c>
      <c r="C204" s="24" t="s">
        <v>17</v>
      </c>
      <c r="D204" s="25" t="s">
        <v>18</v>
      </c>
      <c r="E204" s="9" t="s">
        <v>938</v>
      </c>
      <c r="F204" s="26" t="s">
        <v>573</v>
      </c>
      <c r="G204" s="27">
        <v>45196</v>
      </c>
      <c r="H204" s="11" t="s">
        <v>69</v>
      </c>
      <c r="I204" s="11" t="s">
        <v>275</v>
      </c>
      <c r="J204" s="28">
        <v>11350</v>
      </c>
      <c r="K204" s="28">
        <v>17025</v>
      </c>
      <c r="L204" s="28">
        <f t="shared" si="22"/>
        <v>28375</v>
      </c>
      <c r="M204" s="28">
        <f t="shared" si="20"/>
        <v>28375</v>
      </c>
      <c r="N204" s="28">
        <f>795</f>
        <v>795</v>
      </c>
      <c r="O204" s="28">
        <v>0</v>
      </c>
      <c r="P204" s="28">
        <f>2312.5</f>
        <v>2312.5</v>
      </c>
      <c r="Q204" s="28">
        <v>0</v>
      </c>
      <c r="R204" s="28">
        <v>0</v>
      </c>
      <c r="S204" s="28">
        <v>0</v>
      </c>
      <c r="T204" s="28">
        <f t="shared" si="24"/>
        <v>2312.5</v>
      </c>
      <c r="U204" s="28">
        <f t="shared" si="21"/>
        <v>31482.5</v>
      </c>
      <c r="V204" s="12">
        <f t="shared" si="23"/>
        <v>30687.5</v>
      </c>
      <c r="W204" s="29" t="s">
        <v>998</v>
      </c>
      <c r="X204" s="6" t="s">
        <v>88</v>
      </c>
      <c r="Y204" s="6" t="s">
        <v>901</v>
      </c>
      <c r="Z204" s="30" t="s">
        <v>36</v>
      </c>
      <c r="AA204" s="50"/>
      <c r="AC204" s="100">
        <v>31482.5</v>
      </c>
      <c r="AD204" s="14">
        <v>31482.5</v>
      </c>
      <c r="AE204" s="100">
        <v>0</v>
      </c>
    </row>
    <row r="205" spans="1:31" ht="21.75" hidden="1" customHeight="1" x14ac:dyDescent="0.25">
      <c r="A205" s="6">
        <f>SUBTOTAL(3,$D$1:D205)-1</f>
        <v>1</v>
      </c>
      <c r="B205" s="7">
        <v>2001049</v>
      </c>
      <c r="C205" s="15" t="s">
        <v>974</v>
      </c>
      <c r="D205" s="9" t="s">
        <v>973</v>
      </c>
      <c r="E205" s="9" t="s">
        <v>626</v>
      </c>
      <c r="F205" s="9" t="s">
        <v>48</v>
      </c>
      <c r="G205" s="10">
        <v>45210</v>
      </c>
      <c r="H205" s="11" t="s">
        <v>87</v>
      </c>
      <c r="I205" s="11" t="s">
        <v>176</v>
      </c>
      <c r="J205" s="11">
        <v>16800</v>
      </c>
      <c r="K205" s="11">
        <v>25200</v>
      </c>
      <c r="L205" s="12">
        <f>SUM(J205:K205)</f>
        <v>42000</v>
      </c>
      <c r="M205" s="12">
        <f>L205/30*30</f>
        <v>42000</v>
      </c>
      <c r="N205" s="18">
        <v>795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f t="shared" si="24"/>
        <v>0</v>
      </c>
      <c r="U205" s="12">
        <f t="shared" si="21"/>
        <v>42795</v>
      </c>
      <c r="V205" s="12">
        <f t="shared" si="23"/>
        <v>42000</v>
      </c>
      <c r="W205" s="13"/>
      <c r="X205" s="6" t="s">
        <v>88</v>
      </c>
      <c r="Y205" s="6" t="s">
        <v>890</v>
      </c>
      <c r="Z205" s="22" t="s">
        <v>36</v>
      </c>
      <c r="AA205" s="50"/>
      <c r="AB205" s="14"/>
      <c r="AC205" s="100">
        <v>42795</v>
      </c>
      <c r="AD205" s="14">
        <v>42795</v>
      </c>
      <c r="AE205" s="100">
        <v>0</v>
      </c>
    </row>
    <row r="206" spans="1:31" ht="21.75" hidden="1" customHeight="1" x14ac:dyDescent="0.25">
      <c r="A206" s="6">
        <f>SUBTOTAL(3,$D$1:D206)-1</f>
        <v>1</v>
      </c>
      <c r="B206" s="19">
        <v>2001066</v>
      </c>
      <c r="C206" s="35" t="s">
        <v>574</v>
      </c>
      <c r="D206" s="21" t="s">
        <v>575</v>
      </c>
      <c r="E206" s="9" t="s">
        <v>576</v>
      </c>
      <c r="F206" s="17" t="s">
        <v>188</v>
      </c>
      <c r="G206" s="20">
        <v>45231</v>
      </c>
      <c r="H206" s="11" t="s">
        <v>236</v>
      </c>
      <c r="I206" s="11" t="s">
        <v>448</v>
      </c>
      <c r="J206" s="11">
        <v>29400</v>
      </c>
      <c r="K206" s="11">
        <v>44100</v>
      </c>
      <c r="L206" s="12">
        <f t="shared" ref="L206:L237" si="25">J206+K206</f>
        <v>73500</v>
      </c>
      <c r="M206" s="18">
        <f t="shared" ref="M206:M224" si="26">L206</f>
        <v>73500</v>
      </c>
      <c r="N206" s="18">
        <v>795</v>
      </c>
      <c r="O206" s="12">
        <v>0</v>
      </c>
      <c r="P206" s="12">
        <v>0</v>
      </c>
      <c r="Q206" s="18">
        <v>0</v>
      </c>
      <c r="R206" s="12">
        <v>0</v>
      </c>
      <c r="S206" s="12">
        <v>0</v>
      </c>
      <c r="T206" s="12">
        <f t="shared" si="24"/>
        <v>0</v>
      </c>
      <c r="U206" s="18">
        <f t="shared" si="21"/>
        <v>74295</v>
      </c>
      <c r="V206" s="12">
        <f t="shared" si="23"/>
        <v>73500</v>
      </c>
      <c r="W206" s="13"/>
      <c r="X206" s="6" t="s">
        <v>881</v>
      </c>
      <c r="Y206" s="6" t="s">
        <v>910</v>
      </c>
      <c r="Z206" s="22" t="s">
        <v>36</v>
      </c>
      <c r="AA206" s="50"/>
      <c r="AC206" s="100">
        <v>74295</v>
      </c>
      <c r="AD206" s="14">
        <v>74295</v>
      </c>
      <c r="AE206" s="100">
        <v>0</v>
      </c>
    </row>
    <row r="207" spans="1:31" ht="21.75" hidden="1" customHeight="1" x14ac:dyDescent="0.25">
      <c r="A207" s="6">
        <f>SUBTOTAL(3,$D$1:D207)-1</f>
        <v>1</v>
      </c>
      <c r="B207" s="7">
        <v>2001072</v>
      </c>
      <c r="C207" s="34" t="s">
        <v>577</v>
      </c>
      <c r="D207" s="11" t="s">
        <v>578</v>
      </c>
      <c r="E207" s="9" t="s">
        <v>579</v>
      </c>
      <c r="F207" s="9" t="s">
        <v>166</v>
      </c>
      <c r="G207" s="10">
        <v>45231</v>
      </c>
      <c r="H207" s="11" t="s">
        <v>49</v>
      </c>
      <c r="I207" s="11" t="s">
        <v>852</v>
      </c>
      <c r="J207" s="11">
        <v>17104.100000000002</v>
      </c>
      <c r="K207" s="11">
        <v>25656.149999999998</v>
      </c>
      <c r="L207" s="12">
        <f t="shared" si="25"/>
        <v>42760.25</v>
      </c>
      <c r="M207" s="12">
        <f t="shared" si="26"/>
        <v>42760.25</v>
      </c>
      <c r="N207" s="12">
        <v>795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f t="shared" si="24"/>
        <v>0</v>
      </c>
      <c r="U207" s="12">
        <f t="shared" si="21"/>
        <v>43555.25</v>
      </c>
      <c r="V207" s="12">
        <f t="shared" si="23"/>
        <v>42760.25</v>
      </c>
      <c r="W207" s="13"/>
      <c r="X207" s="6" t="s">
        <v>88</v>
      </c>
      <c r="Y207" s="6" t="s">
        <v>876</v>
      </c>
      <c r="Z207" s="6" t="s">
        <v>36</v>
      </c>
      <c r="AA207" s="50"/>
      <c r="AC207" s="100">
        <v>43555.25</v>
      </c>
      <c r="AD207" s="14">
        <v>43555.25</v>
      </c>
      <c r="AE207" s="100">
        <v>0</v>
      </c>
    </row>
    <row r="208" spans="1:31" ht="21.75" hidden="1" customHeight="1" x14ac:dyDescent="0.25">
      <c r="A208" s="6">
        <f>SUBTOTAL(3,$D$1:D208)-1</f>
        <v>1</v>
      </c>
      <c r="B208" s="7">
        <v>2000256</v>
      </c>
      <c r="C208" s="35" t="s">
        <v>580</v>
      </c>
      <c r="D208" s="21" t="s">
        <v>581</v>
      </c>
      <c r="E208" s="9" t="s">
        <v>582</v>
      </c>
      <c r="F208" s="9" t="s">
        <v>121</v>
      </c>
      <c r="G208" s="10">
        <v>45231</v>
      </c>
      <c r="H208" s="11" t="s">
        <v>45</v>
      </c>
      <c r="I208" s="11" t="s">
        <v>859</v>
      </c>
      <c r="J208" s="11">
        <v>9400</v>
      </c>
      <c r="K208" s="11">
        <v>14100</v>
      </c>
      <c r="L208" s="12">
        <f t="shared" si="25"/>
        <v>23500</v>
      </c>
      <c r="M208" s="12">
        <f t="shared" si="26"/>
        <v>23500</v>
      </c>
      <c r="N208" s="12">
        <v>795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f t="shared" si="24"/>
        <v>0</v>
      </c>
      <c r="U208" s="18">
        <f t="shared" si="21"/>
        <v>24295</v>
      </c>
      <c r="V208" s="12">
        <f t="shared" si="23"/>
        <v>23500</v>
      </c>
      <c r="W208" s="96"/>
      <c r="X208" s="6" t="s">
        <v>78</v>
      </c>
      <c r="Y208" s="6" t="s">
        <v>896</v>
      </c>
      <c r="Z208" s="6" t="s">
        <v>36</v>
      </c>
      <c r="AA208" s="50"/>
      <c r="AC208" s="100">
        <v>24295</v>
      </c>
      <c r="AD208" s="14">
        <v>24295</v>
      </c>
      <c r="AE208" s="100">
        <v>0</v>
      </c>
    </row>
    <row r="209" spans="1:31" ht="21.75" hidden="1" customHeight="1" x14ac:dyDescent="0.25">
      <c r="A209" s="6">
        <f>SUBTOTAL(3,$D$1:D209)-1</f>
        <v>1</v>
      </c>
      <c r="B209" s="7">
        <v>2001109</v>
      </c>
      <c r="C209" s="34" t="s">
        <v>583</v>
      </c>
      <c r="D209" s="11" t="s">
        <v>584</v>
      </c>
      <c r="E209" s="9" t="s">
        <v>939</v>
      </c>
      <c r="F209" s="9" t="s">
        <v>130</v>
      </c>
      <c r="G209" s="10">
        <v>45299</v>
      </c>
      <c r="H209" s="11" t="s">
        <v>49</v>
      </c>
      <c r="I209" s="11" t="s">
        <v>863</v>
      </c>
      <c r="J209" s="11">
        <v>27216</v>
      </c>
      <c r="K209" s="11">
        <v>40824</v>
      </c>
      <c r="L209" s="12">
        <f t="shared" si="25"/>
        <v>68040</v>
      </c>
      <c r="M209" s="12">
        <f t="shared" si="26"/>
        <v>68040</v>
      </c>
      <c r="N209" s="12">
        <f>795</f>
        <v>795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f t="shared" si="24"/>
        <v>0</v>
      </c>
      <c r="U209" s="12">
        <f t="shared" si="21"/>
        <v>68835</v>
      </c>
      <c r="V209" s="12">
        <f t="shared" si="23"/>
        <v>68040</v>
      </c>
      <c r="W209" s="13"/>
      <c r="X209" s="6" t="s">
        <v>202</v>
      </c>
      <c r="Y209" s="6" t="s">
        <v>909</v>
      </c>
      <c r="Z209" s="6" t="s">
        <v>36</v>
      </c>
      <c r="AA209" s="50"/>
      <c r="AC209" s="100">
        <v>68835</v>
      </c>
      <c r="AD209" s="14">
        <v>68835</v>
      </c>
      <c r="AE209" s="100">
        <v>0</v>
      </c>
    </row>
    <row r="210" spans="1:31" ht="21.75" hidden="1" customHeight="1" x14ac:dyDescent="0.25">
      <c r="A210" s="6">
        <f>SUBTOTAL(3,$D$1:D210)-1</f>
        <v>1</v>
      </c>
      <c r="B210" s="7">
        <v>2001077</v>
      </c>
      <c r="C210" s="34" t="s">
        <v>585</v>
      </c>
      <c r="D210" s="11" t="s">
        <v>586</v>
      </c>
      <c r="E210" s="9" t="s">
        <v>940</v>
      </c>
      <c r="F210" s="9" t="s">
        <v>114</v>
      </c>
      <c r="G210" s="10">
        <v>45237</v>
      </c>
      <c r="H210" s="11" t="s">
        <v>40</v>
      </c>
      <c r="I210" s="11" t="s">
        <v>847</v>
      </c>
      <c r="J210" s="11">
        <v>39341.300000000003</v>
      </c>
      <c r="K210" s="11">
        <v>59011.95</v>
      </c>
      <c r="L210" s="12">
        <f t="shared" si="25"/>
        <v>98353.25</v>
      </c>
      <c r="M210" s="12">
        <f t="shared" si="26"/>
        <v>98353.25</v>
      </c>
      <c r="N210" s="12">
        <v>795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f t="shared" si="24"/>
        <v>0</v>
      </c>
      <c r="U210" s="12">
        <f t="shared" si="21"/>
        <v>99148.25</v>
      </c>
      <c r="V210" s="12">
        <f t="shared" si="23"/>
        <v>98353.25</v>
      </c>
      <c r="W210" s="13"/>
      <c r="X210" s="6" t="s">
        <v>202</v>
      </c>
      <c r="Y210" s="6" t="s">
        <v>869</v>
      </c>
      <c r="Z210" s="6" t="s">
        <v>36</v>
      </c>
      <c r="AA210" s="50"/>
      <c r="AC210" s="100">
        <v>99148.25</v>
      </c>
      <c r="AD210" s="110">
        <v>99148.25</v>
      </c>
      <c r="AE210" s="100">
        <v>0</v>
      </c>
    </row>
    <row r="211" spans="1:31" s="14" customFormat="1" ht="21.75" hidden="1" customHeight="1" x14ac:dyDescent="0.25">
      <c r="A211" s="6">
        <f>SUBTOTAL(3,$D$1:D211)-1</f>
        <v>1</v>
      </c>
      <c r="B211" s="23">
        <v>2001099</v>
      </c>
      <c r="C211" s="24" t="s">
        <v>587</v>
      </c>
      <c r="D211" s="25" t="s">
        <v>588</v>
      </c>
      <c r="E211" s="9" t="s">
        <v>389</v>
      </c>
      <c r="F211" s="26" t="s">
        <v>130</v>
      </c>
      <c r="G211" s="27">
        <v>45271</v>
      </c>
      <c r="H211" s="11" t="s">
        <v>33</v>
      </c>
      <c r="I211" s="11" t="s">
        <v>97</v>
      </c>
      <c r="J211" s="28">
        <v>18856.7</v>
      </c>
      <c r="K211" s="28">
        <v>28285.05</v>
      </c>
      <c r="L211" s="28">
        <f t="shared" si="25"/>
        <v>47141.75</v>
      </c>
      <c r="M211" s="28">
        <f t="shared" si="26"/>
        <v>47141.75</v>
      </c>
      <c r="N211" s="28">
        <v>795</v>
      </c>
      <c r="O211" s="28">
        <v>0</v>
      </c>
      <c r="P211" s="28">
        <f>2312.5</f>
        <v>2312.5</v>
      </c>
      <c r="Q211" s="28">
        <v>0</v>
      </c>
      <c r="R211" s="28">
        <v>0</v>
      </c>
      <c r="S211" s="28">
        <v>0</v>
      </c>
      <c r="T211" s="28">
        <f t="shared" si="24"/>
        <v>2312.5</v>
      </c>
      <c r="U211" s="28">
        <f t="shared" si="21"/>
        <v>50249.25</v>
      </c>
      <c r="V211" s="12">
        <f t="shared" si="23"/>
        <v>49454.25</v>
      </c>
      <c r="W211" s="29" t="s">
        <v>999</v>
      </c>
      <c r="X211" s="6" t="s">
        <v>88</v>
      </c>
      <c r="Y211" s="6" t="s">
        <v>880</v>
      </c>
      <c r="Z211" s="30" t="s">
        <v>36</v>
      </c>
      <c r="AA211" s="50"/>
      <c r="AC211" s="100">
        <v>50249.25</v>
      </c>
      <c r="AD211" s="14">
        <v>50249.25</v>
      </c>
      <c r="AE211" s="100">
        <v>0</v>
      </c>
    </row>
    <row r="212" spans="1:31" ht="21.75" hidden="1" customHeight="1" x14ac:dyDescent="0.25">
      <c r="A212" s="6">
        <f>SUBTOTAL(3,$D$1:D212)-1</f>
        <v>1</v>
      </c>
      <c r="B212" s="7">
        <v>2001105</v>
      </c>
      <c r="C212" s="34" t="s">
        <v>589</v>
      </c>
      <c r="D212" s="11" t="s">
        <v>590</v>
      </c>
      <c r="E212" s="9" t="s">
        <v>591</v>
      </c>
      <c r="F212" s="9" t="s">
        <v>52</v>
      </c>
      <c r="G212" s="10">
        <v>45278</v>
      </c>
      <c r="H212" s="11" t="s">
        <v>33</v>
      </c>
      <c r="I212" s="11" t="s">
        <v>97</v>
      </c>
      <c r="J212" s="11">
        <v>10710</v>
      </c>
      <c r="K212" s="11">
        <v>16065</v>
      </c>
      <c r="L212" s="12">
        <f t="shared" si="25"/>
        <v>26775</v>
      </c>
      <c r="M212" s="12">
        <f t="shared" si="26"/>
        <v>26775</v>
      </c>
      <c r="N212" s="12">
        <f>795</f>
        <v>795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f t="shared" si="24"/>
        <v>0</v>
      </c>
      <c r="U212" s="12">
        <f t="shared" si="21"/>
        <v>27570</v>
      </c>
      <c r="V212" s="12">
        <f t="shared" si="23"/>
        <v>26775</v>
      </c>
      <c r="W212" s="13"/>
      <c r="X212" s="6" t="s">
        <v>210</v>
      </c>
      <c r="Y212" s="6" t="s">
        <v>880</v>
      </c>
      <c r="Z212" s="6" t="s">
        <v>36</v>
      </c>
      <c r="AA212" s="50"/>
      <c r="AC212" s="100">
        <v>27570</v>
      </c>
      <c r="AD212" s="14">
        <v>27570</v>
      </c>
      <c r="AE212" s="100">
        <v>0</v>
      </c>
    </row>
    <row r="213" spans="1:31" ht="21.75" hidden="1" customHeight="1" x14ac:dyDescent="0.25">
      <c r="A213" s="6">
        <f>SUBTOTAL(3,$D$1:D213)-1</f>
        <v>1</v>
      </c>
      <c r="B213" s="7">
        <v>2001112</v>
      </c>
      <c r="C213" s="34" t="s">
        <v>592</v>
      </c>
      <c r="D213" s="11" t="s">
        <v>593</v>
      </c>
      <c r="E213" s="9" t="s">
        <v>594</v>
      </c>
      <c r="F213" s="9" t="s">
        <v>32</v>
      </c>
      <c r="G213" s="10">
        <v>45277</v>
      </c>
      <c r="H213" s="11" t="s">
        <v>40</v>
      </c>
      <c r="I213" s="11" t="s">
        <v>854</v>
      </c>
      <c r="J213" s="11">
        <v>12600</v>
      </c>
      <c r="K213" s="11">
        <v>18900</v>
      </c>
      <c r="L213" s="12">
        <f t="shared" si="25"/>
        <v>31500</v>
      </c>
      <c r="M213" s="12">
        <f t="shared" si="26"/>
        <v>31500</v>
      </c>
      <c r="N213" s="12">
        <f>795</f>
        <v>795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f t="shared" si="24"/>
        <v>0</v>
      </c>
      <c r="U213" s="12">
        <f t="shared" si="21"/>
        <v>32295</v>
      </c>
      <c r="V213" s="12">
        <f t="shared" si="23"/>
        <v>31500</v>
      </c>
      <c r="W213" s="13"/>
      <c r="X213" s="6" t="s">
        <v>88</v>
      </c>
      <c r="Y213" s="6" t="s">
        <v>886</v>
      </c>
      <c r="Z213" s="6" t="s">
        <v>36</v>
      </c>
      <c r="AA213" s="50"/>
      <c r="AC213" s="100">
        <v>32295</v>
      </c>
      <c r="AD213" s="14">
        <v>32295</v>
      </c>
      <c r="AE213" s="100">
        <v>0</v>
      </c>
    </row>
    <row r="214" spans="1:31" ht="21.75" hidden="1" customHeight="1" x14ac:dyDescent="0.25">
      <c r="A214" s="6">
        <f>SUBTOTAL(3,$D$1:D214)-1</f>
        <v>1</v>
      </c>
      <c r="B214" s="7">
        <v>2001117</v>
      </c>
      <c r="C214" s="34" t="s">
        <v>595</v>
      </c>
      <c r="D214" s="11" t="s">
        <v>596</v>
      </c>
      <c r="E214" s="9" t="s">
        <v>941</v>
      </c>
      <c r="F214" s="9" t="s">
        <v>52</v>
      </c>
      <c r="G214" s="10">
        <v>45320</v>
      </c>
      <c r="H214" s="11" t="s">
        <v>236</v>
      </c>
      <c r="I214" s="11" t="s">
        <v>237</v>
      </c>
      <c r="J214" s="11">
        <v>29400</v>
      </c>
      <c r="K214" s="11">
        <v>44100</v>
      </c>
      <c r="L214" s="12">
        <f t="shared" si="25"/>
        <v>73500</v>
      </c>
      <c r="M214" s="12">
        <f t="shared" si="26"/>
        <v>73500</v>
      </c>
      <c r="N214" s="12">
        <f>795</f>
        <v>795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f t="shared" si="24"/>
        <v>0</v>
      </c>
      <c r="U214" s="12">
        <f t="shared" si="21"/>
        <v>74295</v>
      </c>
      <c r="V214" s="12">
        <f t="shared" si="23"/>
        <v>73500</v>
      </c>
      <c r="W214" s="13"/>
      <c r="X214" s="6" t="s">
        <v>202</v>
      </c>
      <c r="Y214" s="6" t="s">
        <v>897</v>
      </c>
      <c r="Z214" s="6" t="s">
        <v>36</v>
      </c>
      <c r="AA214" s="50"/>
      <c r="AC214" s="100">
        <v>74295</v>
      </c>
      <c r="AD214" s="14">
        <v>74295</v>
      </c>
      <c r="AE214" s="100">
        <v>0</v>
      </c>
    </row>
    <row r="215" spans="1:31" ht="21.75" hidden="1" customHeight="1" x14ac:dyDescent="0.25">
      <c r="A215" s="6">
        <f>SUBTOTAL(3,$D$1:D215)-1</f>
        <v>1</v>
      </c>
      <c r="B215" s="7">
        <v>2001108</v>
      </c>
      <c r="C215" s="34" t="s">
        <v>597</v>
      </c>
      <c r="D215" s="11" t="s">
        <v>598</v>
      </c>
      <c r="E215" s="9" t="s">
        <v>599</v>
      </c>
      <c r="F215" s="9" t="s">
        <v>166</v>
      </c>
      <c r="G215" s="10">
        <v>45641</v>
      </c>
      <c r="H215" s="11" t="s">
        <v>49</v>
      </c>
      <c r="I215" s="11" t="s">
        <v>852</v>
      </c>
      <c r="J215" s="11">
        <v>13608</v>
      </c>
      <c r="K215" s="11">
        <v>20412</v>
      </c>
      <c r="L215" s="12">
        <f t="shared" si="25"/>
        <v>34020</v>
      </c>
      <c r="M215" s="12">
        <f t="shared" si="26"/>
        <v>34020</v>
      </c>
      <c r="N215" s="12">
        <v>795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f t="shared" si="24"/>
        <v>0</v>
      </c>
      <c r="U215" s="12">
        <f t="shared" si="21"/>
        <v>34815</v>
      </c>
      <c r="V215" s="12">
        <f t="shared" si="23"/>
        <v>34020</v>
      </c>
      <c r="W215" s="13"/>
      <c r="X215" s="6" t="s">
        <v>88</v>
      </c>
      <c r="Y215" s="6" t="s">
        <v>876</v>
      </c>
      <c r="Z215" s="6" t="s">
        <v>36</v>
      </c>
      <c r="AA215" s="50"/>
      <c r="AC215" s="100">
        <v>34815</v>
      </c>
      <c r="AD215" s="14">
        <v>34815</v>
      </c>
      <c r="AE215" s="100">
        <v>0</v>
      </c>
    </row>
    <row r="216" spans="1:31" ht="21.75" hidden="1" customHeight="1" x14ac:dyDescent="0.25">
      <c r="A216" s="6">
        <f>SUBTOTAL(3,$D$1:D216)-1</f>
        <v>1</v>
      </c>
      <c r="B216" s="7">
        <v>2000508</v>
      </c>
      <c r="C216" s="34" t="s">
        <v>600</v>
      </c>
      <c r="D216" s="11" t="s">
        <v>601</v>
      </c>
      <c r="E216" s="9" t="s">
        <v>418</v>
      </c>
      <c r="F216" s="9" t="s">
        <v>230</v>
      </c>
      <c r="G216" s="10">
        <v>45296</v>
      </c>
      <c r="H216" s="11" t="s">
        <v>40</v>
      </c>
      <c r="I216" s="11" t="s">
        <v>847</v>
      </c>
      <c r="J216" s="11">
        <v>27984</v>
      </c>
      <c r="K216" s="11">
        <v>41976</v>
      </c>
      <c r="L216" s="12">
        <f t="shared" si="25"/>
        <v>69960</v>
      </c>
      <c r="M216" s="12">
        <f t="shared" si="26"/>
        <v>69960</v>
      </c>
      <c r="N216" s="12">
        <v>795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f t="shared" si="24"/>
        <v>0</v>
      </c>
      <c r="U216" s="12">
        <f t="shared" si="21"/>
        <v>70755</v>
      </c>
      <c r="V216" s="12">
        <f t="shared" si="23"/>
        <v>69960</v>
      </c>
      <c r="W216" s="13"/>
      <c r="X216" s="6" t="s">
        <v>202</v>
      </c>
      <c r="Y216" s="6" t="s">
        <v>869</v>
      </c>
      <c r="Z216" s="6" t="s">
        <v>36</v>
      </c>
      <c r="AA216" s="50"/>
      <c r="AC216" s="100">
        <v>70755</v>
      </c>
      <c r="AD216" s="14">
        <v>70755</v>
      </c>
      <c r="AE216" s="100">
        <v>0</v>
      </c>
    </row>
    <row r="217" spans="1:31" ht="21.75" hidden="1" customHeight="1" x14ac:dyDescent="0.25">
      <c r="A217" s="6">
        <f>SUBTOTAL(3,$D$1:D217)-1</f>
        <v>1</v>
      </c>
      <c r="B217" s="7">
        <v>2001119</v>
      </c>
      <c r="C217" s="34" t="s">
        <v>602</v>
      </c>
      <c r="D217" s="11" t="s">
        <v>603</v>
      </c>
      <c r="E217" s="9" t="s">
        <v>1055</v>
      </c>
      <c r="F217" s="9" t="s">
        <v>52</v>
      </c>
      <c r="G217" s="10">
        <v>45320</v>
      </c>
      <c r="H217" s="11" t="s">
        <v>69</v>
      </c>
      <c r="I217" s="11" t="s">
        <v>275</v>
      </c>
      <c r="J217" s="11">
        <v>19804.7</v>
      </c>
      <c r="K217" s="11">
        <v>29707.05</v>
      </c>
      <c r="L217" s="12">
        <f t="shared" si="25"/>
        <v>49511.75</v>
      </c>
      <c r="M217" s="12">
        <f t="shared" si="26"/>
        <v>49511.75</v>
      </c>
      <c r="N217" s="12">
        <v>795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f t="shared" si="24"/>
        <v>0</v>
      </c>
      <c r="U217" s="12">
        <f t="shared" ref="U217:U248" si="27">+M217+N217+T217</f>
        <v>50306.75</v>
      </c>
      <c r="V217" s="12">
        <f t="shared" si="23"/>
        <v>49511.75</v>
      </c>
      <c r="W217" s="13"/>
      <c r="X217" s="6" t="s">
        <v>88</v>
      </c>
      <c r="Y217" s="6" t="s">
        <v>901</v>
      </c>
      <c r="Z217" s="6" t="s">
        <v>36</v>
      </c>
      <c r="AA217" s="50"/>
      <c r="AC217" s="100">
        <v>50306.75</v>
      </c>
      <c r="AD217" s="14">
        <v>50306.75</v>
      </c>
      <c r="AE217" s="100">
        <v>0</v>
      </c>
    </row>
    <row r="218" spans="1:31" ht="21.75" hidden="1" customHeight="1" x14ac:dyDescent="0.25">
      <c r="A218" s="6">
        <f>SUBTOTAL(3,$D$1:D218)-1</f>
        <v>1</v>
      </c>
      <c r="B218" s="7">
        <v>2001135</v>
      </c>
      <c r="C218" s="34" t="s">
        <v>604</v>
      </c>
      <c r="D218" s="11" t="s">
        <v>605</v>
      </c>
      <c r="E218" s="9" t="s">
        <v>606</v>
      </c>
      <c r="F218" s="9" t="s">
        <v>52</v>
      </c>
      <c r="G218" s="10">
        <v>45397</v>
      </c>
      <c r="H218" s="11" t="s">
        <v>33</v>
      </c>
      <c r="I218" s="11" t="s">
        <v>97</v>
      </c>
      <c r="J218" s="11">
        <v>14237.6</v>
      </c>
      <c r="K218" s="11">
        <v>21356.399999999998</v>
      </c>
      <c r="L218" s="12">
        <f t="shared" si="25"/>
        <v>35594</v>
      </c>
      <c r="M218" s="12">
        <f t="shared" si="26"/>
        <v>35594</v>
      </c>
      <c r="N218" s="12">
        <v>795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f t="shared" si="24"/>
        <v>0</v>
      </c>
      <c r="U218" s="12">
        <f t="shared" si="27"/>
        <v>36389</v>
      </c>
      <c r="V218" s="12">
        <f t="shared" si="23"/>
        <v>35594</v>
      </c>
      <c r="W218" s="13"/>
      <c r="X218" s="6" t="s">
        <v>88</v>
      </c>
      <c r="Y218" s="6" t="s">
        <v>880</v>
      </c>
      <c r="Z218" s="6" t="s">
        <v>36</v>
      </c>
      <c r="AA218" s="50"/>
      <c r="AC218" s="100">
        <v>36389</v>
      </c>
      <c r="AD218" s="14">
        <v>36389</v>
      </c>
      <c r="AE218" s="100">
        <v>0</v>
      </c>
    </row>
    <row r="219" spans="1:31" s="14" customFormat="1" ht="21.75" hidden="1" customHeight="1" x14ac:dyDescent="0.25">
      <c r="A219" s="6">
        <f>SUBTOTAL(3,$D$1:D219)-1</f>
        <v>1</v>
      </c>
      <c r="B219" s="23">
        <v>2000582</v>
      </c>
      <c r="C219" s="24" t="s">
        <v>607</v>
      </c>
      <c r="D219" s="25" t="s">
        <v>608</v>
      </c>
      <c r="E219" s="9" t="s">
        <v>609</v>
      </c>
      <c r="F219" s="26" t="s">
        <v>48</v>
      </c>
      <c r="G219" s="27">
        <v>45385</v>
      </c>
      <c r="H219" s="11" t="s">
        <v>40</v>
      </c>
      <c r="I219" s="11" t="s">
        <v>854</v>
      </c>
      <c r="J219" s="28">
        <v>25300</v>
      </c>
      <c r="K219" s="28">
        <v>37950</v>
      </c>
      <c r="L219" s="28">
        <f t="shared" si="25"/>
        <v>63250</v>
      </c>
      <c r="M219" s="28">
        <f t="shared" si="26"/>
        <v>63250</v>
      </c>
      <c r="N219" s="28">
        <v>795</v>
      </c>
      <c r="O219" s="28">
        <v>0</v>
      </c>
      <c r="P219" s="28">
        <v>3250</v>
      </c>
      <c r="Q219" s="28">
        <v>0</v>
      </c>
      <c r="R219" s="28">
        <v>0</v>
      </c>
      <c r="S219" s="28">
        <v>0</v>
      </c>
      <c r="T219" s="28">
        <f t="shared" si="24"/>
        <v>3250</v>
      </c>
      <c r="U219" s="28">
        <f t="shared" si="27"/>
        <v>67295</v>
      </c>
      <c r="V219" s="12">
        <f t="shared" si="23"/>
        <v>66500</v>
      </c>
      <c r="W219" s="29" t="s">
        <v>997</v>
      </c>
      <c r="X219" s="6" t="s">
        <v>88</v>
      </c>
      <c r="Y219" s="6" t="s">
        <v>886</v>
      </c>
      <c r="Z219" s="30" t="s">
        <v>36</v>
      </c>
      <c r="AA219" s="50"/>
      <c r="AC219" s="100">
        <v>67295</v>
      </c>
      <c r="AD219" s="14">
        <v>67295</v>
      </c>
      <c r="AE219" s="100">
        <v>0</v>
      </c>
    </row>
    <row r="220" spans="1:31" ht="21.75" hidden="1" customHeight="1" x14ac:dyDescent="0.25">
      <c r="A220" s="6">
        <f>SUBTOTAL(3,$D$1:D220)-1</f>
        <v>1</v>
      </c>
      <c r="B220" s="7">
        <v>2000571</v>
      </c>
      <c r="C220" s="34" t="s">
        <v>610</v>
      </c>
      <c r="D220" s="11" t="s">
        <v>611</v>
      </c>
      <c r="E220" s="9" t="s">
        <v>612</v>
      </c>
      <c r="F220" s="9" t="s">
        <v>81</v>
      </c>
      <c r="G220" s="10">
        <v>45385</v>
      </c>
      <c r="H220" s="11" t="s">
        <v>236</v>
      </c>
      <c r="I220" s="11" t="s">
        <v>306</v>
      </c>
      <c r="J220" s="11">
        <v>14700</v>
      </c>
      <c r="K220" s="11">
        <v>22050</v>
      </c>
      <c r="L220" s="12">
        <f t="shared" si="25"/>
        <v>36750</v>
      </c>
      <c r="M220" s="12">
        <f t="shared" si="26"/>
        <v>36750</v>
      </c>
      <c r="N220" s="12">
        <v>795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f t="shared" si="24"/>
        <v>0</v>
      </c>
      <c r="U220" s="12">
        <f t="shared" si="27"/>
        <v>37545</v>
      </c>
      <c r="V220" s="12">
        <f t="shared" si="23"/>
        <v>36750</v>
      </c>
      <c r="W220" s="13"/>
      <c r="X220" s="6" t="s">
        <v>41</v>
      </c>
      <c r="Y220" s="6" t="s">
        <v>904</v>
      </c>
      <c r="Z220" s="6" t="s">
        <v>36</v>
      </c>
      <c r="AA220" s="50"/>
      <c r="AC220" s="100">
        <v>37545</v>
      </c>
      <c r="AD220" s="14">
        <v>37545</v>
      </c>
      <c r="AE220" s="100">
        <v>0</v>
      </c>
    </row>
    <row r="221" spans="1:31" ht="21.75" hidden="1" customHeight="1" x14ac:dyDescent="0.25">
      <c r="A221" s="6">
        <f>SUBTOTAL(3,$D$1:D221)-1</f>
        <v>1</v>
      </c>
      <c r="B221" s="7">
        <v>2001141</v>
      </c>
      <c r="C221" s="34" t="s">
        <v>613</v>
      </c>
      <c r="D221" s="11" t="s">
        <v>614</v>
      </c>
      <c r="E221" s="9" t="s">
        <v>1056</v>
      </c>
      <c r="F221" s="9" t="s">
        <v>320</v>
      </c>
      <c r="G221" s="10">
        <v>45467</v>
      </c>
      <c r="H221" s="11" t="s">
        <v>87</v>
      </c>
      <c r="I221" s="11" t="s">
        <v>1008</v>
      </c>
      <c r="J221" s="11">
        <f>VLOOKUP(C221,'[1]Sheet1 (5)'!$B$1:$W$121,21,0)</f>
        <v>48400</v>
      </c>
      <c r="K221" s="11">
        <f>VLOOKUP(C221,'[1]Sheet1 (5)'!$B$1:$W$121,22,0)</f>
        <v>72600</v>
      </c>
      <c r="L221" s="12">
        <f t="shared" si="25"/>
        <v>121000</v>
      </c>
      <c r="M221" s="12">
        <f t="shared" si="26"/>
        <v>121000</v>
      </c>
      <c r="N221" s="12">
        <f>795</f>
        <v>795</v>
      </c>
      <c r="O221" s="12">
        <v>22000</v>
      </c>
      <c r="P221" s="12">
        <v>0</v>
      </c>
      <c r="Q221" s="12">
        <v>0</v>
      </c>
      <c r="R221" s="12">
        <v>0</v>
      </c>
      <c r="S221" s="12">
        <v>0</v>
      </c>
      <c r="T221" s="12">
        <f t="shared" si="24"/>
        <v>22000</v>
      </c>
      <c r="U221" s="12">
        <f t="shared" si="27"/>
        <v>143795</v>
      </c>
      <c r="V221" s="12">
        <f t="shared" si="23"/>
        <v>143000</v>
      </c>
      <c r="W221" s="13" t="s">
        <v>1180</v>
      </c>
      <c r="X221" s="6" t="s">
        <v>912</v>
      </c>
      <c r="Y221" s="6" t="s">
        <v>877</v>
      </c>
      <c r="Z221" s="6" t="s">
        <v>36</v>
      </c>
      <c r="AA221" s="50"/>
      <c r="AC221" s="100">
        <v>143795</v>
      </c>
      <c r="AD221" s="110">
        <v>143795</v>
      </c>
      <c r="AE221" s="100">
        <v>0</v>
      </c>
    </row>
    <row r="222" spans="1:31" ht="21.75" hidden="1" customHeight="1" x14ac:dyDescent="0.25">
      <c r="A222" s="6">
        <f>SUBTOTAL(3,$D$1:D222)-1</f>
        <v>1</v>
      </c>
      <c r="B222" s="7">
        <v>2001139</v>
      </c>
      <c r="C222" s="34" t="s">
        <v>615</v>
      </c>
      <c r="D222" s="11" t="s">
        <v>616</v>
      </c>
      <c r="E222" s="9" t="s">
        <v>617</v>
      </c>
      <c r="F222" s="9" t="s">
        <v>52</v>
      </c>
      <c r="G222" s="10">
        <v>45449</v>
      </c>
      <c r="H222" s="11" t="s">
        <v>33</v>
      </c>
      <c r="I222" s="11" t="s">
        <v>97</v>
      </c>
      <c r="J222" s="11">
        <f>VLOOKUP(C222,'[1]Sheet1 (5)'!$B$1:$W$121,21,0)</f>
        <v>19800</v>
      </c>
      <c r="K222" s="11">
        <f>VLOOKUP(C222,'[1]Sheet1 (5)'!$B$1:$W$121,22,0)</f>
        <v>29700</v>
      </c>
      <c r="L222" s="12">
        <f t="shared" si="25"/>
        <v>49500</v>
      </c>
      <c r="M222" s="12">
        <f t="shared" si="26"/>
        <v>49500</v>
      </c>
      <c r="N222" s="12">
        <v>795</v>
      </c>
      <c r="O222" s="12">
        <v>9000</v>
      </c>
      <c r="P222" s="12">
        <v>0</v>
      </c>
      <c r="Q222" s="12">
        <v>0</v>
      </c>
      <c r="R222" s="12">
        <v>0</v>
      </c>
      <c r="S222" s="12">
        <v>0</v>
      </c>
      <c r="T222" s="12">
        <f t="shared" si="24"/>
        <v>9000</v>
      </c>
      <c r="U222" s="12">
        <f t="shared" si="27"/>
        <v>59295</v>
      </c>
      <c r="V222" s="12">
        <f t="shared" si="23"/>
        <v>58500</v>
      </c>
      <c r="W222" s="13" t="s">
        <v>1180</v>
      </c>
      <c r="X222" s="6" t="s">
        <v>56</v>
      </c>
      <c r="Y222" s="6" t="s">
        <v>880</v>
      </c>
      <c r="Z222" s="6" t="s">
        <v>36</v>
      </c>
      <c r="AA222" s="50"/>
      <c r="AC222" s="100">
        <v>59295</v>
      </c>
      <c r="AD222" s="14">
        <v>59295</v>
      </c>
      <c r="AE222" s="100">
        <v>0</v>
      </c>
    </row>
    <row r="223" spans="1:31" s="14" customFormat="1" ht="21.75" hidden="1" customHeight="1" x14ac:dyDescent="0.25">
      <c r="A223" s="6">
        <f>SUBTOTAL(3,$D$1:D223)-1</f>
        <v>1</v>
      </c>
      <c r="B223" s="7">
        <v>2001162</v>
      </c>
      <c r="C223" s="34" t="s">
        <v>618</v>
      </c>
      <c r="D223" s="11" t="s">
        <v>619</v>
      </c>
      <c r="E223" s="9" t="s">
        <v>620</v>
      </c>
      <c r="F223" s="9" t="s">
        <v>61</v>
      </c>
      <c r="G223" s="10">
        <v>45546</v>
      </c>
      <c r="H223" s="11" t="s">
        <v>49</v>
      </c>
      <c r="I223" s="11" t="s">
        <v>855</v>
      </c>
      <c r="J223" s="11">
        <v>22000</v>
      </c>
      <c r="K223" s="11">
        <v>33000</v>
      </c>
      <c r="L223" s="12">
        <f t="shared" si="25"/>
        <v>55000</v>
      </c>
      <c r="M223" s="12">
        <f t="shared" si="26"/>
        <v>55000</v>
      </c>
      <c r="N223" s="12">
        <v>795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f t="shared" si="24"/>
        <v>0</v>
      </c>
      <c r="U223" s="12">
        <f t="shared" si="27"/>
        <v>55795</v>
      </c>
      <c r="V223" s="12">
        <f t="shared" si="23"/>
        <v>55000</v>
      </c>
      <c r="W223" s="96"/>
      <c r="X223" s="6" t="s">
        <v>56</v>
      </c>
      <c r="Y223" s="6" t="s">
        <v>887</v>
      </c>
      <c r="Z223" s="6" t="s">
        <v>36</v>
      </c>
      <c r="AA223" s="50"/>
      <c r="AB223" s="5"/>
      <c r="AC223" s="100">
        <v>55795</v>
      </c>
      <c r="AD223" s="14">
        <v>55795</v>
      </c>
      <c r="AE223" s="100">
        <v>0</v>
      </c>
    </row>
    <row r="224" spans="1:31" s="14" customFormat="1" ht="21.75" hidden="1" customHeight="1" x14ac:dyDescent="0.25">
      <c r="A224" s="6">
        <f>SUBTOTAL(3,$D$1:D224)-1</f>
        <v>1</v>
      </c>
      <c r="B224" s="7">
        <v>2001136</v>
      </c>
      <c r="C224" s="15" t="s">
        <v>633</v>
      </c>
      <c r="D224" s="9" t="s">
        <v>627</v>
      </c>
      <c r="E224" s="9" t="s">
        <v>1057</v>
      </c>
      <c r="F224" s="9" t="s">
        <v>52</v>
      </c>
      <c r="G224" s="10">
        <v>45566</v>
      </c>
      <c r="H224" s="11" t="s">
        <v>33</v>
      </c>
      <c r="I224" s="11" t="s">
        <v>53</v>
      </c>
      <c r="J224" s="11">
        <v>15960</v>
      </c>
      <c r="K224" s="11">
        <v>23940</v>
      </c>
      <c r="L224" s="12">
        <f t="shared" si="25"/>
        <v>39900</v>
      </c>
      <c r="M224" s="12">
        <f t="shared" si="26"/>
        <v>39900</v>
      </c>
      <c r="N224" s="12">
        <v>795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f t="shared" si="24"/>
        <v>0</v>
      </c>
      <c r="U224" s="12">
        <f t="shared" si="27"/>
        <v>40695</v>
      </c>
      <c r="V224" s="12">
        <f t="shared" si="23"/>
        <v>39900</v>
      </c>
      <c r="W224" s="96"/>
      <c r="X224" s="6" t="s">
        <v>56</v>
      </c>
      <c r="Y224" s="6" t="s">
        <v>872</v>
      </c>
      <c r="Z224" s="6" t="s">
        <v>36</v>
      </c>
      <c r="AA224" s="50"/>
      <c r="AC224" s="100">
        <v>40695</v>
      </c>
      <c r="AD224" s="14">
        <v>40695</v>
      </c>
      <c r="AE224" s="100">
        <v>0</v>
      </c>
    </row>
    <row r="225" spans="1:31" s="14" customFormat="1" ht="21.75" hidden="1" customHeight="1" x14ac:dyDescent="0.25">
      <c r="A225" s="6">
        <f>SUBTOTAL(3,$D$1:D225)-1</f>
        <v>1</v>
      </c>
      <c r="B225" s="22">
        <v>2001257</v>
      </c>
      <c r="C225" s="8" t="s">
        <v>768</v>
      </c>
      <c r="D225" s="17" t="s">
        <v>762</v>
      </c>
      <c r="E225" s="9" t="s">
        <v>763</v>
      </c>
      <c r="F225" s="9" t="s">
        <v>621</v>
      </c>
      <c r="G225" s="10">
        <v>45660</v>
      </c>
      <c r="H225" s="11" t="s">
        <v>45</v>
      </c>
      <c r="I225" s="11" t="s">
        <v>256</v>
      </c>
      <c r="J225" s="11">
        <v>36000</v>
      </c>
      <c r="K225" s="11">
        <v>54000</v>
      </c>
      <c r="L225" s="12">
        <f t="shared" si="25"/>
        <v>90000</v>
      </c>
      <c r="M225" s="12">
        <f>L225/30*30</f>
        <v>90000</v>
      </c>
      <c r="N225" s="12">
        <v>795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f t="shared" si="24"/>
        <v>0</v>
      </c>
      <c r="U225" s="18">
        <f t="shared" si="27"/>
        <v>90795</v>
      </c>
      <c r="V225" s="12">
        <f t="shared" si="23"/>
        <v>90000</v>
      </c>
      <c r="W225" s="96"/>
      <c r="X225" s="6" t="s">
        <v>912</v>
      </c>
      <c r="Y225" s="6" t="s">
        <v>898</v>
      </c>
      <c r="Z225" s="6" t="s">
        <v>36</v>
      </c>
      <c r="AA225" s="50"/>
      <c r="AC225" s="100">
        <v>90795</v>
      </c>
      <c r="AD225" s="14">
        <v>90795</v>
      </c>
      <c r="AE225" s="100">
        <v>0</v>
      </c>
    </row>
    <row r="226" spans="1:31" s="14" customFormat="1" ht="21.75" hidden="1" customHeight="1" x14ac:dyDescent="0.25">
      <c r="A226" s="6">
        <f>SUBTOTAL(3,$D$1:D226)-1</f>
        <v>1</v>
      </c>
      <c r="B226" s="7">
        <v>2001174</v>
      </c>
      <c r="C226" s="15" t="s">
        <v>634</v>
      </c>
      <c r="D226" s="9" t="s">
        <v>628</v>
      </c>
      <c r="E226" s="9" t="s">
        <v>724</v>
      </c>
      <c r="F226" s="9" t="s">
        <v>84</v>
      </c>
      <c r="G226" s="10">
        <v>45575</v>
      </c>
      <c r="H226" s="11" t="s">
        <v>33</v>
      </c>
      <c r="I226" s="11" t="s">
        <v>97</v>
      </c>
      <c r="J226" s="11">
        <v>14000</v>
      </c>
      <c r="K226" s="11">
        <v>21000</v>
      </c>
      <c r="L226" s="12">
        <f t="shared" si="25"/>
        <v>35000</v>
      </c>
      <c r="M226" s="12">
        <f>L226</f>
        <v>35000</v>
      </c>
      <c r="N226" s="12">
        <v>795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f t="shared" si="24"/>
        <v>0</v>
      </c>
      <c r="U226" s="12">
        <f t="shared" si="27"/>
        <v>35795</v>
      </c>
      <c r="V226" s="12">
        <f t="shared" si="23"/>
        <v>35000</v>
      </c>
      <c r="W226" s="96"/>
      <c r="X226" s="6" t="s">
        <v>56</v>
      </c>
      <c r="Y226" s="6" t="s">
        <v>880</v>
      </c>
      <c r="Z226" s="6" t="s">
        <v>36</v>
      </c>
      <c r="AA226" s="50"/>
      <c r="AC226" s="100">
        <v>35795</v>
      </c>
      <c r="AD226" s="14">
        <v>35795</v>
      </c>
      <c r="AE226" s="100">
        <v>0</v>
      </c>
    </row>
    <row r="227" spans="1:31" s="14" customFormat="1" ht="21.75" hidden="1" customHeight="1" x14ac:dyDescent="0.25">
      <c r="A227" s="6">
        <f>SUBTOTAL(3,$D$1:D227)-1</f>
        <v>1</v>
      </c>
      <c r="B227" s="7">
        <v>2001187</v>
      </c>
      <c r="C227" s="16" t="s">
        <v>651</v>
      </c>
      <c r="D227" s="17" t="s">
        <v>647</v>
      </c>
      <c r="E227" s="9" t="s">
        <v>649</v>
      </c>
      <c r="F227" s="9" t="s">
        <v>121</v>
      </c>
      <c r="G227" s="10">
        <v>45593</v>
      </c>
      <c r="H227" s="11" t="s">
        <v>87</v>
      </c>
      <c r="I227" s="11" t="s">
        <v>858</v>
      </c>
      <c r="J227" s="11">
        <v>14000</v>
      </c>
      <c r="K227" s="11">
        <v>21000</v>
      </c>
      <c r="L227" s="12">
        <f t="shared" si="25"/>
        <v>35000</v>
      </c>
      <c r="M227" s="12">
        <f>L227</f>
        <v>35000</v>
      </c>
      <c r="N227" s="12">
        <f>795</f>
        <v>795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f t="shared" si="24"/>
        <v>0</v>
      </c>
      <c r="U227" s="18">
        <f t="shared" si="27"/>
        <v>35795</v>
      </c>
      <c r="V227" s="12">
        <f t="shared" si="23"/>
        <v>35000</v>
      </c>
      <c r="W227" s="96"/>
      <c r="X227" s="6" t="s">
        <v>56</v>
      </c>
      <c r="Y227" s="6" t="s">
        <v>895</v>
      </c>
      <c r="Z227" s="6" t="s">
        <v>36</v>
      </c>
      <c r="AA227" s="50"/>
      <c r="AC227" s="100">
        <v>35795</v>
      </c>
      <c r="AD227" s="14">
        <v>35795</v>
      </c>
      <c r="AE227" s="100">
        <v>0</v>
      </c>
    </row>
    <row r="228" spans="1:31" s="14" customFormat="1" ht="21.75" hidden="1" customHeight="1" x14ac:dyDescent="0.25">
      <c r="A228" s="6">
        <f>SUBTOTAL(3,$D$1:D228)-1</f>
        <v>1</v>
      </c>
      <c r="B228" s="7">
        <v>2001165</v>
      </c>
      <c r="C228" s="15" t="s">
        <v>639</v>
      </c>
      <c r="D228" s="9" t="s">
        <v>637</v>
      </c>
      <c r="E228" s="9" t="s">
        <v>638</v>
      </c>
      <c r="F228" s="9" t="s">
        <v>114</v>
      </c>
      <c r="G228" s="10">
        <v>45565</v>
      </c>
      <c r="H228" s="11" t="s">
        <v>87</v>
      </c>
      <c r="I228" s="11" t="s">
        <v>858</v>
      </c>
      <c r="J228" s="11">
        <v>26000</v>
      </c>
      <c r="K228" s="11">
        <v>39000</v>
      </c>
      <c r="L228" s="12">
        <f t="shared" si="25"/>
        <v>65000</v>
      </c>
      <c r="M228" s="12">
        <f>+L228</f>
        <v>65000</v>
      </c>
      <c r="N228" s="12">
        <v>795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f t="shared" si="24"/>
        <v>0</v>
      </c>
      <c r="U228" s="12">
        <f t="shared" si="27"/>
        <v>65795</v>
      </c>
      <c r="V228" s="12">
        <f t="shared" si="23"/>
        <v>65000</v>
      </c>
      <c r="W228" s="96"/>
      <c r="X228" s="6" t="s">
        <v>253</v>
      </c>
      <c r="Y228" s="6" t="s">
        <v>895</v>
      </c>
      <c r="Z228" s="6" t="s">
        <v>36</v>
      </c>
      <c r="AA228" s="50"/>
      <c r="AC228" s="100">
        <v>65795</v>
      </c>
      <c r="AD228" s="14">
        <v>65795</v>
      </c>
      <c r="AE228" s="100">
        <v>0</v>
      </c>
    </row>
    <row r="229" spans="1:31" s="14" customFormat="1" ht="21.75" hidden="1" customHeight="1" x14ac:dyDescent="0.25">
      <c r="A229" s="6">
        <f>SUBTOTAL(3,$D$1:D229)-1</f>
        <v>1</v>
      </c>
      <c r="B229" s="7">
        <v>2001170</v>
      </c>
      <c r="C229" s="16" t="s">
        <v>631</v>
      </c>
      <c r="D229" s="17" t="s">
        <v>624</v>
      </c>
      <c r="E229" s="9" t="s">
        <v>1058</v>
      </c>
      <c r="F229" s="9" t="s">
        <v>121</v>
      </c>
      <c r="G229" s="10">
        <v>45566</v>
      </c>
      <c r="H229" s="11" t="s">
        <v>45</v>
      </c>
      <c r="I229" s="11" t="s">
        <v>370</v>
      </c>
      <c r="J229" s="11">
        <v>14000</v>
      </c>
      <c r="K229" s="11">
        <v>21000</v>
      </c>
      <c r="L229" s="12">
        <f t="shared" si="25"/>
        <v>35000</v>
      </c>
      <c r="M229" s="12">
        <f t="shared" ref="M229:M237" si="28">L229</f>
        <v>35000</v>
      </c>
      <c r="N229" s="12">
        <v>795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f t="shared" si="24"/>
        <v>0</v>
      </c>
      <c r="U229" s="18">
        <f t="shared" si="27"/>
        <v>35795</v>
      </c>
      <c r="V229" s="12">
        <f t="shared" si="23"/>
        <v>35000</v>
      </c>
      <c r="W229" s="96"/>
      <c r="X229" s="6" t="s">
        <v>56</v>
      </c>
      <c r="Y229" s="6" t="s">
        <v>906</v>
      </c>
      <c r="Z229" s="6" t="s">
        <v>36</v>
      </c>
      <c r="AA229" s="50"/>
      <c r="AC229" s="100">
        <v>35795</v>
      </c>
      <c r="AD229" s="14">
        <v>35795</v>
      </c>
      <c r="AE229" s="100">
        <v>0</v>
      </c>
    </row>
    <row r="230" spans="1:31" s="14" customFormat="1" ht="21.75" hidden="1" customHeight="1" x14ac:dyDescent="0.25">
      <c r="A230" s="6">
        <f>SUBTOTAL(3,$D$1:D230)-1</f>
        <v>1</v>
      </c>
      <c r="B230" s="7">
        <v>2001175</v>
      </c>
      <c r="C230" s="16" t="s">
        <v>643</v>
      </c>
      <c r="D230" s="17" t="s">
        <v>640</v>
      </c>
      <c r="E230" s="9" t="s">
        <v>530</v>
      </c>
      <c r="F230" s="9" t="s">
        <v>81</v>
      </c>
      <c r="G230" s="10">
        <v>45579</v>
      </c>
      <c r="H230" s="11" t="s">
        <v>33</v>
      </c>
      <c r="I230" s="11" t="s">
        <v>97</v>
      </c>
      <c r="J230" s="11">
        <v>11350</v>
      </c>
      <c r="K230" s="11">
        <v>17025</v>
      </c>
      <c r="L230" s="12">
        <f t="shared" si="25"/>
        <v>28375</v>
      </c>
      <c r="M230" s="12">
        <f t="shared" si="28"/>
        <v>28375</v>
      </c>
      <c r="N230" s="12">
        <f>795</f>
        <v>795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f t="shared" si="24"/>
        <v>0</v>
      </c>
      <c r="U230" s="18">
        <f t="shared" si="27"/>
        <v>29170</v>
      </c>
      <c r="V230" s="12">
        <f t="shared" si="23"/>
        <v>28375</v>
      </c>
      <c r="W230" s="96"/>
      <c r="X230" s="6" t="s">
        <v>56</v>
      </c>
      <c r="Y230" s="6" t="s">
        <v>880</v>
      </c>
      <c r="Z230" s="6" t="s">
        <v>36</v>
      </c>
      <c r="AA230" s="50"/>
      <c r="AC230" s="100">
        <v>29170</v>
      </c>
      <c r="AD230" s="14">
        <v>29170</v>
      </c>
      <c r="AE230" s="100">
        <v>0</v>
      </c>
    </row>
    <row r="231" spans="1:31" s="14" customFormat="1" ht="21.75" hidden="1" customHeight="1" x14ac:dyDescent="0.25">
      <c r="A231" s="6">
        <f>SUBTOTAL(3,$D$1:D231)-1</f>
        <v>1</v>
      </c>
      <c r="B231" s="7">
        <v>2001173</v>
      </c>
      <c r="C231" s="15" t="s">
        <v>632</v>
      </c>
      <c r="D231" s="9" t="s">
        <v>625</v>
      </c>
      <c r="E231" s="9" t="s">
        <v>626</v>
      </c>
      <c r="F231" s="9" t="s">
        <v>84</v>
      </c>
      <c r="G231" s="10">
        <v>45566</v>
      </c>
      <c r="H231" s="11" t="s">
        <v>87</v>
      </c>
      <c r="I231" s="11" t="s">
        <v>176</v>
      </c>
      <c r="J231" s="11">
        <v>16800</v>
      </c>
      <c r="K231" s="11">
        <v>25200</v>
      </c>
      <c r="L231" s="12">
        <f t="shared" si="25"/>
        <v>42000</v>
      </c>
      <c r="M231" s="12">
        <f t="shared" si="28"/>
        <v>42000</v>
      </c>
      <c r="N231" s="12">
        <v>795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f t="shared" si="24"/>
        <v>0</v>
      </c>
      <c r="U231" s="12">
        <f t="shared" si="27"/>
        <v>42795</v>
      </c>
      <c r="V231" s="12">
        <f t="shared" si="23"/>
        <v>42000</v>
      </c>
      <c r="W231" s="96"/>
      <c r="X231" s="6" t="s">
        <v>56</v>
      </c>
      <c r="Y231" s="6" t="s">
        <v>890</v>
      </c>
      <c r="Z231" s="6" t="s">
        <v>36</v>
      </c>
      <c r="AA231" s="50"/>
      <c r="AC231" s="100">
        <v>42795</v>
      </c>
      <c r="AD231" s="14">
        <v>42795</v>
      </c>
      <c r="AE231" s="100">
        <v>0</v>
      </c>
    </row>
    <row r="232" spans="1:31" s="14" customFormat="1" ht="21.75" hidden="1" customHeight="1" x14ac:dyDescent="0.25">
      <c r="A232" s="6">
        <f>SUBTOTAL(3,$D$1:D232)-1</f>
        <v>1</v>
      </c>
      <c r="B232" s="7">
        <v>2001177</v>
      </c>
      <c r="C232" s="15" t="s">
        <v>635</v>
      </c>
      <c r="D232" s="9" t="s">
        <v>629</v>
      </c>
      <c r="E232" s="9" t="s">
        <v>1059</v>
      </c>
      <c r="F232" s="9" t="s">
        <v>188</v>
      </c>
      <c r="G232" s="10">
        <v>45572</v>
      </c>
      <c r="H232" s="11" t="s">
        <v>236</v>
      </c>
      <c r="I232" s="11" t="s">
        <v>448</v>
      </c>
      <c r="J232" s="11">
        <v>22500</v>
      </c>
      <c r="K232" s="11">
        <v>33750</v>
      </c>
      <c r="L232" s="12">
        <f t="shared" si="25"/>
        <v>56250</v>
      </c>
      <c r="M232" s="12">
        <f t="shared" si="28"/>
        <v>56250</v>
      </c>
      <c r="N232" s="12">
        <v>795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f t="shared" si="24"/>
        <v>0</v>
      </c>
      <c r="U232" s="12">
        <f t="shared" si="27"/>
        <v>57045</v>
      </c>
      <c r="V232" s="12">
        <f t="shared" si="23"/>
        <v>56250</v>
      </c>
      <c r="W232" s="96"/>
      <c r="X232" s="6" t="s">
        <v>253</v>
      </c>
      <c r="Y232" s="6" t="s">
        <v>910</v>
      </c>
      <c r="Z232" s="6" t="s">
        <v>36</v>
      </c>
      <c r="AA232" s="50"/>
      <c r="AC232" s="100">
        <v>57045</v>
      </c>
      <c r="AD232" s="14">
        <v>57045</v>
      </c>
      <c r="AE232" s="100">
        <v>0</v>
      </c>
    </row>
    <row r="233" spans="1:31" s="14" customFormat="1" ht="21.75" hidden="1" customHeight="1" x14ac:dyDescent="0.25">
      <c r="A233" s="6">
        <f>SUBTOTAL(3,$D$1:D233)-1</f>
        <v>1</v>
      </c>
      <c r="B233" s="7">
        <v>2001172</v>
      </c>
      <c r="C233" s="15" t="s">
        <v>636</v>
      </c>
      <c r="D233" s="88" t="s">
        <v>630</v>
      </c>
      <c r="E233" s="9" t="s">
        <v>264</v>
      </c>
      <c r="F233" s="9" t="s">
        <v>274</v>
      </c>
      <c r="G233" s="10">
        <v>45574</v>
      </c>
      <c r="H233" s="11" t="s">
        <v>33</v>
      </c>
      <c r="I233" s="11" t="s">
        <v>152</v>
      </c>
      <c r="J233" s="11">
        <v>16594</v>
      </c>
      <c r="K233" s="11">
        <v>24891</v>
      </c>
      <c r="L233" s="12">
        <f t="shared" si="25"/>
        <v>41485</v>
      </c>
      <c r="M233" s="12">
        <f t="shared" si="28"/>
        <v>41485</v>
      </c>
      <c r="N233" s="12">
        <f>795</f>
        <v>795</v>
      </c>
      <c r="O233" s="12">
        <v>0</v>
      </c>
      <c r="P233" s="12">
        <v>0</v>
      </c>
      <c r="Q233" s="12">
        <f>M233*15%</f>
        <v>6222.75</v>
      </c>
      <c r="R233" s="12">
        <v>0</v>
      </c>
      <c r="S233" s="12">
        <f>M233*5%</f>
        <v>2074.25</v>
      </c>
      <c r="T233" s="12">
        <f t="shared" si="24"/>
        <v>6222.75</v>
      </c>
      <c r="U233" s="12">
        <f t="shared" si="27"/>
        <v>48502.75</v>
      </c>
      <c r="V233" s="12">
        <f t="shared" si="23"/>
        <v>39410.75</v>
      </c>
      <c r="W233" s="13" t="s">
        <v>1184</v>
      </c>
      <c r="X233" s="6" t="s">
        <v>56</v>
      </c>
      <c r="Y233" s="6" t="s">
        <v>888</v>
      </c>
      <c r="Z233" s="6" t="s">
        <v>36</v>
      </c>
      <c r="AA233" s="14" t="str">
        <f>W233</f>
        <v>Employer pension share for November 2025 - 15%</v>
      </c>
      <c r="AB233" s="14" t="str">
        <f>CONCATENATE(C233," - ", D233," - ",AA233)</f>
        <v>02-4838 - Anwar Salem Ahmed Alragabi Almessabi - Employer pension share for November 2025 - 15%</v>
      </c>
      <c r="AC233" s="100">
        <v>48502.75</v>
      </c>
      <c r="AD233" s="14">
        <v>48502.75</v>
      </c>
      <c r="AE233" s="100">
        <v>0</v>
      </c>
    </row>
    <row r="234" spans="1:31" s="14" customFormat="1" ht="21.75" hidden="1" customHeight="1" x14ac:dyDescent="0.25">
      <c r="A234" s="6">
        <f>SUBTOTAL(3,$D$1:D234)-1</f>
        <v>1</v>
      </c>
      <c r="B234" s="7">
        <v>2001181</v>
      </c>
      <c r="C234" s="16" t="s">
        <v>644</v>
      </c>
      <c r="D234" s="17" t="s">
        <v>641</v>
      </c>
      <c r="E234" s="9" t="s">
        <v>1060</v>
      </c>
      <c r="F234" s="9" t="s">
        <v>48</v>
      </c>
      <c r="G234" s="10">
        <v>45580</v>
      </c>
      <c r="H234" s="11" t="s">
        <v>87</v>
      </c>
      <c r="I234" s="11" t="s">
        <v>1008</v>
      </c>
      <c r="J234" s="11">
        <v>14000</v>
      </c>
      <c r="K234" s="11">
        <v>21000</v>
      </c>
      <c r="L234" s="12">
        <f t="shared" si="25"/>
        <v>35000</v>
      </c>
      <c r="M234" s="12">
        <f t="shared" si="28"/>
        <v>35000</v>
      </c>
      <c r="N234" s="12">
        <f>795</f>
        <v>795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f t="shared" si="24"/>
        <v>0</v>
      </c>
      <c r="U234" s="18">
        <f t="shared" si="27"/>
        <v>35795</v>
      </c>
      <c r="V234" s="12">
        <f t="shared" si="23"/>
        <v>35000</v>
      </c>
      <c r="W234" s="96"/>
      <c r="X234" s="6" t="s">
        <v>56</v>
      </c>
      <c r="Y234" s="6" t="s">
        <v>877</v>
      </c>
      <c r="Z234" s="6" t="s">
        <v>36</v>
      </c>
      <c r="AA234" s="50"/>
      <c r="AC234" s="100">
        <v>35795</v>
      </c>
      <c r="AD234" s="14">
        <v>35795</v>
      </c>
      <c r="AE234" s="100">
        <v>0</v>
      </c>
    </row>
    <row r="235" spans="1:31" s="14" customFormat="1" ht="21.75" hidden="1" customHeight="1" x14ac:dyDescent="0.25">
      <c r="A235" s="6">
        <f>SUBTOTAL(3,$D$1:D235)-1</f>
        <v>1</v>
      </c>
      <c r="B235" s="7">
        <v>2001179</v>
      </c>
      <c r="C235" s="16" t="s">
        <v>650</v>
      </c>
      <c r="D235" s="17" t="s">
        <v>646</v>
      </c>
      <c r="E235" s="9" t="s">
        <v>213</v>
      </c>
      <c r="F235" s="9" t="s">
        <v>81</v>
      </c>
      <c r="G235" s="10">
        <v>45573</v>
      </c>
      <c r="H235" s="11" t="s">
        <v>45</v>
      </c>
      <c r="I235" s="11" t="s">
        <v>866</v>
      </c>
      <c r="J235" s="11">
        <v>21200</v>
      </c>
      <c r="K235" s="11">
        <v>31800</v>
      </c>
      <c r="L235" s="12">
        <f t="shared" si="25"/>
        <v>53000</v>
      </c>
      <c r="M235" s="12">
        <f t="shared" si="28"/>
        <v>53000</v>
      </c>
      <c r="N235" s="12">
        <f>795</f>
        <v>795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f t="shared" si="24"/>
        <v>0</v>
      </c>
      <c r="U235" s="18">
        <f t="shared" si="27"/>
        <v>53795</v>
      </c>
      <c r="V235" s="12">
        <f t="shared" si="23"/>
        <v>53000</v>
      </c>
      <c r="W235" s="96"/>
      <c r="X235" s="6" t="s">
        <v>253</v>
      </c>
      <c r="Y235" s="6" t="s">
        <v>896</v>
      </c>
      <c r="Z235" s="6" t="s">
        <v>36</v>
      </c>
      <c r="AA235" s="50"/>
      <c r="AC235" s="100">
        <v>53795</v>
      </c>
      <c r="AD235" s="14">
        <v>53795</v>
      </c>
      <c r="AE235" s="100">
        <v>0</v>
      </c>
    </row>
    <row r="236" spans="1:31" s="14" customFormat="1" ht="21.75" hidden="1" customHeight="1" x14ac:dyDescent="0.25">
      <c r="A236" s="6">
        <f>SUBTOTAL(3,$D$1:D236)-1</f>
        <v>1</v>
      </c>
      <c r="B236" s="7">
        <v>2001182</v>
      </c>
      <c r="C236" s="16" t="s">
        <v>645</v>
      </c>
      <c r="D236" s="17" t="s">
        <v>642</v>
      </c>
      <c r="E236" s="9" t="s">
        <v>1061</v>
      </c>
      <c r="F236" s="9" t="s">
        <v>114</v>
      </c>
      <c r="G236" s="10">
        <v>45580</v>
      </c>
      <c r="H236" s="11" t="s">
        <v>236</v>
      </c>
      <c r="I236" s="11" t="s">
        <v>448</v>
      </c>
      <c r="J236" s="11">
        <v>13200</v>
      </c>
      <c r="K236" s="11">
        <v>19800</v>
      </c>
      <c r="L236" s="12">
        <f t="shared" si="25"/>
        <v>33000</v>
      </c>
      <c r="M236" s="12">
        <f t="shared" si="28"/>
        <v>33000</v>
      </c>
      <c r="N236" s="12">
        <f>795</f>
        <v>795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f t="shared" si="24"/>
        <v>0</v>
      </c>
      <c r="U236" s="18">
        <f t="shared" si="27"/>
        <v>33795</v>
      </c>
      <c r="V236" s="12">
        <f t="shared" si="23"/>
        <v>33000</v>
      </c>
      <c r="W236" s="96"/>
      <c r="X236" s="6" t="s">
        <v>56</v>
      </c>
      <c r="Y236" s="6" t="s">
        <v>910</v>
      </c>
      <c r="Z236" s="6" t="s">
        <v>36</v>
      </c>
      <c r="AA236" s="50"/>
      <c r="AC236" s="100">
        <v>33795</v>
      </c>
      <c r="AD236" s="14">
        <v>33795</v>
      </c>
      <c r="AE236" s="100">
        <v>0</v>
      </c>
    </row>
    <row r="237" spans="1:31" s="14" customFormat="1" ht="21.75" hidden="1" customHeight="1" x14ac:dyDescent="0.25">
      <c r="A237" s="6">
        <f>SUBTOTAL(3,$D$1:D237)-1</f>
        <v>1</v>
      </c>
      <c r="B237" s="7">
        <v>2001171</v>
      </c>
      <c r="C237" s="16" t="s">
        <v>656</v>
      </c>
      <c r="D237" s="17" t="s">
        <v>662</v>
      </c>
      <c r="E237" s="9" t="s">
        <v>663</v>
      </c>
      <c r="F237" s="9" t="s">
        <v>84</v>
      </c>
      <c r="G237" s="10">
        <v>45595</v>
      </c>
      <c r="H237" s="11" t="s">
        <v>87</v>
      </c>
      <c r="I237" s="11" t="s">
        <v>858</v>
      </c>
      <c r="J237" s="11">
        <v>14000</v>
      </c>
      <c r="K237" s="11">
        <v>21000</v>
      </c>
      <c r="L237" s="12">
        <f t="shared" si="25"/>
        <v>35000</v>
      </c>
      <c r="M237" s="12">
        <f t="shared" si="28"/>
        <v>35000</v>
      </c>
      <c r="N237" s="12">
        <f>795</f>
        <v>795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f t="shared" si="24"/>
        <v>0</v>
      </c>
      <c r="U237" s="18">
        <f t="shared" si="27"/>
        <v>35795</v>
      </c>
      <c r="V237" s="12">
        <f t="shared" si="23"/>
        <v>35000</v>
      </c>
      <c r="W237" s="96"/>
      <c r="X237" s="6" t="s">
        <v>56</v>
      </c>
      <c r="Y237" s="6" t="s">
        <v>895</v>
      </c>
      <c r="Z237" s="6" t="s">
        <v>36</v>
      </c>
      <c r="AA237" s="50"/>
      <c r="AC237" s="100">
        <v>35795</v>
      </c>
      <c r="AD237" s="14">
        <v>35795</v>
      </c>
      <c r="AE237" s="100">
        <v>0</v>
      </c>
    </row>
    <row r="238" spans="1:31" s="14" customFormat="1" ht="21.75" hidden="1" customHeight="1" x14ac:dyDescent="0.25">
      <c r="A238" s="6">
        <f>SUBTOTAL(3,$D$1:D238)-1</f>
        <v>1</v>
      </c>
      <c r="B238" s="7">
        <v>2001200</v>
      </c>
      <c r="C238" s="16" t="s">
        <v>653</v>
      </c>
      <c r="D238" s="17" t="s">
        <v>659</v>
      </c>
      <c r="E238" s="9" t="s">
        <v>664</v>
      </c>
      <c r="F238" s="9" t="s">
        <v>573</v>
      </c>
      <c r="G238" s="10">
        <v>45610</v>
      </c>
      <c r="H238" s="11" t="s">
        <v>87</v>
      </c>
      <c r="I238" s="11" t="s">
        <v>176</v>
      </c>
      <c r="J238" s="11">
        <v>28000</v>
      </c>
      <c r="K238" s="11">
        <v>42000</v>
      </c>
      <c r="L238" s="12">
        <f t="shared" ref="L238:L269" si="29">J238+K238</f>
        <v>70000</v>
      </c>
      <c r="M238" s="12">
        <f>L238/30*30</f>
        <v>70000</v>
      </c>
      <c r="N238" s="12">
        <v>795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f t="shared" si="24"/>
        <v>0</v>
      </c>
      <c r="U238" s="18">
        <f t="shared" si="27"/>
        <v>70795</v>
      </c>
      <c r="V238" s="12">
        <f t="shared" si="23"/>
        <v>70000</v>
      </c>
      <c r="W238" s="96"/>
      <c r="X238" s="6" t="s">
        <v>253</v>
      </c>
      <c r="Y238" s="6" t="s">
        <v>890</v>
      </c>
      <c r="Z238" s="6" t="s">
        <v>36</v>
      </c>
      <c r="AA238" s="50"/>
      <c r="AC238" s="100">
        <v>70795</v>
      </c>
      <c r="AD238" s="14">
        <v>70795</v>
      </c>
      <c r="AE238" s="100">
        <v>0</v>
      </c>
    </row>
    <row r="239" spans="1:31" s="14" customFormat="1" ht="21.75" hidden="1" customHeight="1" x14ac:dyDescent="0.25">
      <c r="A239" s="6">
        <f>SUBTOTAL(3,$D$1:D239)-1</f>
        <v>1</v>
      </c>
      <c r="B239" s="7">
        <v>2001195</v>
      </c>
      <c r="C239" s="16" t="s">
        <v>655</v>
      </c>
      <c r="D239" s="17" t="s">
        <v>661</v>
      </c>
      <c r="E239" s="9" t="s">
        <v>1062</v>
      </c>
      <c r="F239" s="9" t="s">
        <v>188</v>
      </c>
      <c r="G239" s="10">
        <v>45597</v>
      </c>
      <c r="H239" s="11" t="s">
        <v>87</v>
      </c>
      <c r="I239" s="11" t="s">
        <v>176</v>
      </c>
      <c r="J239" s="11">
        <v>26000</v>
      </c>
      <c r="K239" s="11">
        <v>39000</v>
      </c>
      <c r="L239" s="12">
        <f t="shared" si="29"/>
        <v>65000</v>
      </c>
      <c r="M239" s="12">
        <f>L239</f>
        <v>65000</v>
      </c>
      <c r="N239" s="12">
        <f>795</f>
        <v>795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f t="shared" si="24"/>
        <v>0</v>
      </c>
      <c r="U239" s="18">
        <f t="shared" si="27"/>
        <v>65795</v>
      </c>
      <c r="V239" s="12">
        <f t="shared" si="23"/>
        <v>65000</v>
      </c>
      <c r="W239" s="96"/>
      <c r="X239" s="6" t="s">
        <v>253</v>
      </c>
      <c r="Y239" s="6" t="s">
        <v>890</v>
      </c>
      <c r="Z239" s="6" t="s">
        <v>36</v>
      </c>
      <c r="AA239" s="50"/>
      <c r="AC239" s="100">
        <v>65795</v>
      </c>
      <c r="AD239" s="14">
        <v>65795</v>
      </c>
      <c r="AE239" s="100">
        <v>0</v>
      </c>
    </row>
    <row r="240" spans="1:31" s="14" customFormat="1" ht="21.75" hidden="1" customHeight="1" x14ac:dyDescent="0.25">
      <c r="A240" s="6">
        <f>SUBTOTAL(3,$D$1:D240)-1</f>
        <v>1</v>
      </c>
      <c r="B240" s="7">
        <v>2001186</v>
      </c>
      <c r="C240" s="16" t="s">
        <v>652</v>
      </c>
      <c r="D240" s="17" t="s">
        <v>648</v>
      </c>
      <c r="E240" s="9" t="s">
        <v>240</v>
      </c>
      <c r="F240" s="9" t="s">
        <v>48</v>
      </c>
      <c r="G240" s="10">
        <v>45593</v>
      </c>
      <c r="H240" s="11" t="s">
        <v>33</v>
      </c>
      <c r="I240" s="11" t="s">
        <v>97</v>
      </c>
      <c r="J240" s="11">
        <v>15600</v>
      </c>
      <c r="K240" s="11">
        <v>23400</v>
      </c>
      <c r="L240" s="12">
        <f t="shared" si="29"/>
        <v>39000</v>
      </c>
      <c r="M240" s="12">
        <f>L240</f>
        <v>39000</v>
      </c>
      <c r="N240" s="12">
        <f>795</f>
        <v>795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f t="shared" si="24"/>
        <v>0</v>
      </c>
      <c r="U240" s="18">
        <f t="shared" si="27"/>
        <v>39795</v>
      </c>
      <c r="V240" s="12">
        <f t="shared" si="23"/>
        <v>39000</v>
      </c>
      <c r="W240" s="96"/>
      <c r="X240" s="6" t="s">
        <v>56</v>
      </c>
      <c r="Y240" s="6" t="s">
        <v>880</v>
      </c>
      <c r="Z240" s="6" t="s">
        <v>36</v>
      </c>
      <c r="AA240" s="50"/>
      <c r="AC240" s="100">
        <v>39795</v>
      </c>
      <c r="AD240" s="14">
        <v>39795</v>
      </c>
      <c r="AE240" s="100">
        <v>0</v>
      </c>
    </row>
    <row r="241" spans="1:31" s="14" customFormat="1" ht="21.75" hidden="1" customHeight="1" x14ac:dyDescent="0.25">
      <c r="A241" s="6">
        <f>SUBTOTAL(3,$D$1:D241)-1</f>
        <v>1</v>
      </c>
      <c r="B241" s="7">
        <v>2001196</v>
      </c>
      <c r="C241" s="16" t="s">
        <v>654</v>
      </c>
      <c r="D241" s="17" t="s">
        <v>660</v>
      </c>
      <c r="E241" s="9" t="s">
        <v>1063</v>
      </c>
      <c r="F241" s="9" t="s">
        <v>81</v>
      </c>
      <c r="G241" s="10">
        <v>45597</v>
      </c>
      <c r="H241" s="11" t="s">
        <v>69</v>
      </c>
      <c r="I241" s="11" t="s">
        <v>275</v>
      </c>
      <c r="J241" s="11">
        <v>8000</v>
      </c>
      <c r="K241" s="11">
        <v>12000</v>
      </c>
      <c r="L241" s="12">
        <f t="shared" si="29"/>
        <v>20000</v>
      </c>
      <c r="M241" s="12">
        <f>L241</f>
        <v>20000</v>
      </c>
      <c r="N241" s="12">
        <f>795</f>
        <v>795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f t="shared" si="24"/>
        <v>0</v>
      </c>
      <c r="U241" s="18">
        <f t="shared" si="27"/>
        <v>20795</v>
      </c>
      <c r="V241" s="12">
        <f t="shared" si="23"/>
        <v>20000</v>
      </c>
      <c r="W241" s="96"/>
      <c r="X241" s="6" t="s">
        <v>78</v>
      </c>
      <c r="Y241" s="6" t="s">
        <v>901</v>
      </c>
      <c r="Z241" s="6" t="s">
        <v>36</v>
      </c>
      <c r="AA241" s="50"/>
      <c r="AC241" s="100">
        <v>20795</v>
      </c>
      <c r="AD241" s="14">
        <v>20795</v>
      </c>
      <c r="AE241" s="100">
        <v>0</v>
      </c>
    </row>
    <row r="242" spans="1:31" s="14" customFormat="1" ht="21.75" hidden="1" customHeight="1" x14ac:dyDescent="0.25">
      <c r="A242" s="6">
        <f>SUBTOTAL(3,$D$1:D242)-1</f>
        <v>1</v>
      </c>
      <c r="B242" s="7">
        <v>2001198</v>
      </c>
      <c r="C242" s="16" t="s">
        <v>657</v>
      </c>
      <c r="D242" s="17" t="s">
        <v>665</v>
      </c>
      <c r="E242" s="9" t="s">
        <v>666</v>
      </c>
      <c r="F242" s="9" t="s">
        <v>52</v>
      </c>
      <c r="G242" s="10">
        <v>45607</v>
      </c>
      <c r="H242" s="11" t="s">
        <v>33</v>
      </c>
      <c r="I242" s="11" t="s">
        <v>97</v>
      </c>
      <c r="J242" s="11">
        <v>11189.6</v>
      </c>
      <c r="K242" s="11">
        <v>16784.400000000001</v>
      </c>
      <c r="L242" s="12">
        <f t="shared" si="29"/>
        <v>27974</v>
      </c>
      <c r="M242" s="12">
        <f>L242</f>
        <v>27974</v>
      </c>
      <c r="N242" s="12">
        <f>795</f>
        <v>795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f t="shared" si="24"/>
        <v>0</v>
      </c>
      <c r="U242" s="18">
        <f t="shared" si="27"/>
        <v>28769</v>
      </c>
      <c r="V242" s="12">
        <f t="shared" si="23"/>
        <v>27974</v>
      </c>
      <c r="W242" s="96"/>
      <c r="X242" s="6" t="s">
        <v>78</v>
      </c>
      <c r="Y242" s="6" t="s">
        <v>880</v>
      </c>
      <c r="Z242" s="6" t="s">
        <v>36</v>
      </c>
      <c r="AA242" s="50"/>
      <c r="AC242" s="100">
        <v>28769</v>
      </c>
      <c r="AD242" s="14">
        <v>28769</v>
      </c>
      <c r="AE242" s="100">
        <v>0</v>
      </c>
    </row>
    <row r="243" spans="1:31" s="14" customFormat="1" ht="21.75" hidden="1" customHeight="1" x14ac:dyDescent="0.25">
      <c r="A243" s="6">
        <f>SUBTOTAL(3,$D$1:D243)-1</f>
        <v>1</v>
      </c>
      <c r="B243" s="7">
        <v>2001205</v>
      </c>
      <c r="C243" s="16" t="s">
        <v>668</v>
      </c>
      <c r="D243" s="17" t="s">
        <v>748</v>
      </c>
      <c r="E243" s="9" t="s">
        <v>669</v>
      </c>
      <c r="F243" s="9" t="s">
        <v>52</v>
      </c>
      <c r="G243" s="10">
        <v>45614</v>
      </c>
      <c r="H243" s="11" t="s">
        <v>33</v>
      </c>
      <c r="I243" s="11" t="s">
        <v>91</v>
      </c>
      <c r="J243" s="11">
        <v>11350</v>
      </c>
      <c r="K243" s="11">
        <v>17025</v>
      </c>
      <c r="L243" s="12">
        <f t="shared" si="29"/>
        <v>28375</v>
      </c>
      <c r="M243" s="12">
        <f t="shared" ref="M243:M274" si="30">L243/30*30</f>
        <v>28375</v>
      </c>
      <c r="N243" s="12">
        <v>795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f t="shared" si="24"/>
        <v>0</v>
      </c>
      <c r="U243" s="18">
        <f t="shared" si="27"/>
        <v>29170</v>
      </c>
      <c r="V243" s="12">
        <f t="shared" si="23"/>
        <v>28375</v>
      </c>
      <c r="W243" s="96"/>
      <c r="X243" s="6" t="s">
        <v>56</v>
      </c>
      <c r="Y243" s="6" t="s">
        <v>878</v>
      </c>
      <c r="Z243" s="6" t="s">
        <v>36</v>
      </c>
      <c r="AA243" s="50"/>
      <c r="AC243" s="100">
        <v>29170</v>
      </c>
      <c r="AD243" s="14">
        <v>29170</v>
      </c>
      <c r="AE243" s="100">
        <v>0</v>
      </c>
    </row>
    <row r="244" spans="1:31" s="14" customFormat="1" ht="21.75" hidden="1" customHeight="1" x14ac:dyDescent="0.25">
      <c r="A244" s="6">
        <f>SUBTOTAL(3,$D$1:D244)-1</f>
        <v>1</v>
      </c>
      <c r="B244" s="7">
        <v>2001212</v>
      </c>
      <c r="C244" s="16" t="s">
        <v>658</v>
      </c>
      <c r="D244" s="17" t="s">
        <v>667</v>
      </c>
      <c r="E244" s="9" t="s">
        <v>530</v>
      </c>
      <c r="F244" s="9" t="s">
        <v>72</v>
      </c>
      <c r="G244" s="10">
        <v>45610</v>
      </c>
      <c r="H244" s="11" t="s">
        <v>69</v>
      </c>
      <c r="I244" s="11" t="s">
        <v>294</v>
      </c>
      <c r="J244" s="11">
        <v>20000</v>
      </c>
      <c r="K244" s="11">
        <v>30000</v>
      </c>
      <c r="L244" s="12">
        <f t="shared" si="29"/>
        <v>50000</v>
      </c>
      <c r="M244" s="12">
        <f t="shared" si="30"/>
        <v>50000</v>
      </c>
      <c r="N244" s="12">
        <v>795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f t="shared" si="24"/>
        <v>0</v>
      </c>
      <c r="U244" s="18">
        <f t="shared" si="27"/>
        <v>50795</v>
      </c>
      <c r="V244" s="12">
        <f t="shared" si="23"/>
        <v>50000</v>
      </c>
      <c r="W244" s="96"/>
      <c r="X244" s="6" t="s">
        <v>56</v>
      </c>
      <c r="Y244" s="6" t="s">
        <v>1077</v>
      </c>
      <c r="Z244" s="6" t="s">
        <v>36</v>
      </c>
      <c r="AA244" s="50"/>
      <c r="AC244" s="100">
        <v>50795</v>
      </c>
      <c r="AD244" s="14">
        <v>50795</v>
      </c>
      <c r="AE244" s="100">
        <v>0</v>
      </c>
    </row>
    <row r="245" spans="1:31" s="14" customFormat="1" ht="21.75" hidden="1" customHeight="1" x14ac:dyDescent="0.25">
      <c r="A245" s="6">
        <f>SUBTOTAL(3,$D$1:D245)-1</f>
        <v>1</v>
      </c>
      <c r="B245" s="7">
        <v>2001211</v>
      </c>
      <c r="C245" s="16" t="s">
        <v>728</v>
      </c>
      <c r="D245" s="17" t="s">
        <v>729</v>
      </c>
      <c r="E245" s="9" t="s">
        <v>742</v>
      </c>
      <c r="F245" s="9" t="s">
        <v>743</v>
      </c>
      <c r="G245" s="10">
        <v>45622</v>
      </c>
      <c r="H245" s="11" t="s">
        <v>87</v>
      </c>
      <c r="I245" s="11" t="s">
        <v>176</v>
      </c>
      <c r="J245" s="11">
        <v>14000</v>
      </c>
      <c r="K245" s="11">
        <v>21000</v>
      </c>
      <c r="L245" s="12">
        <f t="shared" si="29"/>
        <v>35000</v>
      </c>
      <c r="M245" s="12">
        <f t="shared" si="30"/>
        <v>35000</v>
      </c>
      <c r="N245" s="12">
        <v>795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f t="shared" si="24"/>
        <v>0</v>
      </c>
      <c r="U245" s="18">
        <f t="shared" si="27"/>
        <v>35795</v>
      </c>
      <c r="V245" s="12">
        <f t="shared" si="23"/>
        <v>35000</v>
      </c>
      <c r="W245" s="96"/>
      <c r="X245" s="6" t="s">
        <v>56</v>
      </c>
      <c r="Y245" s="6" t="s">
        <v>890</v>
      </c>
      <c r="Z245" s="6" t="s">
        <v>36</v>
      </c>
      <c r="AA245" s="50"/>
      <c r="AC245" s="100">
        <v>35795</v>
      </c>
      <c r="AD245" s="14">
        <v>35795</v>
      </c>
      <c r="AE245" s="100">
        <v>0</v>
      </c>
    </row>
    <row r="246" spans="1:31" s="14" customFormat="1" ht="21.75" hidden="1" customHeight="1" x14ac:dyDescent="0.25">
      <c r="A246" s="6">
        <f>SUBTOTAL(3,$D$1:D246)-1</f>
        <v>1</v>
      </c>
      <c r="B246" s="7">
        <v>2001230</v>
      </c>
      <c r="C246" s="16" t="s">
        <v>730</v>
      </c>
      <c r="D246" s="89" t="s">
        <v>731</v>
      </c>
      <c r="E246" s="9" t="s">
        <v>744</v>
      </c>
      <c r="F246" s="9" t="s">
        <v>274</v>
      </c>
      <c r="G246" s="10">
        <v>45637</v>
      </c>
      <c r="H246" s="11" t="s">
        <v>49</v>
      </c>
      <c r="I246" s="11" t="s">
        <v>747</v>
      </c>
      <c r="J246" s="11">
        <v>19180</v>
      </c>
      <c r="K246" s="11">
        <v>28771</v>
      </c>
      <c r="L246" s="12">
        <f t="shared" si="29"/>
        <v>47951</v>
      </c>
      <c r="M246" s="12">
        <f t="shared" si="30"/>
        <v>47951</v>
      </c>
      <c r="N246" s="12">
        <v>795</v>
      </c>
      <c r="O246" s="12">
        <v>0</v>
      </c>
      <c r="P246" s="12">
        <v>0</v>
      </c>
      <c r="Q246" s="12">
        <f>(M246*15%)</f>
        <v>7192.65</v>
      </c>
      <c r="R246" s="12">
        <v>0</v>
      </c>
      <c r="S246" s="12">
        <f>(M246*5%)</f>
        <v>2397.5500000000002</v>
      </c>
      <c r="T246" s="12">
        <f t="shared" si="24"/>
        <v>7192.65</v>
      </c>
      <c r="U246" s="18">
        <f t="shared" si="27"/>
        <v>55938.65</v>
      </c>
      <c r="V246" s="12">
        <f t="shared" si="23"/>
        <v>45553.45</v>
      </c>
      <c r="W246" s="13" t="s">
        <v>1184</v>
      </c>
      <c r="X246" s="6" t="s">
        <v>56</v>
      </c>
      <c r="Y246" s="6" t="s">
        <v>914</v>
      </c>
      <c r="Z246" s="6" t="s">
        <v>36</v>
      </c>
      <c r="AA246" s="14" t="str">
        <f>W246</f>
        <v>Employer pension share for November 2025 - 15%</v>
      </c>
      <c r="AB246" s="14" t="str">
        <f>CONCATENATE(C246," - ", D246," - ",AA246)</f>
        <v>02-4935 - Rowdha Mohamed Askar Ali AlNaqeeb - Employer pension share for November 2025 - 15%</v>
      </c>
      <c r="AC246" s="100">
        <v>55938.65</v>
      </c>
      <c r="AD246" s="14">
        <v>55938.65</v>
      </c>
      <c r="AE246" s="100">
        <v>0</v>
      </c>
    </row>
    <row r="247" spans="1:31" s="14" customFormat="1" ht="21.75" hidden="1" customHeight="1" x14ac:dyDescent="0.25">
      <c r="A247" s="6">
        <f>SUBTOTAL(3,$D$1:D247)-1</f>
        <v>1</v>
      </c>
      <c r="B247" s="7">
        <v>2001218</v>
      </c>
      <c r="C247" s="16" t="s">
        <v>732</v>
      </c>
      <c r="D247" s="17" t="s">
        <v>733</v>
      </c>
      <c r="E247" s="9" t="s">
        <v>1064</v>
      </c>
      <c r="F247" s="9" t="s">
        <v>52</v>
      </c>
      <c r="G247" s="10">
        <v>45617</v>
      </c>
      <c r="H247" s="11" t="s">
        <v>69</v>
      </c>
      <c r="I247" s="11" t="s">
        <v>851</v>
      </c>
      <c r="J247" s="11">
        <v>11350</v>
      </c>
      <c r="K247" s="11">
        <v>17025</v>
      </c>
      <c r="L247" s="12">
        <f t="shared" si="29"/>
        <v>28375</v>
      </c>
      <c r="M247" s="12">
        <f t="shared" si="30"/>
        <v>28375</v>
      </c>
      <c r="N247" s="12">
        <v>795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f t="shared" si="24"/>
        <v>0</v>
      </c>
      <c r="U247" s="18">
        <f t="shared" si="27"/>
        <v>29170</v>
      </c>
      <c r="V247" s="12">
        <f t="shared" si="23"/>
        <v>28375</v>
      </c>
      <c r="W247" s="96"/>
      <c r="X247" s="6" t="s">
        <v>56</v>
      </c>
      <c r="Y247" s="6" t="s">
        <v>875</v>
      </c>
      <c r="Z247" s="6" t="s">
        <v>36</v>
      </c>
      <c r="AA247" s="50"/>
      <c r="AC247" s="100">
        <v>29170</v>
      </c>
      <c r="AD247" s="14">
        <v>29170</v>
      </c>
      <c r="AE247" s="100">
        <v>0</v>
      </c>
    </row>
    <row r="248" spans="1:31" s="14" customFormat="1" ht="21.75" hidden="1" customHeight="1" x14ac:dyDescent="0.25">
      <c r="A248" s="6">
        <f>SUBTOTAL(3,$D$1:D248)-1</f>
        <v>1</v>
      </c>
      <c r="B248" s="6">
        <v>2001262</v>
      </c>
      <c r="C248" s="15" t="s">
        <v>803</v>
      </c>
      <c r="D248" s="92" t="s">
        <v>802</v>
      </c>
      <c r="E248" s="9" t="s">
        <v>804</v>
      </c>
      <c r="F248" s="9" t="s">
        <v>127</v>
      </c>
      <c r="G248" s="10">
        <v>45677</v>
      </c>
      <c r="H248" s="11" t="s">
        <v>49</v>
      </c>
      <c r="I248" s="11" t="s">
        <v>62</v>
      </c>
      <c r="J248" s="37">
        <v>14000</v>
      </c>
      <c r="K248" s="37">
        <v>21000</v>
      </c>
      <c r="L248" s="12">
        <f t="shared" si="29"/>
        <v>35000</v>
      </c>
      <c r="M248" s="12">
        <f t="shared" si="30"/>
        <v>35000</v>
      </c>
      <c r="N248" s="12">
        <v>795</v>
      </c>
      <c r="O248" s="12">
        <v>0</v>
      </c>
      <c r="P248" s="36">
        <v>0</v>
      </c>
      <c r="Q248" s="36">
        <v>0</v>
      </c>
      <c r="R248" s="36">
        <v>0</v>
      </c>
      <c r="S248" s="36">
        <v>0</v>
      </c>
      <c r="T248" s="12">
        <f t="shared" si="24"/>
        <v>0</v>
      </c>
      <c r="U248" s="18">
        <f t="shared" si="27"/>
        <v>35795</v>
      </c>
      <c r="V248" s="12">
        <f t="shared" si="23"/>
        <v>35000</v>
      </c>
      <c r="W248" s="38"/>
      <c r="X248" s="6" t="s">
        <v>56</v>
      </c>
      <c r="Y248" s="6" t="s">
        <v>874</v>
      </c>
      <c r="Z248" s="6" t="s">
        <v>36</v>
      </c>
      <c r="AA248" s="50"/>
      <c r="AC248" s="100">
        <v>35795</v>
      </c>
      <c r="AD248" s="14">
        <v>35795</v>
      </c>
      <c r="AE248" s="100">
        <v>0</v>
      </c>
    </row>
    <row r="249" spans="1:31" s="14" customFormat="1" ht="21.75" hidden="1" customHeight="1" x14ac:dyDescent="0.25">
      <c r="A249" s="6">
        <f>SUBTOTAL(3,$D$1:D249)-1</f>
        <v>1</v>
      </c>
      <c r="B249" s="7">
        <v>2001214</v>
      </c>
      <c r="C249" s="16" t="s">
        <v>674</v>
      </c>
      <c r="D249" s="17" t="s">
        <v>673</v>
      </c>
      <c r="E249" s="9" t="s">
        <v>518</v>
      </c>
      <c r="F249" s="9" t="s">
        <v>81</v>
      </c>
      <c r="G249" s="10">
        <v>45610</v>
      </c>
      <c r="H249" s="11" t="s">
        <v>33</v>
      </c>
      <c r="I249" s="11" t="s">
        <v>53</v>
      </c>
      <c r="J249" s="11">
        <v>8000</v>
      </c>
      <c r="K249" s="11">
        <v>12000</v>
      </c>
      <c r="L249" s="12">
        <f t="shared" si="29"/>
        <v>20000</v>
      </c>
      <c r="M249" s="12">
        <f t="shared" si="30"/>
        <v>20000</v>
      </c>
      <c r="N249" s="12">
        <v>795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f t="shared" si="24"/>
        <v>0</v>
      </c>
      <c r="U249" s="18">
        <f t="shared" ref="U249:U280" si="31">+M249+N249+T249</f>
        <v>20795</v>
      </c>
      <c r="V249" s="12">
        <f t="shared" si="23"/>
        <v>20000</v>
      </c>
      <c r="W249" s="96"/>
      <c r="X249" s="6" t="s">
        <v>78</v>
      </c>
      <c r="Y249" s="6" t="s">
        <v>872</v>
      </c>
      <c r="Z249" s="6" t="s">
        <v>36</v>
      </c>
      <c r="AA249" s="50"/>
      <c r="AC249" s="100">
        <v>20795</v>
      </c>
      <c r="AD249" s="14">
        <v>20795</v>
      </c>
      <c r="AE249" s="100">
        <v>0</v>
      </c>
    </row>
    <row r="250" spans="1:31" s="14" customFormat="1" ht="21.75" hidden="1" customHeight="1" x14ac:dyDescent="0.25">
      <c r="A250" s="6">
        <f>SUBTOTAL(3,$D$1:D250)-1</f>
        <v>1</v>
      </c>
      <c r="B250" s="7">
        <v>2001213</v>
      </c>
      <c r="C250" s="16" t="s">
        <v>676</v>
      </c>
      <c r="D250" s="17" t="s">
        <v>675</v>
      </c>
      <c r="E250" s="9" t="s">
        <v>1065</v>
      </c>
      <c r="F250" s="9" t="s">
        <v>32</v>
      </c>
      <c r="G250" s="10">
        <v>45611</v>
      </c>
      <c r="H250" s="11" t="s">
        <v>33</v>
      </c>
      <c r="I250" s="11" t="s">
        <v>152</v>
      </c>
      <c r="J250" s="11">
        <v>8000</v>
      </c>
      <c r="K250" s="11">
        <v>12000</v>
      </c>
      <c r="L250" s="12">
        <f t="shared" si="29"/>
        <v>20000</v>
      </c>
      <c r="M250" s="12">
        <f t="shared" si="30"/>
        <v>20000</v>
      </c>
      <c r="N250" s="12">
        <v>795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f t="shared" si="24"/>
        <v>0</v>
      </c>
      <c r="U250" s="18">
        <f t="shared" si="31"/>
        <v>20795</v>
      </c>
      <c r="V250" s="12">
        <f t="shared" si="23"/>
        <v>20000</v>
      </c>
      <c r="W250" s="96"/>
      <c r="X250" s="6" t="s">
        <v>78</v>
      </c>
      <c r="Y250" s="6" t="s">
        <v>888</v>
      </c>
      <c r="Z250" s="6" t="s">
        <v>36</v>
      </c>
      <c r="AA250" s="50"/>
      <c r="AC250" s="100">
        <v>20795</v>
      </c>
      <c r="AD250" s="14">
        <v>20795</v>
      </c>
      <c r="AE250" s="100">
        <v>0</v>
      </c>
    </row>
    <row r="251" spans="1:31" s="14" customFormat="1" ht="21.75" hidden="1" customHeight="1" x14ac:dyDescent="0.25">
      <c r="A251" s="6">
        <f>SUBTOTAL(3,$D$1:D251)-1</f>
        <v>1</v>
      </c>
      <c r="B251" s="22">
        <v>2001221</v>
      </c>
      <c r="C251" s="8" t="s">
        <v>755</v>
      </c>
      <c r="D251" s="17" t="s">
        <v>749</v>
      </c>
      <c r="E251" s="9" t="s">
        <v>750</v>
      </c>
      <c r="F251" s="9" t="s">
        <v>32</v>
      </c>
      <c r="G251" s="10">
        <v>45625</v>
      </c>
      <c r="H251" s="11" t="s">
        <v>236</v>
      </c>
      <c r="I251" s="11" t="s">
        <v>306</v>
      </c>
      <c r="J251" s="11">
        <v>14000</v>
      </c>
      <c r="K251" s="11">
        <v>21000</v>
      </c>
      <c r="L251" s="12">
        <f t="shared" si="29"/>
        <v>35000</v>
      </c>
      <c r="M251" s="12">
        <f t="shared" si="30"/>
        <v>35000</v>
      </c>
      <c r="N251" s="12">
        <v>795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f t="shared" si="24"/>
        <v>0</v>
      </c>
      <c r="U251" s="18">
        <f t="shared" si="31"/>
        <v>35795</v>
      </c>
      <c r="V251" s="12">
        <f t="shared" si="23"/>
        <v>35000</v>
      </c>
      <c r="W251" s="96"/>
      <c r="X251" s="6" t="s">
        <v>56</v>
      </c>
      <c r="Y251" s="6" t="s">
        <v>904</v>
      </c>
      <c r="Z251" s="6" t="s">
        <v>36</v>
      </c>
      <c r="AA251" s="50"/>
      <c r="AC251" s="100">
        <v>35795</v>
      </c>
      <c r="AD251" s="14">
        <v>35795</v>
      </c>
      <c r="AE251" s="100">
        <v>0</v>
      </c>
    </row>
    <row r="252" spans="1:31" s="14" customFormat="1" ht="21.75" hidden="1" customHeight="1" x14ac:dyDescent="0.25">
      <c r="A252" s="6">
        <f>SUBTOTAL(3,$D$1:D252)-1</f>
        <v>1</v>
      </c>
      <c r="B252" s="7">
        <v>2001217</v>
      </c>
      <c r="C252" s="16" t="s">
        <v>671</v>
      </c>
      <c r="D252" s="17" t="s">
        <v>670</v>
      </c>
      <c r="E252" s="9" t="s">
        <v>1066</v>
      </c>
      <c r="F252" s="9" t="s">
        <v>672</v>
      </c>
      <c r="G252" s="10">
        <v>45617</v>
      </c>
      <c r="H252" s="11" t="s">
        <v>69</v>
      </c>
      <c r="I252" s="11" t="s">
        <v>104</v>
      </c>
      <c r="J252" s="11">
        <v>12800</v>
      </c>
      <c r="K252" s="11">
        <v>19200</v>
      </c>
      <c r="L252" s="12">
        <f t="shared" si="29"/>
        <v>32000</v>
      </c>
      <c r="M252" s="12">
        <f t="shared" si="30"/>
        <v>32000.000000000004</v>
      </c>
      <c r="N252" s="12">
        <v>795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f t="shared" si="24"/>
        <v>0</v>
      </c>
      <c r="U252" s="18">
        <f t="shared" si="31"/>
        <v>32795</v>
      </c>
      <c r="V252" s="12">
        <f t="shared" si="23"/>
        <v>32000.000000000004</v>
      </c>
      <c r="W252" s="96"/>
      <c r="X252" s="6" t="s">
        <v>56</v>
      </c>
      <c r="Y252" s="6" t="s">
        <v>882</v>
      </c>
      <c r="Z252" s="6" t="s">
        <v>36</v>
      </c>
      <c r="AA252" s="50"/>
      <c r="AC252" s="100">
        <v>32795</v>
      </c>
      <c r="AD252" s="14">
        <v>32795</v>
      </c>
      <c r="AE252" s="100">
        <v>0</v>
      </c>
    </row>
    <row r="253" spans="1:31" s="14" customFormat="1" ht="21.75" hidden="1" customHeight="1" x14ac:dyDescent="0.25">
      <c r="A253" s="6">
        <f>SUBTOTAL(3,$D$1:D253)-1</f>
        <v>1</v>
      </c>
      <c r="B253" s="51">
        <v>2001215</v>
      </c>
      <c r="C253" s="16" t="s">
        <v>679</v>
      </c>
      <c r="D253" s="17" t="s">
        <v>678</v>
      </c>
      <c r="E253" s="9" t="s">
        <v>1067</v>
      </c>
      <c r="F253" s="9" t="s">
        <v>84</v>
      </c>
      <c r="G253" s="10">
        <v>45603</v>
      </c>
      <c r="H253" s="11" t="s">
        <v>69</v>
      </c>
      <c r="I253" s="11" t="s">
        <v>270</v>
      </c>
      <c r="J253" s="11">
        <v>16800</v>
      </c>
      <c r="K253" s="11">
        <v>25200</v>
      </c>
      <c r="L253" s="12">
        <f t="shared" si="29"/>
        <v>42000</v>
      </c>
      <c r="M253" s="12">
        <f t="shared" si="30"/>
        <v>42000</v>
      </c>
      <c r="N253" s="12">
        <v>795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f t="shared" si="24"/>
        <v>0</v>
      </c>
      <c r="U253" s="18">
        <f t="shared" si="31"/>
        <v>42795</v>
      </c>
      <c r="V253" s="12">
        <f t="shared" si="23"/>
        <v>42000</v>
      </c>
      <c r="W253" s="96"/>
      <c r="X253" s="6" t="s">
        <v>56</v>
      </c>
      <c r="Y253" s="6" t="s">
        <v>900</v>
      </c>
      <c r="Z253" s="6" t="s">
        <v>36</v>
      </c>
      <c r="AA253" s="50"/>
      <c r="AC253" s="100">
        <v>42795</v>
      </c>
      <c r="AD253" s="14">
        <v>42795</v>
      </c>
      <c r="AE253" s="100">
        <v>0</v>
      </c>
    </row>
    <row r="254" spans="1:31" s="14" customFormat="1" ht="21.75" hidden="1" customHeight="1" x14ac:dyDescent="0.25">
      <c r="A254" s="6">
        <f>SUBTOTAL(3,$D$1:D254)-1</f>
        <v>1</v>
      </c>
      <c r="B254" s="51">
        <v>2001220</v>
      </c>
      <c r="C254" s="16" t="s">
        <v>734</v>
      </c>
      <c r="D254" s="89" t="s">
        <v>735</v>
      </c>
      <c r="E254" s="9" t="s">
        <v>724</v>
      </c>
      <c r="F254" s="9" t="s">
        <v>274</v>
      </c>
      <c r="G254" s="10">
        <v>45625</v>
      </c>
      <c r="H254" s="11" t="s">
        <v>33</v>
      </c>
      <c r="I254" s="11" t="s">
        <v>97</v>
      </c>
      <c r="J254" s="11">
        <v>22000</v>
      </c>
      <c r="K254" s="11">
        <v>33000</v>
      </c>
      <c r="L254" s="12">
        <f t="shared" si="29"/>
        <v>55000</v>
      </c>
      <c r="M254" s="12">
        <f t="shared" si="30"/>
        <v>55000</v>
      </c>
      <c r="N254" s="12">
        <v>795</v>
      </c>
      <c r="O254" s="12">
        <v>0</v>
      </c>
      <c r="P254" s="32">
        <f>(-90000/12)</f>
        <v>-7500</v>
      </c>
      <c r="Q254" s="12">
        <f>(M254*15%)</f>
        <v>8250</v>
      </c>
      <c r="R254" s="12">
        <v>0</v>
      </c>
      <c r="S254" s="12">
        <f>(M254*5%)</f>
        <v>2750</v>
      </c>
      <c r="T254" s="12">
        <f t="shared" si="24"/>
        <v>750</v>
      </c>
      <c r="U254" s="18">
        <f t="shared" si="31"/>
        <v>56545</v>
      </c>
      <c r="V254" s="12">
        <f t="shared" si="23"/>
        <v>44750</v>
      </c>
      <c r="W254" s="13" t="s">
        <v>1190</v>
      </c>
      <c r="X254" s="6" t="s">
        <v>41</v>
      </c>
      <c r="Y254" s="6" t="s">
        <v>880</v>
      </c>
      <c r="Z254" s="6" t="s">
        <v>36</v>
      </c>
      <c r="AA254" s="14" t="s">
        <v>1099</v>
      </c>
      <c r="AB254" s="14" t="str">
        <f>CONCATENATE(C254," - ", D254," - ",AA254)</f>
        <v>02-4955 - Safia Saleh Omar AlJaberi - Employer pension share for October 2025 - 15%</v>
      </c>
      <c r="AC254" s="100">
        <v>56545</v>
      </c>
      <c r="AD254" s="14">
        <v>56545</v>
      </c>
      <c r="AE254" s="100">
        <v>0</v>
      </c>
    </row>
    <row r="255" spans="1:31" s="14" customFormat="1" ht="21.75" hidden="1" customHeight="1" x14ac:dyDescent="0.25">
      <c r="A255" s="6">
        <f>SUBTOTAL(3,$D$1:D255)-1</f>
        <v>1</v>
      </c>
      <c r="B255" s="51">
        <v>2001223</v>
      </c>
      <c r="C255" s="16" t="s">
        <v>736</v>
      </c>
      <c r="D255" s="17" t="s">
        <v>737</v>
      </c>
      <c r="E255" s="9" t="s">
        <v>1068</v>
      </c>
      <c r="F255" s="9" t="s">
        <v>52</v>
      </c>
      <c r="G255" s="10">
        <v>45631</v>
      </c>
      <c r="H255" s="11" t="s">
        <v>236</v>
      </c>
      <c r="I255" s="11" t="s">
        <v>237</v>
      </c>
      <c r="J255" s="11">
        <v>11917.6</v>
      </c>
      <c r="K255" s="11">
        <v>17876.400000000001</v>
      </c>
      <c r="L255" s="12">
        <f t="shared" si="29"/>
        <v>29794</v>
      </c>
      <c r="M255" s="12">
        <f t="shared" si="30"/>
        <v>29794</v>
      </c>
      <c r="N255" s="12">
        <v>795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f t="shared" si="24"/>
        <v>0</v>
      </c>
      <c r="U255" s="18">
        <f t="shared" si="31"/>
        <v>30589</v>
      </c>
      <c r="V255" s="12">
        <f t="shared" si="23"/>
        <v>29794</v>
      </c>
      <c r="W255" s="96"/>
      <c r="X255" s="6" t="s">
        <v>56</v>
      </c>
      <c r="Y255" s="6" t="s">
        <v>897</v>
      </c>
      <c r="Z255" s="6" t="s">
        <v>36</v>
      </c>
      <c r="AA255" s="50"/>
      <c r="AC255" s="100">
        <v>30589</v>
      </c>
      <c r="AD255" s="14">
        <v>30589</v>
      </c>
      <c r="AE255" s="100">
        <v>0</v>
      </c>
    </row>
    <row r="256" spans="1:31" ht="21.75" hidden="1" customHeight="1" x14ac:dyDescent="0.25">
      <c r="A256" s="6">
        <f>SUBTOTAL(3,$D$1:D256)-1</f>
        <v>1</v>
      </c>
      <c r="B256" s="7">
        <v>2001235</v>
      </c>
      <c r="C256" s="16" t="s">
        <v>738</v>
      </c>
      <c r="D256" s="17" t="s">
        <v>739</v>
      </c>
      <c r="E256" s="9" t="s">
        <v>745</v>
      </c>
      <c r="F256" s="9" t="s">
        <v>32</v>
      </c>
      <c r="G256" s="10">
        <v>45636</v>
      </c>
      <c r="H256" s="11" t="s">
        <v>236</v>
      </c>
      <c r="I256" s="11" t="s">
        <v>306</v>
      </c>
      <c r="J256" s="11">
        <v>10000</v>
      </c>
      <c r="K256" s="11">
        <v>15000</v>
      </c>
      <c r="L256" s="12">
        <f t="shared" si="29"/>
        <v>25000</v>
      </c>
      <c r="M256" s="12">
        <f t="shared" si="30"/>
        <v>25000</v>
      </c>
      <c r="N256" s="12">
        <v>795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f t="shared" si="24"/>
        <v>0</v>
      </c>
      <c r="U256" s="18">
        <f t="shared" si="31"/>
        <v>25795</v>
      </c>
      <c r="V256" s="12">
        <f t="shared" si="23"/>
        <v>25000</v>
      </c>
      <c r="W256" s="96"/>
      <c r="X256" s="6" t="s">
        <v>78</v>
      </c>
      <c r="Y256" s="6" t="s">
        <v>904</v>
      </c>
      <c r="Z256" s="6" t="s">
        <v>36</v>
      </c>
      <c r="AA256" s="50"/>
      <c r="AB256" s="14"/>
      <c r="AC256" s="100">
        <v>25795</v>
      </c>
      <c r="AD256" s="14">
        <v>25795</v>
      </c>
      <c r="AE256" s="100">
        <v>0</v>
      </c>
    </row>
    <row r="257" spans="1:31" s="14" customFormat="1" ht="21.75" hidden="1" customHeight="1" x14ac:dyDescent="0.25">
      <c r="A257" s="6">
        <f>SUBTOTAL(3,$D$1:D257)-1</f>
        <v>1</v>
      </c>
      <c r="B257" s="23">
        <v>2001280</v>
      </c>
      <c r="C257" s="24" t="s">
        <v>769</v>
      </c>
      <c r="D257" s="25" t="s">
        <v>765</v>
      </c>
      <c r="E257" s="9" t="s">
        <v>323</v>
      </c>
      <c r="F257" s="26" t="s">
        <v>274</v>
      </c>
      <c r="G257" s="27">
        <v>45656</v>
      </c>
      <c r="H257" s="11" t="s">
        <v>236</v>
      </c>
      <c r="I257" s="11" t="s">
        <v>237</v>
      </c>
      <c r="J257" s="28">
        <v>14654.8</v>
      </c>
      <c r="K257" s="28">
        <v>21982.2</v>
      </c>
      <c r="L257" s="28">
        <f t="shared" si="29"/>
        <v>36637</v>
      </c>
      <c r="M257" s="28">
        <f t="shared" si="30"/>
        <v>36637</v>
      </c>
      <c r="N257" s="28">
        <v>795</v>
      </c>
      <c r="O257" s="28">
        <v>0</v>
      </c>
      <c r="P257" s="28">
        <f>4675</f>
        <v>4675</v>
      </c>
      <c r="Q257" s="28">
        <f>(M257*15%)</f>
        <v>5495.55</v>
      </c>
      <c r="R257" s="28">
        <v>0</v>
      </c>
      <c r="S257" s="28">
        <f>(M257*5%)</f>
        <v>1831.8500000000001</v>
      </c>
      <c r="T257" s="28">
        <f t="shared" si="24"/>
        <v>10170.549999999999</v>
      </c>
      <c r="U257" s="28">
        <f t="shared" si="31"/>
        <v>47602.55</v>
      </c>
      <c r="V257" s="12">
        <f t="shared" si="23"/>
        <v>39480.15</v>
      </c>
      <c r="W257" s="29" t="s">
        <v>1191</v>
      </c>
      <c r="X257" s="6" t="s">
        <v>78</v>
      </c>
      <c r="Y257" s="6" t="s">
        <v>897</v>
      </c>
      <c r="Z257" s="30" t="s">
        <v>36</v>
      </c>
      <c r="AA257" s="50" t="str">
        <f>W257</f>
        <v>Employer pension share for November 2025 - 15% &amp; Extra Allowance for 1 year from 14 July 2025 to 13 July 2026</v>
      </c>
      <c r="AB257" s="14" t="str">
        <f>CONCATENATE(C257," - ", D257," - ",AA257)</f>
        <v>02-4996 - Hind Salem Fadhel Ali AlSalmi - Employer pension share for November 2025 - 15% &amp; Extra Allowance for 1 year from 14 July 2025 to 13 July 2026</v>
      </c>
      <c r="AC257" s="100">
        <v>47602.55</v>
      </c>
      <c r="AD257" s="14">
        <v>47602.55</v>
      </c>
      <c r="AE257" s="100">
        <v>0</v>
      </c>
    </row>
    <row r="258" spans="1:31" s="14" customFormat="1" ht="21.75" hidden="1" customHeight="1" x14ac:dyDescent="0.25">
      <c r="A258" s="6">
        <f>SUBTOTAL(3,$D$1:D258)-1</f>
        <v>1</v>
      </c>
      <c r="B258" s="30">
        <v>2001252</v>
      </c>
      <c r="C258" s="8" t="s">
        <v>756</v>
      </c>
      <c r="D258" s="17" t="s">
        <v>751</v>
      </c>
      <c r="E258" s="9" t="s">
        <v>752</v>
      </c>
      <c r="F258" s="9" t="s">
        <v>759</v>
      </c>
      <c r="G258" s="10">
        <v>45643</v>
      </c>
      <c r="H258" s="11" t="s">
        <v>69</v>
      </c>
      <c r="I258" s="11" t="s">
        <v>862</v>
      </c>
      <c r="J258" s="11">
        <v>8800</v>
      </c>
      <c r="K258" s="11">
        <v>13200</v>
      </c>
      <c r="L258" s="12">
        <f t="shared" si="29"/>
        <v>22000</v>
      </c>
      <c r="M258" s="12">
        <f t="shared" si="30"/>
        <v>22000</v>
      </c>
      <c r="N258" s="12">
        <v>795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f t="shared" si="24"/>
        <v>0</v>
      </c>
      <c r="U258" s="18">
        <f t="shared" si="31"/>
        <v>22795</v>
      </c>
      <c r="V258" s="12">
        <f t="shared" si="23"/>
        <v>22000</v>
      </c>
      <c r="W258" s="96"/>
      <c r="X258" s="6" t="s">
        <v>78</v>
      </c>
      <c r="Y258" s="6" t="s">
        <v>901</v>
      </c>
      <c r="Z258" s="6" t="s">
        <v>36</v>
      </c>
      <c r="AA258" s="50"/>
      <c r="AC258" s="100">
        <v>22795</v>
      </c>
      <c r="AD258" s="14">
        <v>22795</v>
      </c>
      <c r="AE258" s="100">
        <v>0</v>
      </c>
    </row>
    <row r="259" spans="1:31" s="14" customFormat="1" ht="21.75" hidden="1" customHeight="1" x14ac:dyDescent="0.25">
      <c r="A259" s="6">
        <f>SUBTOTAL(3,$D$1:D259)-1</f>
        <v>1</v>
      </c>
      <c r="B259" s="23">
        <v>2001254</v>
      </c>
      <c r="C259" s="24" t="s">
        <v>757</v>
      </c>
      <c r="D259" s="25" t="s">
        <v>753</v>
      </c>
      <c r="E259" s="9" t="s">
        <v>1069</v>
      </c>
      <c r="F259" s="26" t="s">
        <v>235</v>
      </c>
      <c r="G259" s="27">
        <v>45644</v>
      </c>
      <c r="H259" s="11" t="s">
        <v>236</v>
      </c>
      <c r="I259" s="11" t="s">
        <v>448</v>
      </c>
      <c r="J259" s="28">
        <v>18000</v>
      </c>
      <c r="K259" s="28">
        <v>27000</v>
      </c>
      <c r="L259" s="28">
        <f t="shared" si="29"/>
        <v>45000</v>
      </c>
      <c r="M259" s="28">
        <f t="shared" si="30"/>
        <v>45000</v>
      </c>
      <c r="N259" s="28">
        <v>795</v>
      </c>
      <c r="O259" s="28">
        <v>0</v>
      </c>
      <c r="P259" s="28">
        <f>3250+(3250/30*16)</f>
        <v>4983.333333333333</v>
      </c>
      <c r="Q259" s="28">
        <v>0</v>
      </c>
      <c r="R259" s="28">
        <v>0</v>
      </c>
      <c r="S259" s="28">
        <v>0</v>
      </c>
      <c r="T259" s="28">
        <f t="shared" si="24"/>
        <v>4983.333333333333</v>
      </c>
      <c r="U259" s="28">
        <f t="shared" si="31"/>
        <v>50778.333333333336</v>
      </c>
      <c r="V259" s="12">
        <f t="shared" ref="V259:V314" si="32">SUM(M259,P259,R259,O259)-S259</f>
        <v>49983.333333333336</v>
      </c>
      <c r="W259" s="29" t="s">
        <v>1195</v>
      </c>
      <c r="X259" s="6" t="s">
        <v>56</v>
      </c>
      <c r="Y259" s="6" t="s">
        <v>910</v>
      </c>
      <c r="Z259" s="30" t="s">
        <v>36</v>
      </c>
      <c r="AA259" s="50"/>
      <c r="AC259" s="100">
        <v>50778.333333333336</v>
      </c>
      <c r="AD259" s="14">
        <v>50778.332999999999</v>
      </c>
      <c r="AE259" s="100">
        <v>3.3333333703922108E-4</v>
      </c>
    </row>
    <row r="260" spans="1:31" s="14" customFormat="1" ht="21.75" hidden="1" customHeight="1" x14ac:dyDescent="0.25">
      <c r="A260" s="6">
        <f>SUBTOTAL(3,$D$1:D260)-1</f>
        <v>1</v>
      </c>
      <c r="B260" s="30">
        <v>2001281</v>
      </c>
      <c r="C260" s="8" t="s">
        <v>758</v>
      </c>
      <c r="D260" s="17" t="s">
        <v>754</v>
      </c>
      <c r="E260" s="9" t="s">
        <v>264</v>
      </c>
      <c r="F260" s="9" t="s">
        <v>48</v>
      </c>
      <c r="G260" s="10">
        <v>45649</v>
      </c>
      <c r="H260" s="11" t="s">
        <v>33</v>
      </c>
      <c r="I260" s="11" t="s">
        <v>152</v>
      </c>
      <c r="J260" s="11">
        <v>14038.8</v>
      </c>
      <c r="K260" s="11">
        <v>21058.2</v>
      </c>
      <c r="L260" s="12">
        <f t="shared" si="29"/>
        <v>35097</v>
      </c>
      <c r="M260" s="12">
        <f t="shared" si="30"/>
        <v>35097</v>
      </c>
      <c r="N260" s="12">
        <v>795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f t="shared" ref="T260:T313" si="33">SUM(O260:R260)</f>
        <v>0</v>
      </c>
      <c r="U260" s="18">
        <f t="shared" si="31"/>
        <v>35892</v>
      </c>
      <c r="V260" s="12">
        <f t="shared" si="32"/>
        <v>35097</v>
      </c>
      <c r="W260" s="96"/>
      <c r="X260" s="6" t="s">
        <v>56</v>
      </c>
      <c r="Y260" s="6" t="s">
        <v>888</v>
      </c>
      <c r="Z260" s="6" t="s">
        <v>36</v>
      </c>
      <c r="AA260" s="50"/>
      <c r="AC260" s="100">
        <v>35892</v>
      </c>
      <c r="AD260" s="14">
        <v>35892</v>
      </c>
      <c r="AE260" s="100">
        <v>0</v>
      </c>
    </row>
    <row r="261" spans="1:31" s="14" customFormat="1" ht="21.75" hidden="1" customHeight="1" x14ac:dyDescent="0.25">
      <c r="A261" s="6">
        <f>SUBTOTAL(3,$D$1:D261)-1</f>
        <v>1</v>
      </c>
      <c r="B261" s="22">
        <v>2001255</v>
      </c>
      <c r="C261" s="8" t="s">
        <v>760</v>
      </c>
      <c r="D261" s="89" t="s">
        <v>764</v>
      </c>
      <c r="E261" s="9" t="s">
        <v>1070</v>
      </c>
      <c r="F261" s="9" t="s">
        <v>553</v>
      </c>
      <c r="G261" s="10">
        <v>45644</v>
      </c>
      <c r="H261" s="11" t="s">
        <v>45</v>
      </c>
      <c r="I261" s="11" t="s">
        <v>107</v>
      </c>
      <c r="J261" s="11">
        <v>11350</v>
      </c>
      <c r="K261" s="11">
        <v>17025</v>
      </c>
      <c r="L261" s="12">
        <f t="shared" si="29"/>
        <v>28375</v>
      </c>
      <c r="M261" s="12">
        <f t="shared" si="30"/>
        <v>28375</v>
      </c>
      <c r="N261" s="12">
        <v>795</v>
      </c>
      <c r="O261" s="12">
        <v>0</v>
      </c>
      <c r="P261" s="12">
        <v>0</v>
      </c>
      <c r="Q261" s="12">
        <f>M261*11%</f>
        <v>3121.25</v>
      </c>
      <c r="R261" s="12">
        <v>0</v>
      </c>
      <c r="S261" s="12">
        <f>M261*7.5%</f>
        <v>2128.125</v>
      </c>
      <c r="T261" s="12">
        <f t="shared" si="33"/>
        <v>3121.25</v>
      </c>
      <c r="U261" s="18">
        <f t="shared" si="31"/>
        <v>32291.25</v>
      </c>
      <c r="V261" s="12">
        <f t="shared" si="32"/>
        <v>26246.875</v>
      </c>
      <c r="W261" s="13" t="s">
        <v>1189</v>
      </c>
      <c r="X261" s="6" t="s">
        <v>56</v>
      </c>
      <c r="Y261" s="6" t="s">
        <v>883</v>
      </c>
      <c r="Z261" s="6" t="s">
        <v>36</v>
      </c>
      <c r="AA261" s="14" t="str">
        <f>W261</f>
        <v>Employer pension share for November 2025 - 11%</v>
      </c>
      <c r="AB261" s="14" t="str">
        <f>CONCATENATE(C261," - ", D261," - ",AA261)</f>
        <v>02-5052 - Said Harib Haliman Ali AlAlawi - Employer pension share for November 2025 - 11%</v>
      </c>
      <c r="AC261" s="100">
        <v>32291.25</v>
      </c>
      <c r="AD261" s="14">
        <v>32291.25</v>
      </c>
      <c r="AE261" s="100">
        <v>0</v>
      </c>
    </row>
    <row r="262" spans="1:31" s="14" customFormat="1" ht="21.75" hidden="1" customHeight="1" x14ac:dyDescent="0.25">
      <c r="A262" s="6">
        <f>SUBTOTAL(3,$D$1:D262)-1</f>
        <v>1</v>
      </c>
      <c r="B262" s="6">
        <v>2001261</v>
      </c>
      <c r="C262" s="15" t="s">
        <v>793</v>
      </c>
      <c r="D262" s="92" t="s">
        <v>794</v>
      </c>
      <c r="E262" s="9" t="s">
        <v>1071</v>
      </c>
      <c r="F262" s="9" t="s">
        <v>72</v>
      </c>
      <c r="G262" s="10">
        <v>45667</v>
      </c>
      <c r="H262" s="11" t="s">
        <v>45</v>
      </c>
      <c r="I262" s="11" t="s">
        <v>256</v>
      </c>
      <c r="J262" s="37">
        <v>8800</v>
      </c>
      <c r="K262" s="37">
        <v>13200</v>
      </c>
      <c r="L262" s="12">
        <f t="shared" si="29"/>
        <v>22000</v>
      </c>
      <c r="M262" s="12">
        <f t="shared" si="30"/>
        <v>22000</v>
      </c>
      <c r="N262" s="12">
        <v>795</v>
      </c>
      <c r="O262" s="12">
        <v>0</v>
      </c>
      <c r="P262" s="36">
        <v>0</v>
      </c>
      <c r="Q262" s="36">
        <v>0</v>
      </c>
      <c r="R262" s="12">
        <v>0</v>
      </c>
      <c r="S262" s="36">
        <v>0</v>
      </c>
      <c r="T262" s="12">
        <f t="shared" si="33"/>
        <v>0</v>
      </c>
      <c r="U262" s="18">
        <f t="shared" si="31"/>
        <v>22795</v>
      </c>
      <c r="V262" s="12">
        <f t="shared" si="32"/>
        <v>22000</v>
      </c>
      <c r="W262" s="38"/>
      <c r="X262" s="6" t="s">
        <v>35</v>
      </c>
      <c r="Y262" s="6" t="s">
        <v>898</v>
      </c>
      <c r="Z262" s="6" t="s">
        <v>36</v>
      </c>
      <c r="AA262" s="50"/>
      <c r="AC262" s="100">
        <v>22795</v>
      </c>
      <c r="AD262" s="14">
        <v>22795</v>
      </c>
      <c r="AE262" s="100">
        <v>0</v>
      </c>
    </row>
    <row r="263" spans="1:31" s="14" customFormat="1" ht="21.75" hidden="1" customHeight="1" x14ac:dyDescent="0.25">
      <c r="A263" s="6">
        <f>SUBTOTAL(3,$D$1:D263)-1</f>
        <v>1</v>
      </c>
      <c r="B263" s="22">
        <v>2001258</v>
      </c>
      <c r="C263" s="8" t="s">
        <v>770</v>
      </c>
      <c r="D263" s="17" t="s">
        <v>766</v>
      </c>
      <c r="E263" s="9" t="s">
        <v>767</v>
      </c>
      <c r="F263" s="9" t="s">
        <v>52</v>
      </c>
      <c r="G263" s="10">
        <v>45656</v>
      </c>
      <c r="H263" s="11" t="s">
        <v>87</v>
      </c>
      <c r="I263" s="11" t="s">
        <v>1008</v>
      </c>
      <c r="J263" s="11">
        <v>11000</v>
      </c>
      <c r="K263" s="11">
        <v>16500</v>
      </c>
      <c r="L263" s="12">
        <f t="shared" si="29"/>
        <v>27500</v>
      </c>
      <c r="M263" s="12">
        <f t="shared" si="30"/>
        <v>27500</v>
      </c>
      <c r="N263" s="12">
        <v>795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f t="shared" si="33"/>
        <v>0</v>
      </c>
      <c r="U263" s="18">
        <f t="shared" si="31"/>
        <v>28295</v>
      </c>
      <c r="V263" s="12">
        <f t="shared" si="32"/>
        <v>27500</v>
      </c>
      <c r="W263" s="96"/>
      <c r="X263" s="6" t="s">
        <v>78</v>
      </c>
      <c r="Y263" s="6" t="s">
        <v>877</v>
      </c>
      <c r="Z263" s="6" t="s">
        <v>36</v>
      </c>
      <c r="AA263" s="50"/>
      <c r="AC263" s="100">
        <v>28295</v>
      </c>
      <c r="AD263" s="14">
        <v>28295</v>
      </c>
      <c r="AE263" s="100">
        <v>0</v>
      </c>
    </row>
    <row r="264" spans="1:31" s="14" customFormat="1" ht="21.75" hidden="1" customHeight="1" x14ac:dyDescent="0.25">
      <c r="A264" s="6">
        <f>SUBTOTAL(3,$D$1:D264)-1</f>
        <v>1</v>
      </c>
      <c r="B264" s="6">
        <v>2001282</v>
      </c>
      <c r="C264" s="15" t="s">
        <v>778</v>
      </c>
      <c r="D264" s="92" t="s">
        <v>773</v>
      </c>
      <c r="E264" s="9" t="s">
        <v>787</v>
      </c>
      <c r="F264" s="9" t="s">
        <v>48</v>
      </c>
      <c r="G264" s="10">
        <v>45684</v>
      </c>
      <c r="H264" s="11" t="s">
        <v>87</v>
      </c>
      <c r="I264" s="11" t="s">
        <v>860</v>
      </c>
      <c r="J264" s="37">
        <v>16369.6</v>
      </c>
      <c r="K264" s="37">
        <v>24554.400000000001</v>
      </c>
      <c r="L264" s="12">
        <f t="shared" si="29"/>
        <v>40924</v>
      </c>
      <c r="M264" s="12">
        <f t="shared" si="30"/>
        <v>40924</v>
      </c>
      <c r="N264" s="12">
        <v>795</v>
      </c>
      <c r="O264" s="12">
        <v>0</v>
      </c>
      <c r="P264" s="36">
        <v>0</v>
      </c>
      <c r="Q264" s="36">
        <v>0</v>
      </c>
      <c r="R264" s="12">
        <v>0</v>
      </c>
      <c r="S264" s="36">
        <v>0</v>
      </c>
      <c r="T264" s="12">
        <f t="shared" si="33"/>
        <v>0</v>
      </c>
      <c r="U264" s="18">
        <f t="shared" si="31"/>
        <v>41719</v>
      </c>
      <c r="V264" s="12">
        <f t="shared" si="32"/>
        <v>40924</v>
      </c>
      <c r="W264" s="38"/>
      <c r="X264" s="6" t="s">
        <v>56</v>
      </c>
      <c r="Y264" s="6" t="s">
        <v>895</v>
      </c>
      <c r="Z264" s="6" t="s">
        <v>36</v>
      </c>
      <c r="AA264" s="50"/>
      <c r="AC264" s="100">
        <v>41719</v>
      </c>
      <c r="AD264" s="14">
        <v>41719</v>
      </c>
      <c r="AE264" s="100">
        <v>0</v>
      </c>
    </row>
    <row r="265" spans="1:31" s="14" customFormat="1" ht="21.75" hidden="1" customHeight="1" x14ac:dyDescent="0.25">
      <c r="A265" s="6">
        <f>SUBTOTAL(3,$D$1:D265)-1</f>
        <v>1</v>
      </c>
      <c r="B265" s="6">
        <v>2001285</v>
      </c>
      <c r="C265" s="15" t="s">
        <v>777</v>
      </c>
      <c r="D265" s="92" t="s">
        <v>772</v>
      </c>
      <c r="E265" s="9" t="s">
        <v>786</v>
      </c>
      <c r="F265" s="9" t="s">
        <v>48</v>
      </c>
      <c r="G265" s="10">
        <v>45684</v>
      </c>
      <c r="H265" s="11" t="s">
        <v>33</v>
      </c>
      <c r="I265" s="11" t="s">
        <v>91</v>
      </c>
      <c r="J265" s="37">
        <v>20837.599999999999</v>
      </c>
      <c r="K265" s="37">
        <v>31256.400000000001</v>
      </c>
      <c r="L265" s="12">
        <f t="shared" si="29"/>
        <v>52094</v>
      </c>
      <c r="M265" s="12">
        <f t="shared" si="30"/>
        <v>52094</v>
      </c>
      <c r="N265" s="12">
        <v>795</v>
      </c>
      <c r="O265" s="12">
        <v>0</v>
      </c>
      <c r="P265" s="36">
        <v>0</v>
      </c>
      <c r="Q265" s="36">
        <v>0</v>
      </c>
      <c r="R265" s="12">
        <v>0</v>
      </c>
      <c r="S265" s="36">
        <v>0</v>
      </c>
      <c r="T265" s="12">
        <f t="shared" si="33"/>
        <v>0</v>
      </c>
      <c r="U265" s="18">
        <f t="shared" si="31"/>
        <v>52889</v>
      </c>
      <c r="V265" s="12">
        <f t="shared" si="32"/>
        <v>52094</v>
      </c>
      <c r="W265" s="38"/>
      <c r="X265" s="6" t="s">
        <v>56</v>
      </c>
      <c r="Y265" s="6" t="s">
        <v>878</v>
      </c>
      <c r="Z265" s="6" t="s">
        <v>36</v>
      </c>
      <c r="AA265" s="50"/>
      <c r="AC265" s="100">
        <v>52889</v>
      </c>
      <c r="AD265" s="14">
        <v>52889</v>
      </c>
      <c r="AE265" s="100">
        <v>0</v>
      </c>
    </row>
    <row r="266" spans="1:31" s="14" customFormat="1" ht="21.75" hidden="1" customHeight="1" x14ac:dyDescent="0.25">
      <c r="A266" s="6">
        <f>SUBTOTAL(3,$D$1:D266)-1</f>
        <v>1</v>
      </c>
      <c r="B266" s="6">
        <v>2001259</v>
      </c>
      <c r="C266" s="8" t="s">
        <v>791</v>
      </c>
      <c r="D266" s="92" t="s">
        <v>792</v>
      </c>
      <c r="E266" s="9" t="s">
        <v>1072</v>
      </c>
      <c r="F266" s="9" t="s">
        <v>52</v>
      </c>
      <c r="G266" s="10">
        <v>45665</v>
      </c>
      <c r="H266" s="11" t="s">
        <v>33</v>
      </c>
      <c r="I266" s="11" t="s">
        <v>97</v>
      </c>
      <c r="J266" s="37">
        <v>24000</v>
      </c>
      <c r="K266" s="37">
        <v>36000</v>
      </c>
      <c r="L266" s="12">
        <f t="shared" si="29"/>
        <v>60000</v>
      </c>
      <c r="M266" s="12">
        <f t="shared" si="30"/>
        <v>60000</v>
      </c>
      <c r="N266" s="12">
        <v>795</v>
      </c>
      <c r="O266" s="12">
        <v>0</v>
      </c>
      <c r="P266" s="36">
        <v>0</v>
      </c>
      <c r="Q266" s="36">
        <v>0</v>
      </c>
      <c r="R266" s="12">
        <v>0</v>
      </c>
      <c r="S266" s="36">
        <v>0</v>
      </c>
      <c r="T266" s="12">
        <f t="shared" si="33"/>
        <v>0</v>
      </c>
      <c r="U266" s="18">
        <f t="shared" si="31"/>
        <v>60795</v>
      </c>
      <c r="V266" s="12">
        <f t="shared" si="32"/>
        <v>60000</v>
      </c>
      <c r="W266" s="38"/>
      <c r="X266" s="6" t="s">
        <v>56</v>
      </c>
      <c r="Y266" s="6" t="s">
        <v>880</v>
      </c>
      <c r="Z266" s="6" t="s">
        <v>36</v>
      </c>
      <c r="AA266" s="50"/>
      <c r="AC266" s="100">
        <v>60795</v>
      </c>
      <c r="AD266" s="14">
        <v>60795</v>
      </c>
      <c r="AE266" s="100">
        <v>0</v>
      </c>
    </row>
    <row r="267" spans="1:31" s="14" customFormat="1" ht="21.75" hidden="1" customHeight="1" x14ac:dyDescent="0.25">
      <c r="A267" s="6">
        <f>SUBTOTAL(3,$D$1:D267)-1</f>
        <v>1</v>
      </c>
      <c r="B267" s="6">
        <v>2001260</v>
      </c>
      <c r="C267" s="15" t="s">
        <v>795</v>
      </c>
      <c r="D267" s="92" t="s">
        <v>796</v>
      </c>
      <c r="E267" s="9" t="s">
        <v>797</v>
      </c>
      <c r="F267" s="9" t="s">
        <v>52</v>
      </c>
      <c r="G267" s="10">
        <v>45670</v>
      </c>
      <c r="H267" s="11" t="s">
        <v>87</v>
      </c>
      <c r="I267" s="11" t="s">
        <v>1008</v>
      </c>
      <c r="J267" s="37">
        <v>12760</v>
      </c>
      <c r="K267" s="37">
        <v>19140</v>
      </c>
      <c r="L267" s="12">
        <f t="shared" si="29"/>
        <v>31900</v>
      </c>
      <c r="M267" s="12">
        <f t="shared" si="30"/>
        <v>31899.999999999996</v>
      </c>
      <c r="N267" s="12">
        <v>795</v>
      </c>
      <c r="O267" s="12">
        <v>0</v>
      </c>
      <c r="P267" s="36">
        <v>0</v>
      </c>
      <c r="Q267" s="36">
        <v>0</v>
      </c>
      <c r="R267" s="12">
        <v>0</v>
      </c>
      <c r="S267" s="36">
        <v>0</v>
      </c>
      <c r="T267" s="12">
        <f t="shared" si="33"/>
        <v>0</v>
      </c>
      <c r="U267" s="18">
        <f t="shared" si="31"/>
        <v>32694.999999999996</v>
      </c>
      <c r="V267" s="12">
        <f t="shared" si="32"/>
        <v>31899.999999999996</v>
      </c>
      <c r="W267" s="38"/>
      <c r="X267" s="6" t="s">
        <v>56</v>
      </c>
      <c r="Y267" s="6" t="s">
        <v>877</v>
      </c>
      <c r="Z267" s="6" t="s">
        <v>36</v>
      </c>
      <c r="AA267" s="50"/>
      <c r="AC267" s="100">
        <v>32694.999999999996</v>
      </c>
      <c r="AD267" s="14">
        <v>32695</v>
      </c>
      <c r="AE267" s="100">
        <v>0</v>
      </c>
    </row>
    <row r="268" spans="1:31" s="14" customFormat="1" ht="21.75" hidden="1" customHeight="1" x14ac:dyDescent="0.25">
      <c r="A268" s="6">
        <f>SUBTOTAL(3,$D$1:D268)-1</f>
        <v>1</v>
      </c>
      <c r="B268" s="6">
        <v>2001286</v>
      </c>
      <c r="C268" s="15" t="s">
        <v>780</v>
      </c>
      <c r="D268" s="92" t="s">
        <v>775</v>
      </c>
      <c r="E268" s="9" t="s">
        <v>789</v>
      </c>
      <c r="F268" s="9" t="s">
        <v>81</v>
      </c>
      <c r="G268" s="10">
        <v>45691</v>
      </c>
      <c r="H268" s="11" t="s">
        <v>33</v>
      </c>
      <c r="I268" s="11" t="s">
        <v>97</v>
      </c>
      <c r="J268" s="37">
        <v>19200</v>
      </c>
      <c r="K268" s="37">
        <v>28800</v>
      </c>
      <c r="L268" s="12">
        <f t="shared" si="29"/>
        <v>48000</v>
      </c>
      <c r="M268" s="12">
        <f t="shared" si="30"/>
        <v>48000</v>
      </c>
      <c r="N268" s="12">
        <v>795</v>
      </c>
      <c r="O268" s="12">
        <v>0</v>
      </c>
      <c r="P268" s="36">
        <v>0</v>
      </c>
      <c r="Q268" s="36">
        <v>0</v>
      </c>
      <c r="R268" s="12">
        <v>0</v>
      </c>
      <c r="S268" s="36">
        <v>0</v>
      </c>
      <c r="T268" s="12">
        <f t="shared" si="33"/>
        <v>0</v>
      </c>
      <c r="U268" s="18">
        <f t="shared" si="31"/>
        <v>48795</v>
      </c>
      <c r="V268" s="12">
        <f t="shared" si="32"/>
        <v>48000</v>
      </c>
      <c r="W268" s="38"/>
      <c r="X268" s="6" t="s">
        <v>56</v>
      </c>
      <c r="Y268" s="6" t="s">
        <v>880</v>
      </c>
      <c r="Z268" s="6" t="s">
        <v>36</v>
      </c>
      <c r="AA268" s="50"/>
      <c r="AC268" s="100">
        <v>48795</v>
      </c>
      <c r="AD268" s="14">
        <v>48795</v>
      </c>
      <c r="AE268" s="100">
        <v>0</v>
      </c>
    </row>
    <row r="269" spans="1:31" s="14" customFormat="1" ht="21.75" hidden="1" customHeight="1" x14ac:dyDescent="0.25">
      <c r="A269" s="6">
        <f>SUBTOTAL(3,$D$1:D269)-1</f>
        <v>1</v>
      </c>
      <c r="B269" s="6">
        <v>2001264</v>
      </c>
      <c r="C269" s="15" t="s">
        <v>776</v>
      </c>
      <c r="D269" s="92" t="s">
        <v>771</v>
      </c>
      <c r="E269" s="9" t="s">
        <v>785</v>
      </c>
      <c r="F269" s="9" t="s">
        <v>348</v>
      </c>
      <c r="G269" s="10">
        <v>45684</v>
      </c>
      <c r="H269" s="11" t="s">
        <v>236</v>
      </c>
      <c r="I269" s="11" t="s">
        <v>306</v>
      </c>
      <c r="J269" s="37">
        <v>14632</v>
      </c>
      <c r="K269" s="37">
        <v>21948</v>
      </c>
      <c r="L269" s="12">
        <f t="shared" si="29"/>
        <v>36580</v>
      </c>
      <c r="M269" s="12">
        <f t="shared" si="30"/>
        <v>36580</v>
      </c>
      <c r="N269" s="12">
        <v>795</v>
      </c>
      <c r="O269" s="12">
        <v>0</v>
      </c>
      <c r="P269" s="36">
        <v>0</v>
      </c>
      <c r="Q269" s="36">
        <v>0</v>
      </c>
      <c r="R269" s="12">
        <v>0</v>
      </c>
      <c r="S269" s="36">
        <v>0</v>
      </c>
      <c r="T269" s="12">
        <f t="shared" si="33"/>
        <v>0</v>
      </c>
      <c r="U269" s="18">
        <f t="shared" si="31"/>
        <v>37375</v>
      </c>
      <c r="V269" s="12">
        <f t="shared" si="32"/>
        <v>36580</v>
      </c>
      <c r="W269" s="38"/>
      <c r="X269" s="6" t="s">
        <v>56</v>
      </c>
      <c r="Y269" s="6" t="s">
        <v>904</v>
      </c>
      <c r="Z269" s="6" t="s">
        <v>36</v>
      </c>
      <c r="AA269" s="50"/>
      <c r="AC269" s="100">
        <v>37375</v>
      </c>
      <c r="AD269" s="14">
        <v>37375</v>
      </c>
      <c r="AE269" s="100">
        <v>0</v>
      </c>
    </row>
    <row r="270" spans="1:31" s="14" customFormat="1" ht="21.75" hidden="1" customHeight="1" x14ac:dyDescent="0.25">
      <c r="A270" s="6">
        <f>SUBTOTAL(3,$D$1:D270)-1</f>
        <v>1</v>
      </c>
      <c r="B270" s="6">
        <v>2001287</v>
      </c>
      <c r="C270" s="15" t="s">
        <v>779</v>
      </c>
      <c r="D270" s="92" t="s">
        <v>774</v>
      </c>
      <c r="E270" s="9" t="s">
        <v>788</v>
      </c>
      <c r="F270" s="9" t="s">
        <v>363</v>
      </c>
      <c r="G270" s="10">
        <v>45691</v>
      </c>
      <c r="H270" s="11" t="s">
        <v>49</v>
      </c>
      <c r="I270" s="11" t="s">
        <v>852</v>
      </c>
      <c r="J270" s="37">
        <v>29417</v>
      </c>
      <c r="K270" s="37">
        <v>44125</v>
      </c>
      <c r="L270" s="12">
        <f t="shared" ref="L270:L300" si="34">J270+K270</f>
        <v>73542</v>
      </c>
      <c r="M270" s="12">
        <f t="shared" si="30"/>
        <v>73542</v>
      </c>
      <c r="N270" s="12">
        <v>795</v>
      </c>
      <c r="O270" s="12">
        <v>0</v>
      </c>
      <c r="P270" s="36">
        <v>0</v>
      </c>
      <c r="Q270" s="36">
        <v>0</v>
      </c>
      <c r="R270" s="12">
        <v>0</v>
      </c>
      <c r="S270" s="36">
        <v>0</v>
      </c>
      <c r="T270" s="12">
        <f t="shared" si="33"/>
        <v>0</v>
      </c>
      <c r="U270" s="18">
        <f t="shared" si="31"/>
        <v>74337</v>
      </c>
      <c r="V270" s="12">
        <f t="shared" si="32"/>
        <v>73542</v>
      </c>
      <c r="W270" s="38"/>
      <c r="X270" s="6" t="s">
        <v>56</v>
      </c>
      <c r="Y270" s="6" t="s">
        <v>876</v>
      </c>
      <c r="Z270" s="6" t="s">
        <v>36</v>
      </c>
      <c r="AA270" s="50"/>
      <c r="AC270" s="100">
        <v>74337</v>
      </c>
      <c r="AD270" s="14">
        <v>74337</v>
      </c>
      <c r="AE270" s="100">
        <v>0</v>
      </c>
    </row>
    <row r="271" spans="1:31" s="14" customFormat="1" ht="21.75" hidden="1" customHeight="1" x14ac:dyDescent="0.25">
      <c r="A271" s="6">
        <f>SUBTOTAL(3,$D$1:D271)-1</f>
        <v>1</v>
      </c>
      <c r="B271" s="6">
        <v>2001288</v>
      </c>
      <c r="C271" s="15" t="s">
        <v>783</v>
      </c>
      <c r="D271" s="92" t="s">
        <v>781</v>
      </c>
      <c r="E271" s="9" t="s">
        <v>1073</v>
      </c>
      <c r="F271" s="9" t="s">
        <v>52</v>
      </c>
      <c r="G271" s="10">
        <v>45692</v>
      </c>
      <c r="H271" s="11" t="s">
        <v>45</v>
      </c>
      <c r="I271" s="11" t="s">
        <v>256</v>
      </c>
      <c r="J271" s="37">
        <v>18698</v>
      </c>
      <c r="K271" s="37">
        <v>28047</v>
      </c>
      <c r="L271" s="12">
        <f t="shared" si="34"/>
        <v>46745</v>
      </c>
      <c r="M271" s="12">
        <f t="shared" si="30"/>
        <v>46745</v>
      </c>
      <c r="N271" s="12">
        <v>795</v>
      </c>
      <c r="O271" s="12">
        <v>0</v>
      </c>
      <c r="P271" s="36">
        <v>0</v>
      </c>
      <c r="Q271" s="36">
        <v>0</v>
      </c>
      <c r="R271" s="12">
        <v>0</v>
      </c>
      <c r="S271" s="36">
        <v>0</v>
      </c>
      <c r="T271" s="12">
        <f t="shared" si="33"/>
        <v>0</v>
      </c>
      <c r="U271" s="18">
        <f t="shared" si="31"/>
        <v>47540</v>
      </c>
      <c r="V271" s="12">
        <f t="shared" si="32"/>
        <v>46745</v>
      </c>
      <c r="W271" s="38"/>
      <c r="X271" s="6" t="s">
        <v>56</v>
      </c>
      <c r="Y271" s="6" t="s">
        <v>898</v>
      </c>
      <c r="Z271" s="6" t="s">
        <v>36</v>
      </c>
      <c r="AA271" s="50"/>
      <c r="AC271" s="100">
        <v>47540</v>
      </c>
      <c r="AD271" s="14">
        <v>47540</v>
      </c>
      <c r="AE271" s="100">
        <v>0</v>
      </c>
    </row>
    <row r="272" spans="1:31" s="14" customFormat="1" ht="21.75" hidden="1" customHeight="1" x14ac:dyDescent="0.25">
      <c r="A272" s="6">
        <f>SUBTOTAL(3,$D$1:D272)-1</f>
        <v>1</v>
      </c>
      <c r="B272" s="6">
        <v>2001299</v>
      </c>
      <c r="C272" s="15" t="s">
        <v>826</v>
      </c>
      <c r="D272" s="92" t="s">
        <v>814</v>
      </c>
      <c r="E272" s="9" t="s">
        <v>815</v>
      </c>
      <c r="F272" s="9" t="s">
        <v>48</v>
      </c>
      <c r="G272" s="10">
        <v>45720</v>
      </c>
      <c r="H272" s="11" t="s">
        <v>49</v>
      </c>
      <c r="I272" s="11" t="s">
        <v>867</v>
      </c>
      <c r="J272" s="37">
        <v>36224</v>
      </c>
      <c r="K272" s="37">
        <v>54336</v>
      </c>
      <c r="L272" s="12">
        <f t="shared" si="34"/>
        <v>90560</v>
      </c>
      <c r="M272" s="12">
        <f t="shared" si="30"/>
        <v>90560</v>
      </c>
      <c r="N272" s="12">
        <v>795</v>
      </c>
      <c r="O272" s="12">
        <v>0</v>
      </c>
      <c r="P272" s="36">
        <v>0</v>
      </c>
      <c r="Q272" s="36">
        <v>0</v>
      </c>
      <c r="R272" s="36">
        <v>0</v>
      </c>
      <c r="S272" s="36">
        <v>0</v>
      </c>
      <c r="T272" s="12">
        <f t="shared" si="33"/>
        <v>0</v>
      </c>
      <c r="U272" s="18">
        <f t="shared" si="31"/>
        <v>91355</v>
      </c>
      <c r="V272" s="12">
        <f t="shared" si="32"/>
        <v>90560</v>
      </c>
      <c r="W272" s="38"/>
      <c r="X272" s="6" t="s">
        <v>881</v>
      </c>
      <c r="Y272" s="6" t="s">
        <v>915</v>
      </c>
      <c r="Z272" s="6" t="s">
        <v>36</v>
      </c>
      <c r="AA272" s="50"/>
      <c r="AC272" s="100">
        <v>91355</v>
      </c>
      <c r="AD272" s="14">
        <v>91355</v>
      </c>
      <c r="AE272" s="100">
        <v>0</v>
      </c>
    </row>
    <row r="273" spans="1:31" s="14" customFormat="1" ht="21.75" hidden="1" customHeight="1" x14ac:dyDescent="0.25">
      <c r="A273" s="6">
        <f>SUBTOTAL(3,$D$1:D273)-1</f>
        <v>1</v>
      </c>
      <c r="B273" s="6">
        <v>2001272</v>
      </c>
      <c r="C273" s="15" t="s">
        <v>784</v>
      </c>
      <c r="D273" s="93" t="s">
        <v>782</v>
      </c>
      <c r="E273" s="9" t="s">
        <v>790</v>
      </c>
      <c r="F273" s="9" t="s">
        <v>274</v>
      </c>
      <c r="G273" s="10">
        <v>45695</v>
      </c>
      <c r="H273" s="11" t="s">
        <v>69</v>
      </c>
      <c r="I273" s="11" t="s">
        <v>270</v>
      </c>
      <c r="J273" s="37">
        <v>29200</v>
      </c>
      <c r="K273" s="37">
        <v>43800</v>
      </c>
      <c r="L273" s="12">
        <f t="shared" si="34"/>
        <v>73000</v>
      </c>
      <c r="M273" s="12">
        <f t="shared" si="30"/>
        <v>73000</v>
      </c>
      <c r="N273" s="12">
        <v>795</v>
      </c>
      <c r="O273" s="12">
        <v>0</v>
      </c>
      <c r="P273" s="32">
        <v>-16666.666666666668</v>
      </c>
      <c r="Q273" s="12">
        <f>(M273*15%)</f>
        <v>10950</v>
      </c>
      <c r="R273" s="12">
        <v>0</v>
      </c>
      <c r="S273" s="12">
        <f>(M273*5%)</f>
        <v>3650</v>
      </c>
      <c r="T273" s="12">
        <f t="shared" si="33"/>
        <v>-5716.6666666666679</v>
      </c>
      <c r="U273" s="18">
        <f t="shared" si="31"/>
        <v>68078.333333333328</v>
      </c>
      <c r="V273" s="12">
        <f t="shared" si="32"/>
        <v>52683.333333333328</v>
      </c>
      <c r="W273" s="38" t="s">
        <v>1192</v>
      </c>
      <c r="X273" s="6" t="s">
        <v>193</v>
      </c>
      <c r="Y273" s="6" t="s">
        <v>900</v>
      </c>
      <c r="Z273" s="22" t="s">
        <v>36</v>
      </c>
      <c r="AA273" s="14" t="s">
        <v>1099</v>
      </c>
      <c r="AB273" s="14" t="str">
        <f>CONCATENATE(C273," - ", D273," - ",AA273)</f>
        <v>02-5179 - Omar Obaid Ateeq Roudah Aldhaheri - Employer pension share for October 2025 - 15%</v>
      </c>
      <c r="AC273" s="100">
        <v>68078.333333333328</v>
      </c>
      <c r="AD273" s="14">
        <v>68078.33</v>
      </c>
      <c r="AE273" s="100">
        <v>3.3333333267364651E-3</v>
      </c>
    </row>
    <row r="274" spans="1:31" s="14" customFormat="1" ht="21.75" hidden="1" customHeight="1" x14ac:dyDescent="0.25">
      <c r="A274" s="6">
        <f>SUBTOTAL(3,$D$1:D274)-1</f>
        <v>1</v>
      </c>
      <c r="B274" s="6">
        <v>2001300</v>
      </c>
      <c r="C274" s="15" t="s">
        <v>822</v>
      </c>
      <c r="D274" s="92" t="s">
        <v>807</v>
      </c>
      <c r="E274" s="9" t="s">
        <v>808</v>
      </c>
      <c r="F274" s="9" t="s">
        <v>48</v>
      </c>
      <c r="G274" s="10">
        <v>45720</v>
      </c>
      <c r="H274" s="11" t="s">
        <v>236</v>
      </c>
      <c r="I274" s="11" t="s">
        <v>237</v>
      </c>
      <c r="J274" s="37">
        <v>16800</v>
      </c>
      <c r="K274" s="37">
        <v>25200</v>
      </c>
      <c r="L274" s="12">
        <f t="shared" si="34"/>
        <v>42000</v>
      </c>
      <c r="M274" s="12">
        <f t="shared" si="30"/>
        <v>42000</v>
      </c>
      <c r="N274" s="12">
        <v>795</v>
      </c>
      <c r="O274" s="12">
        <v>0</v>
      </c>
      <c r="P274" s="36">
        <v>0</v>
      </c>
      <c r="Q274" s="36">
        <v>0</v>
      </c>
      <c r="R274" s="36">
        <v>0</v>
      </c>
      <c r="S274" s="36">
        <v>0</v>
      </c>
      <c r="T274" s="12">
        <f t="shared" si="33"/>
        <v>0</v>
      </c>
      <c r="U274" s="18">
        <f t="shared" si="31"/>
        <v>42795</v>
      </c>
      <c r="V274" s="12">
        <f t="shared" si="32"/>
        <v>42000</v>
      </c>
      <c r="W274" s="38"/>
      <c r="X274" s="6" t="s">
        <v>56</v>
      </c>
      <c r="Y274" s="6" t="s">
        <v>897</v>
      </c>
      <c r="Z274" s="6" t="s">
        <v>36</v>
      </c>
      <c r="AA274" s="50"/>
      <c r="AC274" s="100">
        <v>42795</v>
      </c>
      <c r="AD274" s="14">
        <v>42795</v>
      </c>
      <c r="AE274" s="100">
        <v>0</v>
      </c>
    </row>
    <row r="275" spans="1:31" s="14" customFormat="1" ht="21.75" hidden="1" customHeight="1" x14ac:dyDescent="0.25">
      <c r="A275" s="6">
        <f>SUBTOTAL(3,$D$1:D275)-1</f>
        <v>1</v>
      </c>
      <c r="B275" s="6">
        <v>2001290</v>
      </c>
      <c r="C275" s="15" t="s">
        <v>801</v>
      </c>
      <c r="D275" s="92" t="s">
        <v>800</v>
      </c>
      <c r="E275" s="9" t="s">
        <v>930</v>
      </c>
      <c r="F275" s="9" t="s">
        <v>52</v>
      </c>
      <c r="G275" s="10">
        <v>45700</v>
      </c>
      <c r="H275" s="11" t="s">
        <v>87</v>
      </c>
      <c r="I275" s="11" t="s">
        <v>176</v>
      </c>
      <c r="J275" s="37">
        <v>11350</v>
      </c>
      <c r="K275" s="37">
        <v>17025</v>
      </c>
      <c r="L275" s="12">
        <f t="shared" si="34"/>
        <v>28375</v>
      </c>
      <c r="M275" s="12">
        <f t="shared" ref="M275:M306" si="35">L275/30*30</f>
        <v>28375</v>
      </c>
      <c r="N275" s="12">
        <v>795</v>
      </c>
      <c r="O275" s="12">
        <v>0</v>
      </c>
      <c r="P275" s="36">
        <v>0</v>
      </c>
      <c r="Q275" s="36">
        <v>0</v>
      </c>
      <c r="R275" s="36">
        <v>0</v>
      </c>
      <c r="S275" s="36">
        <v>0</v>
      </c>
      <c r="T275" s="12">
        <f t="shared" si="33"/>
        <v>0</v>
      </c>
      <c r="U275" s="18">
        <f t="shared" si="31"/>
        <v>29170</v>
      </c>
      <c r="V275" s="12">
        <f t="shared" si="32"/>
        <v>28375</v>
      </c>
      <c r="W275" s="38"/>
      <c r="X275" s="6" t="s">
        <v>56</v>
      </c>
      <c r="Y275" s="6" t="s">
        <v>890</v>
      </c>
      <c r="Z275" s="6" t="s">
        <v>36</v>
      </c>
      <c r="AA275" s="50"/>
      <c r="AC275" s="100">
        <v>29170</v>
      </c>
      <c r="AD275" s="14">
        <v>29170</v>
      </c>
      <c r="AE275" s="100">
        <v>0</v>
      </c>
    </row>
    <row r="276" spans="1:31" s="14" customFormat="1" ht="21.75" hidden="1" customHeight="1" x14ac:dyDescent="0.25">
      <c r="A276" s="6">
        <f>SUBTOTAL(3,$D$1:D276)-1</f>
        <v>1</v>
      </c>
      <c r="B276" s="6">
        <v>2001275</v>
      </c>
      <c r="C276" s="15" t="s">
        <v>820</v>
      </c>
      <c r="D276" s="92" t="s">
        <v>805</v>
      </c>
      <c r="E276" s="9" t="s">
        <v>806</v>
      </c>
      <c r="F276" s="9" t="s">
        <v>48</v>
      </c>
      <c r="G276" s="10">
        <v>45706</v>
      </c>
      <c r="H276" s="11" t="s">
        <v>45</v>
      </c>
      <c r="I276" s="11" t="s">
        <v>107</v>
      </c>
      <c r="J276" s="37">
        <v>13000</v>
      </c>
      <c r="K276" s="37">
        <v>19500</v>
      </c>
      <c r="L276" s="12">
        <f t="shared" si="34"/>
        <v>32500</v>
      </c>
      <c r="M276" s="12">
        <f t="shared" si="35"/>
        <v>32499.999999999996</v>
      </c>
      <c r="N276" s="12">
        <v>795</v>
      </c>
      <c r="O276" s="12">
        <v>0</v>
      </c>
      <c r="P276" s="36">
        <v>0</v>
      </c>
      <c r="Q276" s="36">
        <v>0</v>
      </c>
      <c r="R276" s="36">
        <v>0</v>
      </c>
      <c r="S276" s="36">
        <v>0</v>
      </c>
      <c r="T276" s="12">
        <f t="shared" si="33"/>
        <v>0</v>
      </c>
      <c r="U276" s="18">
        <f t="shared" si="31"/>
        <v>33295</v>
      </c>
      <c r="V276" s="12">
        <f t="shared" si="32"/>
        <v>32499.999999999996</v>
      </c>
      <c r="W276" s="38"/>
      <c r="X276" s="6" t="s">
        <v>56</v>
      </c>
      <c r="Y276" s="6" t="s">
        <v>883</v>
      </c>
      <c r="Z276" s="6" t="s">
        <v>36</v>
      </c>
      <c r="AA276" s="50"/>
      <c r="AC276" s="100">
        <v>33295</v>
      </c>
      <c r="AD276" s="14">
        <v>33295</v>
      </c>
      <c r="AE276" s="100">
        <v>0</v>
      </c>
    </row>
    <row r="277" spans="1:31" s="14" customFormat="1" ht="21.75" hidden="1" customHeight="1" x14ac:dyDescent="0.25">
      <c r="A277" s="6">
        <f>SUBTOTAL(3,$D$1:D277)-1</f>
        <v>1</v>
      </c>
      <c r="B277" s="6">
        <v>2001295</v>
      </c>
      <c r="C277" s="15" t="s">
        <v>824</v>
      </c>
      <c r="D277" s="92" t="s">
        <v>841</v>
      </c>
      <c r="E277" s="9" t="s">
        <v>811</v>
      </c>
      <c r="F277" s="9" t="s">
        <v>166</v>
      </c>
      <c r="G277" s="10">
        <v>45720</v>
      </c>
      <c r="H277" s="11" t="s">
        <v>236</v>
      </c>
      <c r="I277" s="11" t="s">
        <v>448</v>
      </c>
      <c r="J277" s="37">
        <v>20000</v>
      </c>
      <c r="K277" s="37">
        <v>30000</v>
      </c>
      <c r="L277" s="12">
        <f t="shared" si="34"/>
        <v>50000</v>
      </c>
      <c r="M277" s="12">
        <f t="shared" si="35"/>
        <v>50000</v>
      </c>
      <c r="N277" s="12">
        <v>795</v>
      </c>
      <c r="O277" s="12">
        <v>0</v>
      </c>
      <c r="P277" s="36">
        <v>0</v>
      </c>
      <c r="Q277" s="36">
        <v>0</v>
      </c>
      <c r="R277" s="36">
        <v>0</v>
      </c>
      <c r="S277" s="36">
        <v>0</v>
      </c>
      <c r="T277" s="12">
        <f t="shared" si="33"/>
        <v>0</v>
      </c>
      <c r="U277" s="18">
        <f t="shared" si="31"/>
        <v>50795</v>
      </c>
      <c r="V277" s="12">
        <f t="shared" si="32"/>
        <v>50000</v>
      </c>
      <c r="W277" s="38"/>
      <c r="X277" s="6" t="s">
        <v>56</v>
      </c>
      <c r="Y277" s="6" t="s">
        <v>910</v>
      </c>
      <c r="Z277" s="6" t="s">
        <v>36</v>
      </c>
      <c r="AA277" s="50"/>
      <c r="AC277" s="100">
        <v>50795</v>
      </c>
      <c r="AD277" s="14">
        <v>50795</v>
      </c>
      <c r="AE277" s="100">
        <v>0</v>
      </c>
    </row>
    <row r="278" spans="1:31" s="14" customFormat="1" ht="21.75" hidden="1" customHeight="1" x14ac:dyDescent="0.25">
      <c r="A278" s="6">
        <f>SUBTOTAL(3,$D$1:D278)-1</f>
        <v>1</v>
      </c>
      <c r="B278" s="6">
        <v>2001279</v>
      </c>
      <c r="C278" s="15" t="s">
        <v>821</v>
      </c>
      <c r="D278" s="92" t="s">
        <v>623</v>
      </c>
      <c r="E278" s="9" t="s">
        <v>1074</v>
      </c>
      <c r="F278" s="9" t="s">
        <v>320</v>
      </c>
      <c r="G278" s="10">
        <v>45716</v>
      </c>
      <c r="H278" s="11" t="s">
        <v>236</v>
      </c>
      <c r="I278" s="11" t="s">
        <v>237</v>
      </c>
      <c r="J278" s="37">
        <v>17200</v>
      </c>
      <c r="K278" s="37">
        <v>25800</v>
      </c>
      <c r="L278" s="12">
        <f t="shared" si="34"/>
        <v>43000</v>
      </c>
      <c r="M278" s="12">
        <f t="shared" si="35"/>
        <v>43000</v>
      </c>
      <c r="N278" s="12">
        <v>795</v>
      </c>
      <c r="O278" s="12">
        <v>0</v>
      </c>
      <c r="P278" s="36">
        <v>0</v>
      </c>
      <c r="Q278" s="36">
        <v>0</v>
      </c>
      <c r="R278" s="36">
        <v>0</v>
      </c>
      <c r="S278" s="36">
        <v>0</v>
      </c>
      <c r="T278" s="12">
        <f t="shared" si="33"/>
        <v>0</v>
      </c>
      <c r="U278" s="18">
        <f t="shared" si="31"/>
        <v>43795</v>
      </c>
      <c r="V278" s="12">
        <f t="shared" si="32"/>
        <v>43000</v>
      </c>
      <c r="W278" s="38"/>
      <c r="X278" s="6" t="s">
        <v>56</v>
      </c>
      <c r="Y278" s="6" t="s">
        <v>897</v>
      </c>
      <c r="Z278" s="6" t="s">
        <v>36</v>
      </c>
      <c r="AA278" s="50"/>
      <c r="AC278" s="100">
        <v>43795</v>
      </c>
      <c r="AD278" s="14">
        <v>43795</v>
      </c>
      <c r="AE278" s="100">
        <v>0</v>
      </c>
    </row>
    <row r="279" spans="1:31" s="14" customFormat="1" ht="21.75" hidden="1" customHeight="1" x14ac:dyDescent="0.25">
      <c r="A279" s="6">
        <f>SUBTOTAL(3,$D$1:D279)-1</f>
        <v>1</v>
      </c>
      <c r="B279" s="6">
        <v>2001384</v>
      </c>
      <c r="C279" s="15" t="s">
        <v>825</v>
      </c>
      <c r="D279" s="92" t="s">
        <v>812</v>
      </c>
      <c r="E279" s="9" t="s">
        <v>813</v>
      </c>
      <c r="F279" s="9" t="s">
        <v>188</v>
      </c>
      <c r="G279" s="10">
        <v>45720</v>
      </c>
      <c r="H279" s="11" t="s">
        <v>236</v>
      </c>
      <c r="I279" s="11" t="s">
        <v>306</v>
      </c>
      <c r="J279" s="37">
        <v>12800</v>
      </c>
      <c r="K279" s="37">
        <v>19200</v>
      </c>
      <c r="L279" s="12">
        <f t="shared" si="34"/>
        <v>32000</v>
      </c>
      <c r="M279" s="12">
        <f t="shared" si="35"/>
        <v>32000.000000000004</v>
      </c>
      <c r="N279" s="12">
        <v>795</v>
      </c>
      <c r="O279" s="12">
        <v>0</v>
      </c>
      <c r="P279" s="36">
        <v>0</v>
      </c>
      <c r="Q279" s="36">
        <v>0</v>
      </c>
      <c r="R279" s="36">
        <v>0</v>
      </c>
      <c r="S279" s="36">
        <v>0</v>
      </c>
      <c r="T279" s="12">
        <f t="shared" si="33"/>
        <v>0</v>
      </c>
      <c r="U279" s="18">
        <f t="shared" si="31"/>
        <v>32795</v>
      </c>
      <c r="V279" s="12">
        <f t="shared" si="32"/>
        <v>32000.000000000004</v>
      </c>
      <c r="W279" s="38"/>
      <c r="X279" s="6" t="s">
        <v>56</v>
      </c>
      <c r="Y279" s="6" t="s">
        <v>904</v>
      </c>
      <c r="Z279" s="6" t="s">
        <v>36</v>
      </c>
      <c r="AA279" s="50"/>
      <c r="AC279" s="100">
        <v>32795</v>
      </c>
      <c r="AD279" s="14">
        <v>32795</v>
      </c>
      <c r="AE279" s="100">
        <v>0</v>
      </c>
    </row>
    <row r="280" spans="1:31" s="14" customFormat="1" ht="21.75" hidden="1" customHeight="1" x14ac:dyDescent="0.25">
      <c r="A280" s="6">
        <f>SUBTOTAL(3,$D$1:D280)-1</f>
        <v>1</v>
      </c>
      <c r="B280" s="7">
        <v>2001388</v>
      </c>
      <c r="C280" s="15" t="s">
        <v>842</v>
      </c>
      <c r="D280" s="9" t="s">
        <v>843</v>
      </c>
      <c r="E280" s="9" t="s">
        <v>579</v>
      </c>
      <c r="F280" s="9" t="s">
        <v>235</v>
      </c>
      <c r="G280" s="10">
        <v>45758</v>
      </c>
      <c r="H280" s="11" t="s">
        <v>49</v>
      </c>
      <c r="I280" s="11" t="s">
        <v>852</v>
      </c>
      <c r="J280" s="11">
        <v>11350</v>
      </c>
      <c r="K280" s="11">
        <v>17025</v>
      </c>
      <c r="L280" s="12">
        <f t="shared" si="34"/>
        <v>28375</v>
      </c>
      <c r="M280" s="12">
        <f t="shared" si="35"/>
        <v>28375</v>
      </c>
      <c r="N280" s="12">
        <v>795</v>
      </c>
      <c r="O280" s="12">
        <v>0</v>
      </c>
      <c r="P280" s="12">
        <v>0</v>
      </c>
      <c r="Q280" s="12">
        <v>0</v>
      </c>
      <c r="R280" s="36">
        <v>0</v>
      </c>
      <c r="S280" s="12">
        <v>0</v>
      </c>
      <c r="T280" s="12">
        <f t="shared" si="33"/>
        <v>0</v>
      </c>
      <c r="U280" s="12">
        <f t="shared" si="31"/>
        <v>29170</v>
      </c>
      <c r="V280" s="12">
        <f t="shared" si="32"/>
        <v>28375</v>
      </c>
      <c r="W280" s="13"/>
      <c r="X280" s="6" t="s">
        <v>56</v>
      </c>
      <c r="Y280" s="6" t="s">
        <v>876</v>
      </c>
      <c r="Z280" s="6" t="s">
        <v>36</v>
      </c>
      <c r="AA280" s="50"/>
      <c r="AC280" s="100">
        <v>29170</v>
      </c>
      <c r="AD280" s="14">
        <v>29170</v>
      </c>
      <c r="AE280" s="100">
        <v>0</v>
      </c>
    </row>
    <row r="281" spans="1:31" s="14" customFormat="1" ht="21.75" hidden="1" customHeight="1" x14ac:dyDescent="0.25">
      <c r="A281" s="6">
        <f>SUBTOTAL(3,$D$1:D281)-1</f>
        <v>1</v>
      </c>
      <c r="B281" s="6">
        <v>2001293</v>
      </c>
      <c r="C281" s="15" t="s">
        <v>828</v>
      </c>
      <c r="D281" s="92" t="s">
        <v>818</v>
      </c>
      <c r="E281" s="9" t="s">
        <v>819</v>
      </c>
      <c r="F281" s="9" t="s">
        <v>81</v>
      </c>
      <c r="G281" s="10">
        <v>45708</v>
      </c>
      <c r="H281" s="11" t="s">
        <v>236</v>
      </c>
      <c r="I281" s="11" t="s">
        <v>306</v>
      </c>
      <c r="J281" s="37">
        <v>8000</v>
      </c>
      <c r="K281" s="37">
        <v>12000</v>
      </c>
      <c r="L281" s="12">
        <f t="shared" si="34"/>
        <v>20000</v>
      </c>
      <c r="M281" s="12">
        <f t="shared" si="35"/>
        <v>20000</v>
      </c>
      <c r="N281" s="12">
        <v>795</v>
      </c>
      <c r="O281" s="12">
        <v>0</v>
      </c>
      <c r="P281" s="36">
        <v>0</v>
      </c>
      <c r="Q281" s="36">
        <v>0</v>
      </c>
      <c r="R281" s="36">
        <v>0</v>
      </c>
      <c r="S281" s="36">
        <v>0</v>
      </c>
      <c r="T281" s="12">
        <f t="shared" si="33"/>
        <v>0</v>
      </c>
      <c r="U281" s="18">
        <f t="shared" ref="U281:U314" si="36">+M281+N281+T281</f>
        <v>20795</v>
      </c>
      <c r="V281" s="12">
        <f t="shared" si="32"/>
        <v>20000</v>
      </c>
      <c r="W281" s="38"/>
      <c r="X281" s="6" t="s">
        <v>78</v>
      </c>
      <c r="Y281" s="6" t="s">
        <v>904</v>
      </c>
      <c r="Z281" s="6" t="s">
        <v>36</v>
      </c>
      <c r="AA281" s="50"/>
      <c r="AC281" s="100">
        <v>20795</v>
      </c>
      <c r="AD281" s="14">
        <v>20795</v>
      </c>
      <c r="AE281" s="100">
        <v>0</v>
      </c>
    </row>
    <row r="282" spans="1:31" s="14" customFormat="1" ht="21.75" hidden="1" customHeight="1" x14ac:dyDescent="0.25">
      <c r="A282" s="6">
        <f>SUBTOTAL(3,$D$1:D282)-1</f>
        <v>1</v>
      </c>
      <c r="B282" s="6">
        <v>2001298</v>
      </c>
      <c r="C282" s="15" t="s">
        <v>827</v>
      </c>
      <c r="D282" s="92" t="s">
        <v>816</v>
      </c>
      <c r="E282" s="9" t="s">
        <v>817</v>
      </c>
      <c r="F282" s="9" t="s">
        <v>230</v>
      </c>
      <c r="G282" s="10">
        <v>45720</v>
      </c>
      <c r="H282" s="11" t="s">
        <v>236</v>
      </c>
      <c r="I282" s="11" t="s">
        <v>237</v>
      </c>
      <c r="J282" s="37">
        <v>24000</v>
      </c>
      <c r="K282" s="37">
        <v>36000</v>
      </c>
      <c r="L282" s="12">
        <f t="shared" si="34"/>
        <v>60000</v>
      </c>
      <c r="M282" s="12">
        <f t="shared" si="35"/>
        <v>60000</v>
      </c>
      <c r="N282" s="12">
        <v>795</v>
      </c>
      <c r="O282" s="12">
        <v>0</v>
      </c>
      <c r="P282" s="36">
        <v>0</v>
      </c>
      <c r="Q282" s="36">
        <v>0</v>
      </c>
      <c r="R282" s="36">
        <v>0</v>
      </c>
      <c r="S282" s="36">
        <v>0</v>
      </c>
      <c r="T282" s="12">
        <f t="shared" si="33"/>
        <v>0</v>
      </c>
      <c r="U282" s="18">
        <f t="shared" si="36"/>
        <v>60795</v>
      </c>
      <c r="V282" s="12">
        <f t="shared" si="32"/>
        <v>60000</v>
      </c>
      <c r="W282" s="38"/>
      <c r="X282" s="6" t="s">
        <v>56</v>
      </c>
      <c r="Y282" s="6" t="s">
        <v>897</v>
      </c>
      <c r="Z282" s="6" t="s">
        <v>36</v>
      </c>
      <c r="AA282" s="50"/>
      <c r="AC282" s="100">
        <v>60795</v>
      </c>
      <c r="AD282" s="14">
        <v>60795</v>
      </c>
      <c r="AE282" s="100">
        <v>0</v>
      </c>
    </row>
    <row r="283" spans="1:31" s="14" customFormat="1" ht="21.75" hidden="1" customHeight="1" x14ac:dyDescent="0.25">
      <c r="A283" s="6">
        <f>SUBTOTAL(3,$D$1:D283)-1</f>
        <v>1</v>
      </c>
      <c r="B283" s="6">
        <v>2001292</v>
      </c>
      <c r="C283" s="15" t="s">
        <v>823</v>
      </c>
      <c r="D283" s="92" t="s">
        <v>809</v>
      </c>
      <c r="E283" s="9" t="s">
        <v>810</v>
      </c>
      <c r="F283" s="9" t="s">
        <v>188</v>
      </c>
      <c r="G283" s="10">
        <v>45720</v>
      </c>
      <c r="H283" s="11" t="s">
        <v>236</v>
      </c>
      <c r="I283" s="11" t="s">
        <v>306</v>
      </c>
      <c r="J283" s="37">
        <v>22393.599999999999</v>
      </c>
      <c r="K283" s="37">
        <v>33590.400000000001</v>
      </c>
      <c r="L283" s="12">
        <f t="shared" si="34"/>
        <v>55984</v>
      </c>
      <c r="M283" s="12">
        <f t="shared" si="35"/>
        <v>55984</v>
      </c>
      <c r="N283" s="12">
        <v>795</v>
      </c>
      <c r="O283" s="12">
        <v>0</v>
      </c>
      <c r="P283" s="36">
        <v>0</v>
      </c>
      <c r="Q283" s="36">
        <v>0</v>
      </c>
      <c r="R283" s="36">
        <v>0</v>
      </c>
      <c r="S283" s="36">
        <v>0</v>
      </c>
      <c r="T283" s="12">
        <f t="shared" si="33"/>
        <v>0</v>
      </c>
      <c r="U283" s="18">
        <f t="shared" si="36"/>
        <v>56779</v>
      </c>
      <c r="V283" s="12">
        <f t="shared" si="32"/>
        <v>55984</v>
      </c>
      <c r="W283" s="38"/>
      <c r="X283" s="6" t="s">
        <v>253</v>
      </c>
      <c r="Y283" s="6" t="s">
        <v>904</v>
      </c>
      <c r="Z283" s="6" t="s">
        <v>36</v>
      </c>
      <c r="AA283" s="50"/>
      <c r="AC283" s="100">
        <v>56779</v>
      </c>
      <c r="AD283" s="14">
        <v>56779</v>
      </c>
      <c r="AE283" s="100">
        <v>0</v>
      </c>
    </row>
    <row r="284" spans="1:31" s="14" customFormat="1" ht="21.75" hidden="1" customHeight="1" x14ac:dyDescent="0.25">
      <c r="A284" s="6">
        <f>SUBTOTAL(3,$D$1:D284)-1</f>
        <v>1</v>
      </c>
      <c r="B284" s="7">
        <v>2001310</v>
      </c>
      <c r="C284" s="15" t="s">
        <v>922</v>
      </c>
      <c r="D284" s="9" t="s">
        <v>916</v>
      </c>
      <c r="E284" s="9" t="s">
        <v>917</v>
      </c>
      <c r="F284" s="9" t="s">
        <v>48</v>
      </c>
      <c r="G284" s="10">
        <v>45778</v>
      </c>
      <c r="H284" s="11" t="s">
        <v>49</v>
      </c>
      <c r="I284" s="11" t="s">
        <v>1001</v>
      </c>
      <c r="J284" s="11">
        <v>13169.6</v>
      </c>
      <c r="K284" s="11">
        <v>19754.400000000001</v>
      </c>
      <c r="L284" s="12">
        <f t="shared" si="34"/>
        <v>32924</v>
      </c>
      <c r="M284" s="12">
        <f t="shared" si="35"/>
        <v>32924</v>
      </c>
      <c r="N284" s="12">
        <v>795</v>
      </c>
      <c r="O284" s="12">
        <v>0</v>
      </c>
      <c r="P284" s="12">
        <v>0</v>
      </c>
      <c r="Q284" s="12">
        <v>0</v>
      </c>
      <c r="R284" s="36">
        <v>0</v>
      </c>
      <c r="S284" s="12">
        <v>0</v>
      </c>
      <c r="T284" s="12">
        <f t="shared" si="33"/>
        <v>0</v>
      </c>
      <c r="U284" s="12">
        <f t="shared" si="36"/>
        <v>33719</v>
      </c>
      <c r="V284" s="12">
        <f t="shared" si="32"/>
        <v>32924</v>
      </c>
      <c r="W284" s="13"/>
      <c r="X284" s="6" t="s">
        <v>78</v>
      </c>
      <c r="Y284" s="6" t="s">
        <v>1078</v>
      </c>
      <c r="Z284" s="6" t="s">
        <v>36</v>
      </c>
      <c r="AA284" s="50"/>
      <c r="AC284" s="100">
        <v>33719</v>
      </c>
      <c r="AD284" s="14">
        <v>33719</v>
      </c>
      <c r="AE284" s="100">
        <v>0</v>
      </c>
    </row>
    <row r="285" spans="1:31" s="14" customFormat="1" ht="21.75" hidden="1" customHeight="1" x14ac:dyDescent="0.25">
      <c r="A285" s="6">
        <f>SUBTOTAL(3,$D$1:D285)-1</f>
        <v>1</v>
      </c>
      <c r="B285" s="6">
        <v>2001382</v>
      </c>
      <c r="C285" s="15" t="s">
        <v>830</v>
      </c>
      <c r="D285" s="92" t="s">
        <v>829</v>
      </c>
      <c r="E285" s="9" t="s">
        <v>100</v>
      </c>
      <c r="F285" s="9" t="s">
        <v>81</v>
      </c>
      <c r="G285" s="10">
        <v>45729</v>
      </c>
      <c r="H285" s="11" t="s">
        <v>33</v>
      </c>
      <c r="I285" s="11" t="s">
        <v>97</v>
      </c>
      <c r="J285" s="37">
        <v>8000</v>
      </c>
      <c r="K285" s="37">
        <v>12000</v>
      </c>
      <c r="L285" s="12">
        <f t="shared" si="34"/>
        <v>20000</v>
      </c>
      <c r="M285" s="12">
        <f t="shared" si="35"/>
        <v>20000</v>
      </c>
      <c r="N285" s="12">
        <v>795</v>
      </c>
      <c r="O285" s="12">
        <v>0</v>
      </c>
      <c r="P285" s="36">
        <v>0</v>
      </c>
      <c r="Q285" s="36">
        <v>0</v>
      </c>
      <c r="R285" s="12">
        <v>0</v>
      </c>
      <c r="S285" s="36">
        <v>0</v>
      </c>
      <c r="T285" s="12">
        <f t="shared" si="33"/>
        <v>0</v>
      </c>
      <c r="U285" s="18">
        <f t="shared" si="36"/>
        <v>20795</v>
      </c>
      <c r="V285" s="12">
        <f t="shared" si="32"/>
        <v>20000</v>
      </c>
      <c r="W285" s="38"/>
      <c r="X285" s="6" t="s">
        <v>78</v>
      </c>
      <c r="Y285" s="6" t="s">
        <v>880</v>
      </c>
      <c r="Z285" s="6" t="s">
        <v>36</v>
      </c>
      <c r="AA285" s="50"/>
      <c r="AC285" s="100">
        <v>20795</v>
      </c>
      <c r="AD285" s="14">
        <v>20795</v>
      </c>
      <c r="AE285" s="100">
        <v>0</v>
      </c>
    </row>
    <row r="286" spans="1:31" s="14" customFormat="1" ht="21.75" hidden="1" customHeight="1" x14ac:dyDescent="0.25">
      <c r="A286" s="6">
        <f>SUBTOTAL(3,$D$1:D286)-1</f>
        <v>1</v>
      </c>
      <c r="B286" s="6">
        <v>2001383</v>
      </c>
      <c r="C286" s="15" t="s">
        <v>837</v>
      </c>
      <c r="D286" s="92" t="s">
        <v>831</v>
      </c>
      <c r="E286" s="9" t="s">
        <v>1075</v>
      </c>
      <c r="F286" s="9" t="s">
        <v>355</v>
      </c>
      <c r="G286" s="10">
        <v>45750</v>
      </c>
      <c r="H286" s="11" t="s">
        <v>846</v>
      </c>
      <c r="I286" s="11" t="s">
        <v>865</v>
      </c>
      <c r="J286" s="37">
        <v>19183.2</v>
      </c>
      <c r="K286" s="37">
        <v>28774.799999999999</v>
      </c>
      <c r="L286" s="12">
        <f t="shared" si="34"/>
        <v>47958</v>
      </c>
      <c r="M286" s="12">
        <f t="shared" si="35"/>
        <v>47958</v>
      </c>
      <c r="N286" s="12">
        <v>795</v>
      </c>
      <c r="O286" s="12">
        <v>0</v>
      </c>
      <c r="P286" s="36">
        <v>0</v>
      </c>
      <c r="Q286" s="36">
        <v>0</v>
      </c>
      <c r="R286" s="36">
        <v>0</v>
      </c>
      <c r="S286" s="36">
        <v>0</v>
      </c>
      <c r="T286" s="12">
        <f t="shared" si="33"/>
        <v>0</v>
      </c>
      <c r="U286" s="18">
        <f t="shared" si="36"/>
        <v>48753</v>
      </c>
      <c r="V286" s="12">
        <f t="shared" si="32"/>
        <v>47958</v>
      </c>
      <c r="W286" s="38"/>
      <c r="X286" s="6" t="s">
        <v>56</v>
      </c>
      <c r="Y286" s="6" t="s">
        <v>913</v>
      </c>
      <c r="Z286" s="6" t="s">
        <v>36</v>
      </c>
      <c r="AA286" s="50"/>
      <c r="AC286" s="100">
        <v>48753</v>
      </c>
      <c r="AD286" s="14">
        <v>48753</v>
      </c>
      <c r="AE286" s="100">
        <v>0</v>
      </c>
    </row>
    <row r="287" spans="1:31" s="14" customFormat="1" ht="21.75" hidden="1" customHeight="1" x14ac:dyDescent="0.25">
      <c r="A287" s="6">
        <f>SUBTOTAL(3,$D$1:D287)-1</f>
        <v>1</v>
      </c>
      <c r="B287" s="7">
        <v>2001311</v>
      </c>
      <c r="C287" s="15" t="s">
        <v>923</v>
      </c>
      <c r="D287" s="9" t="s">
        <v>918</v>
      </c>
      <c r="E287" s="9" t="s">
        <v>919</v>
      </c>
      <c r="F287" s="9" t="s">
        <v>48</v>
      </c>
      <c r="G287" s="10">
        <v>45778</v>
      </c>
      <c r="H287" s="11" t="s">
        <v>49</v>
      </c>
      <c r="I287" s="11" t="s">
        <v>849</v>
      </c>
      <c r="J287" s="11">
        <v>13880</v>
      </c>
      <c r="K287" s="11">
        <v>20820</v>
      </c>
      <c r="L287" s="12">
        <f t="shared" si="34"/>
        <v>34700</v>
      </c>
      <c r="M287" s="12">
        <f t="shared" si="35"/>
        <v>34700</v>
      </c>
      <c r="N287" s="12">
        <v>795</v>
      </c>
      <c r="O287" s="12">
        <v>0</v>
      </c>
      <c r="P287" s="12">
        <v>0</v>
      </c>
      <c r="Q287" s="12">
        <v>0</v>
      </c>
      <c r="R287" s="36">
        <v>0</v>
      </c>
      <c r="S287" s="12">
        <v>0</v>
      </c>
      <c r="T287" s="12">
        <f t="shared" si="33"/>
        <v>0</v>
      </c>
      <c r="U287" s="12">
        <f t="shared" si="36"/>
        <v>35495</v>
      </c>
      <c r="V287" s="12">
        <f t="shared" si="32"/>
        <v>34700</v>
      </c>
      <c r="W287" s="13"/>
      <c r="X287" s="6" t="s">
        <v>56</v>
      </c>
      <c r="Y287" s="6" t="s">
        <v>871</v>
      </c>
      <c r="Z287" s="6" t="s">
        <v>36</v>
      </c>
      <c r="AA287" s="50"/>
      <c r="AC287" s="100">
        <v>35495</v>
      </c>
      <c r="AD287" s="14">
        <v>35495</v>
      </c>
      <c r="AE287" s="100">
        <v>0</v>
      </c>
    </row>
    <row r="288" spans="1:31" s="14" customFormat="1" ht="21.75" hidden="1" customHeight="1" x14ac:dyDescent="0.25">
      <c r="A288" s="6">
        <f>SUBTOTAL(3,$D$1:D288)-1</f>
        <v>1</v>
      </c>
      <c r="B288" s="6">
        <v>2001381</v>
      </c>
      <c r="C288" s="15" t="s">
        <v>840</v>
      </c>
      <c r="D288" s="92" t="s">
        <v>835</v>
      </c>
      <c r="E288" s="9" t="s">
        <v>836</v>
      </c>
      <c r="F288" s="9" t="s">
        <v>48</v>
      </c>
      <c r="G288" s="10">
        <v>45755</v>
      </c>
      <c r="H288" s="11" t="s">
        <v>33</v>
      </c>
      <c r="I288" s="11" t="s">
        <v>97</v>
      </c>
      <c r="J288" s="37">
        <v>16480</v>
      </c>
      <c r="K288" s="37">
        <v>24720</v>
      </c>
      <c r="L288" s="12">
        <f t="shared" si="34"/>
        <v>41200</v>
      </c>
      <c r="M288" s="12">
        <f t="shared" si="35"/>
        <v>41200</v>
      </c>
      <c r="N288" s="12">
        <v>795</v>
      </c>
      <c r="O288" s="12">
        <v>0</v>
      </c>
      <c r="P288" s="36">
        <v>0</v>
      </c>
      <c r="Q288" s="36">
        <v>0</v>
      </c>
      <c r="R288" s="36">
        <v>0</v>
      </c>
      <c r="S288" s="36">
        <v>0</v>
      </c>
      <c r="T288" s="12">
        <f t="shared" si="33"/>
        <v>0</v>
      </c>
      <c r="U288" s="18">
        <f t="shared" si="36"/>
        <v>41995</v>
      </c>
      <c r="V288" s="12">
        <f t="shared" si="32"/>
        <v>41200</v>
      </c>
      <c r="W288" s="38"/>
      <c r="X288" s="6" t="s">
        <v>56</v>
      </c>
      <c r="Y288" s="6" t="s">
        <v>880</v>
      </c>
      <c r="Z288" s="6" t="s">
        <v>36</v>
      </c>
      <c r="AA288" s="50"/>
      <c r="AC288" s="100">
        <v>41995</v>
      </c>
      <c r="AD288" s="14">
        <v>41995</v>
      </c>
      <c r="AE288" s="100">
        <v>0</v>
      </c>
    </row>
    <row r="289" spans="1:31" s="14" customFormat="1" ht="21.75" hidden="1" customHeight="1" x14ac:dyDescent="0.25">
      <c r="A289" s="6">
        <f>SUBTOTAL(3,$D$1:D289)-1</f>
        <v>1</v>
      </c>
      <c r="B289" s="6">
        <v>2001386</v>
      </c>
      <c r="C289" s="15" t="s">
        <v>839</v>
      </c>
      <c r="D289" s="92" t="s">
        <v>833</v>
      </c>
      <c r="E289" s="9" t="s">
        <v>834</v>
      </c>
      <c r="F289" s="9" t="s">
        <v>52</v>
      </c>
      <c r="G289" s="10">
        <v>45754</v>
      </c>
      <c r="H289" s="11" t="s">
        <v>40</v>
      </c>
      <c r="I289" s="11" t="s">
        <v>854</v>
      </c>
      <c r="J289" s="37">
        <v>13688</v>
      </c>
      <c r="K289" s="37">
        <v>20532</v>
      </c>
      <c r="L289" s="12">
        <f t="shared" si="34"/>
        <v>34220</v>
      </c>
      <c r="M289" s="12">
        <f t="shared" si="35"/>
        <v>34220</v>
      </c>
      <c r="N289" s="12">
        <v>795</v>
      </c>
      <c r="O289" s="12">
        <v>0</v>
      </c>
      <c r="P289" s="36">
        <v>0</v>
      </c>
      <c r="Q289" s="36">
        <v>0</v>
      </c>
      <c r="R289" s="36">
        <v>0</v>
      </c>
      <c r="S289" s="36">
        <v>0</v>
      </c>
      <c r="T289" s="12">
        <f t="shared" si="33"/>
        <v>0</v>
      </c>
      <c r="U289" s="18">
        <f t="shared" si="36"/>
        <v>35015</v>
      </c>
      <c r="V289" s="12">
        <f t="shared" si="32"/>
        <v>34220</v>
      </c>
      <c r="W289" s="38"/>
      <c r="X289" s="6" t="s">
        <v>56</v>
      </c>
      <c r="Y289" s="6" t="s">
        <v>886</v>
      </c>
      <c r="Z289" s="6" t="s">
        <v>36</v>
      </c>
      <c r="AA289" s="50"/>
      <c r="AC289" s="100">
        <v>35015</v>
      </c>
      <c r="AD289" s="14">
        <v>35015</v>
      </c>
      <c r="AE289" s="100">
        <v>0</v>
      </c>
    </row>
    <row r="290" spans="1:31" s="14" customFormat="1" ht="21.75" hidden="1" customHeight="1" x14ac:dyDescent="0.25">
      <c r="A290" s="6">
        <f>SUBTOTAL(3,$D$1:D290)-1</f>
        <v>1</v>
      </c>
      <c r="B290" s="6">
        <v>2001387</v>
      </c>
      <c r="C290" s="15" t="s">
        <v>838</v>
      </c>
      <c r="D290" s="92" t="s">
        <v>832</v>
      </c>
      <c r="E290" s="9" t="s">
        <v>213</v>
      </c>
      <c r="F290" s="9" t="s">
        <v>230</v>
      </c>
      <c r="G290" s="10">
        <v>45751</v>
      </c>
      <c r="H290" s="11" t="s">
        <v>49</v>
      </c>
      <c r="I290" s="11" t="s">
        <v>861</v>
      </c>
      <c r="J290" s="37">
        <v>33600</v>
      </c>
      <c r="K290" s="37">
        <v>50400</v>
      </c>
      <c r="L290" s="12">
        <f t="shared" si="34"/>
        <v>84000</v>
      </c>
      <c r="M290" s="12">
        <f t="shared" si="35"/>
        <v>84000</v>
      </c>
      <c r="N290" s="12">
        <v>795</v>
      </c>
      <c r="O290" s="12">
        <v>0</v>
      </c>
      <c r="P290" s="36">
        <v>0</v>
      </c>
      <c r="Q290" s="36">
        <v>0</v>
      </c>
      <c r="R290" s="36">
        <v>0</v>
      </c>
      <c r="S290" s="36">
        <v>0</v>
      </c>
      <c r="T290" s="12">
        <f t="shared" si="33"/>
        <v>0</v>
      </c>
      <c r="U290" s="18">
        <f t="shared" si="36"/>
        <v>84795</v>
      </c>
      <c r="V290" s="12">
        <f t="shared" si="32"/>
        <v>84000</v>
      </c>
      <c r="W290" s="38"/>
      <c r="X290" s="6" t="s">
        <v>912</v>
      </c>
      <c r="Y290" s="6" t="s">
        <v>899</v>
      </c>
      <c r="Z290" s="6" t="s">
        <v>36</v>
      </c>
      <c r="AA290" s="50"/>
      <c r="AC290" s="100">
        <v>84795</v>
      </c>
      <c r="AD290" s="14">
        <v>84795</v>
      </c>
      <c r="AE290" s="100">
        <v>0</v>
      </c>
    </row>
    <row r="291" spans="1:31" s="14" customFormat="1" ht="21.75" hidden="1" customHeight="1" x14ac:dyDescent="0.25">
      <c r="A291" s="6">
        <f>SUBTOTAL(3,$D$1:D291)-1</f>
        <v>1</v>
      </c>
      <c r="B291" s="7">
        <v>2001390</v>
      </c>
      <c r="C291" s="15" t="s">
        <v>924</v>
      </c>
      <c r="D291" s="9" t="s">
        <v>920</v>
      </c>
      <c r="E291" s="9" t="s">
        <v>921</v>
      </c>
      <c r="F291" s="9" t="s">
        <v>52</v>
      </c>
      <c r="G291" s="10">
        <v>45785</v>
      </c>
      <c r="H291" s="11" t="s">
        <v>49</v>
      </c>
      <c r="I291" s="11" t="s">
        <v>1023</v>
      </c>
      <c r="J291" s="11">
        <v>24158.57</v>
      </c>
      <c r="K291" s="11">
        <v>36237.86</v>
      </c>
      <c r="L291" s="12">
        <f t="shared" si="34"/>
        <v>60396.43</v>
      </c>
      <c r="M291" s="12">
        <f t="shared" si="35"/>
        <v>60396.43</v>
      </c>
      <c r="N291" s="12">
        <v>795</v>
      </c>
      <c r="O291" s="12">
        <v>0</v>
      </c>
      <c r="P291" s="12">
        <v>0</v>
      </c>
      <c r="Q291" s="12">
        <v>0</v>
      </c>
      <c r="R291" s="36">
        <v>0</v>
      </c>
      <c r="S291" s="12">
        <v>0</v>
      </c>
      <c r="T291" s="12">
        <f t="shared" si="33"/>
        <v>0</v>
      </c>
      <c r="U291" s="12">
        <f t="shared" si="36"/>
        <v>61191.43</v>
      </c>
      <c r="V291" s="12">
        <f t="shared" si="32"/>
        <v>60396.43</v>
      </c>
      <c r="W291" s="13"/>
      <c r="X291" s="6" t="s">
        <v>56</v>
      </c>
      <c r="Y291" s="6" t="s">
        <v>899</v>
      </c>
      <c r="Z291" s="6" t="s">
        <v>36</v>
      </c>
      <c r="AA291" s="50"/>
      <c r="AC291" s="100">
        <v>61191.43</v>
      </c>
      <c r="AD291" s="14">
        <v>61191.43</v>
      </c>
      <c r="AE291" s="100">
        <v>0</v>
      </c>
    </row>
    <row r="292" spans="1:31" s="14" customFormat="1" ht="21.75" hidden="1" customHeight="1" x14ac:dyDescent="0.25">
      <c r="A292" s="6">
        <f>SUBTOTAL(3,$D$1:D292)-1</f>
        <v>1</v>
      </c>
      <c r="B292" s="7">
        <v>2001397</v>
      </c>
      <c r="C292" s="15" t="s">
        <v>955</v>
      </c>
      <c r="D292" s="9" t="s">
        <v>950</v>
      </c>
      <c r="E292" s="9" t="s">
        <v>700</v>
      </c>
      <c r="F292" s="9" t="s">
        <v>230</v>
      </c>
      <c r="G292" s="10">
        <v>45818</v>
      </c>
      <c r="H292" s="11" t="s">
        <v>40</v>
      </c>
      <c r="I292" s="11" t="s">
        <v>221</v>
      </c>
      <c r="J292" s="11">
        <v>10000</v>
      </c>
      <c r="K292" s="11">
        <v>15000</v>
      </c>
      <c r="L292" s="12">
        <f t="shared" si="34"/>
        <v>25000</v>
      </c>
      <c r="M292" s="12">
        <f t="shared" si="35"/>
        <v>25000</v>
      </c>
      <c r="N292" s="12">
        <f>795</f>
        <v>795</v>
      </c>
      <c r="O292" s="12">
        <v>0</v>
      </c>
      <c r="P292" s="12">
        <v>0</v>
      </c>
      <c r="Q292" s="12">
        <v>0</v>
      </c>
      <c r="R292" s="36">
        <v>0</v>
      </c>
      <c r="S292" s="12">
        <v>0</v>
      </c>
      <c r="T292" s="12">
        <f t="shared" si="33"/>
        <v>0</v>
      </c>
      <c r="U292" s="12">
        <f t="shared" si="36"/>
        <v>25795</v>
      </c>
      <c r="V292" s="12">
        <f t="shared" si="32"/>
        <v>25000</v>
      </c>
      <c r="W292" s="13"/>
      <c r="X292" s="6" t="s">
        <v>78</v>
      </c>
      <c r="Y292" s="6" t="s">
        <v>894</v>
      </c>
      <c r="Z292" s="6" t="s">
        <v>36</v>
      </c>
      <c r="AA292" s="50"/>
      <c r="AC292" s="100">
        <v>25795</v>
      </c>
      <c r="AD292" s="14">
        <v>25795</v>
      </c>
      <c r="AE292" s="100">
        <v>0</v>
      </c>
    </row>
    <row r="293" spans="1:31" s="14" customFormat="1" ht="21.75" hidden="1" customHeight="1" x14ac:dyDescent="0.25">
      <c r="A293" s="6">
        <f>SUBTOTAL(3,$D$1:D293)-1</f>
        <v>1</v>
      </c>
      <c r="B293" s="7">
        <v>2001315</v>
      </c>
      <c r="C293" s="15" t="s">
        <v>945</v>
      </c>
      <c r="D293" s="9" t="s">
        <v>943</v>
      </c>
      <c r="E293" s="9" t="s">
        <v>944</v>
      </c>
      <c r="F293" s="9" t="s">
        <v>124</v>
      </c>
      <c r="G293" s="10">
        <v>45803</v>
      </c>
      <c r="H293" s="11" t="s">
        <v>40</v>
      </c>
      <c r="I293" s="11" t="s">
        <v>847</v>
      </c>
      <c r="J293" s="11">
        <v>40000</v>
      </c>
      <c r="K293" s="11">
        <v>60000</v>
      </c>
      <c r="L293" s="12">
        <f t="shared" si="34"/>
        <v>100000</v>
      </c>
      <c r="M293" s="12">
        <f t="shared" si="35"/>
        <v>100000</v>
      </c>
      <c r="N293" s="12">
        <f>795</f>
        <v>795</v>
      </c>
      <c r="O293" s="12">
        <v>0</v>
      </c>
      <c r="P293" s="12">
        <v>0</v>
      </c>
      <c r="Q293" s="12">
        <v>0</v>
      </c>
      <c r="R293" s="36">
        <v>0</v>
      </c>
      <c r="S293" s="12">
        <v>0</v>
      </c>
      <c r="T293" s="12">
        <f t="shared" si="33"/>
        <v>0</v>
      </c>
      <c r="U293" s="12">
        <f t="shared" si="36"/>
        <v>100795</v>
      </c>
      <c r="V293" s="12">
        <f t="shared" si="32"/>
        <v>100000</v>
      </c>
      <c r="W293" s="13"/>
      <c r="X293" s="6" t="s">
        <v>912</v>
      </c>
      <c r="Y293" s="6" t="s">
        <v>869</v>
      </c>
      <c r="Z293" s="6" t="s">
        <v>36</v>
      </c>
      <c r="AA293" s="50"/>
      <c r="AC293" s="100">
        <v>100795</v>
      </c>
      <c r="AD293" s="110">
        <v>100795</v>
      </c>
      <c r="AE293" s="100">
        <v>0</v>
      </c>
    </row>
    <row r="294" spans="1:31" s="14" customFormat="1" ht="21.75" hidden="1" customHeight="1" x14ac:dyDescent="0.25">
      <c r="A294" s="6">
        <f>SUBTOTAL(3,$D$1:D294)-1</f>
        <v>1</v>
      </c>
      <c r="B294" s="7">
        <v>2001303</v>
      </c>
      <c r="C294" s="15" t="s">
        <v>953</v>
      </c>
      <c r="D294" s="9" t="s">
        <v>947</v>
      </c>
      <c r="E294" s="9" t="s">
        <v>844</v>
      </c>
      <c r="F294" s="9" t="s">
        <v>48</v>
      </c>
      <c r="G294" s="10">
        <v>45811</v>
      </c>
      <c r="H294" s="11" t="s">
        <v>49</v>
      </c>
      <c r="I294" s="11" t="s">
        <v>852</v>
      </c>
      <c r="J294" s="11">
        <v>16743.599999999999</v>
      </c>
      <c r="K294" s="11">
        <v>25115.4</v>
      </c>
      <c r="L294" s="12">
        <f t="shared" si="34"/>
        <v>41859</v>
      </c>
      <c r="M294" s="12">
        <f t="shared" si="35"/>
        <v>41859</v>
      </c>
      <c r="N294" s="12">
        <f>795</f>
        <v>795</v>
      </c>
      <c r="O294" s="12">
        <v>0</v>
      </c>
      <c r="P294" s="12">
        <v>0</v>
      </c>
      <c r="Q294" s="12">
        <v>0</v>
      </c>
      <c r="R294" s="36">
        <v>0</v>
      </c>
      <c r="S294" s="12">
        <v>0</v>
      </c>
      <c r="T294" s="12">
        <f t="shared" si="33"/>
        <v>0</v>
      </c>
      <c r="U294" s="12">
        <f t="shared" si="36"/>
        <v>42654</v>
      </c>
      <c r="V294" s="12">
        <f t="shared" si="32"/>
        <v>41859</v>
      </c>
      <c r="W294" s="13"/>
      <c r="X294" s="6" t="s">
        <v>56</v>
      </c>
      <c r="Y294" s="6" t="s">
        <v>876</v>
      </c>
      <c r="Z294" s="6" t="s">
        <v>36</v>
      </c>
      <c r="AA294" s="50"/>
      <c r="AC294" s="100">
        <v>42654</v>
      </c>
      <c r="AD294" s="14">
        <v>42654</v>
      </c>
      <c r="AE294" s="100">
        <v>0</v>
      </c>
    </row>
    <row r="295" spans="1:31" s="14" customFormat="1" ht="21.75" hidden="1" customHeight="1" x14ac:dyDescent="0.25">
      <c r="A295" s="6">
        <f>SUBTOTAL(3,$D$1:D295)-1</f>
        <v>1</v>
      </c>
      <c r="B295" s="7">
        <v>2001392</v>
      </c>
      <c r="C295" s="15" t="s">
        <v>952</v>
      </c>
      <c r="D295" s="9" t="s">
        <v>946</v>
      </c>
      <c r="E295" s="9" t="s">
        <v>844</v>
      </c>
      <c r="F295" s="9" t="s">
        <v>320</v>
      </c>
      <c r="G295" s="10">
        <v>45810</v>
      </c>
      <c r="H295" s="11" t="s">
        <v>49</v>
      </c>
      <c r="I295" s="11" t="s">
        <v>852</v>
      </c>
      <c r="J295" s="11">
        <v>18040</v>
      </c>
      <c r="K295" s="11">
        <v>27060</v>
      </c>
      <c r="L295" s="12">
        <f t="shared" si="34"/>
        <v>45100</v>
      </c>
      <c r="M295" s="12">
        <f t="shared" si="35"/>
        <v>45100</v>
      </c>
      <c r="N295" s="12">
        <f>795</f>
        <v>795</v>
      </c>
      <c r="O295" s="12">
        <v>0</v>
      </c>
      <c r="P295" s="12">
        <v>0</v>
      </c>
      <c r="Q295" s="12">
        <v>0</v>
      </c>
      <c r="R295" s="36">
        <v>0</v>
      </c>
      <c r="S295" s="12">
        <v>0</v>
      </c>
      <c r="T295" s="12">
        <f t="shared" si="33"/>
        <v>0</v>
      </c>
      <c r="U295" s="12">
        <f t="shared" si="36"/>
        <v>45895</v>
      </c>
      <c r="V295" s="12">
        <f t="shared" si="32"/>
        <v>45100</v>
      </c>
      <c r="W295" s="13"/>
      <c r="X295" s="6" t="s">
        <v>56</v>
      </c>
      <c r="Y295" s="6" t="s">
        <v>876</v>
      </c>
      <c r="Z295" s="6" t="s">
        <v>36</v>
      </c>
      <c r="AA295" s="50"/>
      <c r="AC295" s="100">
        <v>45895</v>
      </c>
      <c r="AD295" s="14">
        <v>45895</v>
      </c>
      <c r="AE295" s="100">
        <v>0</v>
      </c>
    </row>
    <row r="296" spans="1:31" s="14" customFormat="1" ht="21.75" hidden="1" customHeight="1" x14ac:dyDescent="0.25">
      <c r="A296" s="6">
        <f>SUBTOTAL(3,$D$1:D296)-1</f>
        <v>1</v>
      </c>
      <c r="B296" s="7">
        <v>2001393</v>
      </c>
      <c r="C296" s="15" t="s">
        <v>959</v>
      </c>
      <c r="D296" s="9" t="s">
        <v>957</v>
      </c>
      <c r="E296" s="9" t="s">
        <v>958</v>
      </c>
      <c r="F296" s="9" t="s">
        <v>348</v>
      </c>
      <c r="G296" s="10">
        <v>45811</v>
      </c>
      <c r="H296" s="11" t="s">
        <v>236</v>
      </c>
      <c r="I296" s="11" t="s">
        <v>237</v>
      </c>
      <c r="J296" s="11">
        <v>14000</v>
      </c>
      <c r="K296" s="11">
        <v>21000</v>
      </c>
      <c r="L296" s="12">
        <f t="shared" si="34"/>
        <v>35000</v>
      </c>
      <c r="M296" s="12">
        <f t="shared" si="35"/>
        <v>35000</v>
      </c>
      <c r="N296" s="12">
        <f>795</f>
        <v>795</v>
      </c>
      <c r="O296" s="12">
        <v>0</v>
      </c>
      <c r="P296" s="12">
        <v>0</v>
      </c>
      <c r="Q296" s="12">
        <v>0</v>
      </c>
      <c r="R296" s="36">
        <v>0</v>
      </c>
      <c r="S296" s="12">
        <v>0</v>
      </c>
      <c r="T296" s="12">
        <f t="shared" si="33"/>
        <v>0</v>
      </c>
      <c r="U296" s="12">
        <f t="shared" si="36"/>
        <v>35795</v>
      </c>
      <c r="V296" s="12">
        <f t="shared" si="32"/>
        <v>35000</v>
      </c>
      <c r="W296" s="13"/>
      <c r="X296" s="6" t="s">
        <v>56</v>
      </c>
      <c r="Y296" s="6" t="s">
        <v>897</v>
      </c>
      <c r="Z296" s="6" t="s">
        <v>36</v>
      </c>
      <c r="AA296" s="50"/>
      <c r="AC296" s="100">
        <v>35795</v>
      </c>
      <c r="AD296" s="14">
        <v>35795</v>
      </c>
      <c r="AE296" s="100">
        <v>0</v>
      </c>
    </row>
    <row r="297" spans="1:31" s="14" customFormat="1" ht="21.75" hidden="1" customHeight="1" x14ac:dyDescent="0.25">
      <c r="A297" s="6">
        <f>SUBTOTAL(3,$D$1:D297)-1</f>
        <v>1</v>
      </c>
      <c r="B297" s="7">
        <v>2001395</v>
      </c>
      <c r="C297" s="15" t="s">
        <v>956</v>
      </c>
      <c r="D297" s="9" t="s">
        <v>960</v>
      </c>
      <c r="E297" s="9" t="s">
        <v>951</v>
      </c>
      <c r="F297" s="9" t="s">
        <v>230</v>
      </c>
      <c r="G297" s="10">
        <v>45820</v>
      </c>
      <c r="H297" s="11" t="s">
        <v>33</v>
      </c>
      <c r="I297" s="11" t="s">
        <v>152</v>
      </c>
      <c r="J297" s="11">
        <v>20590.8</v>
      </c>
      <c r="K297" s="11">
        <v>30886.2</v>
      </c>
      <c r="L297" s="12">
        <f t="shared" si="34"/>
        <v>51477</v>
      </c>
      <c r="M297" s="12">
        <f t="shared" si="35"/>
        <v>51477</v>
      </c>
      <c r="N297" s="12">
        <f>795</f>
        <v>795</v>
      </c>
      <c r="O297" s="12">
        <v>0</v>
      </c>
      <c r="P297" s="12">
        <v>0</v>
      </c>
      <c r="Q297" s="12">
        <v>0</v>
      </c>
      <c r="R297" s="36">
        <v>0</v>
      </c>
      <c r="S297" s="12">
        <v>0</v>
      </c>
      <c r="T297" s="12">
        <f t="shared" si="33"/>
        <v>0</v>
      </c>
      <c r="U297" s="12">
        <f t="shared" si="36"/>
        <v>52272</v>
      </c>
      <c r="V297" s="12">
        <f t="shared" si="32"/>
        <v>51477</v>
      </c>
      <c r="W297" s="13"/>
      <c r="X297" s="6" t="s">
        <v>56</v>
      </c>
      <c r="Y297" s="6" t="s">
        <v>888</v>
      </c>
      <c r="Z297" s="6" t="s">
        <v>36</v>
      </c>
      <c r="AA297" s="50"/>
      <c r="AC297" s="100">
        <v>52272</v>
      </c>
      <c r="AD297" s="14">
        <v>52272</v>
      </c>
      <c r="AE297" s="100">
        <v>0</v>
      </c>
    </row>
    <row r="298" spans="1:31" s="14" customFormat="1" ht="21.75" hidden="1" customHeight="1" x14ac:dyDescent="0.25">
      <c r="A298" s="6">
        <f>SUBTOTAL(3,$D$1:D298)-1</f>
        <v>1</v>
      </c>
      <c r="B298" s="7">
        <v>2001396</v>
      </c>
      <c r="C298" s="52" t="s">
        <v>954</v>
      </c>
      <c r="D298" s="53" t="s">
        <v>948</v>
      </c>
      <c r="E298" s="9" t="s">
        <v>949</v>
      </c>
      <c r="F298" s="53" t="s">
        <v>328</v>
      </c>
      <c r="G298" s="54">
        <v>45817</v>
      </c>
      <c r="H298" s="11" t="s">
        <v>87</v>
      </c>
      <c r="I298" s="11" t="s">
        <v>176</v>
      </c>
      <c r="J298" s="11">
        <v>23900</v>
      </c>
      <c r="K298" s="11">
        <v>35850</v>
      </c>
      <c r="L298" s="12">
        <f t="shared" si="34"/>
        <v>59750</v>
      </c>
      <c r="M298" s="12">
        <f t="shared" si="35"/>
        <v>59750</v>
      </c>
      <c r="N298" s="12">
        <f>795</f>
        <v>795</v>
      </c>
      <c r="O298" s="12">
        <v>0</v>
      </c>
      <c r="P298" s="12">
        <v>0</v>
      </c>
      <c r="Q298" s="12">
        <v>0</v>
      </c>
      <c r="R298" s="36">
        <v>0</v>
      </c>
      <c r="S298" s="12">
        <v>0</v>
      </c>
      <c r="T298" s="12">
        <f t="shared" si="33"/>
        <v>0</v>
      </c>
      <c r="U298" s="12">
        <f t="shared" si="36"/>
        <v>60545</v>
      </c>
      <c r="V298" s="12">
        <f t="shared" si="32"/>
        <v>59750</v>
      </c>
      <c r="W298" s="13"/>
      <c r="X298" s="6" t="s">
        <v>56</v>
      </c>
      <c r="Y298" s="6" t="s">
        <v>890</v>
      </c>
      <c r="Z298" s="6" t="s">
        <v>36</v>
      </c>
      <c r="AA298" s="50"/>
      <c r="AC298" s="100">
        <v>60545</v>
      </c>
      <c r="AD298" s="14">
        <v>60545</v>
      </c>
      <c r="AE298" s="100">
        <v>0</v>
      </c>
    </row>
    <row r="299" spans="1:31" s="14" customFormat="1" ht="21.75" hidden="1" customHeight="1" x14ac:dyDescent="0.25">
      <c r="A299" s="6">
        <f>SUBTOTAL(3,$D$1:D299)-1</f>
        <v>1</v>
      </c>
      <c r="B299" s="7">
        <v>2001399</v>
      </c>
      <c r="C299" s="52" t="s">
        <v>966</v>
      </c>
      <c r="D299" s="53" t="s">
        <v>965</v>
      </c>
      <c r="E299" s="9" t="s">
        <v>1076</v>
      </c>
      <c r="F299" s="53" t="s">
        <v>230</v>
      </c>
      <c r="G299" s="54">
        <v>45839</v>
      </c>
      <c r="H299" s="11" t="s">
        <v>846</v>
      </c>
      <c r="I299" s="11" t="s">
        <v>865</v>
      </c>
      <c r="J299" s="11">
        <v>28000</v>
      </c>
      <c r="K299" s="11">
        <v>42000</v>
      </c>
      <c r="L299" s="12">
        <f t="shared" si="34"/>
        <v>70000</v>
      </c>
      <c r="M299" s="12">
        <f t="shared" si="35"/>
        <v>70000</v>
      </c>
      <c r="N299" s="12">
        <v>795</v>
      </c>
      <c r="O299" s="12">
        <v>0</v>
      </c>
      <c r="P299" s="12">
        <v>0</v>
      </c>
      <c r="Q299" s="12">
        <v>0</v>
      </c>
      <c r="R299" s="36">
        <v>0</v>
      </c>
      <c r="S299" s="12">
        <v>0</v>
      </c>
      <c r="T299" s="12">
        <f t="shared" si="33"/>
        <v>0</v>
      </c>
      <c r="U299" s="12">
        <f t="shared" si="36"/>
        <v>70795</v>
      </c>
      <c r="V299" s="12">
        <f t="shared" si="32"/>
        <v>70000</v>
      </c>
      <c r="W299" s="13"/>
      <c r="X299" s="6" t="s">
        <v>253</v>
      </c>
      <c r="Y299" s="6" t="s">
        <v>913</v>
      </c>
      <c r="Z299" s="22" t="s">
        <v>36</v>
      </c>
      <c r="AA299" s="50"/>
      <c r="AC299" s="100">
        <v>70795</v>
      </c>
      <c r="AD299" s="14">
        <v>70795</v>
      </c>
      <c r="AE299" s="100">
        <v>0</v>
      </c>
    </row>
    <row r="300" spans="1:31" s="14" customFormat="1" ht="21.75" hidden="1" customHeight="1" x14ac:dyDescent="0.25">
      <c r="A300" s="6">
        <f>SUBTOTAL(3,$D$1:D300)-1</f>
        <v>1</v>
      </c>
      <c r="B300" s="7">
        <v>2001398</v>
      </c>
      <c r="C300" s="52" t="s">
        <v>962</v>
      </c>
      <c r="D300" s="53" t="s">
        <v>961</v>
      </c>
      <c r="E300" s="9" t="s">
        <v>963</v>
      </c>
      <c r="F300" s="53" t="s">
        <v>964</v>
      </c>
      <c r="G300" s="54">
        <v>45839</v>
      </c>
      <c r="H300" s="11" t="s">
        <v>49</v>
      </c>
      <c r="I300" s="11" t="s">
        <v>1023</v>
      </c>
      <c r="J300" s="11">
        <v>25080</v>
      </c>
      <c r="K300" s="11">
        <v>37620</v>
      </c>
      <c r="L300" s="12">
        <f t="shared" si="34"/>
        <v>62700</v>
      </c>
      <c r="M300" s="12">
        <f t="shared" si="35"/>
        <v>62700</v>
      </c>
      <c r="N300" s="12">
        <v>795</v>
      </c>
      <c r="O300" s="12">
        <v>0</v>
      </c>
      <c r="P300" s="12">
        <v>0</v>
      </c>
      <c r="Q300" s="12">
        <v>0</v>
      </c>
      <c r="R300" s="36">
        <v>0</v>
      </c>
      <c r="S300" s="12">
        <v>0</v>
      </c>
      <c r="T300" s="12">
        <f t="shared" si="33"/>
        <v>0</v>
      </c>
      <c r="U300" s="12">
        <f t="shared" si="36"/>
        <v>63495</v>
      </c>
      <c r="V300" s="12">
        <f t="shared" si="32"/>
        <v>62700</v>
      </c>
      <c r="W300" s="13"/>
      <c r="X300" s="6" t="s">
        <v>56</v>
      </c>
      <c r="Y300" s="6" t="s">
        <v>899</v>
      </c>
      <c r="Z300" s="22" t="s">
        <v>36</v>
      </c>
      <c r="AA300" s="50"/>
      <c r="AC300" s="100">
        <v>63495</v>
      </c>
      <c r="AD300" s="14">
        <v>63495</v>
      </c>
      <c r="AE300" s="100">
        <v>0</v>
      </c>
    </row>
    <row r="301" spans="1:31" s="14" customFormat="1" ht="21.75" hidden="1" customHeight="1" x14ac:dyDescent="0.25">
      <c r="A301" s="6">
        <f>SUBTOTAL(3,$D$1:D301)-1</f>
        <v>1</v>
      </c>
      <c r="B301" s="7">
        <v>2001403</v>
      </c>
      <c r="C301" s="52" t="s">
        <v>968</v>
      </c>
      <c r="D301" s="53" t="s">
        <v>967</v>
      </c>
      <c r="E301" s="9" t="s">
        <v>969</v>
      </c>
      <c r="F301" s="53" t="s">
        <v>48</v>
      </c>
      <c r="G301" s="54">
        <v>45853</v>
      </c>
      <c r="H301" s="11" t="s">
        <v>236</v>
      </c>
      <c r="I301" s="11" t="s">
        <v>306</v>
      </c>
      <c r="J301" s="11">
        <v>18000</v>
      </c>
      <c r="K301" s="11">
        <v>27000</v>
      </c>
      <c r="L301" s="12">
        <f t="shared" ref="L301:L307" si="37">SUM(J301:K301)</f>
        <v>45000</v>
      </c>
      <c r="M301" s="12">
        <f t="shared" si="35"/>
        <v>45000</v>
      </c>
      <c r="N301" s="12">
        <v>795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f t="shared" si="33"/>
        <v>0</v>
      </c>
      <c r="U301" s="12">
        <f t="shared" si="36"/>
        <v>45795</v>
      </c>
      <c r="V301" s="12">
        <f t="shared" si="32"/>
        <v>45000</v>
      </c>
      <c r="W301" s="13"/>
      <c r="X301" s="6" t="s">
        <v>56</v>
      </c>
      <c r="Y301" s="6" t="s">
        <v>904</v>
      </c>
      <c r="Z301" s="22" t="s">
        <v>36</v>
      </c>
      <c r="AA301" s="50"/>
      <c r="AC301" s="100">
        <v>45795</v>
      </c>
      <c r="AD301" s="14">
        <v>45795</v>
      </c>
      <c r="AE301" s="100">
        <v>0</v>
      </c>
    </row>
    <row r="302" spans="1:31" s="14" customFormat="1" ht="21.75" hidden="1" customHeight="1" x14ac:dyDescent="0.25">
      <c r="A302" s="6">
        <f>SUBTOTAL(3,$D$1:D302)-1</f>
        <v>1</v>
      </c>
      <c r="B302" s="7">
        <v>2001329</v>
      </c>
      <c r="C302" s="52" t="s">
        <v>994</v>
      </c>
      <c r="D302" s="53" t="s">
        <v>989</v>
      </c>
      <c r="E302" s="9" t="s">
        <v>990</v>
      </c>
      <c r="F302" s="53" t="s">
        <v>348</v>
      </c>
      <c r="G302" s="54">
        <v>45870</v>
      </c>
      <c r="H302" s="11" t="s">
        <v>49</v>
      </c>
      <c r="I302" s="11" t="s">
        <v>1001</v>
      </c>
      <c r="J302" s="11">
        <v>14602</v>
      </c>
      <c r="K302" s="11">
        <v>21902</v>
      </c>
      <c r="L302" s="12">
        <f t="shared" si="37"/>
        <v>36504</v>
      </c>
      <c r="M302" s="12">
        <f t="shared" si="35"/>
        <v>36504</v>
      </c>
      <c r="N302" s="12">
        <v>795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f t="shared" si="33"/>
        <v>0</v>
      </c>
      <c r="U302" s="12">
        <f t="shared" si="36"/>
        <v>37299</v>
      </c>
      <c r="V302" s="12">
        <f t="shared" si="32"/>
        <v>36504</v>
      </c>
      <c r="W302" s="13"/>
      <c r="X302" s="6" t="s">
        <v>56</v>
      </c>
      <c r="Y302" s="6">
        <v>4511600</v>
      </c>
      <c r="Z302" s="22" t="s">
        <v>36</v>
      </c>
      <c r="AA302" s="50"/>
      <c r="AC302" s="100">
        <v>37299</v>
      </c>
      <c r="AD302" s="14">
        <v>37299</v>
      </c>
      <c r="AE302" s="100">
        <v>0</v>
      </c>
    </row>
    <row r="303" spans="1:31" s="14" customFormat="1" ht="21.75" hidden="1" customHeight="1" x14ac:dyDescent="0.25">
      <c r="A303" s="6">
        <f>SUBTOTAL(3,$D$1:D303)-1</f>
        <v>1</v>
      </c>
      <c r="B303" s="7">
        <v>2001404</v>
      </c>
      <c r="C303" s="52" t="s">
        <v>985</v>
      </c>
      <c r="D303" s="94" t="s">
        <v>984</v>
      </c>
      <c r="E303" s="9" t="s">
        <v>986</v>
      </c>
      <c r="F303" s="53" t="s">
        <v>301</v>
      </c>
      <c r="G303" s="54">
        <v>45860</v>
      </c>
      <c r="H303" s="11" t="s">
        <v>40</v>
      </c>
      <c r="I303" s="11" t="s">
        <v>854</v>
      </c>
      <c r="J303" s="11">
        <v>26800</v>
      </c>
      <c r="K303" s="11">
        <v>40200</v>
      </c>
      <c r="L303" s="12">
        <f t="shared" si="37"/>
        <v>67000</v>
      </c>
      <c r="M303" s="12">
        <f t="shared" si="35"/>
        <v>67000</v>
      </c>
      <c r="N303" s="12">
        <v>795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f t="shared" si="33"/>
        <v>0</v>
      </c>
      <c r="U303" s="12">
        <f t="shared" si="36"/>
        <v>67795</v>
      </c>
      <c r="V303" s="12">
        <f t="shared" si="32"/>
        <v>67000</v>
      </c>
      <c r="W303" s="13"/>
      <c r="X303" s="6" t="s">
        <v>56</v>
      </c>
      <c r="Y303" s="6" t="s">
        <v>886</v>
      </c>
      <c r="Z303" s="22" t="s">
        <v>149</v>
      </c>
      <c r="AA303" s="50"/>
      <c r="AC303" s="100">
        <v>67795</v>
      </c>
      <c r="AD303" s="14">
        <v>67795</v>
      </c>
      <c r="AE303" s="100">
        <v>0</v>
      </c>
    </row>
    <row r="304" spans="1:31" s="14" customFormat="1" ht="21.75" hidden="1" customHeight="1" x14ac:dyDescent="0.25">
      <c r="A304" s="6">
        <f>SUBTOTAL(3,$D$1:D304)-1</f>
        <v>1</v>
      </c>
      <c r="B304" s="7">
        <v>2001402</v>
      </c>
      <c r="C304" s="52" t="s">
        <v>971</v>
      </c>
      <c r="D304" s="53" t="s">
        <v>970</v>
      </c>
      <c r="E304" s="9" t="s">
        <v>972</v>
      </c>
      <c r="F304" s="53" t="s">
        <v>48</v>
      </c>
      <c r="G304" s="54">
        <v>45853</v>
      </c>
      <c r="H304" s="11" t="s">
        <v>49</v>
      </c>
      <c r="I304" s="11" t="s">
        <v>855</v>
      </c>
      <c r="J304" s="11">
        <v>11350</v>
      </c>
      <c r="K304" s="11">
        <v>17025</v>
      </c>
      <c r="L304" s="12">
        <f t="shared" si="37"/>
        <v>28375</v>
      </c>
      <c r="M304" s="12">
        <f t="shared" si="35"/>
        <v>28375</v>
      </c>
      <c r="N304" s="12">
        <v>795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f t="shared" si="33"/>
        <v>0</v>
      </c>
      <c r="U304" s="12">
        <f t="shared" si="36"/>
        <v>29170</v>
      </c>
      <c r="V304" s="12">
        <f t="shared" si="32"/>
        <v>28375</v>
      </c>
      <c r="W304" s="13"/>
      <c r="X304" s="6" t="s">
        <v>56</v>
      </c>
      <c r="Y304" s="6" t="s">
        <v>887</v>
      </c>
      <c r="Z304" s="22" t="s">
        <v>36</v>
      </c>
      <c r="AA304" s="50"/>
      <c r="AC304" s="100">
        <v>29170</v>
      </c>
      <c r="AD304" s="14">
        <v>29170</v>
      </c>
      <c r="AE304" s="100">
        <v>0</v>
      </c>
    </row>
    <row r="305" spans="1:32" s="14" customFormat="1" ht="21.75" hidden="1" customHeight="1" x14ac:dyDescent="0.25">
      <c r="A305" s="6">
        <f>SUBTOTAL(3,$D$1:D305)-1</f>
        <v>1</v>
      </c>
      <c r="B305" s="7">
        <v>2001401</v>
      </c>
      <c r="C305" s="52" t="s">
        <v>993</v>
      </c>
      <c r="D305" s="53" t="s">
        <v>987</v>
      </c>
      <c r="E305" s="9" t="s">
        <v>988</v>
      </c>
      <c r="F305" s="53" t="s">
        <v>48</v>
      </c>
      <c r="G305" s="54">
        <v>45880</v>
      </c>
      <c r="H305" s="11" t="s">
        <v>33</v>
      </c>
      <c r="I305" s="11" t="s">
        <v>97</v>
      </c>
      <c r="J305" s="11">
        <v>26849</v>
      </c>
      <c r="K305" s="11">
        <v>40274</v>
      </c>
      <c r="L305" s="12">
        <f t="shared" si="37"/>
        <v>67123</v>
      </c>
      <c r="M305" s="12">
        <f t="shared" si="35"/>
        <v>67123</v>
      </c>
      <c r="N305" s="12">
        <v>795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f t="shared" si="33"/>
        <v>0</v>
      </c>
      <c r="U305" s="12">
        <f t="shared" si="36"/>
        <v>67918</v>
      </c>
      <c r="V305" s="12">
        <f t="shared" si="32"/>
        <v>67123</v>
      </c>
      <c r="W305" s="13"/>
      <c r="X305" s="6" t="s">
        <v>253</v>
      </c>
      <c r="Y305" s="6">
        <v>4510250</v>
      </c>
      <c r="Z305" s="22" t="s">
        <v>36</v>
      </c>
      <c r="AA305" s="50"/>
      <c r="AC305" s="100">
        <v>67918</v>
      </c>
      <c r="AD305" s="14">
        <v>67918</v>
      </c>
      <c r="AE305" s="100">
        <v>0</v>
      </c>
    </row>
    <row r="306" spans="1:32" s="14" customFormat="1" ht="21.75" hidden="1" customHeight="1" x14ac:dyDescent="0.25">
      <c r="A306" s="6">
        <f>SUBTOTAL(3,$D$1:D306)-1</f>
        <v>1</v>
      </c>
      <c r="B306" s="7">
        <v>2001405</v>
      </c>
      <c r="C306" s="52" t="s">
        <v>995</v>
      </c>
      <c r="D306" s="53" t="s">
        <v>991</v>
      </c>
      <c r="E306" s="9" t="s">
        <v>992</v>
      </c>
      <c r="F306" s="53" t="s">
        <v>130</v>
      </c>
      <c r="G306" s="54">
        <v>45873</v>
      </c>
      <c r="H306" s="11" t="s">
        <v>87</v>
      </c>
      <c r="I306" s="11" t="s">
        <v>176</v>
      </c>
      <c r="J306" s="11">
        <v>22166.799999999999</v>
      </c>
      <c r="K306" s="11">
        <v>33250.199999999997</v>
      </c>
      <c r="L306" s="12">
        <f t="shared" si="37"/>
        <v>55417</v>
      </c>
      <c r="M306" s="12">
        <f t="shared" si="35"/>
        <v>55417</v>
      </c>
      <c r="N306" s="12">
        <v>795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f t="shared" si="33"/>
        <v>0</v>
      </c>
      <c r="U306" s="12">
        <f t="shared" si="36"/>
        <v>56212</v>
      </c>
      <c r="V306" s="12">
        <f t="shared" si="32"/>
        <v>55417</v>
      </c>
      <c r="W306" s="13"/>
      <c r="X306" s="6" t="s">
        <v>56</v>
      </c>
      <c r="Y306" s="6" t="s">
        <v>890</v>
      </c>
      <c r="Z306" s="22" t="s">
        <v>36</v>
      </c>
      <c r="AA306" s="50"/>
      <c r="AC306" s="100">
        <v>56212</v>
      </c>
      <c r="AD306" s="14">
        <v>56212</v>
      </c>
      <c r="AE306" s="100">
        <v>0</v>
      </c>
    </row>
    <row r="307" spans="1:32" s="14" customFormat="1" ht="21.75" hidden="1" customHeight="1" x14ac:dyDescent="0.25">
      <c r="A307" s="6">
        <f>SUBTOTAL(3,$D$1:D307)-1</f>
        <v>1</v>
      </c>
      <c r="B307" s="7">
        <v>2001332</v>
      </c>
      <c r="C307" s="52" t="s">
        <v>1081</v>
      </c>
      <c r="D307" s="53" t="s">
        <v>1079</v>
      </c>
      <c r="E307" s="9" t="s">
        <v>1080</v>
      </c>
      <c r="F307" s="53" t="s">
        <v>48</v>
      </c>
      <c r="G307" s="54">
        <v>45902</v>
      </c>
      <c r="H307" s="11" t="s">
        <v>33</v>
      </c>
      <c r="I307" s="11" t="s">
        <v>53</v>
      </c>
      <c r="J307" s="11">
        <v>11000</v>
      </c>
      <c r="K307" s="11">
        <v>13000</v>
      </c>
      <c r="L307" s="12">
        <f t="shared" si="37"/>
        <v>24000</v>
      </c>
      <c r="M307" s="12">
        <f t="shared" ref="M307:M312" si="38">L307/30*30</f>
        <v>24000</v>
      </c>
      <c r="N307" s="12">
        <v>795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f t="shared" si="33"/>
        <v>0</v>
      </c>
      <c r="U307" s="12">
        <f t="shared" si="36"/>
        <v>24795</v>
      </c>
      <c r="V307" s="12">
        <f t="shared" si="32"/>
        <v>24000</v>
      </c>
      <c r="W307" s="13"/>
      <c r="X307" s="6" t="s">
        <v>78</v>
      </c>
      <c r="Y307" s="6">
        <v>4510220</v>
      </c>
      <c r="Z307" s="22" t="s">
        <v>36</v>
      </c>
      <c r="AA307" s="50"/>
      <c r="AC307" s="100">
        <v>24795</v>
      </c>
      <c r="AD307" s="14">
        <v>24795</v>
      </c>
      <c r="AE307" s="100">
        <v>0</v>
      </c>
    </row>
    <row r="308" spans="1:32" s="14" customFormat="1" ht="21.75" hidden="1" customHeight="1" x14ac:dyDescent="0.25">
      <c r="A308" s="6">
        <f>SUBTOTAL(3,$D$1:D308)-1</f>
        <v>1</v>
      </c>
      <c r="B308" s="7">
        <v>2001400</v>
      </c>
      <c r="C308" s="52" t="s">
        <v>1089</v>
      </c>
      <c r="D308" s="53" t="s">
        <v>1090</v>
      </c>
      <c r="E308" s="9" t="s">
        <v>1091</v>
      </c>
      <c r="F308" s="53" t="s">
        <v>188</v>
      </c>
      <c r="G308" s="54">
        <v>45910</v>
      </c>
      <c r="H308" s="11" t="s">
        <v>40</v>
      </c>
      <c r="I308" s="11" t="s">
        <v>221</v>
      </c>
      <c r="J308" s="11">
        <v>28800</v>
      </c>
      <c r="K308" s="11">
        <v>43200</v>
      </c>
      <c r="L308" s="12">
        <f t="shared" ref="L308:L315" si="39">J308+K308</f>
        <v>72000</v>
      </c>
      <c r="M308" s="12">
        <f t="shared" si="38"/>
        <v>72000</v>
      </c>
      <c r="N308" s="12">
        <v>795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f t="shared" si="33"/>
        <v>0</v>
      </c>
      <c r="U308" s="12">
        <f t="shared" si="36"/>
        <v>72795</v>
      </c>
      <c r="V308" s="12">
        <f t="shared" si="32"/>
        <v>72000</v>
      </c>
      <c r="W308" s="13"/>
      <c r="X308" s="6" t="str">
        <f>VLOOKUP(B308,'[2]Excel Output (4)'!$A$3:$AA$1998,27,0)</f>
        <v>3C</v>
      </c>
      <c r="Y308" s="6" t="str">
        <f>VLOOKUP(B308,'[2]Excel Output (4)'!$A$3:$AA$1998,24,0)</f>
        <v>4510160</v>
      </c>
      <c r="Z308" s="22" t="s">
        <v>36</v>
      </c>
      <c r="AA308" s="50"/>
      <c r="AC308" s="100">
        <v>72795</v>
      </c>
      <c r="AD308" s="14">
        <v>72795</v>
      </c>
      <c r="AE308" s="100">
        <v>0</v>
      </c>
    </row>
    <row r="309" spans="1:32" s="14" customFormat="1" ht="21.75" hidden="1" customHeight="1" x14ac:dyDescent="0.25">
      <c r="A309" s="6">
        <f>SUBTOTAL(3,$D$1:D309)-1</f>
        <v>1</v>
      </c>
      <c r="B309" s="7">
        <v>2001410</v>
      </c>
      <c r="C309" s="52" t="s">
        <v>1084</v>
      </c>
      <c r="D309" s="53" t="s">
        <v>1082</v>
      </c>
      <c r="E309" s="9" t="s">
        <v>1083</v>
      </c>
      <c r="F309" s="53" t="s">
        <v>52</v>
      </c>
      <c r="G309" s="54">
        <v>45915</v>
      </c>
      <c r="H309" s="11" t="s">
        <v>87</v>
      </c>
      <c r="I309" s="11" t="s">
        <v>176</v>
      </c>
      <c r="J309" s="11">
        <v>21402</v>
      </c>
      <c r="K309" s="11">
        <v>32103</v>
      </c>
      <c r="L309" s="12">
        <f t="shared" si="39"/>
        <v>53505</v>
      </c>
      <c r="M309" s="12">
        <f t="shared" si="38"/>
        <v>53505</v>
      </c>
      <c r="N309" s="12">
        <v>795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f t="shared" si="33"/>
        <v>0</v>
      </c>
      <c r="U309" s="12">
        <f t="shared" si="36"/>
        <v>54300</v>
      </c>
      <c r="V309" s="12">
        <f t="shared" si="32"/>
        <v>53505</v>
      </c>
      <c r="W309" s="13"/>
      <c r="X309" s="6" t="str">
        <f>VLOOKUP(B309,'[2]Excel Output (4)'!$A$3:$AA$1998,27,0)</f>
        <v>3C</v>
      </c>
      <c r="Y309" s="6" t="str">
        <f>VLOOKUP(B309,'[2]Excel Output (4)'!$A$3:$AA$1998,24,0)</f>
        <v>4512100</v>
      </c>
      <c r="Z309" s="22" t="s">
        <v>36</v>
      </c>
      <c r="AA309" s="50"/>
      <c r="AC309" s="100">
        <v>54300</v>
      </c>
      <c r="AD309" s="14">
        <v>54300</v>
      </c>
      <c r="AE309" s="100">
        <v>0</v>
      </c>
    </row>
    <row r="310" spans="1:32" s="14" customFormat="1" ht="21.75" hidden="1" customHeight="1" x14ac:dyDescent="0.25">
      <c r="A310" s="6">
        <f>SUBTOTAL(3,$D$1:D310)-1</f>
        <v>1</v>
      </c>
      <c r="B310" s="7">
        <v>2001411</v>
      </c>
      <c r="C310" s="52" t="s">
        <v>1086</v>
      </c>
      <c r="D310" s="53" t="s">
        <v>1085</v>
      </c>
      <c r="E310" s="9" t="s">
        <v>213</v>
      </c>
      <c r="F310" s="53" t="s">
        <v>188</v>
      </c>
      <c r="G310" s="54">
        <v>45916</v>
      </c>
      <c r="H310" s="11" t="s">
        <v>236</v>
      </c>
      <c r="I310" s="11" t="s">
        <v>237</v>
      </c>
      <c r="J310" s="11">
        <v>26000</v>
      </c>
      <c r="K310" s="11">
        <v>39000</v>
      </c>
      <c r="L310" s="12">
        <f t="shared" si="39"/>
        <v>65000</v>
      </c>
      <c r="M310" s="12">
        <f t="shared" si="38"/>
        <v>64999.999999999993</v>
      </c>
      <c r="N310" s="12">
        <v>795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f t="shared" si="33"/>
        <v>0</v>
      </c>
      <c r="U310" s="12">
        <f t="shared" si="36"/>
        <v>65795</v>
      </c>
      <c r="V310" s="12">
        <f t="shared" si="32"/>
        <v>64999.999999999993</v>
      </c>
      <c r="W310" s="13"/>
      <c r="X310" s="6" t="str">
        <f>VLOOKUP(B310,'[2]Excel Output (4)'!$A$3:$AA$1998,27,0)</f>
        <v>2C</v>
      </c>
      <c r="Y310" s="6" t="str">
        <f>VLOOKUP(B310,'[2]Excel Output (4)'!$A$3:$AA$1998,24,0)</f>
        <v>4513130</v>
      </c>
      <c r="Z310" s="22" t="s">
        <v>36</v>
      </c>
      <c r="AA310" s="50"/>
      <c r="AC310" s="100">
        <v>65795</v>
      </c>
      <c r="AD310" s="14">
        <v>65795</v>
      </c>
      <c r="AE310" s="100">
        <v>0</v>
      </c>
    </row>
    <row r="311" spans="1:32" s="14" customFormat="1" ht="21.75" hidden="1" customHeight="1" x14ac:dyDescent="0.25">
      <c r="A311" s="6">
        <f>SUBTOTAL(3,$D$1:D311)-1</f>
        <v>1</v>
      </c>
      <c r="B311" s="7">
        <v>2001409</v>
      </c>
      <c r="C311" s="52" t="s">
        <v>1088</v>
      </c>
      <c r="D311" s="53" t="s">
        <v>1087</v>
      </c>
      <c r="E311" s="9" t="s">
        <v>1037</v>
      </c>
      <c r="F311" s="53" t="s">
        <v>48</v>
      </c>
      <c r="G311" s="54">
        <v>45918</v>
      </c>
      <c r="H311" s="11" t="s">
        <v>40</v>
      </c>
      <c r="I311" s="11" t="s">
        <v>847</v>
      </c>
      <c r="J311" s="11">
        <v>32000</v>
      </c>
      <c r="K311" s="11">
        <v>48000</v>
      </c>
      <c r="L311" s="12">
        <f t="shared" si="39"/>
        <v>80000</v>
      </c>
      <c r="M311" s="12">
        <f t="shared" si="38"/>
        <v>80000</v>
      </c>
      <c r="N311" s="12">
        <v>795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f t="shared" si="33"/>
        <v>0</v>
      </c>
      <c r="U311" s="12">
        <f t="shared" si="36"/>
        <v>80795</v>
      </c>
      <c r="V311" s="12">
        <f t="shared" si="32"/>
        <v>80000</v>
      </c>
      <c r="W311" s="13"/>
      <c r="X311" s="6" t="str">
        <f>VLOOKUP(B311,'[2]Excel Output (4)'!$A$3:$AA$1998,27,0)</f>
        <v>2C</v>
      </c>
      <c r="Y311" s="6" t="str">
        <f>VLOOKUP(B311,'[2]Excel Output (4)'!$A$3:$AA$1998,24,0)</f>
        <v>4510150</v>
      </c>
      <c r="Z311" s="22" t="s">
        <v>36</v>
      </c>
      <c r="AA311" s="50"/>
      <c r="AC311" s="100">
        <v>80795</v>
      </c>
      <c r="AD311" s="14">
        <v>80795</v>
      </c>
      <c r="AE311" s="100">
        <v>0</v>
      </c>
    </row>
    <row r="312" spans="1:32" s="14" customFormat="1" ht="21.75" hidden="1" customHeight="1" x14ac:dyDescent="0.25">
      <c r="A312" s="6">
        <f>SUBTOTAL(3,$D$1:D312)-1</f>
        <v>1</v>
      </c>
      <c r="B312" s="7">
        <v>2001412</v>
      </c>
      <c r="C312" s="52" t="s">
        <v>1093</v>
      </c>
      <c r="D312" s="53" t="s">
        <v>1092</v>
      </c>
      <c r="E312" s="9" t="s">
        <v>1094</v>
      </c>
      <c r="F312" s="53" t="s">
        <v>1095</v>
      </c>
      <c r="G312" s="54">
        <v>45938</v>
      </c>
      <c r="H312" s="11" t="s">
        <v>49</v>
      </c>
      <c r="I312" s="11" t="s">
        <v>62</v>
      </c>
      <c r="J312" s="11">
        <v>11350</v>
      </c>
      <c r="K312" s="11">
        <v>17025</v>
      </c>
      <c r="L312" s="12">
        <f t="shared" si="39"/>
        <v>28375</v>
      </c>
      <c r="M312" s="12">
        <f t="shared" si="38"/>
        <v>28375</v>
      </c>
      <c r="N312" s="55">
        <f>795+(795/30*2)</f>
        <v>848</v>
      </c>
      <c r="O312" s="12">
        <v>0</v>
      </c>
      <c r="P312" s="55">
        <f>M312/30*2</f>
        <v>1891.6666666666667</v>
      </c>
      <c r="Q312" s="12">
        <v>0</v>
      </c>
      <c r="R312" s="12">
        <v>0</v>
      </c>
      <c r="S312" s="12">
        <v>0</v>
      </c>
      <c r="T312" s="12">
        <f t="shared" si="33"/>
        <v>1891.6666666666667</v>
      </c>
      <c r="U312" s="12">
        <f t="shared" si="36"/>
        <v>31114.666666666668</v>
      </c>
      <c r="V312" s="12">
        <f t="shared" si="32"/>
        <v>30266.666666666668</v>
      </c>
      <c r="W312" s="13" t="s">
        <v>1193</v>
      </c>
      <c r="X312" s="6" t="s">
        <v>56</v>
      </c>
      <c r="Y312" s="6" t="s">
        <v>874</v>
      </c>
      <c r="Z312" s="22" t="s">
        <v>36</v>
      </c>
      <c r="AA312" s="50"/>
      <c r="AC312" s="100">
        <v>31114.666666666668</v>
      </c>
      <c r="AD312" s="14">
        <v>31114.667000000001</v>
      </c>
      <c r="AE312" s="100">
        <v>-3.3333333340124227E-4</v>
      </c>
    </row>
    <row r="313" spans="1:32" s="14" customFormat="1" ht="21.75" hidden="1" customHeight="1" x14ac:dyDescent="0.25">
      <c r="A313" s="6">
        <f>SUBTOTAL(3,$D$1:D313)-1</f>
        <v>1</v>
      </c>
      <c r="B313" s="40"/>
      <c r="C313" s="52" t="s">
        <v>1200</v>
      </c>
      <c r="D313" s="53" t="s">
        <v>1201</v>
      </c>
      <c r="E313" s="9" t="s">
        <v>1202</v>
      </c>
      <c r="F313" s="53" t="s">
        <v>573</v>
      </c>
      <c r="G313" s="54">
        <v>45964</v>
      </c>
      <c r="H313" s="91"/>
      <c r="I313" s="91"/>
      <c r="J313" s="11">
        <v>13310.8</v>
      </c>
      <c r="K313" s="11">
        <v>19966.2</v>
      </c>
      <c r="L313" s="12">
        <f t="shared" si="39"/>
        <v>33277</v>
      </c>
      <c r="M313" s="55">
        <f>L313/30*28</f>
        <v>31058.533333333333</v>
      </c>
      <c r="N313" s="55">
        <f>795/30*28</f>
        <v>742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f t="shared" si="33"/>
        <v>0</v>
      </c>
      <c r="U313" s="12">
        <f t="shared" si="36"/>
        <v>31800.533333333333</v>
      </c>
      <c r="V313" s="12">
        <f t="shared" si="32"/>
        <v>31058.533333333333</v>
      </c>
      <c r="W313" s="13" t="s">
        <v>1203</v>
      </c>
      <c r="X313" s="39"/>
      <c r="Y313" s="39"/>
      <c r="Z313" s="22" t="s">
        <v>36</v>
      </c>
      <c r="AA313" s="50"/>
      <c r="AC313" s="100">
        <v>31800.533333333333</v>
      </c>
      <c r="AD313" s="14">
        <v>31800.532999999999</v>
      </c>
      <c r="AE313" s="100">
        <v>3.3333333340124227E-4</v>
      </c>
    </row>
    <row r="314" spans="1:32" s="14" customFormat="1" ht="21.75" hidden="1" customHeight="1" x14ac:dyDescent="0.25">
      <c r="A314" s="6">
        <f>SUBTOTAL(3,$D$1:D314)-1</f>
        <v>1</v>
      </c>
      <c r="B314" s="40"/>
      <c r="C314" s="52" t="s">
        <v>1205</v>
      </c>
      <c r="D314" s="99" t="s">
        <v>1204</v>
      </c>
      <c r="E314" s="9" t="s">
        <v>1206</v>
      </c>
      <c r="F314" s="53" t="s">
        <v>274</v>
      </c>
      <c r="G314" s="54">
        <v>45959</v>
      </c>
      <c r="H314" s="91"/>
      <c r="I314" s="91"/>
      <c r="J314" s="11">
        <v>18531.759999999998</v>
      </c>
      <c r="K314" s="11">
        <v>27797.64</v>
      </c>
      <c r="L314" s="12">
        <f t="shared" si="39"/>
        <v>46329.399999999994</v>
      </c>
      <c r="M314" s="12">
        <f>L314/30*30</f>
        <v>46329.399999999994</v>
      </c>
      <c r="N314" s="55">
        <f>795+(795/30*2)</f>
        <v>848</v>
      </c>
      <c r="O314" s="12">
        <v>0</v>
      </c>
      <c r="P314" s="12">
        <v>0</v>
      </c>
      <c r="Q314" s="12">
        <f>(M314*15%)+(R314*15%)</f>
        <v>7412.7039999999988</v>
      </c>
      <c r="R314" s="55">
        <f>46329.4/30*2</f>
        <v>3088.6266666666666</v>
      </c>
      <c r="S314" s="12">
        <f>(M314*5%)+(R314*5%)</f>
        <v>2470.9013333333332</v>
      </c>
      <c r="T314" s="12">
        <f t="shared" ref="T314" si="40">SUM(O314:R314)</f>
        <v>10501.330666666665</v>
      </c>
      <c r="U314" s="12">
        <f t="shared" si="36"/>
        <v>57678.730666666655</v>
      </c>
      <c r="V314" s="12">
        <f t="shared" si="32"/>
        <v>46947.125333333322</v>
      </c>
      <c r="W314" s="13" t="s">
        <v>1207</v>
      </c>
      <c r="X314" s="39"/>
      <c r="Y314" s="39"/>
      <c r="Z314" s="22" t="s">
        <v>149</v>
      </c>
      <c r="AA314" s="50"/>
      <c r="AC314" s="100">
        <v>57678.730666666655</v>
      </c>
      <c r="AD314" s="14">
        <v>57678.729999999996</v>
      </c>
      <c r="AE314" s="100">
        <v>6.6666665952652693E-4</v>
      </c>
    </row>
    <row r="315" spans="1:32" s="14" customFormat="1" ht="21.75" hidden="1" customHeight="1" x14ac:dyDescent="0.25">
      <c r="A315" s="6">
        <f>SUBTOTAL(3,$D$1:D315)-1</f>
        <v>1</v>
      </c>
      <c r="B315" s="40"/>
      <c r="C315" s="52" t="s">
        <v>1210</v>
      </c>
      <c r="D315" s="53" t="s">
        <v>1209</v>
      </c>
      <c r="E315" s="9" t="s">
        <v>1211</v>
      </c>
      <c r="F315" s="53" t="s">
        <v>188</v>
      </c>
      <c r="G315" s="54">
        <v>45961</v>
      </c>
      <c r="H315" s="91"/>
      <c r="I315" s="91"/>
      <c r="J315" s="11">
        <v>48000</v>
      </c>
      <c r="K315" s="11">
        <v>72000</v>
      </c>
      <c r="L315" s="12">
        <f t="shared" si="39"/>
        <v>120000</v>
      </c>
      <c r="M315" s="12">
        <f>L315/30*30</f>
        <v>120000</v>
      </c>
      <c r="N315" s="55">
        <f>795+(795/30*1)</f>
        <v>821.5</v>
      </c>
      <c r="O315" s="12">
        <v>0</v>
      </c>
      <c r="P315" s="12">
        <v>0</v>
      </c>
      <c r="Q315" s="12">
        <v>0</v>
      </c>
      <c r="R315" s="55">
        <f>120000/30*1</f>
        <v>4000</v>
      </c>
      <c r="S315" s="12">
        <v>0</v>
      </c>
      <c r="T315" s="12">
        <f t="shared" ref="T315" si="41">SUM(O315:R315)</f>
        <v>4000</v>
      </c>
      <c r="U315" s="12">
        <f t="shared" ref="U315" si="42">+M315+N315+T315</f>
        <v>124821.5</v>
      </c>
      <c r="V315" s="12">
        <f t="shared" ref="V315" si="43">SUM(M315,P315,R315,O315)-S315</f>
        <v>124000</v>
      </c>
      <c r="W315" s="13" t="s">
        <v>1212</v>
      </c>
      <c r="X315" s="39"/>
      <c r="Y315" s="39"/>
      <c r="Z315" s="22" t="s">
        <v>36</v>
      </c>
      <c r="AA315" s="50"/>
      <c r="AC315" s="100">
        <v>124821.5</v>
      </c>
      <c r="AD315" s="110">
        <v>124821.5</v>
      </c>
      <c r="AE315" s="100">
        <v>0</v>
      </c>
    </row>
    <row r="316" spans="1:32" ht="21.75" hidden="1" customHeight="1" x14ac:dyDescent="0.25">
      <c r="A316" s="6"/>
      <c r="B316" s="41"/>
      <c r="H316" s="45" t="s">
        <v>622</v>
      </c>
      <c r="I316" s="95"/>
      <c r="J316" s="45">
        <f t="shared" ref="J316:V316" si="44">SUBTOTAL(9,J2:J315)</f>
        <v>32550</v>
      </c>
      <c r="K316" s="45">
        <f t="shared" si="44"/>
        <v>48825</v>
      </c>
      <c r="L316" s="45">
        <f t="shared" si="44"/>
        <v>81375</v>
      </c>
      <c r="M316" s="45">
        <f t="shared" si="44"/>
        <v>81375</v>
      </c>
      <c r="N316" s="45">
        <f t="shared" si="44"/>
        <v>795</v>
      </c>
      <c r="O316" s="45">
        <f t="shared" si="44"/>
        <v>0</v>
      </c>
      <c r="P316" s="45">
        <f t="shared" si="44"/>
        <v>5550</v>
      </c>
      <c r="Q316" s="45">
        <f t="shared" si="44"/>
        <v>0</v>
      </c>
      <c r="R316" s="45">
        <f t="shared" si="44"/>
        <v>0</v>
      </c>
      <c r="S316" s="45">
        <f t="shared" si="44"/>
        <v>0</v>
      </c>
      <c r="T316" s="45">
        <f t="shared" si="44"/>
        <v>5550</v>
      </c>
      <c r="U316" s="45">
        <f t="shared" si="44"/>
        <v>87720</v>
      </c>
      <c r="V316" s="45">
        <f t="shared" si="44"/>
        <v>86925</v>
      </c>
      <c r="W316" s="97"/>
      <c r="X316" s="22"/>
      <c r="Y316" s="22"/>
      <c r="Z316" s="22"/>
      <c r="AC316" s="103">
        <v>14989232.510666667</v>
      </c>
      <c r="AD316" s="103">
        <v>14989232.505666668</v>
      </c>
      <c r="AE316" s="103">
        <v>4.9999989569187164E-3</v>
      </c>
      <c r="AF316" s="102" t="s">
        <v>1241</v>
      </c>
    </row>
    <row r="317" spans="1:32" ht="21.75" hidden="1" customHeight="1" x14ac:dyDescent="0.25">
      <c r="U317" s="49">
        <f>U316*1.05</f>
        <v>92106</v>
      </c>
      <c r="V317" s="12">
        <f t="shared" ref="V317" si="45">SUM(M317,P317,R317)-S317</f>
        <v>0</v>
      </c>
      <c r="AD317" s="5"/>
    </row>
    <row r="437" spans="4:4" ht="21.75" customHeight="1" x14ac:dyDescent="0.25">
      <c r="D437" s="42"/>
    </row>
  </sheetData>
  <autoFilter ref="A1:AG317" xr:uid="{8B2F235C-E30B-4A24-9623-4BE0FDDF3CBB}">
    <filterColumn colId="3">
      <filters>
        <filter val="Aiham Ahmad Taher Masoud"/>
      </filters>
    </filterColumn>
  </autoFilter>
  <conditionalFormatting sqref="B1:B1048576">
    <cfRule type="duplicateValues" dxfId="1010" priority="21518"/>
  </conditionalFormatting>
  <conditionalFormatting sqref="B21">
    <cfRule type="duplicateValues" dxfId="1009" priority="1173"/>
  </conditionalFormatting>
  <conditionalFormatting sqref="B61">
    <cfRule type="duplicateValues" dxfId="1008" priority="1161"/>
  </conditionalFormatting>
  <conditionalFormatting sqref="B256">
    <cfRule type="duplicateValues" dxfId="1007" priority="659"/>
    <cfRule type="duplicateValues" dxfId="1006" priority="660"/>
    <cfRule type="duplicateValues" dxfId="1005" priority="661"/>
  </conditionalFormatting>
  <conditionalFormatting sqref="B259">
    <cfRule type="duplicateValues" dxfId="1004" priority="57"/>
    <cfRule type="duplicateValues" dxfId="1003" priority="58"/>
    <cfRule type="duplicateValues" dxfId="1002" priority="59"/>
  </conditionalFormatting>
  <conditionalFormatting sqref="B287">
    <cfRule type="duplicateValues" dxfId="1001" priority="19851"/>
    <cfRule type="duplicateValues" dxfId="1000" priority="19852"/>
    <cfRule type="duplicateValues" dxfId="999" priority="19853"/>
  </conditionalFormatting>
  <conditionalFormatting sqref="B288:B311">
    <cfRule type="duplicateValues" dxfId="998" priority="21264"/>
    <cfRule type="duplicateValues" dxfId="997" priority="21265"/>
    <cfRule type="duplicateValues" dxfId="996" priority="21266"/>
  </conditionalFormatting>
  <conditionalFormatting sqref="B312:B315">
    <cfRule type="duplicateValues" dxfId="995" priority="22085"/>
    <cfRule type="duplicateValues" dxfId="994" priority="22086"/>
    <cfRule type="duplicateValues" dxfId="993" priority="22087"/>
  </conditionalFormatting>
  <conditionalFormatting sqref="B319">
    <cfRule type="duplicateValues" dxfId="992" priority="21517"/>
  </conditionalFormatting>
  <conditionalFormatting sqref="B320:B393 B318 C261:C281 C283:C286">
    <cfRule type="duplicateValues" dxfId="991" priority="19582"/>
    <cfRule type="duplicateValues" dxfId="990" priority="19583"/>
    <cfRule type="duplicateValues" dxfId="989" priority="19584"/>
    <cfRule type="duplicateValues" dxfId="988" priority="19585"/>
    <cfRule type="duplicateValues" dxfId="987" priority="19586"/>
    <cfRule type="duplicateValues" dxfId="986" priority="19587"/>
    <cfRule type="duplicateValues" dxfId="985" priority="19588"/>
    <cfRule type="duplicateValues" dxfId="984" priority="19589"/>
    <cfRule type="duplicateValues" dxfId="983" priority="19590"/>
    <cfRule type="duplicateValues" dxfId="982" priority="19591"/>
    <cfRule type="duplicateValues" dxfId="981" priority="19592"/>
    <cfRule type="duplicateValues" dxfId="980" priority="19593"/>
  </conditionalFormatting>
  <conditionalFormatting sqref="B320:B1048576 B1:B318">
    <cfRule type="duplicateValues" dxfId="979" priority="671"/>
  </conditionalFormatting>
  <conditionalFormatting sqref="B320:B1048576 B316 C253:C255 C261:C281 C283:C286 B1:B20 B318 B22:B60 B257 B62:B252">
    <cfRule type="duplicateValues" dxfId="978" priority="15745"/>
  </conditionalFormatting>
  <conditionalFormatting sqref="B320:B1048576 B316 C253:C255 C261:C281 C283:C286 B318 B257 B1:B252">
    <cfRule type="duplicateValues" dxfId="977" priority="15753"/>
    <cfRule type="duplicateValues" dxfId="976" priority="15754"/>
  </conditionalFormatting>
  <conditionalFormatting sqref="B320:B1048576 B318 C261:C281 C283:C286">
    <cfRule type="duplicateValues" dxfId="975" priority="15765"/>
  </conditionalFormatting>
  <conditionalFormatting sqref="B320:B1048576">
    <cfRule type="duplicateValues" dxfId="974" priority="634"/>
  </conditionalFormatting>
  <conditionalFormatting sqref="C1:C1048576">
    <cfRule type="duplicateValues" dxfId="973" priority="418"/>
  </conditionalFormatting>
  <conditionalFormatting sqref="C228:C252">
    <cfRule type="duplicateValues" dxfId="972" priority="15605"/>
    <cfRule type="duplicateValues" dxfId="971" priority="15606"/>
    <cfRule type="duplicateValues" dxfId="970" priority="15607"/>
  </conditionalFormatting>
  <conditionalFormatting sqref="C256">
    <cfRule type="duplicateValues" dxfId="969" priority="662"/>
    <cfRule type="duplicateValues" dxfId="968" priority="663"/>
    <cfRule type="duplicateValues" dxfId="967" priority="664"/>
    <cfRule type="duplicateValues" dxfId="966" priority="665"/>
    <cfRule type="duplicateValues" dxfId="965" priority="666"/>
    <cfRule type="duplicateValues" dxfId="964" priority="667"/>
    <cfRule type="duplicateValues" dxfId="963" priority="668"/>
    <cfRule type="duplicateValues" dxfId="962" priority="669"/>
    <cfRule type="duplicateValues" dxfId="961" priority="670"/>
  </conditionalFormatting>
  <conditionalFormatting sqref="C257">
    <cfRule type="duplicateValues" dxfId="960" priority="133"/>
    <cfRule type="duplicateValues" dxfId="959" priority="134"/>
    <cfRule type="duplicateValues" dxfId="958" priority="135"/>
    <cfRule type="duplicateValues" dxfId="957" priority="136"/>
    <cfRule type="duplicateValues" dxfId="956" priority="137"/>
    <cfRule type="duplicateValues" dxfId="955" priority="138"/>
    <cfRule type="duplicateValues" dxfId="954" priority="139"/>
    <cfRule type="duplicateValues" dxfId="953" priority="140"/>
    <cfRule type="duplicateValues" dxfId="952" priority="141"/>
  </conditionalFormatting>
  <conditionalFormatting sqref="C258 C260">
    <cfRule type="duplicateValues" dxfId="951" priority="16348"/>
    <cfRule type="duplicateValues" dxfId="950" priority="16349"/>
    <cfRule type="duplicateValues" dxfId="949" priority="16350"/>
  </conditionalFormatting>
  <conditionalFormatting sqref="C259">
    <cfRule type="duplicateValues" dxfId="948" priority="60"/>
    <cfRule type="duplicateValues" dxfId="947" priority="61"/>
    <cfRule type="duplicateValues" dxfId="946" priority="62"/>
    <cfRule type="duplicateValues" dxfId="945" priority="63"/>
    <cfRule type="duplicateValues" dxfId="944" priority="64"/>
    <cfRule type="duplicateValues" dxfId="943" priority="65"/>
    <cfRule type="duplicateValues" dxfId="942" priority="66"/>
    <cfRule type="duplicateValues" dxfId="941" priority="67"/>
    <cfRule type="duplicateValues" dxfId="940" priority="68"/>
  </conditionalFormatting>
  <conditionalFormatting sqref="C282">
    <cfRule type="duplicateValues" dxfId="939" priority="824"/>
    <cfRule type="duplicateValues" dxfId="938" priority="825"/>
    <cfRule type="duplicateValues" dxfId="937" priority="826"/>
    <cfRule type="duplicateValues" dxfId="936" priority="827"/>
    <cfRule type="duplicateValues" dxfId="935" priority="828"/>
    <cfRule type="duplicateValues" dxfId="934" priority="841"/>
    <cfRule type="duplicateValues" dxfId="933" priority="842"/>
    <cfRule type="duplicateValues" dxfId="932" priority="843"/>
    <cfRule type="duplicateValues" dxfId="931" priority="844"/>
    <cfRule type="duplicateValues" dxfId="930" priority="845"/>
    <cfRule type="duplicateValues" dxfId="929" priority="846"/>
    <cfRule type="duplicateValues" dxfId="928" priority="847"/>
    <cfRule type="duplicateValues" dxfId="927" priority="848"/>
    <cfRule type="duplicateValues" dxfId="926" priority="849"/>
    <cfRule type="duplicateValues" dxfId="925" priority="850"/>
    <cfRule type="duplicateValues" dxfId="924" priority="851"/>
    <cfRule type="duplicateValues" dxfId="923" priority="852"/>
  </conditionalFormatting>
  <conditionalFormatting sqref="C287">
    <cfRule type="duplicateValues" dxfId="922" priority="19854"/>
    <cfRule type="duplicateValues" dxfId="921" priority="19855"/>
    <cfRule type="duplicateValues" dxfId="920" priority="19856"/>
    <cfRule type="duplicateValues" dxfId="919" priority="19857"/>
    <cfRule type="duplicateValues" dxfId="918" priority="19858"/>
    <cfRule type="duplicateValues" dxfId="917" priority="19859"/>
    <cfRule type="duplicateValues" dxfId="916" priority="19860"/>
    <cfRule type="duplicateValues" dxfId="915" priority="19861"/>
    <cfRule type="duplicateValues" dxfId="914" priority="19862"/>
    <cfRule type="duplicateValues" dxfId="913" priority="19863"/>
    <cfRule type="duplicateValues" dxfId="912" priority="19864"/>
    <cfRule type="duplicateValues" dxfId="911" priority="19865"/>
    <cfRule type="duplicateValues" dxfId="910" priority="19866"/>
  </conditionalFormatting>
  <conditionalFormatting sqref="C288:C290">
    <cfRule type="duplicateValues" dxfId="909" priority="755"/>
    <cfRule type="duplicateValues" dxfId="908" priority="756"/>
    <cfRule type="duplicateValues" dxfId="907" priority="757"/>
    <cfRule type="duplicateValues" dxfId="906" priority="758"/>
    <cfRule type="duplicateValues" dxfId="905" priority="759"/>
    <cfRule type="duplicateValues" dxfId="904" priority="760"/>
    <cfRule type="duplicateValues" dxfId="903" priority="761"/>
    <cfRule type="duplicateValues" dxfId="902" priority="762"/>
    <cfRule type="duplicateValues" dxfId="901" priority="763"/>
    <cfRule type="duplicateValues" dxfId="900" priority="764"/>
    <cfRule type="duplicateValues" dxfId="899" priority="765"/>
    <cfRule type="duplicateValues" dxfId="898" priority="766"/>
    <cfRule type="duplicateValues" dxfId="897" priority="767"/>
  </conditionalFormatting>
  <conditionalFormatting sqref="C291:C311">
    <cfRule type="duplicateValues" dxfId="896" priority="21270"/>
    <cfRule type="duplicateValues" dxfId="895" priority="21271"/>
    <cfRule type="duplicateValues" dxfId="894" priority="21272"/>
    <cfRule type="duplicateValues" dxfId="893" priority="21273"/>
    <cfRule type="duplicateValues" dxfId="892" priority="21274"/>
    <cfRule type="duplicateValues" dxfId="891" priority="21275"/>
    <cfRule type="duplicateValues" dxfId="890" priority="21276"/>
    <cfRule type="duplicateValues" dxfId="889" priority="21277"/>
    <cfRule type="duplicateValues" dxfId="888" priority="21278"/>
    <cfRule type="duplicateValues" dxfId="887" priority="21279"/>
    <cfRule type="duplicateValues" dxfId="886" priority="21280"/>
    <cfRule type="duplicateValues" dxfId="885" priority="21281"/>
    <cfRule type="duplicateValues" dxfId="884" priority="21282"/>
  </conditionalFormatting>
  <conditionalFormatting sqref="C312:C315">
    <cfRule type="duplicateValues" dxfId="883" priority="22091"/>
    <cfRule type="duplicateValues" dxfId="882" priority="22092"/>
    <cfRule type="duplicateValues" dxfId="881" priority="22093"/>
    <cfRule type="duplicateValues" dxfId="880" priority="22094"/>
    <cfRule type="duplicateValues" dxfId="879" priority="22095"/>
    <cfRule type="duplicateValues" dxfId="878" priority="22096"/>
    <cfRule type="duplicateValues" dxfId="877" priority="22097"/>
    <cfRule type="duplicateValues" dxfId="876" priority="22098"/>
    <cfRule type="duplicateValues" dxfId="875" priority="22099"/>
    <cfRule type="duplicateValues" dxfId="874" priority="22100"/>
    <cfRule type="duplicateValues" dxfId="873" priority="22101"/>
    <cfRule type="duplicateValues" dxfId="872" priority="22102"/>
    <cfRule type="duplicateValues" dxfId="871" priority="22103"/>
  </conditionalFormatting>
  <conditionalFormatting sqref="C438:C1048576 C1:C227">
    <cfRule type="duplicateValues" dxfId="870" priority="20054"/>
    <cfRule type="duplicateValues" dxfId="869" priority="20055"/>
    <cfRule type="duplicateValues" dxfId="868" priority="20056"/>
  </conditionalFormatting>
  <conditionalFormatting sqref="C438:C1048576 C1:C252">
    <cfRule type="duplicateValues" dxfId="867" priority="20075"/>
    <cfRule type="duplicateValues" dxfId="866" priority="20076"/>
    <cfRule type="duplicateValues" dxfId="865" priority="20077"/>
    <cfRule type="duplicateValues" dxfId="864" priority="20078"/>
    <cfRule type="duplicateValues" dxfId="863" priority="20079"/>
    <cfRule type="duplicateValues" dxfId="862" priority="20080"/>
  </conditionalFormatting>
  <conditionalFormatting sqref="C438:C1048576 C1:C260">
    <cfRule type="duplicateValues" dxfId="861" priority="20117"/>
    <cfRule type="duplicateValues" dxfId="860" priority="20118"/>
  </conditionalFormatting>
  <conditionalFormatting sqref="C438:C1048576 C1:C436">
    <cfRule type="duplicateValues" dxfId="859" priority="439"/>
    <cfRule type="duplicateValues" dxfId="858" priority="492"/>
    <cfRule type="duplicateValues" dxfId="857" priority="696"/>
  </conditionalFormatting>
  <conditionalFormatting sqref="C438:C1048576 C283:C286 C1:C281">
    <cfRule type="duplicateValues" dxfId="856" priority="20048"/>
  </conditionalFormatting>
  <conditionalFormatting sqref="C438:C1048576 C316:C436 C1:C286">
    <cfRule type="duplicateValues" dxfId="855" priority="794"/>
  </conditionalFormatting>
  <conditionalFormatting sqref="C438:C1048576 C437:D437 C1:C436">
    <cfRule type="duplicateValues" dxfId="854" priority="437"/>
  </conditionalFormatting>
  <conditionalFormatting sqref="C438:C1048576">
    <cfRule type="duplicateValues" dxfId="853" priority="20131"/>
  </conditionalFormatting>
  <conditionalFormatting sqref="C437:D437">
    <cfRule type="duplicateValues" dxfId="852" priority="419"/>
    <cfRule type="duplicateValues" dxfId="851" priority="420"/>
    <cfRule type="duplicateValues" dxfId="850" priority="421"/>
    <cfRule type="duplicateValues" dxfId="849" priority="422"/>
    <cfRule type="duplicateValues" dxfId="848" priority="423"/>
    <cfRule type="duplicateValues" dxfId="847" priority="424"/>
    <cfRule type="duplicateValues" dxfId="846" priority="425"/>
    <cfRule type="duplicateValues" dxfId="845" priority="426"/>
    <cfRule type="duplicateValues" dxfId="844" priority="427"/>
    <cfRule type="duplicateValues" dxfId="843" priority="428"/>
    <cfRule type="duplicateValues" dxfId="842" priority="429"/>
    <cfRule type="duplicateValues" dxfId="841" priority="430"/>
    <cfRule type="duplicateValues" dxfId="840" priority="431"/>
    <cfRule type="duplicateValues" dxfId="839" priority="432"/>
    <cfRule type="duplicateValues" dxfId="838" priority="433"/>
    <cfRule type="duplicateValues" dxfId="837" priority="434"/>
    <cfRule type="duplicateValues" dxfId="836" priority="435"/>
  </conditionalFormatting>
  <conditionalFormatting sqref="E1:E315 E318 P319:P325 E326:E64628">
    <cfRule type="expression" dxfId="835" priority="21710" stopIfTrue="1">
      <formula>AND(COUNTIF($D$1:$D$276, E1)+COUNTIF($D$170:$D$64628, E1)&gt;1,NOT(ISBLANK(E1)))</formula>
    </cfRule>
    <cfRule type="expression" dxfId="834" priority="21711" stopIfTrue="1">
      <formula>AND(COUNTIF($D$203:$D$64628, E1)+COUNTIF($D$1:$D$168, E1)&gt;1,NOT(ISBLANK(E1)))</formula>
    </cfRule>
    <cfRule type="expression" dxfId="833" priority="21712" stopIfTrue="1">
      <formula>AND(COUNTIF($D$1:$D$136, E1)+COUNTIF($D$137:$D$64628, E1)&gt;1,NOT(ISBLANK(E1)))</formula>
    </cfRule>
  </conditionalFormatting>
  <conditionalFormatting sqref="E261:E281 E283:E286">
    <cfRule type="duplicateValues" dxfId="832" priority="16069"/>
  </conditionalFormatting>
  <conditionalFormatting sqref="E282">
    <cfRule type="duplicateValues" dxfId="831" priority="840"/>
  </conditionalFormatting>
  <conditionalFormatting sqref="E287:E315">
    <cfRule type="expression" dxfId="830" priority="22117" stopIfTrue="1">
      <formula>AND(COUNTIF($D$1:$D$136, E287)+COUNTIF($D$137:$D$64627, E287)&gt;1,NOT(ISBLANK(E287)))</formula>
    </cfRule>
    <cfRule type="expression" dxfId="829" priority="22118" stopIfTrue="1">
      <formula>AND(COUNTIF($D$170:$D$64627, E287)+COUNTIF($D$1:$D$276, E287)&gt;1,NOT(ISBLANK(E287)))</formula>
    </cfRule>
    <cfRule type="expression" dxfId="828" priority="22119" stopIfTrue="1">
      <formula>AND(COUNTIF($D$1:$D$276, E287)+COUNTIF($D$170:$D$64627, E287)&gt;1,NOT(ISBLANK(E287)))</formula>
    </cfRule>
    <cfRule type="expression" dxfId="827" priority="22120" stopIfTrue="1">
      <formula>AND(COUNTIF($D$203:$D$64627, E287)+COUNTIF($D$1:$D$168, E287)&gt;1,NOT(ISBLANK(E287)))</formula>
    </cfRule>
  </conditionalFormatting>
  <conditionalFormatting sqref="E318 P319:P325 E326:E64628 E1:E315">
    <cfRule type="expression" dxfId="826" priority="21709" stopIfTrue="1">
      <formula>AND(COUNTIF($D$170:$D$64628, E1)+COUNTIF($D$1:$D$276, E1)&gt;1,NOT(ISBLANK(E1)))</formula>
    </cfRule>
  </conditionalFormatting>
  <conditionalFormatting sqref="P319:P325 E326:E64628 E318">
    <cfRule type="duplicateValues" dxfId="825" priority="20257" stopIfTrue="1"/>
  </conditionalFormatting>
  <conditionalFormatting sqref="XEY10">
    <cfRule type="duplicateValues" dxfId="824" priority="905"/>
    <cfRule type="duplicateValues" dxfId="823" priority="906"/>
    <cfRule type="duplicateValues" dxfId="822" priority="907"/>
  </conditionalFormatting>
  <conditionalFormatting sqref="XEY17">
    <cfRule type="duplicateValues" dxfId="821" priority="736"/>
    <cfRule type="duplicateValues" dxfId="820" priority="737"/>
    <cfRule type="duplicateValues" dxfId="819" priority="738"/>
  </conditionalFormatting>
  <conditionalFormatting sqref="XEY77">
    <cfRule type="duplicateValues" dxfId="818" priority="366"/>
    <cfRule type="duplicateValues" dxfId="817" priority="367"/>
    <cfRule type="duplicateValues" dxfId="816" priority="368"/>
  </conditionalFormatting>
  <conditionalFormatting sqref="XEY87">
    <cfRule type="duplicateValues" dxfId="815" priority="101"/>
    <cfRule type="duplicateValues" dxfId="814" priority="102"/>
    <cfRule type="duplicateValues" dxfId="813" priority="103"/>
  </conditionalFormatting>
  <conditionalFormatting sqref="XEY104">
    <cfRule type="duplicateValues" dxfId="812" priority="334"/>
    <cfRule type="duplicateValues" dxfId="811" priority="335"/>
    <cfRule type="duplicateValues" dxfId="810" priority="336"/>
  </conditionalFormatting>
  <conditionalFormatting sqref="XEY131">
    <cfRule type="duplicateValues" dxfId="809" priority="398"/>
    <cfRule type="duplicateValues" dxfId="808" priority="399"/>
    <cfRule type="duplicateValues" dxfId="807" priority="400"/>
  </conditionalFormatting>
  <conditionalFormatting sqref="XEY134">
    <cfRule type="duplicateValues" dxfId="806" priority="318"/>
    <cfRule type="duplicateValues" dxfId="805" priority="319"/>
    <cfRule type="duplicateValues" dxfId="804" priority="320"/>
  </conditionalFormatting>
  <conditionalFormatting sqref="XEY138">
    <cfRule type="duplicateValues" dxfId="803" priority="69"/>
    <cfRule type="duplicateValues" dxfId="802" priority="70"/>
    <cfRule type="duplicateValues" dxfId="801" priority="71"/>
  </conditionalFormatting>
  <conditionalFormatting sqref="XEY145">
    <cfRule type="duplicateValues" dxfId="800" priority="382"/>
    <cfRule type="duplicateValues" dxfId="799" priority="383"/>
    <cfRule type="duplicateValues" dxfId="798" priority="384"/>
  </conditionalFormatting>
  <conditionalFormatting sqref="XEY156">
    <cfRule type="duplicateValues" dxfId="797" priority="302"/>
    <cfRule type="duplicateValues" dxfId="796" priority="303"/>
    <cfRule type="duplicateValues" dxfId="795" priority="304"/>
  </conditionalFormatting>
  <conditionalFormatting sqref="XEY170">
    <cfRule type="duplicateValues" dxfId="794" priority="286"/>
    <cfRule type="duplicateValues" dxfId="793" priority="287"/>
    <cfRule type="duplicateValues" dxfId="792" priority="288"/>
  </conditionalFormatting>
  <conditionalFormatting sqref="XEY171">
    <cfRule type="duplicateValues" dxfId="791" priority="25"/>
    <cfRule type="duplicateValues" dxfId="790" priority="26"/>
    <cfRule type="duplicateValues" dxfId="789" priority="27"/>
  </conditionalFormatting>
  <conditionalFormatting sqref="XEY177">
    <cfRule type="duplicateValues" dxfId="788" priority="270"/>
    <cfRule type="duplicateValues" dxfId="787" priority="271"/>
    <cfRule type="duplicateValues" dxfId="786" priority="272"/>
  </conditionalFormatting>
  <conditionalFormatting sqref="XEY185">
    <cfRule type="duplicateValues" dxfId="785" priority="85"/>
    <cfRule type="duplicateValues" dxfId="784" priority="86"/>
    <cfRule type="duplicateValues" dxfId="783" priority="87"/>
  </conditionalFormatting>
  <conditionalFormatting sqref="XEY192">
    <cfRule type="duplicateValues" dxfId="782" priority="238"/>
    <cfRule type="duplicateValues" dxfId="781" priority="239"/>
    <cfRule type="duplicateValues" dxfId="780" priority="240"/>
  </conditionalFormatting>
  <conditionalFormatting sqref="XEY193">
    <cfRule type="duplicateValues" dxfId="779" priority="222"/>
    <cfRule type="duplicateValues" dxfId="778" priority="223"/>
    <cfRule type="duplicateValues" dxfId="777" priority="224"/>
  </conditionalFormatting>
  <conditionalFormatting sqref="XEY194">
    <cfRule type="duplicateValues" dxfId="776" priority="206"/>
    <cfRule type="duplicateValues" dxfId="775" priority="207"/>
    <cfRule type="duplicateValues" dxfId="774" priority="208"/>
  </conditionalFormatting>
  <conditionalFormatting sqref="XEY202">
    <cfRule type="duplicateValues" dxfId="773" priority="190"/>
    <cfRule type="duplicateValues" dxfId="772" priority="191"/>
    <cfRule type="duplicateValues" dxfId="771" priority="192"/>
  </conditionalFormatting>
  <conditionalFormatting sqref="XEY204">
    <cfRule type="duplicateValues" dxfId="770" priority="174"/>
    <cfRule type="duplicateValues" dxfId="769" priority="175"/>
    <cfRule type="duplicateValues" dxfId="768" priority="176"/>
  </conditionalFormatting>
  <conditionalFormatting sqref="XEY211">
    <cfRule type="duplicateValues" dxfId="767" priority="158"/>
    <cfRule type="duplicateValues" dxfId="766" priority="159"/>
    <cfRule type="duplicateValues" dxfId="765" priority="160"/>
  </conditionalFormatting>
  <conditionalFormatting sqref="XEY219">
    <cfRule type="duplicateValues" dxfId="764" priority="142"/>
    <cfRule type="duplicateValues" dxfId="763" priority="143"/>
    <cfRule type="duplicateValues" dxfId="762" priority="144"/>
  </conditionalFormatting>
  <conditionalFormatting sqref="XEY257">
    <cfRule type="duplicateValues" dxfId="761" priority="117"/>
    <cfRule type="duplicateValues" dxfId="760" priority="118"/>
    <cfRule type="duplicateValues" dxfId="759" priority="119"/>
  </conditionalFormatting>
  <conditionalFormatting sqref="XEY259">
    <cfRule type="duplicateValues" dxfId="758" priority="41"/>
    <cfRule type="duplicateValues" dxfId="757" priority="42"/>
    <cfRule type="duplicateValues" dxfId="756" priority="43"/>
  </conditionalFormatting>
  <conditionalFormatting sqref="XEZ10">
    <cfRule type="duplicateValues" dxfId="755" priority="908"/>
    <cfRule type="duplicateValues" dxfId="754" priority="909"/>
    <cfRule type="duplicateValues" dxfId="753" priority="910"/>
    <cfRule type="duplicateValues" dxfId="752" priority="911"/>
    <cfRule type="duplicateValues" dxfId="751" priority="912"/>
    <cfRule type="duplicateValues" dxfId="750" priority="913"/>
    <cfRule type="duplicateValues" dxfId="749" priority="914"/>
    <cfRule type="duplicateValues" dxfId="748" priority="915"/>
    <cfRule type="duplicateValues" dxfId="747" priority="916"/>
    <cfRule type="duplicateValues" dxfId="746" priority="917"/>
    <cfRule type="duplicateValues" dxfId="745" priority="918"/>
    <cfRule type="duplicateValues" dxfId="744" priority="919"/>
  </conditionalFormatting>
  <conditionalFormatting sqref="XEZ17">
    <cfRule type="duplicateValues" dxfId="743" priority="739"/>
    <cfRule type="duplicateValues" dxfId="742" priority="740"/>
    <cfRule type="duplicateValues" dxfId="741" priority="741"/>
    <cfRule type="duplicateValues" dxfId="740" priority="742"/>
    <cfRule type="duplicateValues" dxfId="739" priority="743"/>
    <cfRule type="duplicateValues" dxfId="738" priority="744"/>
    <cfRule type="duplicateValues" dxfId="737" priority="745"/>
    <cfRule type="duplicateValues" dxfId="736" priority="746"/>
    <cfRule type="duplicateValues" dxfId="735" priority="747"/>
    <cfRule type="duplicateValues" dxfId="734" priority="748"/>
    <cfRule type="duplicateValues" dxfId="733" priority="749"/>
    <cfRule type="duplicateValues" dxfId="732" priority="750"/>
  </conditionalFormatting>
  <conditionalFormatting sqref="XEZ77">
    <cfRule type="duplicateValues" dxfId="731" priority="369"/>
    <cfRule type="duplicateValues" dxfId="730" priority="370"/>
    <cfRule type="duplicateValues" dxfId="729" priority="371"/>
    <cfRule type="duplicateValues" dxfId="728" priority="372"/>
    <cfRule type="duplicateValues" dxfId="727" priority="373"/>
    <cfRule type="duplicateValues" dxfId="726" priority="374"/>
    <cfRule type="duplicateValues" dxfId="725" priority="375"/>
    <cfRule type="duplicateValues" dxfId="724" priority="376"/>
    <cfRule type="duplicateValues" dxfId="723" priority="377"/>
    <cfRule type="duplicateValues" dxfId="722" priority="378"/>
    <cfRule type="duplicateValues" dxfId="721" priority="379"/>
    <cfRule type="duplicateValues" dxfId="720" priority="380"/>
  </conditionalFormatting>
  <conditionalFormatting sqref="XEZ87">
    <cfRule type="duplicateValues" dxfId="719" priority="104"/>
    <cfRule type="duplicateValues" dxfId="718" priority="105"/>
    <cfRule type="duplicateValues" dxfId="717" priority="106"/>
    <cfRule type="duplicateValues" dxfId="716" priority="107"/>
    <cfRule type="duplicateValues" dxfId="715" priority="108"/>
    <cfRule type="duplicateValues" dxfId="714" priority="109"/>
    <cfRule type="duplicateValues" dxfId="713" priority="110"/>
    <cfRule type="duplicateValues" dxfId="712" priority="111"/>
    <cfRule type="duplicateValues" dxfId="711" priority="112"/>
    <cfRule type="duplicateValues" dxfId="710" priority="113"/>
    <cfRule type="duplicateValues" dxfId="709" priority="114"/>
    <cfRule type="duplicateValues" dxfId="708" priority="115"/>
  </conditionalFormatting>
  <conditionalFormatting sqref="XEZ104">
    <cfRule type="duplicateValues" dxfId="707" priority="337"/>
    <cfRule type="duplicateValues" dxfId="706" priority="338"/>
    <cfRule type="duplicateValues" dxfId="705" priority="339"/>
    <cfRule type="duplicateValues" dxfId="704" priority="340"/>
    <cfRule type="duplicateValues" dxfId="703" priority="341"/>
    <cfRule type="duplicateValues" dxfId="702" priority="342"/>
    <cfRule type="duplicateValues" dxfId="701" priority="343"/>
    <cfRule type="duplicateValues" dxfId="700" priority="344"/>
    <cfRule type="duplicateValues" dxfId="699" priority="345"/>
    <cfRule type="duplicateValues" dxfId="698" priority="346"/>
    <cfRule type="duplicateValues" dxfId="697" priority="347"/>
    <cfRule type="duplicateValues" dxfId="696" priority="348"/>
  </conditionalFormatting>
  <conditionalFormatting sqref="XEZ131">
    <cfRule type="duplicateValues" dxfId="695" priority="401"/>
    <cfRule type="duplicateValues" dxfId="694" priority="402"/>
    <cfRule type="duplicateValues" dxfId="693" priority="403"/>
    <cfRule type="duplicateValues" dxfId="692" priority="404"/>
    <cfRule type="duplicateValues" dxfId="691" priority="405"/>
    <cfRule type="duplicateValues" dxfId="690" priority="406"/>
    <cfRule type="duplicateValues" dxfId="689" priority="407"/>
    <cfRule type="duplicateValues" dxfId="688" priority="408"/>
    <cfRule type="duplicateValues" dxfId="687" priority="409"/>
    <cfRule type="duplicateValues" dxfId="686" priority="410"/>
    <cfRule type="duplicateValues" dxfId="685" priority="411"/>
    <cfRule type="duplicateValues" dxfId="684" priority="412"/>
  </conditionalFormatting>
  <conditionalFormatting sqref="XEZ134">
    <cfRule type="duplicateValues" dxfId="683" priority="321"/>
    <cfRule type="duplicateValues" dxfId="682" priority="322"/>
    <cfRule type="duplicateValues" dxfId="681" priority="323"/>
    <cfRule type="duplicateValues" dxfId="680" priority="324"/>
    <cfRule type="duplicateValues" dxfId="679" priority="325"/>
    <cfRule type="duplicateValues" dxfId="678" priority="326"/>
    <cfRule type="duplicateValues" dxfId="677" priority="327"/>
    <cfRule type="duplicateValues" dxfId="676" priority="328"/>
    <cfRule type="duplicateValues" dxfId="675" priority="329"/>
    <cfRule type="duplicateValues" dxfId="674" priority="330"/>
    <cfRule type="duplicateValues" dxfId="673" priority="331"/>
    <cfRule type="duplicateValues" dxfId="672" priority="332"/>
  </conditionalFormatting>
  <conditionalFormatting sqref="XEZ138">
    <cfRule type="duplicateValues" dxfId="671" priority="72"/>
    <cfRule type="duplicateValues" dxfId="670" priority="73"/>
    <cfRule type="duplicateValues" dxfId="669" priority="74"/>
    <cfRule type="duplicateValues" dxfId="668" priority="75"/>
    <cfRule type="duplicateValues" dxfId="667" priority="76"/>
    <cfRule type="duplicateValues" dxfId="666" priority="77"/>
    <cfRule type="duplicateValues" dxfId="665" priority="78"/>
    <cfRule type="duplicateValues" dxfId="664" priority="79"/>
    <cfRule type="duplicateValues" dxfId="663" priority="80"/>
    <cfRule type="duplicateValues" dxfId="662" priority="81"/>
    <cfRule type="duplicateValues" dxfId="661" priority="82"/>
    <cfRule type="duplicateValues" dxfId="660" priority="83"/>
  </conditionalFormatting>
  <conditionalFormatting sqref="XEZ145">
    <cfRule type="duplicateValues" dxfId="659" priority="385"/>
    <cfRule type="duplicateValues" dxfId="658" priority="386"/>
    <cfRule type="duplicateValues" dxfId="657" priority="387"/>
    <cfRule type="duplicateValues" dxfId="656" priority="388"/>
    <cfRule type="duplicateValues" dxfId="655" priority="389"/>
    <cfRule type="duplicateValues" dxfId="654" priority="390"/>
    <cfRule type="duplicateValues" dxfId="653" priority="391"/>
    <cfRule type="duplicateValues" dxfId="652" priority="392"/>
    <cfRule type="duplicateValues" dxfId="651" priority="393"/>
    <cfRule type="duplicateValues" dxfId="650" priority="394"/>
    <cfRule type="duplicateValues" dxfId="649" priority="395"/>
    <cfRule type="duplicateValues" dxfId="648" priority="396"/>
  </conditionalFormatting>
  <conditionalFormatting sqref="XEZ156">
    <cfRule type="duplicateValues" dxfId="647" priority="305"/>
    <cfRule type="duplicateValues" dxfId="646" priority="306"/>
    <cfRule type="duplicateValues" dxfId="645" priority="307"/>
    <cfRule type="duplicateValues" dxfId="644" priority="308"/>
    <cfRule type="duplicateValues" dxfId="643" priority="309"/>
    <cfRule type="duplicateValues" dxfId="642" priority="310"/>
    <cfRule type="duplicateValues" dxfId="641" priority="311"/>
    <cfRule type="duplicateValues" dxfId="640" priority="312"/>
    <cfRule type="duplicateValues" dxfId="639" priority="313"/>
    <cfRule type="duplicateValues" dxfId="638" priority="314"/>
    <cfRule type="duplicateValues" dxfId="637" priority="315"/>
    <cfRule type="duplicateValues" dxfId="636" priority="316"/>
  </conditionalFormatting>
  <conditionalFormatting sqref="XEZ170">
    <cfRule type="duplicateValues" dxfId="635" priority="289"/>
    <cfRule type="duplicateValues" dxfId="634" priority="290"/>
    <cfRule type="duplicateValues" dxfId="633" priority="291"/>
    <cfRule type="duplicateValues" dxfId="632" priority="292"/>
    <cfRule type="duplicateValues" dxfId="631" priority="293"/>
    <cfRule type="duplicateValues" dxfId="630" priority="294"/>
    <cfRule type="duplicateValues" dxfId="629" priority="295"/>
    <cfRule type="duplicateValues" dxfId="628" priority="296"/>
    <cfRule type="duplicateValues" dxfId="627" priority="297"/>
    <cfRule type="duplicateValues" dxfId="626" priority="298"/>
    <cfRule type="duplicateValues" dxfId="625" priority="299"/>
    <cfRule type="duplicateValues" dxfId="624" priority="300"/>
  </conditionalFormatting>
  <conditionalFormatting sqref="XEZ171">
    <cfRule type="duplicateValues" dxfId="623" priority="28"/>
    <cfRule type="duplicateValues" dxfId="622" priority="29"/>
    <cfRule type="duplicateValues" dxfId="621" priority="30"/>
    <cfRule type="duplicateValues" dxfId="620" priority="31"/>
    <cfRule type="duplicateValues" dxfId="619" priority="32"/>
    <cfRule type="duplicateValues" dxfId="618" priority="33"/>
    <cfRule type="duplicateValues" dxfId="617" priority="34"/>
    <cfRule type="duplicateValues" dxfId="616" priority="35"/>
    <cfRule type="duplicateValues" dxfId="615" priority="36"/>
    <cfRule type="duplicateValues" dxfId="614" priority="37"/>
    <cfRule type="duplicateValues" dxfId="613" priority="38"/>
    <cfRule type="duplicateValues" dxfId="612" priority="39"/>
  </conditionalFormatting>
  <conditionalFormatting sqref="XEZ177">
    <cfRule type="duplicateValues" dxfId="611" priority="273"/>
    <cfRule type="duplicateValues" dxfId="610" priority="274"/>
    <cfRule type="duplicateValues" dxfId="609" priority="275"/>
    <cfRule type="duplicateValues" dxfId="608" priority="276"/>
    <cfRule type="duplicateValues" dxfId="607" priority="277"/>
    <cfRule type="duplicateValues" dxfId="606" priority="278"/>
    <cfRule type="duplicateValues" dxfId="605" priority="279"/>
    <cfRule type="duplicateValues" dxfId="604" priority="280"/>
    <cfRule type="duplicateValues" dxfId="603" priority="281"/>
    <cfRule type="duplicateValues" dxfId="602" priority="282"/>
    <cfRule type="duplicateValues" dxfId="601" priority="283"/>
    <cfRule type="duplicateValues" dxfId="600" priority="284"/>
  </conditionalFormatting>
  <conditionalFormatting sqref="XEZ185">
    <cfRule type="duplicateValues" dxfId="599" priority="88"/>
    <cfRule type="duplicateValues" dxfId="598" priority="89"/>
    <cfRule type="duplicateValues" dxfId="597" priority="90"/>
    <cfRule type="duplicateValues" dxfId="596" priority="91"/>
    <cfRule type="duplicateValues" dxfId="595" priority="92"/>
    <cfRule type="duplicateValues" dxfId="594" priority="93"/>
    <cfRule type="duplicateValues" dxfId="593" priority="94"/>
    <cfRule type="duplicateValues" dxfId="592" priority="95"/>
    <cfRule type="duplicateValues" dxfId="591" priority="96"/>
    <cfRule type="duplicateValues" dxfId="590" priority="97"/>
    <cfRule type="duplicateValues" dxfId="589" priority="98"/>
    <cfRule type="duplicateValues" dxfId="588" priority="99"/>
  </conditionalFormatting>
  <conditionalFormatting sqref="XEZ192">
    <cfRule type="duplicateValues" dxfId="587" priority="241"/>
    <cfRule type="duplicateValues" dxfId="586" priority="242"/>
    <cfRule type="duplicateValues" dxfId="585" priority="243"/>
    <cfRule type="duplicateValues" dxfId="584" priority="244"/>
    <cfRule type="duplicateValues" dxfId="583" priority="245"/>
    <cfRule type="duplicateValues" dxfId="582" priority="246"/>
    <cfRule type="duplicateValues" dxfId="581" priority="247"/>
    <cfRule type="duplicateValues" dxfId="580" priority="248"/>
    <cfRule type="duplicateValues" dxfId="579" priority="249"/>
    <cfRule type="duplicateValues" dxfId="578" priority="250"/>
    <cfRule type="duplicateValues" dxfId="577" priority="251"/>
    <cfRule type="duplicateValues" dxfId="576" priority="252"/>
  </conditionalFormatting>
  <conditionalFormatting sqref="XEZ193">
    <cfRule type="duplicateValues" dxfId="575" priority="225"/>
    <cfRule type="duplicateValues" dxfId="574" priority="226"/>
    <cfRule type="duplicateValues" dxfId="573" priority="227"/>
    <cfRule type="duplicateValues" dxfId="572" priority="228"/>
    <cfRule type="duplicateValues" dxfId="571" priority="229"/>
    <cfRule type="duplicateValues" dxfId="570" priority="230"/>
    <cfRule type="duplicateValues" dxfId="569" priority="231"/>
    <cfRule type="duplicateValues" dxfId="568" priority="232"/>
    <cfRule type="duplicateValues" dxfId="567" priority="233"/>
    <cfRule type="duplicateValues" dxfId="566" priority="234"/>
    <cfRule type="duplicateValues" dxfId="565" priority="235"/>
    <cfRule type="duplicateValues" dxfId="564" priority="236"/>
  </conditionalFormatting>
  <conditionalFormatting sqref="XEZ194">
    <cfRule type="duplicateValues" dxfId="563" priority="209"/>
    <cfRule type="duplicateValues" dxfId="562" priority="210"/>
    <cfRule type="duplicateValues" dxfId="561" priority="211"/>
    <cfRule type="duplicateValues" dxfId="560" priority="212"/>
    <cfRule type="duplicateValues" dxfId="559" priority="213"/>
    <cfRule type="duplicateValues" dxfId="558" priority="214"/>
    <cfRule type="duplicateValues" dxfId="557" priority="215"/>
    <cfRule type="duplicateValues" dxfId="556" priority="216"/>
    <cfRule type="duplicateValues" dxfId="555" priority="217"/>
    <cfRule type="duplicateValues" dxfId="554" priority="218"/>
    <cfRule type="duplicateValues" dxfId="553" priority="219"/>
    <cfRule type="duplicateValues" dxfId="552" priority="220"/>
  </conditionalFormatting>
  <conditionalFormatting sqref="XEZ202">
    <cfRule type="duplicateValues" dxfId="551" priority="193"/>
    <cfRule type="duplicateValues" dxfId="550" priority="194"/>
    <cfRule type="duplicateValues" dxfId="549" priority="195"/>
    <cfRule type="duplicateValues" dxfId="548" priority="196"/>
    <cfRule type="duplicateValues" dxfId="547" priority="197"/>
    <cfRule type="duplicateValues" dxfId="546" priority="198"/>
    <cfRule type="duplicateValues" dxfId="545" priority="199"/>
    <cfRule type="duplicateValues" dxfId="544" priority="200"/>
    <cfRule type="duplicateValues" dxfId="543" priority="201"/>
    <cfRule type="duplicateValues" dxfId="542" priority="202"/>
    <cfRule type="duplicateValues" dxfId="541" priority="203"/>
    <cfRule type="duplicateValues" dxfId="540" priority="204"/>
  </conditionalFormatting>
  <conditionalFormatting sqref="XEZ204">
    <cfRule type="duplicateValues" dxfId="539" priority="177"/>
    <cfRule type="duplicateValues" dxfId="538" priority="178"/>
    <cfRule type="duplicateValues" dxfId="537" priority="179"/>
    <cfRule type="duplicateValues" dxfId="536" priority="180"/>
    <cfRule type="duplicateValues" dxfId="535" priority="181"/>
    <cfRule type="duplicateValues" dxfId="534" priority="182"/>
    <cfRule type="duplicateValues" dxfId="533" priority="183"/>
    <cfRule type="duplicateValues" dxfId="532" priority="184"/>
    <cfRule type="duplicateValues" dxfId="531" priority="185"/>
    <cfRule type="duplicateValues" dxfId="530" priority="186"/>
    <cfRule type="duplicateValues" dxfId="529" priority="187"/>
    <cfRule type="duplicateValues" dxfId="528" priority="188"/>
  </conditionalFormatting>
  <conditionalFormatting sqref="XEZ211">
    <cfRule type="duplicateValues" dxfId="527" priority="161"/>
    <cfRule type="duplicateValues" dxfId="526" priority="162"/>
    <cfRule type="duplicateValues" dxfId="525" priority="163"/>
    <cfRule type="duplicateValues" dxfId="524" priority="164"/>
    <cfRule type="duplicateValues" dxfId="523" priority="165"/>
    <cfRule type="duplicateValues" dxfId="522" priority="166"/>
    <cfRule type="duplicateValues" dxfId="521" priority="167"/>
    <cfRule type="duplicateValues" dxfId="520" priority="168"/>
    <cfRule type="duplicateValues" dxfId="519" priority="169"/>
    <cfRule type="duplicateValues" dxfId="518" priority="170"/>
    <cfRule type="duplicateValues" dxfId="517" priority="171"/>
    <cfRule type="duplicateValues" dxfId="516" priority="172"/>
  </conditionalFormatting>
  <conditionalFormatting sqref="XEZ219">
    <cfRule type="duplicateValues" dxfId="515" priority="145"/>
    <cfRule type="duplicateValues" dxfId="514" priority="146"/>
    <cfRule type="duplicateValues" dxfId="513" priority="147"/>
    <cfRule type="duplicateValues" dxfId="512" priority="148"/>
    <cfRule type="duplicateValues" dxfId="511" priority="149"/>
    <cfRule type="duplicateValues" dxfId="510" priority="150"/>
    <cfRule type="duplicateValues" dxfId="509" priority="151"/>
    <cfRule type="duplicateValues" dxfId="508" priority="152"/>
    <cfRule type="duplicateValues" dxfId="507" priority="153"/>
    <cfRule type="duplicateValues" dxfId="506" priority="154"/>
    <cfRule type="duplicateValues" dxfId="505" priority="155"/>
    <cfRule type="duplicateValues" dxfId="504" priority="156"/>
  </conditionalFormatting>
  <conditionalFormatting sqref="XEZ257">
    <cfRule type="duplicateValues" dxfId="503" priority="120"/>
    <cfRule type="duplicateValues" dxfId="502" priority="121"/>
    <cfRule type="duplicateValues" dxfId="501" priority="122"/>
    <cfRule type="duplicateValues" dxfId="500" priority="123"/>
    <cfRule type="duplicateValues" dxfId="499" priority="124"/>
    <cfRule type="duplicateValues" dxfId="498" priority="125"/>
    <cfRule type="duplicateValues" dxfId="497" priority="126"/>
    <cfRule type="duplicateValues" dxfId="496" priority="127"/>
    <cfRule type="duplicateValues" dxfId="495" priority="128"/>
    <cfRule type="duplicateValues" dxfId="494" priority="129"/>
    <cfRule type="duplicateValues" dxfId="493" priority="130"/>
    <cfRule type="duplicateValues" dxfId="492" priority="131"/>
  </conditionalFormatting>
  <conditionalFormatting sqref="XEZ259">
    <cfRule type="duplicateValues" dxfId="491" priority="44"/>
    <cfRule type="duplicateValues" dxfId="490" priority="45"/>
    <cfRule type="duplicateValues" dxfId="489" priority="46"/>
    <cfRule type="duplicateValues" dxfId="488" priority="47"/>
    <cfRule type="duplicateValues" dxfId="487" priority="48"/>
    <cfRule type="duplicateValues" dxfId="486" priority="49"/>
    <cfRule type="duplicateValues" dxfId="485" priority="50"/>
    <cfRule type="duplicateValues" dxfId="484" priority="51"/>
    <cfRule type="duplicateValues" dxfId="483" priority="52"/>
    <cfRule type="duplicateValues" dxfId="482" priority="53"/>
    <cfRule type="duplicateValues" dxfId="481" priority="54"/>
    <cfRule type="duplicateValues" dxfId="480" priority="55"/>
  </conditionalFormatting>
  <conditionalFormatting sqref="XFA10">
    <cfRule type="duplicateValues" dxfId="479" priority="920"/>
  </conditionalFormatting>
  <conditionalFormatting sqref="XFA17">
    <cfRule type="duplicateValues" dxfId="478" priority="751"/>
  </conditionalFormatting>
  <conditionalFormatting sqref="XFA77">
    <cfRule type="duplicateValues" dxfId="477" priority="381"/>
  </conditionalFormatting>
  <conditionalFormatting sqref="XFA87">
    <cfRule type="duplicateValues" dxfId="476" priority="116"/>
  </conditionalFormatting>
  <conditionalFormatting sqref="XFA104">
    <cfRule type="duplicateValues" dxfId="475" priority="349"/>
  </conditionalFormatting>
  <conditionalFormatting sqref="XFA131">
    <cfRule type="duplicateValues" dxfId="474" priority="413"/>
  </conditionalFormatting>
  <conditionalFormatting sqref="XFA134">
    <cfRule type="duplicateValues" dxfId="473" priority="333"/>
  </conditionalFormatting>
  <conditionalFormatting sqref="XFA138">
    <cfRule type="duplicateValues" dxfId="472" priority="84"/>
  </conditionalFormatting>
  <conditionalFormatting sqref="XFA145">
    <cfRule type="duplicateValues" dxfId="471" priority="397"/>
  </conditionalFormatting>
  <conditionalFormatting sqref="XFA156">
    <cfRule type="duplicateValues" dxfId="470" priority="317"/>
  </conditionalFormatting>
  <conditionalFormatting sqref="XFA170">
    <cfRule type="duplicateValues" dxfId="469" priority="301"/>
  </conditionalFormatting>
  <conditionalFormatting sqref="XFA171">
    <cfRule type="duplicateValues" dxfId="468" priority="40"/>
  </conditionalFormatting>
  <conditionalFormatting sqref="XFA177">
    <cfRule type="duplicateValues" dxfId="467" priority="285"/>
  </conditionalFormatting>
  <conditionalFormatting sqref="XFA185">
    <cfRule type="duplicateValues" dxfId="466" priority="100"/>
  </conditionalFormatting>
  <conditionalFormatting sqref="XFA192">
    <cfRule type="duplicateValues" dxfId="465" priority="253"/>
  </conditionalFormatting>
  <conditionalFormatting sqref="XFA193">
    <cfRule type="duplicateValues" dxfId="464" priority="237"/>
  </conditionalFormatting>
  <conditionalFormatting sqref="XFA194">
    <cfRule type="duplicateValues" dxfId="463" priority="221"/>
  </conditionalFormatting>
  <conditionalFormatting sqref="XFA202">
    <cfRule type="duplicateValues" dxfId="462" priority="205"/>
  </conditionalFormatting>
  <conditionalFormatting sqref="XFA204">
    <cfRule type="duplicateValues" dxfId="461" priority="189"/>
  </conditionalFormatting>
  <conditionalFormatting sqref="XFA211">
    <cfRule type="duplicateValues" dxfId="460" priority="173"/>
  </conditionalFormatting>
  <conditionalFormatting sqref="XFA219">
    <cfRule type="duplicateValues" dxfId="459" priority="157"/>
  </conditionalFormatting>
  <conditionalFormatting sqref="XFA257">
    <cfRule type="duplicateValues" dxfId="458" priority="132"/>
  </conditionalFormatting>
  <conditionalFormatting sqref="XFA259">
    <cfRule type="duplicateValues" dxfId="457" priority="56"/>
  </conditionalFormatting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XFB152"/>
  <sheetViews>
    <sheetView topLeftCell="A135" zoomScaleNormal="100" workbookViewId="0">
      <selection activeCell="F152" sqref="A152:XFD152"/>
    </sheetView>
  </sheetViews>
  <sheetFormatPr defaultColWidth="11.42578125" defaultRowHeight="15" x14ac:dyDescent="0.25"/>
  <cols>
    <col min="1" max="1" width="5.7109375" style="1" bestFit="1" customWidth="1"/>
    <col min="2" max="2" width="18.28515625" bestFit="1" customWidth="1"/>
    <col min="3" max="3" width="15" bestFit="1" customWidth="1"/>
    <col min="4" max="4" width="38.5703125" style="2" bestFit="1" customWidth="1"/>
    <col min="5" max="5" width="40.85546875" style="2" bestFit="1" customWidth="1"/>
    <col min="6" max="6" width="18.5703125" style="2" bestFit="1" customWidth="1"/>
    <col min="7" max="7" width="12.42578125" style="2" bestFit="1" customWidth="1"/>
    <col min="8" max="8" width="34.140625" style="2" bestFit="1" customWidth="1"/>
    <col min="9" max="9" width="43.7109375" style="2" bestFit="1" customWidth="1"/>
    <col min="10" max="10" width="10.5703125" hidden="1" customWidth="1"/>
    <col min="11" max="11" width="16.28515625" hidden="1" customWidth="1"/>
    <col min="12" max="12" width="14.7109375" hidden="1" customWidth="1"/>
    <col min="13" max="13" width="24.28515625" bestFit="1" customWidth="1"/>
    <col min="14" max="14" width="18.5703125" bestFit="1" customWidth="1"/>
    <col min="15" max="15" width="13.28515625" bestFit="1" customWidth="1"/>
    <col min="16" max="16" width="19.7109375" bestFit="1" customWidth="1"/>
    <col min="17" max="17" width="24.140625" style="2" bestFit="1" customWidth="1"/>
    <col min="18" max="18" width="20" bestFit="1" customWidth="1"/>
    <col min="19" max="19" width="15.7109375" bestFit="1" customWidth="1"/>
    <col min="20" max="20" width="24.28515625" bestFit="1" customWidth="1"/>
    <col min="21" max="21" width="13.42578125" style="2" bestFit="1" customWidth="1"/>
    <col min="22" max="22" width="81.7109375" bestFit="1" customWidth="1"/>
    <col min="23" max="23" width="6.5703125" bestFit="1" customWidth="1"/>
    <col min="24" max="24" width="11.7109375" bestFit="1" customWidth="1"/>
    <col min="25" max="25" width="9.28515625" bestFit="1" customWidth="1"/>
  </cols>
  <sheetData>
    <row r="1" spans="1:27 16378:16382" s="5" customFormat="1" ht="21.75" customHeight="1" x14ac:dyDescent="0.25">
      <c r="A1" s="76" t="s">
        <v>0</v>
      </c>
      <c r="B1" s="77" t="s">
        <v>1</v>
      </c>
      <c r="C1" s="84" t="s">
        <v>2</v>
      </c>
      <c r="D1" s="85" t="s">
        <v>3</v>
      </c>
      <c r="E1" s="78" t="s">
        <v>19</v>
      </c>
      <c r="F1" s="78" t="s">
        <v>20</v>
      </c>
      <c r="G1" s="79" t="s">
        <v>4</v>
      </c>
      <c r="H1" s="86" t="s">
        <v>5</v>
      </c>
      <c r="I1" s="77" t="s">
        <v>6</v>
      </c>
      <c r="J1" s="77" t="s">
        <v>21</v>
      </c>
      <c r="K1" s="77" t="s">
        <v>22</v>
      </c>
      <c r="L1" s="80" t="s">
        <v>7</v>
      </c>
      <c r="M1" s="80" t="s">
        <v>8</v>
      </c>
      <c r="N1" s="80" t="s">
        <v>9</v>
      </c>
      <c r="O1" s="80" t="s">
        <v>1102</v>
      </c>
      <c r="P1" s="80" t="s">
        <v>23</v>
      </c>
      <c r="Q1" s="80" t="s">
        <v>24</v>
      </c>
      <c r="R1" s="80" t="s">
        <v>25</v>
      </c>
      <c r="S1" s="80" t="s">
        <v>26</v>
      </c>
      <c r="T1" s="80" t="s">
        <v>10</v>
      </c>
      <c r="U1" s="3" t="s">
        <v>11</v>
      </c>
      <c r="V1" s="3" t="s">
        <v>27</v>
      </c>
      <c r="W1" s="4" t="s">
        <v>12</v>
      </c>
      <c r="X1" s="76" t="s">
        <v>13</v>
      </c>
      <c r="Y1" s="76" t="s">
        <v>14</v>
      </c>
      <c r="Z1" s="76" t="s">
        <v>28</v>
      </c>
    </row>
    <row r="2" spans="1:27 16378:16382" s="14" customFormat="1" ht="21.75" customHeight="1" x14ac:dyDescent="0.25">
      <c r="A2" s="6">
        <v>1</v>
      </c>
      <c r="B2" s="7">
        <v>2000158</v>
      </c>
      <c r="C2" s="8" t="s">
        <v>29</v>
      </c>
      <c r="D2" s="9" t="s">
        <v>30</v>
      </c>
      <c r="E2" s="9" t="s">
        <v>31</v>
      </c>
      <c r="F2" s="9" t="s">
        <v>32</v>
      </c>
      <c r="G2" s="10">
        <v>41883</v>
      </c>
      <c r="H2" s="11" t="s">
        <v>33</v>
      </c>
      <c r="I2" s="11" t="s">
        <v>34</v>
      </c>
      <c r="J2" s="11">
        <v>8400</v>
      </c>
      <c r="K2" s="11">
        <v>12600</v>
      </c>
      <c r="L2" s="12">
        <v>21000</v>
      </c>
      <c r="M2" s="12">
        <v>21000</v>
      </c>
      <c r="N2" s="12">
        <v>795</v>
      </c>
      <c r="O2" s="12">
        <v>2000</v>
      </c>
      <c r="P2" s="12">
        <v>0</v>
      </c>
      <c r="Q2" s="12">
        <v>0</v>
      </c>
      <c r="R2" s="12">
        <v>0</v>
      </c>
      <c r="S2" s="12">
        <v>0</v>
      </c>
      <c r="T2" s="12">
        <v>2000</v>
      </c>
      <c r="U2" s="12">
        <v>23795</v>
      </c>
      <c r="V2" s="12">
        <v>23000</v>
      </c>
      <c r="W2" s="13" t="s">
        <v>1180</v>
      </c>
      <c r="X2" s="6" t="s">
        <v>35</v>
      </c>
      <c r="Y2" s="6" t="s">
        <v>868</v>
      </c>
      <c r="Z2" s="6" t="s">
        <v>36</v>
      </c>
      <c r="AA2" s="50"/>
    </row>
    <row r="3" spans="1:27 16378:16382" s="14" customFormat="1" ht="21.75" customHeight="1" x14ac:dyDescent="0.25">
      <c r="A3" s="6">
        <v>2</v>
      </c>
      <c r="B3" s="7">
        <v>2000132</v>
      </c>
      <c r="C3" s="15" t="s">
        <v>37</v>
      </c>
      <c r="D3" s="9" t="s">
        <v>38</v>
      </c>
      <c r="E3" s="9" t="s">
        <v>39</v>
      </c>
      <c r="F3" s="9" t="s">
        <v>32</v>
      </c>
      <c r="G3" s="10">
        <v>42852</v>
      </c>
      <c r="H3" s="11" t="s">
        <v>40</v>
      </c>
      <c r="I3" s="11" t="s">
        <v>847</v>
      </c>
      <c r="J3" s="11">
        <v>11350</v>
      </c>
      <c r="K3" s="11">
        <v>17025</v>
      </c>
      <c r="L3" s="12">
        <v>28375</v>
      </c>
      <c r="M3" s="12">
        <v>28375</v>
      </c>
      <c r="N3" s="12">
        <v>795</v>
      </c>
      <c r="O3" s="12">
        <v>5375</v>
      </c>
      <c r="P3" s="12">
        <v>0</v>
      </c>
      <c r="Q3" s="12">
        <v>0</v>
      </c>
      <c r="R3" s="12">
        <v>0</v>
      </c>
      <c r="S3" s="12">
        <v>0</v>
      </c>
      <c r="T3" s="12">
        <v>5375</v>
      </c>
      <c r="U3" s="12">
        <v>34545</v>
      </c>
      <c r="V3" s="12">
        <v>33750</v>
      </c>
      <c r="W3" s="13" t="s">
        <v>1180</v>
      </c>
      <c r="X3" s="6" t="s">
        <v>41</v>
      </c>
      <c r="Y3" s="6" t="s">
        <v>869</v>
      </c>
      <c r="Z3" s="6" t="s">
        <v>36</v>
      </c>
      <c r="AA3" s="50"/>
    </row>
    <row r="4" spans="1:27 16378:16382" s="14" customFormat="1" ht="21.75" customHeight="1" x14ac:dyDescent="0.25">
      <c r="A4" s="6">
        <v>3</v>
      </c>
      <c r="B4" s="7">
        <v>2000146</v>
      </c>
      <c r="C4" s="16" t="s">
        <v>42</v>
      </c>
      <c r="D4" s="17" t="s">
        <v>43</v>
      </c>
      <c r="E4" s="9" t="s">
        <v>680</v>
      </c>
      <c r="F4" s="9" t="s">
        <v>44</v>
      </c>
      <c r="G4" s="10">
        <v>42900</v>
      </c>
      <c r="H4" s="11" t="s">
        <v>45</v>
      </c>
      <c r="I4" s="11" t="s">
        <v>848</v>
      </c>
      <c r="J4" s="11">
        <v>11350</v>
      </c>
      <c r="K4" s="11">
        <v>17025</v>
      </c>
      <c r="L4" s="12">
        <v>28375</v>
      </c>
      <c r="M4" s="12">
        <v>28375</v>
      </c>
      <c r="N4" s="12">
        <v>795</v>
      </c>
      <c r="O4" s="12">
        <v>2233.3333333333335</v>
      </c>
      <c r="P4" s="12">
        <v>0</v>
      </c>
      <c r="Q4" s="12">
        <v>0</v>
      </c>
      <c r="R4" s="12">
        <v>0</v>
      </c>
      <c r="S4" s="12">
        <v>0</v>
      </c>
      <c r="T4" s="12">
        <v>2233.3333333333335</v>
      </c>
      <c r="U4" s="18">
        <v>31403.333333333332</v>
      </c>
      <c r="V4" s="12">
        <v>30608.333333333332</v>
      </c>
      <c r="W4" s="96" t="s">
        <v>1183</v>
      </c>
      <c r="X4" s="6" t="s">
        <v>35</v>
      </c>
      <c r="Y4" s="6" t="s">
        <v>870</v>
      </c>
      <c r="Z4" s="6" t="s">
        <v>36</v>
      </c>
      <c r="AA4" s="50"/>
    </row>
    <row r="5" spans="1:27 16378:16382" s="14" customFormat="1" ht="21.75" customHeight="1" x14ac:dyDescent="0.25">
      <c r="A5" s="6">
        <v>4</v>
      </c>
      <c r="B5" s="7">
        <v>2000147</v>
      </c>
      <c r="C5" s="15" t="s">
        <v>46</v>
      </c>
      <c r="D5" s="9" t="s">
        <v>47</v>
      </c>
      <c r="E5" s="9" t="s">
        <v>681</v>
      </c>
      <c r="F5" s="9" t="s">
        <v>48</v>
      </c>
      <c r="G5" s="10">
        <v>42887</v>
      </c>
      <c r="H5" s="11" t="s">
        <v>49</v>
      </c>
      <c r="I5" s="11" t="s">
        <v>849</v>
      </c>
      <c r="J5" s="11">
        <v>12474</v>
      </c>
      <c r="K5" s="11">
        <v>18711</v>
      </c>
      <c r="L5" s="12">
        <v>31185</v>
      </c>
      <c r="M5" s="12">
        <v>31185</v>
      </c>
      <c r="N5" s="12">
        <v>795</v>
      </c>
      <c r="O5" s="12">
        <v>756</v>
      </c>
      <c r="P5" s="12">
        <v>0</v>
      </c>
      <c r="Q5" s="12">
        <v>0</v>
      </c>
      <c r="R5" s="12">
        <v>0</v>
      </c>
      <c r="S5" s="12">
        <v>0</v>
      </c>
      <c r="T5" s="12">
        <v>756</v>
      </c>
      <c r="U5" s="12">
        <v>32736</v>
      </c>
      <c r="V5" s="12">
        <v>31941</v>
      </c>
      <c r="W5" s="96" t="s">
        <v>1183</v>
      </c>
      <c r="X5" s="6" t="s">
        <v>35</v>
      </c>
      <c r="Y5" s="6" t="s">
        <v>871</v>
      </c>
      <c r="Z5" s="6" t="s">
        <v>36</v>
      </c>
      <c r="AA5" s="50"/>
    </row>
    <row r="6" spans="1:27 16378:16382" s="14" customFormat="1" ht="21.75" customHeight="1" x14ac:dyDescent="0.25">
      <c r="A6" s="6">
        <v>5</v>
      </c>
      <c r="B6" s="7">
        <v>2000215</v>
      </c>
      <c r="C6" s="16" t="s">
        <v>54</v>
      </c>
      <c r="D6" s="17" t="s">
        <v>55</v>
      </c>
      <c r="E6" s="9" t="s">
        <v>1003</v>
      </c>
      <c r="F6" s="9" t="s">
        <v>48</v>
      </c>
      <c r="G6" s="10">
        <v>43165</v>
      </c>
      <c r="H6" s="11" t="s">
        <v>45</v>
      </c>
      <c r="I6" s="11" t="s">
        <v>850</v>
      </c>
      <c r="J6" s="11">
        <v>14700</v>
      </c>
      <c r="K6" s="11">
        <v>22050</v>
      </c>
      <c r="L6" s="12">
        <v>36750</v>
      </c>
      <c r="M6" s="12">
        <v>36750</v>
      </c>
      <c r="N6" s="12">
        <v>795</v>
      </c>
      <c r="O6" s="12">
        <v>3500</v>
      </c>
      <c r="P6" s="12">
        <v>0</v>
      </c>
      <c r="Q6" s="12">
        <v>0</v>
      </c>
      <c r="R6" s="12">
        <v>0</v>
      </c>
      <c r="S6" s="12">
        <v>0</v>
      </c>
      <c r="T6" s="12">
        <v>3500</v>
      </c>
      <c r="U6" s="18">
        <v>41045</v>
      </c>
      <c r="V6" s="12">
        <v>40250</v>
      </c>
      <c r="W6" s="13" t="s">
        <v>1180</v>
      </c>
      <c r="X6" s="6" t="s">
        <v>88</v>
      </c>
      <c r="Y6" s="6" t="s">
        <v>873</v>
      </c>
      <c r="Z6" s="6" t="s">
        <v>36</v>
      </c>
      <c r="AA6" s="50"/>
    </row>
    <row r="7" spans="1:27 16378:16382" s="14" customFormat="1" ht="21.75" customHeight="1" x14ac:dyDescent="0.25">
      <c r="A7" s="6">
        <v>6</v>
      </c>
      <c r="B7" s="7">
        <v>2000220</v>
      </c>
      <c r="C7" s="15" t="s">
        <v>57</v>
      </c>
      <c r="D7" s="9" t="s">
        <v>58</v>
      </c>
      <c r="E7" s="9" t="s">
        <v>682</v>
      </c>
      <c r="F7" s="9" t="s">
        <v>48</v>
      </c>
      <c r="G7" s="10">
        <v>43178</v>
      </c>
      <c r="H7" s="11" t="s">
        <v>33</v>
      </c>
      <c r="I7" s="11" t="s">
        <v>34</v>
      </c>
      <c r="J7" s="11">
        <v>11350</v>
      </c>
      <c r="K7" s="11">
        <v>17025</v>
      </c>
      <c r="L7" s="12">
        <v>28375</v>
      </c>
      <c r="M7" s="12">
        <v>28375</v>
      </c>
      <c r="N7" s="12">
        <v>795</v>
      </c>
      <c r="O7" s="12">
        <v>2233.3333333333335</v>
      </c>
      <c r="P7" s="12">
        <v>0</v>
      </c>
      <c r="Q7" s="12">
        <v>0</v>
      </c>
      <c r="R7" s="12">
        <v>0</v>
      </c>
      <c r="S7" s="12">
        <v>0</v>
      </c>
      <c r="T7" s="12">
        <v>2233.3333333333335</v>
      </c>
      <c r="U7" s="12">
        <v>31403.333333333332</v>
      </c>
      <c r="V7" s="12">
        <v>30608.333333333332</v>
      </c>
      <c r="W7" s="96" t="s">
        <v>1183</v>
      </c>
      <c r="X7" s="6" t="s">
        <v>35</v>
      </c>
      <c r="Y7" s="6" t="s">
        <v>868</v>
      </c>
      <c r="Z7" s="6" t="s">
        <v>36</v>
      </c>
      <c r="AA7" s="50"/>
    </row>
    <row r="8" spans="1:27 16378:16382" s="14" customFormat="1" ht="21.75" customHeight="1" x14ac:dyDescent="0.25">
      <c r="A8" s="6">
        <v>7</v>
      </c>
      <c r="B8" s="7">
        <v>2000225</v>
      </c>
      <c r="C8" s="15" t="s">
        <v>59</v>
      </c>
      <c r="D8" s="9" t="s">
        <v>60</v>
      </c>
      <c r="E8" s="9" t="s">
        <v>683</v>
      </c>
      <c r="F8" s="9" t="s">
        <v>61</v>
      </c>
      <c r="G8" s="10">
        <v>43192</v>
      </c>
      <c r="H8" s="11" t="s">
        <v>49</v>
      </c>
      <c r="I8" s="11" t="s">
        <v>62</v>
      </c>
      <c r="J8" s="11">
        <v>17994</v>
      </c>
      <c r="K8" s="11">
        <v>26991</v>
      </c>
      <c r="L8" s="12">
        <v>44985</v>
      </c>
      <c r="M8" s="12">
        <v>44985</v>
      </c>
      <c r="N8" s="12">
        <v>795</v>
      </c>
      <c r="O8" s="12">
        <v>4284.5</v>
      </c>
      <c r="P8" s="12">
        <v>0</v>
      </c>
      <c r="Q8" s="12">
        <v>0</v>
      </c>
      <c r="R8" s="12">
        <v>0</v>
      </c>
      <c r="S8" s="12">
        <v>0</v>
      </c>
      <c r="T8" s="12">
        <v>4284.5</v>
      </c>
      <c r="U8" s="12">
        <v>50064.5</v>
      </c>
      <c r="V8" s="12">
        <v>49269.5</v>
      </c>
      <c r="W8" s="13" t="s">
        <v>1180</v>
      </c>
      <c r="X8" s="6" t="s">
        <v>35</v>
      </c>
      <c r="Y8" s="6" t="s">
        <v>874</v>
      </c>
      <c r="Z8" s="6" t="s">
        <v>36</v>
      </c>
      <c r="AA8" s="50"/>
    </row>
    <row r="9" spans="1:27 16378:16382" s="14" customFormat="1" ht="21.75" customHeight="1" x14ac:dyDescent="0.25">
      <c r="A9" s="22">
        <v>8</v>
      </c>
      <c r="B9" s="19">
        <v>2000229</v>
      </c>
      <c r="C9" s="16" t="s">
        <v>63</v>
      </c>
      <c r="D9" s="17" t="s">
        <v>64</v>
      </c>
      <c r="E9" s="17" t="s">
        <v>65</v>
      </c>
      <c r="F9" s="21" t="s">
        <v>48</v>
      </c>
      <c r="G9" s="20">
        <v>43208</v>
      </c>
      <c r="H9" s="21" t="s">
        <v>33</v>
      </c>
      <c r="I9" s="21" t="s">
        <v>53</v>
      </c>
      <c r="J9" s="21">
        <v>14000</v>
      </c>
      <c r="K9" s="21">
        <v>21000</v>
      </c>
      <c r="L9" s="18">
        <v>35000</v>
      </c>
      <c r="M9" s="18">
        <v>35000</v>
      </c>
      <c r="N9" s="18">
        <v>795</v>
      </c>
      <c r="O9" s="18">
        <v>9676</v>
      </c>
      <c r="P9" s="18">
        <v>-4625</v>
      </c>
      <c r="Q9" s="18">
        <v>0</v>
      </c>
      <c r="R9" s="18">
        <v>0</v>
      </c>
      <c r="S9" s="18">
        <v>0</v>
      </c>
      <c r="T9" s="18">
        <v>5051</v>
      </c>
      <c r="U9" s="18">
        <v>40846</v>
      </c>
      <c r="V9" s="12">
        <v>40051</v>
      </c>
      <c r="W9" s="96" t="s">
        <v>1181</v>
      </c>
      <c r="X9" s="22" t="s">
        <v>88</v>
      </c>
      <c r="Y9" s="22" t="s">
        <v>872</v>
      </c>
      <c r="Z9" s="30" t="s">
        <v>36</v>
      </c>
      <c r="AA9" s="50"/>
      <c r="XEX9" s="22"/>
      <c r="XEY9" s="19"/>
      <c r="XEZ9" s="16"/>
      <c r="XFA9" s="17"/>
      <c r="XFB9" s="21"/>
    </row>
    <row r="10" spans="1:27 16378:16382" s="14" customFormat="1" ht="21.75" customHeight="1" x14ac:dyDescent="0.25">
      <c r="A10" s="6">
        <v>9</v>
      </c>
      <c r="B10" s="7">
        <v>2000306</v>
      </c>
      <c r="C10" s="16" t="s">
        <v>70</v>
      </c>
      <c r="D10" s="17" t="s">
        <v>71</v>
      </c>
      <c r="E10" s="9" t="s">
        <v>1005</v>
      </c>
      <c r="F10" s="9" t="s">
        <v>72</v>
      </c>
      <c r="G10" s="10">
        <v>43394</v>
      </c>
      <c r="H10" s="11" t="s">
        <v>45</v>
      </c>
      <c r="I10" s="11" t="s">
        <v>848</v>
      </c>
      <c r="J10" s="11">
        <v>11917.5</v>
      </c>
      <c r="K10" s="11">
        <v>17876.25</v>
      </c>
      <c r="L10" s="12">
        <v>29793.75</v>
      </c>
      <c r="M10" s="12">
        <v>29793.75</v>
      </c>
      <c r="N10" s="12">
        <v>795</v>
      </c>
      <c r="O10" s="12">
        <v>2837.5</v>
      </c>
      <c r="P10" s="12">
        <v>0</v>
      </c>
      <c r="Q10" s="12">
        <v>0</v>
      </c>
      <c r="R10" s="12">
        <v>0</v>
      </c>
      <c r="S10" s="12">
        <v>0</v>
      </c>
      <c r="T10" s="12">
        <v>2837.5</v>
      </c>
      <c r="U10" s="18">
        <v>33426.25</v>
      </c>
      <c r="V10" s="12">
        <v>32631.25</v>
      </c>
      <c r="W10" s="13" t="s">
        <v>1180</v>
      </c>
      <c r="X10" s="6" t="s">
        <v>88</v>
      </c>
      <c r="Y10" s="6" t="s">
        <v>870</v>
      </c>
      <c r="Z10" s="6" t="s">
        <v>36</v>
      </c>
      <c r="AA10" s="50"/>
    </row>
    <row r="11" spans="1:27 16378:16382" s="14" customFormat="1" ht="21.75" customHeight="1" x14ac:dyDescent="0.25">
      <c r="A11" s="6">
        <v>10</v>
      </c>
      <c r="B11" s="7">
        <v>2000307</v>
      </c>
      <c r="C11" s="15" t="s">
        <v>73</v>
      </c>
      <c r="D11" s="9" t="s">
        <v>74</v>
      </c>
      <c r="E11" s="9" t="s">
        <v>1006</v>
      </c>
      <c r="F11" s="9" t="s">
        <v>48</v>
      </c>
      <c r="G11" s="10">
        <v>43394</v>
      </c>
      <c r="H11" s="11" t="s">
        <v>49</v>
      </c>
      <c r="I11" s="11" t="s">
        <v>852</v>
      </c>
      <c r="J11" s="11">
        <v>11917.5</v>
      </c>
      <c r="K11" s="11">
        <v>17876.25</v>
      </c>
      <c r="L11" s="12">
        <v>29793.75</v>
      </c>
      <c r="M11" s="12">
        <v>29793.75</v>
      </c>
      <c r="N11" s="12">
        <v>795</v>
      </c>
      <c r="O11" s="12">
        <v>2837.5</v>
      </c>
      <c r="P11" s="12">
        <v>0</v>
      </c>
      <c r="Q11" s="12">
        <v>0</v>
      </c>
      <c r="R11" s="12">
        <v>0</v>
      </c>
      <c r="S11" s="12">
        <v>0</v>
      </c>
      <c r="T11" s="12">
        <v>2837.5</v>
      </c>
      <c r="U11" s="12">
        <v>33426.25</v>
      </c>
      <c r="V11" s="12">
        <v>32631.25</v>
      </c>
      <c r="W11" s="13" t="s">
        <v>1180</v>
      </c>
      <c r="X11" s="6" t="s">
        <v>56</v>
      </c>
      <c r="Y11" s="6" t="s">
        <v>876</v>
      </c>
      <c r="Z11" s="6" t="s">
        <v>36</v>
      </c>
      <c r="AA11" s="50"/>
    </row>
    <row r="12" spans="1:27 16378:16382" s="14" customFormat="1" ht="21.75" customHeight="1" x14ac:dyDescent="0.25">
      <c r="A12" s="6">
        <v>11</v>
      </c>
      <c r="B12" s="7">
        <v>2000313</v>
      </c>
      <c r="C12" s="16" t="s">
        <v>79</v>
      </c>
      <c r="D12" s="17" t="s">
        <v>80</v>
      </c>
      <c r="E12" s="9" t="s">
        <v>1007</v>
      </c>
      <c r="F12" s="9" t="s">
        <v>81</v>
      </c>
      <c r="G12" s="10">
        <v>43410</v>
      </c>
      <c r="H12" s="11" t="s">
        <v>45</v>
      </c>
      <c r="I12" s="11" t="s">
        <v>848</v>
      </c>
      <c r="J12" s="11">
        <v>13109.300000000001</v>
      </c>
      <c r="K12" s="11">
        <v>19663.95</v>
      </c>
      <c r="L12" s="12">
        <v>32773.25</v>
      </c>
      <c r="M12" s="12">
        <v>32773.25</v>
      </c>
      <c r="N12" s="12">
        <v>795</v>
      </c>
      <c r="O12" s="12">
        <v>3121.5</v>
      </c>
      <c r="P12" s="12">
        <v>0</v>
      </c>
      <c r="Q12" s="12">
        <v>0</v>
      </c>
      <c r="R12" s="12">
        <v>0</v>
      </c>
      <c r="S12" s="12">
        <v>0</v>
      </c>
      <c r="T12" s="12">
        <v>3121.5</v>
      </c>
      <c r="U12" s="18">
        <v>36689.75</v>
      </c>
      <c r="V12" s="12">
        <v>35894.75</v>
      </c>
      <c r="W12" s="13" t="s">
        <v>1180</v>
      </c>
      <c r="X12" s="6" t="s">
        <v>56</v>
      </c>
      <c r="Y12" s="6" t="s">
        <v>870</v>
      </c>
      <c r="Z12" s="6" t="s">
        <v>36</v>
      </c>
      <c r="AA12" s="50"/>
    </row>
    <row r="13" spans="1:27 16378:16382" s="14" customFormat="1" ht="21.75" customHeight="1" x14ac:dyDescent="0.25">
      <c r="A13" s="6">
        <v>12</v>
      </c>
      <c r="B13" s="23">
        <v>2000180</v>
      </c>
      <c r="C13" s="24" t="s">
        <v>85</v>
      </c>
      <c r="D13" s="25" t="s">
        <v>86</v>
      </c>
      <c r="E13" s="9" t="s">
        <v>685</v>
      </c>
      <c r="F13" s="26" t="s">
        <v>52</v>
      </c>
      <c r="G13" s="27">
        <v>42856</v>
      </c>
      <c r="H13" s="11" t="s">
        <v>87</v>
      </c>
      <c r="I13" s="11" t="s">
        <v>1008</v>
      </c>
      <c r="J13" s="28">
        <v>16228.800000000001</v>
      </c>
      <c r="K13" s="28">
        <v>24343.200000000001</v>
      </c>
      <c r="L13" s="28">
        <v>40572</v>
      </c>
      <c r="M13" s="28">
        <v>40572</v>
      </c>
      <c r="N13" s="28">
        <v>795</v>
      </c>
      <c r="O13" s="28">
        <v>0</v>
      </c>
      <c r="P13" s="28">
        <v>2312.5</v>
      </c>
      <c r="Q13" s="28">
        <v>0</v>
      </c>
      <c r="R13" s="28">
        <v>0</v>
      </c>
      <c r="S13" s="28">
        <v>0</v>
      </c>
      <c r="T13" s="28">
        <v>2312.5</v>
      </c>
      <c r="U13" s="28">
        <v>43679.5</v>
      </c>
      <c r="V13" s="12">
        <v>42884.5</v>
      </c>
      <c r="W13" s="29" t="s">
        <v>942</v>
      </c>
      <c r="X13" s="6" t="s">
        <v>41</v>
      </c>
      <c r="Y13" s="6" t="s">
        <v>877</v>
      </c>
      <c r="Z13" s="30" t="s">
        <v>36</v>
      </c>
      <c r="AA13" s="50"/>
    </row>
    <row r="14" spans="1:27 16378:16382" s="14" customFormat="1" ht="21.75" customHeight="1" x14ac:dyDescent="0.25">
      <c r="A14" s="6">
        <v>13</v>
      </c>
      <c r="B14" s="7">
        <v>2000323</v>
      </c>
      <c r="C14" s="15" t="s">
        <v>94</v>
      </c>
      <c r="D14" s="9" t="s">
        <v>95</v>
      </c>
      <c r="E14" s="9" t="s">
        <v>96</v>
      </c>
      <c r="F14" s="9" t="s">
        <v>48</v>
      </c>
      <c r="G14" s="10">
        <v>43457</v>
      </c>
      <c r="H14" s="11" t="s">
        <v>33</v>
      </c>
      <c r="I14" s="11" t="s">
        <v>97</v>
      </c>
      <c r="J14" s="11">
        <v>11350</v>
      </c>
      <c r="K14" s="11">
        <v>17025</v>
      </c>
      <c r="L14" s="12">
        <v>28375</v>
      </c>
      <c r="M14" s="12">
        <v>28375</v>
      </c>
      <c r="N14" s="12">
        <v>795</v>
      </c>
      <c r="O14" s="12">
        <v>2233.3333333333335</v>
      </c>
      <c r="P14" s="12">
        <v>0</v>
      </c>
      <c r="Q14" s="12">
        <v>0</v>
      </c>
      <c r="R14" s="12">
        <v>0</v>
      </c>
      <c r="S14" s="12">
        <v>0</v>
      </c>
      <c r="T14" s="12">
        <v>2233.3333333333335</v>
      </c>
      <c r="U14" s="12">
        <v>31403.333333333332</v>
      </c>
      <c r="V14" s="12">
        <v>30608.333333333332</v>
      </c>
      <c r="W14" s="96" t="s">
        <v>1183</v>
      </c>
      <c r="X14" s="6" t="s">
        <v>35</v>
      </c>
      <c r="Y14" s="6" t="s">
        <v>880</v>
      </c>
      <c r="Z14" s="6" t="s">
        <v>36</v>
      </c>
      <c r="AA14" s="50"/>
    </row>
    <row r="15" spans="1:27 16378:16382" s="14" customFormat="1" ht="21.75" customHeight="1" x14ac:dyDescent="0.25">
      <c r="A15" s="6">
        <v>14</v>
      </c>
      <c r="B15" s="7">
        <v>2000334</v>
      </c>
      <c r="C15" s="15" t="s">
        <v>98</v>
      </c>
      <c r="D15" s="9" t="s">
        <v>99</v>
      </c>
      <c r="E15" s="9" t="s">
        <v>100</v>
      </c>
      <c r="F15" s="9" t="s">
        <v>48</v>
      </c>
      <c r="G15" s="10">
        <v>43499</v>
      </c>
      <c r="H15" s="11" t="s">
        <v>33</v>
      </c>
      <c r="I15" s="11" t="s">
        <v>97</v>
      </c>
      <c r="J15" s="11">
        <v>11350</v>
      </c>
      <c r="K15" s="11">
        <v>17025</v>
      </c>
      <c r="L15" s="12">
        <v>28375</v>
      </c>
      <c r="M15" s="12">
        <v>28375</v>
      </c>
      <c r="N15" s="12">
        <v>795</v>
      </c>
      <c r="O15" s="12">
        <v>2233.3333333333335</v>
      </c>
      <c r="P15" s="12">
        <v>0</v>
      </c>
      <c r="Q15" s="12">
        <v>0</v>
      </c>
      <c r="R15" s="12">
        <v>0</v>
      </c>
      <c r="S15" s="12">
        <v>0</v>
      </c>
      <c r="T15" s="12">
        <v>2233.3333333333335</v>
      </c>
      <c r="U15" s="12">
        <v>31403.333333333332</v>
      </c>
      <c r="V15" s="12">
        <v>30608.333333333332</v>
      </c>
      <c r="W15" s="96" t="s">
        <v>1183</v>
      </c>
      <c r="X15" s="6" t="s">
        <v>35</v>
      </c>
      <c r="Y15" s="6" t="s">
        <v>880</v>
      </c>
      <c r="Z15" s="6" t="s">
        <v>36</v>
      </c>
      <c r="AA15" s="50"/>
    </row>
    <row r="16" spans="1:27 16378:16382" s="14" customFormat="1" ht="21.75" customHeight="1" x14ac:dyDescent="0.25">
      <c r="A16" s="6">
        <v>15</v>
      </c>
      <c r="B16" s="7">
        <v>2000336</v>
      </c>
      <c r="C16" s="15" t="s">
        <v>101</v>
      </c>
      <c r="D16" s="9" t="s">
        <v>102</v>
      </c>
      <c r="E16" s="9" t="s">
        <v>103</v>
      </c>
      <c r="F16" s="9" t="s">
        <v>81</v>
      </c>
      <c r="G16" s="10">
        <v>43506</v>
      </c>
      <c r="H16" s="11" t="s">
        <v>69</v>
      </c>
      <c r="I16" s="11" t="s">
        <v>104</v>
      </c>
      <c r="J16" s="11">
        <v>39600</v>
      </c>
      <c r="K16" s="11">
        <v>59400</v>
      </c>
      <c r="L16" s="12">
        <v>99000</v>
      </c>
      <c r="M16" s="12">
        <v>99000</v>
      </c>
      <c r="N16" s="12">
        <v>795</v>
      </c>
      <c r="O16" s="12">
        <v>18000</v>
      </c>
      <c r="P16" s="32">
        <v>-20000</v>
      </c>
      <c r="Q16" s="12">
        <v>0</v>
      </c>
      <c r="R16" s="12">
        <v>0</v>
      </c>
      <c r="S16" s="12">
        <v>0</v>
      </c>
      <c r="T16" s="12">
        <v>-2000</v>
      </c>
      <c r="U16" s="12">
        <v>97795</v>
      </c>
      <c r="V16" s="12">
        <v>97000</v>
      </c>
      <c r="W16" s="13" t="s">
        <v>1182</v>
      </c>
      <c r="X16" s="6" t="s">
        <v>881</v>
      </c>
      <c r="Y16" s="6" t="s">
        <v>882</v>
      </c>
      <c r="Z16" s="6" t="s">
        <v>36</v>
      </c>
      <c r="AA16" s="50"/>
    </row>
    <row r="17" spans="1:27" s="14" customFormat="1" ht="21.75" customHeight="1" x14ac:dyDescent="0.25">
      <c r="A17" s="6">
        <v>16</v>
      </c>
      <c r="B17" s="7">
        <v>2000372</v>
      </c>
      <c r="C17" s="15" t="s">
        <v>108</v>
      </c>
      <c r="D17" s="9" t="s">
        <v>109</v>
      </c>
      <c r="E17" s="9" t="s">
        <v>687</v>
      </c>
      <c r="F17" s="9" t="s">
        <v>44</v>
      </c>
      <c r="G17" s="10">
        <v>43466</v>
      </c>
      <c r="H17" s="11" t="s">
        <v>49</v>
      </c>
      <c r="I17" s="11" t="s">
        <v>849</v>
      </c>
      <c r="J17" s="11">
        <v>11350</v>
      </c>
      <c r="K17" s="11">
        <v>17025</v>
      </c>
      <c r="L17" s="12">
        <v>28375</v>
      </c>
      <c r="M17" s="12">
        <v>28375</v>
      </c>
      <c r="N17" s="12">
        <v>795</v>
      </c>
      <c r="O17" s="12">
        <v>2233.3333333333335</v>
      </c>
      <c r="P17" s="12">
        <v>0</v>
      </c>
      <c r="Q17" s="12">
        <v>0</v>
      </c>
      <c r="R17" s="12">
        <v>0</v>
      </c>
      <c r="S17" s="12">
        <v>0</v>
      </c>
      <c r="T17" s="12">
        <v>2233.3333333333335</v>
      </c>
      <c r="U17" s="12">
        <v>31403.333333333332</v>
      </c>
      <c r="V17" s="12">
        <v>30608.333333333332</v>
      </c>
      <c r="W17" s="96" t="s">
        <v>1183</v>
      </c>
      <c r="X17" s="6" t="s">
        <v>35</v>
      </c>
      <c r="Y17" s="6" t="s">
        <v>871</v>
      </c>
      <c r="Z17" s="6" t="s">
        <v>36</v>
      </c>
      <c r="AA17" s="50"/>
    </row>
    <row r="18" spans="1:27" s="14" customFormat="1" ht="21.75" customHeight="1" x14ac:dyDescent="0.25">
      <c r="A18" s="6">
        <v>17</v>
      </c>
      <c r="B18" s="7">
        <v>2000357</v>
      </c>
      <c r="C18" s="15" t="s">
        <v>110</v>
      </c>
      <c r="D18" s="9" t="s">
        <v>111</v>
      </c>
      <c r="E18" s="9" t="s">
        <v>688</v>
      </c>
      <c r="F18" s="9" t="s">
        <v>84</v>
      </c>
      <c r="G18" s="10">
        <v>43545</v>
      </c>
      <c r="H18" s="11" t="s">
        <v>69</v>
      </c>
      <c r="I18" s="11" t="s">
        <v>853</v>
      </c>
      <c r="J18" s="11">
        <v>15423.5</v>
      </c>
      <c r="K18" s="11">
        <v>23135.25</v>
      </c>
      <c r="L18" s="12">
        <v>38558.75</v>
      </c>
      <c r="M18" s="12">
        <v>38558.75</v>
      </c>
      <c r="N18" s="12">
        <v>795</v>
      </c>
      <c r="O18" s="12">
        <v>489.66666666666669</v>
      </c>
      <c r="P18" s="12">
        <v>0</v>
      </c>
      <c r="Q18" s="12">
        <v>0</v>
      </c>
      <c r="R18" s="12">
        <v>0</v>
      </c>
      <c r="S18" s="12">
        <v>0</v>
      </c>
      <c r="T18" s="12">
        <v>489.66666666666669</v>
      </c>
      <c r="U18" s="12">
        <v>39843.416666666664</v>
      </c>
      <c r="V18" s="12">
        <v>39048.416666666664</v>
      </c>
      <c r="W18" s="96" t="s">
        <v>1183</v>
      </c>
      <c r="X18" s="6" t="s">
        <v>35</v>
      </c>
      <c r="Y18" s="6" t="s">
        <v>884</v>
      </c>
      <c r="Z18" s="6" t="s">
        <v>36</v>
      </c>
      <c r="AA18" s="50"/>
    </row>
    <row r="19" spans="1:27" s="14" customFormat="1" ht="21.75" customHeight="1" x14ac:dyDescent="0.25">
      <c r="A19" s="6">
        <v>18</v>
      </c>
      <c r="B19" s="7">
        <v>2000359</v>
      </c>
      <c r="C19" s="16" t="s">
        <v>112</v>
      </c>
      <c r="D19" s="17" t="s">
        <v>113</v>
      </c>
      <c r="E19" s="9" t="s">
        <v>689</v>
      </c>
      <c r="F19" s="9" t="s">
        <v>114</v>
      </c>
      <c r="G19" s="10">
        <v>43541</v>
      </c>
      <c r="H19" s="11" t="s">
        <v>45</v>
      </c>
      <c r="I19" s="11" t="s">
        <v>848</v>
      </c>
      <c r="J19" s="11">
        <v>14876.400000000001</v>
      </c>
      <c r="K19" s="11">
        <v>22314.6</v>
      </c>
      <c r="L19" s="12">
        <v>37191</v>
      </c>
      <c r="M19" s="12">
        <v>37191</v>
      </c>
      <c r="N19" s="12">
        <v>795</v>
      </c>
      <c r="O19" s="12">
        <v>3542</v>
      </c>
      <c r="P19" s="12">
        <v>0</v>
      </c>
      <c r="Q19" s="12">
        <v>0</v>
      </c>
      <c r="R19" s="12">
        <v>0</v>
      </c>
      <c r="S19" s="12">
        <v>0</v>
      </c>
      <c r="T19" s="12">
        <v>3542</v>
      </c>
      <c r="U19" s="18">
        <v>41528</v>
      </c>
      <c r="V19" s="12">
        <v>40733</v>
      </c>
      <c r="W19" s="13" t="s">
        <v>1180</v>
      </c>
      <c r="X19" s="6" t="s">
        <v>56</v>
      </c>
      <c r="Y19" s="6" t="s">
        <v>870</v>
      </c>
      <c r="Z19" s="6" t="s">
        <v>36</v>
      </c>
      <c r="AA19" s="50"/>
    </row>
    <row r="20" spans="1:27" s="14" customFormat="1" ht="21.75" customHeight="1" x14ac:dyDescent="0.25">
      <c r="A20" s="6">
        <v>19</v>
      </c>
      <c r="B20" s="7">
        <v>2000369</v>
      </c>
      <c r="C20" s="15" t="s">
        <v>115</v>
      </c>
      <c r="D20" s="9" t="s">
        <v>116</v>
      </c>
      <c r="E20" s="9" t="s">
        <v>117</v>
      </c>
      <c r="F20" s="9" t="s">
        <v>32</v>
      </c>
      <c r="G20" s="10">
        <v>43569</v>
      </c>
      <c r="H20" s="11" t="s">
        <v>40</v>
      </c>
      <c r="I20" s="11" t="s">
        <v>847</v>
      </c>
      <c r="J20" s="11">
        <v>8400</v>
      </c>
      <c r="K20" s="11">
        <v>12600</v>
      </c>
      <c r="L20" s="12">
        <v>21000</v>
      </c>
      <c r="M20" s="12">
        <v>21000</v>
      </c>
      <c r="N20" s="12">
        <v>795</v>
      </c>
      <c r="O20" s="12">
        <v>2000</v>
      </c>
      <c r="P20" s="12">
        <v>0</v>
      </c>
      <c r="Q20" s="12">
        <v>0</v>
      </c>
      <c r="R20" s="12">
        <v>0</v>
      </c>
      <c r="S20" s="12">
        <v>0</v>
      </c>
      <c r="T20" s="12">
        <v>2000</v>
      </c>
      <c r="U20" s="12">
        <v>23795</v>
      </c>
      <c r="V20" s="12">
        <v>23000</v>
      </c>
      <c r="W20" s="13" t="s">
        <v>1180</v>
      </c>
      <c r="X20" s="6" t="s">
        <v>35</v>
      </c>
      <c r="Y20" s="6" t="s">
        <v>869</v>
      </c>
      <c r="Z20" s="6" t="s">
        <v>36</v>
      </c>
      <c r="AA20" s="50"/>
    </row>
    <row r="21" spans="1:27" s="14" customFormat="1" ht="21.75" customHeight="1" x14ac:dyDescent="0.25">
      <c r="A21" s="6">
        <v>20</v>
      </c>
      <c r="B21" s="7">
        <v>2000293</v>
      </c>
      <c r="C21" s="16" t="s">
        <v>118</v>
      </c>
      <c r="D21" s="17" t="s">
        <v>119</v>
      </c>
      <c r="E21" s="9" t="s">
        <v>120</v>
      </c>
      <c r="F21" s="9" t="s">
        <v>121</v>
      </c>
      <c r="G21" s="10">
        <v>43556</v>
      </c>
      <c r="H21" s="11" t="s">
        <v>45</v>
      </c>
      <c r="I21" s="11" t="s">
        <v>850</v>
      </c>
      <c r="J21" s="11">
        <v>11917.5</v>
      </c>
      <c r="K21" s="11">
        <v>17876.25</v>
      </c>
      <c r="L21" s="12">
        <v>29793.75</v>
      </c>
      <c r="M21" s="12">
        <v>29793.75</v>
      </c>
      <c r="N21" s="12">
        <v>795</v>
      </c>
      <c r="O21" s="12">
        <v>2837.5</v>
      </c>
      <c r="P21" s="12">
        <v>0</v>
      </c>
      <c r="Q21" s="12">
        <v>0</v>
      </c>
      <c r="R21" s="12">
        <v>0</v>
      </c>
      <c r="S21" s="12">
        <v>0</v>
      </c>
      <c r="T21" s="12">
        <v>2837.5</v>
      </c>
      <c r="U21" s="18">
        <v>33426.25</v>
      </c>
      <c r="V21" s="12">
        <v>32631.25</v>
      </c>
      <c r="W21" s="13" t="s">
        <v>1180</v>
      </c>
      <c r="X21" s="6" t="s">
        <v>88</v>
      </c>
      <c r="Y21" s="6" t="s">
        <v>873</v>
      </c>
      <c r="Z21" s="6" t="s">
        <v>36</v>
      </c>
      <c r="AA21" s="50"/>
    </row>
    <row r="22" spans="1:27" s="14" customFormat="1" ht="21.75" customHeight="1" x14ac:dyDescent="0.25">
      <c r="A22" s="6">
        <v>21</v>
      </c>
      <c r="B22" s="7">
        <v>2000376</v>
      </c>
      <c r="C22" s="15" t="s">
        <v>122</v>
      </c>
      <c r="D22" s="9" t="s">
        <v>123</v>
      </c>
      <c r="E22" s="9" t="s">
        <v>690</v>
      </c>
      <c r="F22" s="9" t="s">
        <v>124</v>
      </c>
      <c r="G22" s="10">
        <v>43583</v>
      </c>
      <c r="H22" s="11" t="s">
        <v>33</v>
      </c>
      <c r="I22" s="11" t="s">
        <v>34</v>
      </c>
      <c r="J22" s="11">
        <v>21517.7</v>
      </c>
      <c r="K22" s="11">
        <v>32276.55</v>
      </c>
      <c r="L22" s="12">
        <v>53794.25</v>
      </c>
      <c r="M22" s="12">
        <v>53794.25</v>
      </c>
      <c r="N22" s="12">
        <v>795</v>
      </c>
      <c r="O22" s="12">
        <v>9781</v>
      </c>
      <c r="P22" s="12">
        <v>0</v>
      </c>
      <c r="Q22" s="12">
        <v>0</v>
      </c>
      <c r="R22" s="12">
        <v>0</v>
      </c>
      <c r="S22" s="12">
        <v>0</v>
      </c>
      <c r="T22" s="12">
        <v>9781</v>
      </c>
      <c r="U22" s="12">
        <v>64370.25</v>
      </c>
      <c r="V22" s="12">
        <v>63575.25</v>
      </c>
      <c r="W22" s="13" t="s">
        <v>1180</v>
      </c>
      <c r="X22" s="6" t="s">
        <v>56</v>
      </c>
      <c r="Y22" s="6" t="s">
        <v>868</v>
      </c>
      <c r="Z22" s="6" t="s">
        <v>36</v>
      </c>
      <c r="AA22" s="50"/>
    </row>
    <row r="23" spans="1:27" s="14" customFormat="1" ht="21.75" customHeight="1" x14ac:dyDescent="0.25">
      <c r="A23" s="6">
        <v>22</v>
      </c>
      <c r="B23" s="19">
        <v>2000371</v>
      </c>
      <c r="C23" s="16" t="s">
        <v>125</v>
      </c>
      <c r="D23" s="17" t="s">
        <v>126</v>
      </c>
      <c r="E23" s="17" t="s">
        <v>1010</v>
      </c>
      <c r="F23" s="17" t="s">
        <v>127</v>
      </c>
      <c r="G23" s="20">
        <v>43583</v>
      </c>
      <c r="H23" s="21" t="s">
        <v>69</v>
      </c>
      <c r="I23" s="21" t="s">
        <v>104</v>
      </c>
      <c r="J23" s="11">
        <v>27423.360000000001</v>
      </c>
      <c r="K23" s="11">
        <v>41135.039999999994</v>
      </c>
      <c r="L23" s="21">
        <v>68558.399999999994</v>
      </c>
      <c r="M23" s="18">
        <v>68558.399999999994</v>
      </c>
      <c r="N23" s="18">
        <v>795</v>
      </c>
      <c r="O23" s="12">
        <v>17884.799999999988</v>
      </c>
      <c r="P23" s="18">
        <v>0</v>
      </c>
      <c r="Q23" s="18">
        <v>0</v>
      </c>
      <c r="R23" s="18">
        <v>0</v>
      </c>
      <c r="S23" s="18">
        <v>0</v>
      </c>
      <c r="T23" s="12">
        <v>17884.799999999988</v>
      </c>
      <c r="U23" s="18">
        <v>87238.199999999983</v>
      </c>
      <c r="V23" s="12">
        <v>86443.199999999983</v>
      </c>
      <c r="W23" s="13" t="s">
        <v>1180</v>
      </c>
      <c r="X23" s="22" t="s">
        <v>41</v>
      </c>
      <c r="Y23" s="22" t="s">
        <v>882</v>
      </c>
      <c r="Z23" s="22" t="s">
        <v>36</v>
      </c>
      <c r="AA23" s="50"/>
    </row>
    <row r="24" spans="1:27" s="14" customFormat="1" ht="21.75" customHeight="1" x14ac:dyDescent="0.25">
      <c r="A24" s="6">
        <v>23</v>
      </c>
      <c r="B24" s="7">
        <v>2000377</v>
      </c>
      <c r="C24" s="15" t="s">
        <v>128</v>
      </c>
      <c r="D24" s="9" t="s">
        <v>129</v>
      </c>
      <c r="E24" s="9" t="s">
        <v>691</v>
      </c>
      <c r="F24" s="9" t="s">
        <v>130</v>
      </c>
      <c r="G24" s="10">
        <v>43583</v>
      </c>
      <c r="H24" s="11" t="s">
        <v>69</v>
      </c>
      <c r="I24" s="11" t="s">
        <v>131</v>
      </c>
      <c r="J24" s="11">
        <v>23587.200000000001</v>
      </c>
      <c r="K24" s="11">
        <v>35380.799999999996</v>
      </c>
      <c r="L24" s="12">
        <v>58968</v>
      </c>
      <c r="M24" s="12">
        <v>58968</v>
      </c>
      <c r="N24" s="12">
        <v>795</v>
      </c>
      <c r="O24" s="12">
        <v>5616</v>
      </c>
      <c r="P24" s="12">
        <v>0</v>
      </c>
      <c r="Q24" s="12">
        <v>0</v>
      </c>
      <c r="R24" s="12">
        <v>0</v>
      </c>
      <c r="S24" s="12">
        <v>0</v>
      </c>
      <c r="T24" s="12">
        <v>5616</v>
      </c>
      <c r="U24" s="12">
        <v>65379</v>
      </c>
      <c r="V24" s="12">
        <v>64584</v>
      </c>
      <c r="W24" s="13" t="s">
        <v>1180</v>
      </c>
      <c r="X24" s="6" t="s">
        <v>41</v>
      </c>
      <c r="Y24" s="6" t="s">
        <v>885</v>
      </c>
      <c r="Z24" s="6" t="s">
        <v>36</v>
      </c>
      <c r="AA24" s="50"/>
    </row>
    <row r="25" spans="1:27" s="14" customFormat="1" ht="21.75" customHeight="1" x14ac:dyDescent="0.25">
      <c r="A25" s="6">
        <v>24</v>
      </c>
      <c r="B25" s="7">
        <v>2000379</v>
      </c>
      <c r="C25" s="15" t="s">
        <v>132</v>
      </c>
      <c r="D25" s="9" t="s">
        <v>133</v>
      </c>
      <c r="E25" s="9" t="s">
        <v>1011</v>
      </c>
      <c r="F25" s="9" t="s">
        <v>52</v>
      </c>
      <c r="G25" s="10">
        <v>43590</v>
      </c>
      <c r="H25" s="11" t="s">
        <v>40</v>
      </c>
      <c r="I25" s="11" t="s">
        <v>854</v>
      </c>
      <c r="J25" s="11">
        <v>17362.400000000001</v>
      </c>
      <c r="K25" s="11">
        <v>26043.599999999999</v>
      </c>
      <c r="L25" s="12">
        <v>43406</v>
      </c>
      <c r="M25" s="12">
        <v>43406</v>
      </c>
      <c r="N25" s="12">
        <v>795</v>
      </c>
      <c r="O25" s="12">
        <v>7892</v>
      </c>
      <c r="P25" s="12">
        <v>0</v>
      </c>
      <c r="Q25" s="12">
        <v>0</v>
      </c>
      <c r="R25" s="12">
        <v>0</v>
      </c>
      <c r="S25" s="12">
        <v>0</v>
      </c>
      <c r="T25" s="12">
        <v>7892</v>
      </c>
      <c r="U25" s="12">
        <v>52093</v>
      </c>
      <c r="V25" s="12">
        <v>51298</v>
      </c>
      <c r="W25" s="13" t="s">
        <v>1180</v>
      </c>
      <c r="X25" s="6" t="s">
        <v>41</v>
      </c>
      <c r="Y25" s="6" t="s">
        <v>886</v>
      </c>
      <c r="Z25" s="6" t="s">
        <v>36</v>
      </c>
      <c r="AA25" s="50"/>
    </row>
    <row r="26" spans="1:27" s="14" customFormat="1" ht="21.75" customHeight="1" x14ac:dyDescent="0.25">
      <c r="A26" s="6">
        <v>25</v>
      </c>
      <c r="B26" s="7">
        <v>2000276</v>
      </c>
      <c r="C26" s="15" t="s">
        <v>134</v>
      </c>
      <c r="D26" s="9" t="s">
        <v>135</v>
      </c>
      <c r="E26" s="9" t="s">
        <v>1012</v>
      </c>
      <c r="F26" s="9" t="s">
        <v>48</v>
      </c>
      <c r="G26" s="10">
        <v>43590</v>
      </c>
      <c r="H26" s="11" t="s">
        <v>49</v>
      </c>
      <c r="I26" s="11" t="s">
        <v>855</v>
      </c>
      <c r="J26" s="11">
        <v>15565.2</v>
      </c>
      <c r="K26" s="11">
        <v>23347.8</v>
      </c>
      <c r="L26" s="12">
        <v>38913</v>
      </c>
      <c r="M26" s="12">
        <v>38913</v>
      </c>
      <c r="N26" s="12">
        <v>795</v>
      </c>
      <c r="O26" s="12">
        <v>3706</v>
      </c>
      <c r="P26" s="12">
        <v>0</v>
      </c>
      <c r="Q26" s="12">
        <v>0</v>
      </c>
      <c r="R26" s="12">
        <v>0</v>
      </c>
      <c r="S26" s="12">
        <v>0</v>
      </c>
      <c r="T26" s="12">
        <v>3706</v>
      </c>
      <c r="U26" s="12">
        <v>43414</v>
      </c>
      <c r="V26" s="12">
        <v>42619</v>
      </c>
      <c r="W26" s="13" t="s">
        <v>1180</v>
      </c>
      <c r="X26" s="6" t="s">
        <v>41</v>
      </c>
      <c r="Y26" s="6" t="s">
        <v>887</v>
      </c>
      <c r="Z26" s="6" t="s">
        <v>36</v>
      </c>
      <c r="AA26" s="50"/>
    </row>
    <row r="27" spans="1:27" s="14" customFormat="1" ht="21.75" customHeight="1" x14ac:dyDescent="0.25">
      <c r="A27" s="6">
        <v>26</v>
      </c>
      <c r="B27" s="7">
        <v>2000396</v>
      </c>
      <c r="C27" s="15" t="s">
        <v>136</v>
      </c>
      <c r="D27" s="9" t="s">
        <v>137</v>
      </c>
      <c r="E27" s="9" t="s">
        <v>1013</v>
      </c>
      <c r="F27" s="9" t="s">
        <v>130</v>
      </c>
      <c r="G27" s="10">
        <v>43611</v>
      </c>
      <c r="H27" s="11" t="s">
        <v>69</v>
      </c>
      <c r="I27" s="11" t="s">
        <v>131</v>
      </c>
      <c r="J27" s="11">
        <v>16197.7</v>
      </c>
      <c r="K27" s="11">
        <v>24296.55</v>
      </c>
      <c r="L27" s="12">
        <v>40494.25</v>
      </c>
      <c r="M27" s="12">
        <v>40494.25</v>
      </c>
      <c r="N27" s="12">
        <v>795</v>
      </c>
      <c r="O27" s="12">
        <v>7362.5</v>
      </c>
      <c r="P27" s="12">
        <v>0</v>
      </c>
      <c r="Q27" s="12">
        <v>0</v>
      </c>
      <c r="R27" s="12">
        <v>0</v>
      </c>
      <c r="S27" s="12">
        <v>0</v>
      </c>
      <c r="T27" s="12">
        <v>7362.5</v>
      </c>
      <c r="U27" s="12">
        <v>48651.75</v>
      </c>
      <c r="V27" s="12">
        <v>47856.75</v>
      </c>
      <c r="W27" s="13" t="s">
        <v>1180</v>
      </c>
      <c r="X27" s="6" t="s">
        <v>41</v>
      </c>
      <c r="Y27" s="6" t="s">
        <v>885</v>
      </c>
      <c r="Z27" s="6" t="s">
        <v>36</v>
      </c>
      <c r="AA27" s="50"/>
    </row>
    <row r="28" spans="1:27" s="14" customFormat="1" ht="21.75" customHeight="1" x14ac:dyDescent="0.25">
      <c r="A28" s="6">
        <v>27</v>
      </c>
      <c r="B28" s="7">
        <v>2000398</v>
      </c>
      <c r="C28" s="15" t="s">
        <v>138</v>
      </c>
      <c r="D28" s="9" t="s">
        <v>139</v>
      </c>
      <c r="E28" s="9" t="s">
        <v>140</v>
      </c>
      <c r="F28" s="9" t="s">
        <v>52</v>
      </c>
      <c r="G28" s="10">
        <v>43625</v>
      </c>
      <c r="H28" s="11" t="s">
        <v>49</v>
      </c>
      <c r="I28" s="11" t="s">
        <v>849</v>
      </c>
      <c r="J28" s="11">
        <v>6615</v>
      </c>
      <c r="K28" s="11">
        <v>9922.5</v>
      </c>
      <c r="L28" s="12">
        <v>16537.5</v>
      </c>
      <c r="M28" s="12">
        <v>16537.5</v>
      </c>
      <c r="N28" s="12">
        <v>795</v>
      </c>
      <c r="O28" s="12">
        <v>1575</v>
      </c>
      <c r="P28" s="12">
        <v>0</v>
      </c>
      <c r="Q28" s="12">
        <v>0</v>
      </c>
      <c r="R28" s="12">
        <v>0</v>
      </c>
      <c r="S28" s="12">
        <v>0</v>
      </c>
      <c r="T28" s="12">
        <v>1575</v>
      </c>
      <c r="U28" s="12">
        <v>18907.5</v>
      </c>
      <c r="V28" s="12">
        <v>18112.5</v>
      </c>
      <c r="W28" s="13" t="s">
        <v>1180</v>
      </c>
      <c r="X28" s="6" t="s">
        <v>438</v>
      </c>
      <c r="Y28" s="6" t="s">
        <v>871</v>
      </c>
      <c r="Z28" s="6" t="s">
        <v>36</v>
      </c>
      <c r="AA28" s="50"/>
    </row>
    <row r="29" spans="1:27" s="14" customFormat="1" ht="21.75" customHeight="1" x14ac:dyDescent="0.25">
      <c r="A29" s="6">
        <v>28</v>
      </c>
      <c r="B29" s="7">
        <v>2000405</v>
      </c>
      <c r="C29" s="15" t="s">
        <v>141</v>
      </c>
      <c r="D29" s="9" t="s">
        <v>142</v>
      </c>
      <c r="E29" s="9" t="s">
        <v>297</v>
      </c>
      <c r="F29" s="9" t="s">
        <v>143</v>
      </c>
      <c r="G29" s="10">
        <v>43639</v>
      </c>
      <c r="H29" s="11" t="s">
        <v>49</v>
      </c>
      <c r="I29" s="11" t="s">
        <v>852</v>
      </c>
      <c r="J29" s="11">
        <v>11917.5</v>
      </c>
      <c r="K29" s="11">
        <v>17876.25</v>
      </c>
      <c r="L29" s="12">
        <v>29793.75</v>
      </c>
      <c r="M29" s="12">
        <v>29793.75</v>
      </c>
      <c r="N29" s="12">
        <v>795</v>
      </c>
      <c r="O29" s="12">
        <v>2837.5</v>
      </c>
      <c r="P29" s="12">
        <v>0</v>
      </c>
      <c r="Q29" s="12">
        <v>0</v>
      </c>
      <c r="R29" s="12">
        <v>0</v>
      </c>
      <c r="S29" s="12">
        <v>0</v>
      </c>
      <c r="T29" s="12">
        <v>2837.5</v>
      </c>
      <c r="U29" s="12">
        <v>33426.25</v>
      </c>
      <c r="V29" s="12">
        <v>32631.25</v>
      </c>
      <c r="W29" s="13" t="s">
        <v>1180</v>
      </c>
      <c r="X29" s="6" t="s">
        <v>88</v>
      </c>
      <c r="Y29" s="6" t="s">
        <v>876</v>
      </c>
      <c r="Z29" s="6" t="s">
        <v>36</v>
      </c>
      <c r="AA29" s="50"/>
    </row>
    <row r="30" spans="1:27" s="14" customFormat="1" ht="21.75" customHeight="1" x14ac:dyDescent="0.25">
      <c r="A30" s="6">
        <v>29</v>
      </c>
      <c r="B30" s="7">
        <v>2000409</v>
      </c>
      <c r="C30" s="15" t="s">
        <v>144</v>
      </c>
      <c r="D30" s="9" t="s">
        <v>145</v>
      </c>
      <c r="E30" s="9" t="s">
        <v>146</v>
      </c>
      <c r="F30" s="9" t="s">
        <v>32</v>
      </c>
      <c r="G30" s="10">
        <v>43653</v>
      </c>
      <c r="H30" s="11" t="s">
        <v>33</v>
      </c>
      <c r="I30" s="11" t="s">
        <v>53</v>
      </c>
      <c r="J30" s="11">
        <v>11350</v>
      </c>
      <c r="K30" s="11">
        <v>17025</v>
      </c>
      <c r="L30" s="12">
        <v>28375</v>
      </c>
      <c r="M30" s="12">
        <v>28375</v>
      </c>
      <c r="N30" s="12">
        <v>795</v>
      </c>
      <c r="O30" s="12">
        <v>913.86666666666667</v>
      </c>
      <c r="P30" s="12">
        <v>0</v>
      </c>
      <c r="Q30" s="12">
        <v>0</v>
      </c>
      <c r="R30" s="12">
        <v>0</v>
      </c>
      <c r="S30" s="12">
        <v>0</v>
      </c>
      <c r="T30" s="12">
        <v>913.86666666666667</v>
      </c>
      <c r="U30" s="12">
        <v>30083.866666666665</v>
      </c>
      <c r="V30" s="12">
        <v>29288.866666666665</v>
      </c>
      <c r="W30" s="96" t="s">
        <v>1183</v>
      </c>
      <c r="X30" s="6" t="s">
        <v>35</v>
      </c>
      <c r="Y30" s="6" t="s">
        <v>872</v>
      </c>
      <c r="Z30" s="6" t="s">
        <v>36</v>
      </c>
      <c r="AA30" s="50"/>
    </row>
    <row r="31" spans="1:27" s="14" customFormat="1" ht="21.75" customHeight="1" x14ac:dyDescent="0.25">
      <c r="A31" s="6">
        <v>30</v>
      </c>
      <c r="B31" s="7">
        <v>2000410</v>
      </c>
      <c r="C31" s="15" t="s">
        <v>147</v>
      </c>
      <c r="D31" s="87" t="s">
        <v>148</v>
      </c>
      <c r="E31" s="9" t="s">
        <v>692</v>
      </c>
      <c r="F31" s="9" t="s">
        <v>81</v>
      </c>
      <c r="G31" s="10">
        <v>43660</v>
      </c>
      <c r="H31" s="11" t="s">
        <v>69</v>
      </c>
      <c r="I31" s="11" t="s">
        <v>131</v>
      </c>
      <c r="J31" s="11">
        <v>14700</v>
      </c>
      <c r="K31" s="11">
        <v>22050</v>
      </c>
      <c r="L31" s="12">
        <v>36750</v>
      </c>
      <c r="M31" s="12">
        <v>36750</v>
      </c>
      <c r="N31" s="12">
        <v>795</v>
      </c>
      <c r="O31" s="12">
        <v>3500</v>
      </c>
      <c r="P31" s="12">
        <v>0</v>
      </c>
      <c r="Q31" s="12">
        <v>0</v>
      </c>
      <c r="R31" s="12">
        <v>0</v>
      </c>
      <c r="S31" s="12">
        <v>0</v>
      </c>
      <c r="T31" s="12">
        <v>3500</v>
      </c>
      <c r="U31" s="12">
        <v>41045</v>
      </c>
      <c r="V31" s="12">
        <v>40250</v>
      </c>
      <c r="W31" s="13" t="s">
        <v>1180</v>
      </c>
      <c r="X31" s="6" t="s">
        <v>41</v>
      </c>
      <c r="Y31" s="6" t="s">
        <v>885</v>
      </c>
      <c r="Z31" s="6" t="s">
        <v>36</v>
      </c>
      <c r="AA31" s="50"/>
    </row>
    <row r="32" spans="1:27" s="14" customFormat="1" ht="21.75" customHeight="1" x14ac:dyDescent="0.25">
      <c r="A32" s="6">
        <v>31</v>
      </c>
      <c r="B32" s="7">
        <v>2000419</v>
      </c>
      <c r="C32" s="15" t="s">
        <v>150</v>
      </c>
      <c r="D32" s="9" t="s">
        <v>151</v>
      </c>
      <c r="E32" s="9" t="s">
        <v>677</v>
      </c>
      <c r="F32" s="9" t="s">
        <v>32</v>
      </c>
      <c r="G32" s="10">
        <v>43681</v>
      </c>
      <c r="H32" s="11" t="s">
        <v>33</v>
      </c>
      <c r="I32" s="11" t="s">
        <v>152</v>
      </c>
      <c r="J32" s="11">
        <v>11350</v>
      </c>
      <c r="K32" s="11">
        <v>17025</v>
      </c>
      <c r="L32" s="12">
        <v>28375</v>
      </c>
      <c r="M32" s="12">
        <v>28375</v>
      </c>
      <c r="N32" s="12">
        <v>795</v>
      </c>
      <c r="O32" s="12">
        <v>1446.6666666666667</v>
      </c>
      <c r="P32" s="12">
        <v>0</v>
      </c>
      <c r="Q32" s="12">
        <v>0</v>
      </c>
      <c r="R32" s="12">
        <v>-1530</v>
      </c>
      <c r="S32" s="12">
        <v>0</v>
      </c>
      <c r="T32" s="12">
        <v>-83.333333333333258</v>
      </c>
      <c r="U32" s="12">
        <v>29086.666666666668</v>
      </c>
      <c r="V32" s="12">
        <v>28291.666666666668</v>
      </c>
      <c r="W32" s="96" t="s">
        <v>1199</v>
      </c>
      <c r="X32" s="6" t="s">
        <v>35</v>
      </c>
      <c r="Y32" s="6" t="s">
        <v>888</v>
      </c>
      <c r="Z32" s="6" t="s">
        <v>36</v>
      </c>
      <c r="AA32" s="50"/>
    </row>
    <row r="33" spans="1:27" s="14" customFormat="1" ht="21.75" customHeight="1" x14ac:dyDescent="0.25">
      <c r="A33" s="6">
        <v>32</v>
      </c>
      <c r="B33" s="7">
        <v>2000423</v>
      </c>
      <c r="C33" s="16" t="s">
        <v>153</v>
      </c>
      <c r="D33" s="17" t="s">
        <v>154</v>
      </c>
      <c r="E33" s="9" t="s">
        <v>693</v>
      </c>
      <c r="F33" s="9" t="s">
        <v>72</v>
      </c>
      <c r="G33" s="10">
        <v>43683</v>
      </c>
      <c r="H33" s="11" t="s">
        <v>45</v>
      </c>
      <c r="I33" s="11" t="s">
        <v>850</v>
      </c>
      <c r="J33" s="11">
        <v>8489.3000000000011</v>
      </c>
      <c r="K33" s="11">
        <v>12733.949999999999</v>
      </c>
      <c r="L33" s="12">
        <v>21223.25</v>
      </c>
      <c r="M33" s="12">
        <v>21223.25</v>
      </c>
      <c r="N33" s="12">
        <v>795</v>
      </c>
      <c r="O33" s="12">
        <v>2021.5</v>
      </c>
      <c r="P33" s="12">
        <v>0</v>
      </c>
      <c r="Q33" s="12">
        <v>0</v>
      </c>
      <c r="R33" s="12">
        <v>0</v>
      </c>
      <c r="S33" s="12">
        <v>0</v>
      </c>
      <c r="T33" s="12">
        <v>2021.5</v>
      </c>
      <c r="U33" s="18">
        <v>24039.75</v>
      </c>
      <c r="V33" s="12">
        <v>23244.75</v>
      </c>
      <c r="W33" s="13" t="s">
        <v>1180</v>
      </c>
      <c r="X33" s="6" t="s">
        <v>210</v>
      </c>
      <c r="Y33" s="6" t="s">
        <v>873</v>
      </c>
      <c r="Z33" s="6" t="s">
        <v>36</v>
      </c>
      <c r="AA33" s="50"/>
    </row>
    <row r="34" spans="1:27" s="14" customFormat="1" ht="21.75" customHeight="1" x14ac:dyDescent="0.25">
      <c r="A34" s="6">
        <v>33</v>
      </c>
      <c r="B34" s="7">
        <v>2000431</v>
      </c>
      <c r="C34" s="15" t="s">
        <v>156</v>
      </c>
      <c r="D34" s="9" t="s">
        <v>157</v>
      </c>
      <c r="E34" s="9" t="s">
        <v>694</v>
      </c>
      <c r="F34" s="9" t="s">
        <v>48</v>
      </c>
      <c r="G34" s="10">
        <v>43710</v>
      </c>
      <c r="H34" s="11" t="s">
        <v>49</v>
      </c>
      <c r="I34" s="11" t="s">
        <v>852</v>
      </c>
      <c r="J34" s="11">
        <v>12127.5</v>
      </c>
      <c r="K34" s="11">
        <v>18191.25</v>
      </c>
      <c r="L34" s="12">
        <v>30318.75</v>
      </c>
      <c r="M34" s="12">
        <v>30318.75</v>
      </c>
      <c r="N34" s="12">
        <v>795</v>
      </c>
      <c r="O34" s="12">
        <v>2887.5</v>
      </c>
      <c r="P34" s="12">
        <v>0</v>
      </c>
      <c r="Q34" s="12">
        <v>0</v>
      </c>
      <c r="R34" s="12">
        <v>0</v>
      </c>
      <c r="S34" s="12">
        <v>0</v>
      </c>
      <c r="T34" s="12">
        <v>2887.5</v>
      </c>
      <c r="U34" s="12">
        <v>34001.25</v>
      </c>
      <c r="V34" s="12">
        <v>33206.25</v>
      </c>
      <c r="W34" s="13" t="s">
        <v>1180</v>
      </c>
      <c r="X34" s="6" t="s">
        <v>210</v>
      </c>
      <c r="Y34" s="6" t="s">
        <v>876</v>
      </c>
      <c r="Z34" s="6" t="s">
        <v>36</v>
      </c>
      <c r="AA34" s="50"/>
    </row>
    <row r="35" spans="1:27" s="14" customFormat="1" ht="21.75" customHeight="1" x14ac:dyDescent="0.25">
      <c r="A35" s="6">
        <v>34</v>
      </c>
      <c r="B35" s="7">
        <v>2000430</v>
      </c>
      <c r="C35" s="15" t="s">
        <v>158</v>
      </c>
      <c r="D35" s="9" t="s">
        <v>159</v>
      </c>
      <c r="E35" s="9" t="s">
        <v>117</v>
      </c>
      <c r="F35" s="9" t="s">
        <v>32</v>
      </c>
      <c r="G35" s="10">
        <v>43709</v>
      </c>
      <c r="H35" s="11" t="s">
        <v>40</v>
      </c>
      <c r="I35" s="11" t="s">
        <v>847</v>
      </c>
      <c r="J35" s="11">
        <v>8500.8000000000011</v>
      </c>
      <c r="K35" s="11">
        <v>12751.199999999999</v>
      </c>
      <c r="L35" s="12">
        <v>21252</v>
      </c>
      <c r="M35" s="12">
        <v>21252</v>
      </c>
      <c r="N35" s="12">
        <v>795</v>
      </c>
      <c r="O35" s="12">
        <v>269.86666666666667</v>
      </c>
      <c r="P35" s="12">
        <v>0</v>
      </c>
      <c r="Q35" s="12">
        <v>0</v>
      </c>
      <c r="R35" s="12">
        <v>0</v>
      </c>
      <c r="S35" s="12">
        <v>0</v>
      </c>
      <c r="T35" s="12">
        <v>269.86666666666667</v>
      </c>
      <c r="U35" s="12">
        <v>22316.866666666665</v>
      </c>
      <c r="V35" s="12">
        <v>21521.866666666665</v>
      </c>
      <c r="W35" s="96" t="s">
        <v>1183</v>
      </c>
      <c r="X35" s="6" t="s">
        <v>889</v>
      </c>
      <c r="Y35" s="6" t="s">
        <v>869</v>
      </c>
      <c r="Z35" s="6" t="s">
        <v>36</v>
      </c>
      <c r="AA35" s="50"/>
    </row>
    <row r="36" spans="1:27" s="14" customFormat="1" ht="21.75" customHeight="1" x14ac:dyDescent="0.25">
      <c r="A36" s="6">
        <v>35</v>
      </c>
      <c r="B36" s="7">
        <v>2000416</v>
      </c>
      <c r="C36" s="16" t="s">
        <v>741</v>
      </c>
      <c r="D36" s="17" t="s">
        <v>740</v>
      </c>
      <c r="E36" s="9" t="s">
        <v>461</v>
      </c>
      <c r="F36" s="9" t="s">
        <v>52</v>
      </c>
      <c r="G36" s="10">
        <v>45615</v>
      </c>
      <c r="H36" s="11" t="s">
        <v>33</v>
      </c>
      <c r="I36" s="11" t="s">
        <v>34</v>
      </c>
      <c r="J36" s="11">
        <v>17287.2</v>
      </c>
      <c r="K36" s="11">
        <v>25930.799999999999</v>
      </c>
      <c r="L36" s="12">
        <v>43218</v>
      </c>
      <c r="M36" s="12">
        <v>43218</v>
      </c>
      <c r="N36" s="12">
        <v>795</v>
      </c>
      <c r="O36" s="12">
        <v>4116</v>
      </c>
      <c r="P36" s="12">
        <v>0</v>
      </c>
      <c r="Q36" s="12">
        <v>0</v>
      </c>
      <c r="R36" s="12">
        <v>0</v>
      </c>
      <c r="S36" s="12">
        <v>0</v>
      </c>
      <c r="T36" s="12">
        <v>4116</v>
      </c>
      <c r="U36" s="18">
        <v>48129</v>
      </c>
      <c r="V36" s="12">
        <v>47334</v>
      </c>
      <c r="W36" s="13" t="s">
        <v>1180</v>
      </c>
      <c r="X36" s="6" t="s">
        <v>88</v>
      </c>
      <c r="Y36" s="6" t="s">
        <v>868</v>
      </c>
      <c r="Z36" s="6" t="s">
        <v>36</v>
      </c>
      <c r="AA36" s="50"/>
    </row>
    <row r="37" spans="1:27" s="14" customFormat="1" ht="21.75" customHeight="1" x14ac:dyDescent="0.25">
      <c r="A37" s="6">
        <v>36</v>
      </c>
      <c r="B37" s="7">
        <v>2000438</v>
      </c>
      <c r="C37" s="15" t="s">
        <v>160</v>
      </c>
      <c r="D37" s="9" t="s">
        <v>161</v>
      </c>
      <c r="E37" s="9" t="s">
        <v>1014</v>
      </c>
      <c r="F37" s="9" t="s">
        <v>162</v>
      </c>
      <c r="G37" s="10">
        <v>43730</v>
      </c>
      <c r="H37" s="11" t="s">
        <v>69</v>
      </c>
      <c r="I37" s="11" t="s">
        <v>131</v>
      </c>
      <c r="J37" s="11">
        <v>14000</v>
      </c>
      <c r="K37" s="11">
        <v>21000</v>
      </c>
      <c r="L37" s="12">
        <v>35000</v>
      </c>
      <c r="M37" s="12">
        <v>35000</v>
      </c>
      <c r="N37" s="12">
        <v>795</v>
      </c>
      <c r="O37" s="12">
        <v>12250</v>
      </c>
      <c r="P37" s="12">
        <v>0</v>
      </c>
      <c r="Q37" s="12">
        <v>0</v>
      </c>
      <c r="R37" s="12">
        <v>0</v>
      </c>
      <c r="S37" s="12">
        <v>0</v>
      </c>
      <c r="T37" s="12">
        <v>12250</v>
      </c>
      <c r="U37" s="12">
        <v>48045</v>
      </c>
      <c r="V37" s="12">
        <v>47250</v>
      </c>
      <c r="W37" s="13" t="s">
        <v>1180</v>
      </c>
      <c r="X37" s="6" t="s">
        <v>88</v>
      </c>
      <c r="Y37" s="6" t="s">
        <v>885</v>
      </c>
      <c r="Z37" s="6" t="s">
        <v>36</v>
      </c>
      <c r="AA37" s="50"/>
    </row>
    <row r="38" spans="1:27" s="14" customFormat="1" ht="21.75" customHeight="1" x14ac:dyDescent="0.25">
      <c r="A38" s="6">
        <v>37</v>
      </c>
      <c r="B38" s="7">
        <v>2000442</v>
      </c>
      <c r="C38" s="15" t="s">
        <v>163</v>
      </c>
      <c r="D38" s="9" t="s">
        <v>164</v>
      </c>
      <c r="E38" s="9" t="s">
        <v>165</v>
      </c>
      <c r="F38" s="9" t="s">
        <v>166</v>
      </c>
      <c r="G38" s="10">
        <v>43740</v>
      </c>
      <c r="H38" s="11" t="s">
        <v>49</v>
      </c>
      <c r="I38" s="11" t="s">
        <v>855</v>
      </c>
      <c r="J38" s="11">
        <v>17054</v>
      </c>
      <c r="K38" s="11">
        <v>25581</v>
      </c>
      <c r="L38" s="12">
        <v>42635</v>
      </c>
      <c r="M38" s="12">
        <v>42635</v>
      </c>
      <c r="N38" s="12">
        <v>795</v>
      </c>
      <c r="O38" s="12">
        <v>4060.5</v>
      </c>
      <c r="P38" s="12">
        <v>0</v>
      </c>
      <c r="Q38" s="12">
        <v>0</v>
      </c>
      <c r="R38" s="12">
        <v>0</v>
      </c>
      <c r="S38" s="12">
        <v>0</v>
      </c>
      <c r="T38" s="12">
        <v>4060.5</v>
      </c>
      <c r="U38" s="12">
        <v>47490.5</v>
      </c>
      <c r="V38" s="12">
        <v>46695.5</v>
      </c>
      <c r="W38" s="13" t="s">
        <v>1180</v>
      </c>
      <c r="X38" s="6" t="s">
        <v>35</v>
      </c>
      <c r="Y38" s="6" t="s">
        <v>887</v>
      </c>
      <c r="Z38" s="6" t="s">
        <v>36</v>
      </c>
      <c r="AA38" s="50"/>
    </row>
    <row r="39" spans="1:27" s="14" customFormat="1" ht="21.75" customHeight="1" x14ac:dyDescent="0.25">
      <c r="A39" s="6">
        <v>38</v>
      </c>
      <c r="B39" s="7">
        <v>2000447</v>
      </c>
      <c r="C39" s="15" t="s">
        <v>167</v>
      </c>
      <c r="D39" s="9" t="s">
        <v>761</v>
      </c>
      <c r="E39" s="9" t="s">
        <v>1015</v>
      </c>
      <c r="F39" s="9" t="s">
        <v>48</v>
      </c>
      <c r="G39" s="10">
        <v>43751</v>
      </c>
      <c r="H39" s="11" t="s">
        <v>49</v>
      </c>
      <c r="I39" s="11" t="s">
        <v>852</v>
      </c>
      <c r="J39" s="11">
        <v>11917.5</v>
      </c>
      <c r="K39" s="11">
        <v>17876.25</v>
      </c>
      <c r="L39" s="12">
        <v>29793.75</v>
      </c>
      <c r="M39" s="12">
        <v>29793.75</v>
      </c>
      <c r="N39" s="12">
        <v>795</v>
      </c>
      <c r="O39" s="12">
        <v>2837.5</v>
      </c>
      <c r="P39" s="12">
        <v>0</v>
      </c>
      <c r="Q39" s="12">
        <v>0</v>
      </c>
      <c r="R39" s="12">
        <v>0</v>
      </c>
      <c r="S39" s="12">
        <v>0</v>
      </c>
      <c r="T39" s="12">
        <v>2837.5</v>
      </c>
      <c r="U39" s="12">
        <v>33426.25</v>
      </c>
      <c r="V39" s="12">
        <v>32631.25</v>
      </c>
      <c r="W39" s="13" t="s">
        <v>1180</v>
      </c>
      <c r="X39" s="6" t="s">
        <v>88</v>
      </c>
      <c r="Y39" s="6" t="s">
        <v>876</v>
      </c>
      <c r="Z39" s="6" t="s">
        <v>36</v>
      </c>
      <c r="AA39" s="50"/>
    </row>
    <row r="40" spans="1:27" s="14" customFormat="1" ht="21.75" customHeight="1" x14ac:dyDescent="0.25">
      <c r="A40" s="6">
        <v>39</v>
      </c>
      <c r="B40" s="7">
        <v>2000445</v>
      </c>
      <c r="C40" s="15" t="s">
        <v>168</v>
      </c>
      <c r="D40" s="9" t="s">
        <v>169</v>
      </c>
      <c r="E40" s="9" t="s">
        <v>695</v>
      </c>
      <c r="F40" s="9" t="s">
        <v>170</v>
      </c>
      <c r="G40" s="10">
        <v>43745</v>
      </c>
      <c r="H40" s="11" t="s">
        <v>49</v>
      </c>
      <c r="I40" s="11" t="s">
        <v>852</v>
      </c>
      <c r="J40" s="11">
        <v>9979.2000000000007</v>
      </c>
      <c r="K40" s="11">
        <v>14968.8</v>
      </c>
      <c r="L40" s="12">
        <v>24948</v>
      </c>
      <c r="M40" s="12">
        <v>24948</v>
      </c>
      <c r="N40" s="12">
        <v>795</v>
      </c>
      <c r="O40" s="12">
        <v>604.79999999999995</v>
      </c>
      <c r="P40" s="12">
        <v>0</v>
      </c>
      <c r="Q40" s="12">
        <v>0</v>
      </c>
      <c r="R40" s="12">
        <v>0</v>
      </c>
      <c r="S40" s="12">
        <v>0</v>
      </c>
      <c r="T40" s="12">
        <v>604.79999999999995</v>
      </c>
      <c r="U40" s="12">
        <v>26347.8</v>
      </c>
      <c r="V40" s="12">
        <v>25552.799999999999</v>
      </c>
      <c r="W40" s="96" t="s">
        <v>1183</v>
      </c>
      <c r="X40" s="6" t="s">
        <v>889</v>
      </c>
      <c r="Y40" s="6" t="s">
        <v>876</v>
      </c>
      <c r="Z40" s="6" t="s">
        <v>36</v>
      </c>
      <c r="AA40" s="50"/>
    </row>
    <row r="41" spans="1:27" s="14" customFormat="1" ht="21.75" customHeight="1" x14ac:dyDescent="0.25">
      <c r="A41" s="6">
        <v>40</v>
      </c>
      <c r="B41" s="7">
        <v>2000149</v>
      </c>
      <c r="C41" s="15" t="s">
        <v>173</v>
      </c>
      <c r="D41" s="9" t="s">
        <v>174</v>
      </c>
      <c r="E41" s="9" t="s">
        <v>697</v>
      </c>
      <c r="F41" s="9" t="s">
        <v>175</v>
      </c>
      <c r="G41" s="10">
        <v>43772</v>
      </c>
      <c r="H41" s="11" t="s">
        <v>87</v>
      </c>
      <c r="I41" s="11" t="s">
        <v>176</v>
      </c>
      <c r="J41" s="11">
        <v>13109.300000000001</v>
      </c>
      <c r="K41" s="11">
        <v>19663.95</v>
      </c>
      <c r="L41" s="12">
        <v>32773.25</v>
      </c>
      <c r="M41" s="12">
        <v>32773.25</v>
      </c>
      <c r="N41" s="12">
        <v>795</v>
      </c>
      <c r="O41" s="12">
        <v>3121.5</v>
      </c>
      <c r="P41" s="12">
        <v>0</v>
      </c>
      <c r="Q41" s="12">
        <v>0</v>
      </c>
      <c r="R41" s="12">
        <v>0</v>
      </c>
      <c r="S41" s="12">
        <v>0</v>
      </c>
      <c r="T41" s="12">
        <v>3121.5</v>
      </c>
      <c r="U41" s="12">
        <v>36689.75</v>
      </c>
      <c r="V41" s="12">
        <v>35894.75</v>
      </c>
      <c r="W41" s="13" t="s">
        <v>1180</v>
      </c>
      <c r="X41" s="6" t="s">
        <v>56</v>
      </c>
      <c r="Y41" s="6" t="s">
        <v>890</v>
      </c>
      <c r="Z41" s="6" t="s">
        <v>36</v>
      </c>
      <c r="AA41" s="50"/>
    </row>
    <row r="42" spans="1:27" s="14" customFormat="1" ht="21.75" customHeight="1" x14ac:dyDescent="0.25">
      <c r="A42" s="6">
        <v>41</v>
      </c>
      <c r="B42" s="7">
        <v>2000466</v>
      </c>
      <c r="C42" s="15" t="s">
        <v>177</v>
      </c>
      <c r="D42" s="9" t="s">
        <v>178</v>
      </c>
      <c r="E42" s="9" t="s">
        <v>140</v>
      </c>
      <c r="F42" s="9" t="s">
        <v>84</v>
      </c>
      <c r="G42" s="10">
        <v>43772</v>
      </c>
      <c r="H42" s="11" t="s">
        <v>49</v>
      </c>
      <c r="I42" s="11" t="s">
        <v>849</v>
      </c>
      <c r="J42" s="11">
        <v>4200</v>
      </c>
      <c r="K42" s="11">
        <v>6300</v>
      </c>
      <c r="L42" s="12">
        <v>10500</v>
      </c>
      <c r="M42" s="12">
        <v>10500</v>
      </c>
      <c r="N42" s="12">
        <v>795</v>
      </c>
      <c r="O42" s="12">
        <v>1000</v>
      </c>
      <c r="P42" s="12">
        <v>0</v>
      </c>
      <c r="Q42" s="12">
        <v>0</v>
      </c>
      <c r="R42" s="12">
        <v>0</v>
      </c>
      <c r="S42" s="12">
        <v>0</v>
      </c>
      <c r="T42" s="12">
        <v>1000</v>
      </c>
      <c r="U42" s="12">
        <v>12295</v>
      </c>
      <c r="V42" s="12">
        <v>11500</v>
      </c>
      <c r="W42" s="13" t="s">
        <v>1180</v>
      </c>
      <c r="X42" s="6" t="s">
        <v>891</v>
      </c>
      <c r="Y42" s="6" t="s">
        <v>871</v>
      </c>
      <c r="Z42" s="6" t="s">
        <v>36</v>
      </c>
      <c r="AA42" s="50"/>
    </row>
    <row r="43" spans="1:27" s="14" customFormat="1" ht="21.75" customHeight="1" x14ac:dyDescent="0.25">
      <c r="A43" s="6">
        <v>42</v>
      </c>
      <c r="B43" s="7">
        <v>2000465</v>
      </c>
      <c r="C43" s="15" t="s">
        <v>179</v>
      </c>
      <c r="D43" s="9" t="s">
        <v>180</v>
      </c>
      <c r="E43" s="9" t="s">
        <v>181</v>
      </c>
      <c r="F43" s="9" t="s">
        <v>81</v>
      </c>
      <c r="G43" s="10">
        <v>43772</v>
      </c>
      <c r="H43" s="11" t="s">
        <v>49</v>
      </c>
      <c r="I43" s="11" t="s">
        <v>849</v>
      </c>
      <c r="J43" s="11">
        <v>8400</v>
      </c>
      <c r="K43" s="11">
        <v>12600</v>
      </c>
      <c r="L43" s="12">
        <v>21000</v>
      </c>
      <c r="M43" s="12">
        <v>21000</v>
      </c>
      <c r="N43" s="12">
        <v>795</v>
      </c>
      <c r="O43" s="12">
        <v>2000</v>
      </c>
      <c r="P43" s="12">
        <v>0</v>
      </c>
      <c r="Q43" s="12">
        <v>0</v>
      </c>
      <c r="R43" s="12">
        <v>0</v>
      </c>
      <c r="S43" s="12">
        <v>0</v>
      </c>
      <c r="T43" s="12">
        <v>2000</v>
      </c>
      <c r="U43" s="12">
        <v>23795</v>
      </c>
      <c r="V43" s="12">
        <v>23000</v>
      </c>
      <c r="W43" s="13" t="s">
        <v>1180</v>
      </c>
      <c r="X43" s="6" t="s">
        <v>210</v>
      </c>
      <c r="Y43" s="6" t="s">
        <v>871</v>
      </c>
      <c r="Z43" s="6" t="s">
        <v>36</v>
      </c>
      <c r="AA43" s="50"/>
    </row>
    <row r="44" spans="1:27" s="14" customFormat="1" ht="21.75" customHeight="1" x14ac:dyDescent="0.25">
      <c r="A44" s="6">
        <v>43</v>
      </c>
      <c r="B44" s="7">
        <v>2000464</v>
      </c>
      <c r="C44" s="15" t="s">
        <v>182</v>
      </c>
      <c r="D44" s="9" t="s">
        <v>183</v>
      </c>
      <c r="E44" s="9" t="s">
        <v>181</v>
      </c>
      <c r="F44" s="9" t="s">
        <v>44</v>
      </c>
      <c r="G44" s="10">
        <v>43772</v>
      </c>
      <c r="H44" s="11" t="s">
        <v>49</v>
      </c>
      <c r="I44" s="11" t="s">
        <v>849</v>
      </c>
      <c r="J44" s="11">
        <v>6615</v>
      </c>
      <c r="K44" s="11">
        <v>9922.5</v>
      </c>
      <c r="L44" s="12">
        <v>16537.5</v>
      </c>
      <c r="M44" s="12">
        <v>16537.5</v>
      </c>
      <c r="N44" s="12">
        <v>795</v>
      </c>
      <c r="O44" s="12">
        <v>1575</v>
      </c>
      <c r="P44" s="12">
        <v>0</v>
      </c>
      <c r="Q44" s="12">
        <v>0</v>
      </c>
      <c r="R44" s="12">
        <v>0</v>
      </c>
      <c r="S44" s="12">
        <v>0</v>
      </c>
      <c r="T44" s="12">
        <v>1575</v>
      </c>
      <c r="U44" s="12">
        <v>18907.5</v>
      </c>
      <c r="V44" s="12">
        <v>18112.5</v>
      </c>
      <c r="W44" s="13" t="s">
        <v>1180</v>
      </c>
      <c r="X44" s="6" t="s">
        <v>889</v>
      </c>
      <c r="Y44" s="6" t="s">
        <v>871</v>
      </c>
      <c r="Z44" s="6" t="s">
        <v>36</v>
      </c>
      <c r="AA44" s="50"/>
    </row>
    <row r="45" spans="1:27" s="14" customFormat="1" ht="21.75" customHeight="1" x14ac:dyDescent="0.25">
      <c r="A45" s="6">
        <v>44</v>
      </c>
      <c r="B45" s="7">
        <v>2000471</v>
      </c>
      <c r="C45" s="15" t="s">
        <v>184</v>
      </c>
      <c r="D45" s="9" t="s">
        <v>185</v>
      </c>
      <c r="E45" s="9" t="s">
        <v>691</v>
      </c>
      <c r="F45" s="9" t="s">
        <v>114</v>
      </c>
      <c r="G45" s="10">
        <v>43835</v>
      </c>
      <c r="H45" s="11" t="s">
        <v>69</v>
      </c>
      <c r="I45" s="11" t="s">
        <v>131</v>
      </c>
      <c r="J45" s="11">
        <v>24710.400000000001</v>
      </c>
      <c r="K45" s="11">
        <v>37065.599999999999</v>
      </c>
      <c r="L45" s="12">
        <v>61776</v>
      </c>
      <c r="M45" s="12">
        <v>61776</v>
      </c>
      <c r="N45" s="12">
        <v>795</v>
      </c>
      <c r="O45" s="12">
        <v>11232</v>
      </c>
      <c r="P45" s="12">
        <v>0</v>
      </c>
      <c r="Q45" s="12">
        <v>0</v>
      </c>
      <c r="R45" s="12">
        <v>0</v>
      </c>
      <c r="S45" s="12">
        <v>0</v>
      </c>
      <c r="T45" s="12">
        <v>11232</v>
      </c>
      <c r="U45" s="12">
        <v>73803</v>
      </c>
      <c r="V45" s="12">
        <v>73008</v>
      </c>
      <c r="W45" s="13" t="s">
        <v>1180</v>
      </c>
      <c r="X45" s="6" t="s">
        <v>41</v>
      </c>
      <c r="Y45" s="6" t="s">
        <v>885</v>
      </c>
      <c r="Z45" s="6" t="s">
        <v>36</v>
      </c>
      <c r="AA45" s="50"/>
    </row>
    <row r="46" spans="1:27" s="14" customFormat="1" ht="21.75" customHeight="1" x14ac:dyDescent="0.25">
      <c r="A46" s="6">
        <v>45</v>
      </c>
      <c r="B46" s="7">
        <v>2000267</v>
      </c>
      <c r="C46" s="15" t="s">
        <v>186</v>
      </c>
      <c r="D46" s="9" t="s">
        <v>187</v>
      </c>
      <c r="E46" s="9" t="s">
        <v>698</v>
      </c>
      <c r="F46" s="9" t="s">
        <v>188</v>
      </c>
      <c r="G46" s="10">
        <v>43922</v>
      </c>
      <c r="H46" s="11" t="s">
        <v>33</v>
      </c>
      <c r="I46" s="11" t="s">
        <v>97</v>
      </c>
      <c r="J46" s="11">
        <v>15093.800000000001</v>
      </c>
      <c r="K46" s="11">
        <v>22640.7</v>
      </c>
      <c r="L46" s="12">
        <v>37734.5</v>
      </c>
      <c r="M46" s="12">
        <v>37734.5</v>
      </c>
      <c r="N46" s="12">
        <v>795</v>
      </c>
      <c r="O46" s="12">
        <v>3594</v>
      </c>
      <c r="P46" s="12">
        <v>0</v>
      </c>
      <c r="Q46" s="12">
        <v>0</v>
      </c>
      <c r="R46" s="12">
        <v>0</v>
      </c>
      <c r="S46" s="12">
        <v>0</v>
      </c>
      <c r="T46" s="12">
        <v>3594</v>
      </c>
      <c r="U46" s="12">
        <v>42123.5</v>
      </c>
      <c r="V46" s="12">
        <v>41328.5</v>
      </c>
      <c r="W46" s="13" t="s">
        <v>1180</v>
      </c>
      <c r="X46" s="6" t="s">
        <v>56</v>
      </c>
      <c r="Y46" s="6" t="s">
        <v>880</v>
      </c>
      <c r="Z46" s="6" t="s">
        <v>36</v>
      </c>
      <c r="AA46" s="50"/>
    </row>
    <row r="47" spans="1:27" s="14" customFormat="1" ht="21.75" customHeight="1" x14ac:dyDescent="0.25">
      <c r="A47" s="6">
        <v>46</v>
      </c>
      <c r="B47" s="7">
        <v>2000441</v>
      </c>
      <c r="C47" s="15" t="s">
        <v>196</v>
      </c>
      <c r="D47" s="9" t="s">
        <v>197</v>
      </c>
      <c r="E47" s="9" t="s">
        <v>699</v>
      </c>
      <c r="F47" s="9" t="s">
        <v>52</v>
      </c>
      <c r="G47" s="10">
        <v>44007</v>
      </c>
      <c r="H47" s="11" t="s">
        <v>87</v>
      </c>
      <c r="I47" s="11" t="s">
        <v>1008</v>
      </c>
      <c r="J47" s="11">
        <v>17094</v>
      </c>
      <c r="K47" s="11">
        <v>25641</v>
      </c>
      <c r="L47" s="12">
        <v>42735</v>
      </c>
      <c r="M47" s="12">
        <v>42735</v>
      </c>
      <c r="N47" s="12">
        <v>795</v>
      </c>
      <c r="O47" s="12">
        <v>7770</v>
      </c>
      <c r="P47" s="12">
        <v>0</v>
      </c>
      <c r="Q47" s="12">
        <v>0</v>
      </c>
      <c r="R47" s="12">
        <v>0</v>
      </c>
      <c r="S47" s="12">
        <v>0</v>
      </c>
      <c r="T47" s="12">
        <v>7770</v>
      </c>
      <c r="U47" s="12">
        <v>51300</v>
      </c>
      <c r="V47" s="12">
        <v>50505</v>
      </c>
      <c r="W47" s="13" t="s">
        <v>1180</v>
      </c>
      <c r="X47" s="6" t="s">
        <v>210</v>
      </c>
      <c r="Y47" s="6" t="s">
        <v>877</v>
      </c>
      <c r="Z47" s="6" t="s">
        <v>36</v>
      </c>
      <c r="AA47" s="50"/>
    </row>
    <row r="48" spans="1:27" s="14" customFormat="1" ht="21.75" customHeight="1" x14ac:dyDescent="0.25">
      <c r="A48" s="6">
        <v>47</v>
      </c>
      <c r="B48" s="7">
        <v>2000278</v>
      </c>
      <c r="C48" s="15" t="s">
        <v>203</v>
      </c>
      <c r="D48" s="9" t="s">
        <v>204</v>
      </c>
      <c r="E48" s="9" t="s">
        <v>100</v>
      </c>
      <c r="F48" s="9" t="s">
        <v>52</v>
      </c>
      <c r="G48" s="10">
        <v>44046</v>
      </c>
      <c r="H48" s="11" t="s">
        <v>33</v>
      </c>
      <c r="I48" s="11" t="s">
        <v>97</v>
      </c>
      <c r="J48" s="11">
        <v>11350</v>
      </c>
      <c r="K48" s="11">
        <v>17025</v>
      </c>
      <c r="L48" s="12">
        <v>28375</v>
      </c>
      <c r="M48" s="12">
        <v>28375</v>
      </c>
      <c r="N48" s="12">
        <v>795</v>
      </c>
      <c r="O48" s="12">
        <v>2233.3333333333335</v>
      </c>
      <c r="P48" s="12">
        <v>0</v>
      </c>
      <c r="Q48" s="12">
        <v>0</v>
      </c>
      <c r="R48" s="12">
        <v>0</v>
      </c>
      <c r="S48" s="12">
        <v>0</v>
      </c>
      <c r="T48" s="12">
        <v>2233.3333333333335</v>
      </c>
      <c r="U48" s="12">
        <v>31403.333333333332</v>
      </c>
      <c r="V48" s="12">
        <v>30608.333333333332</v>
      </c>
      <c r="W48" s="96" t="s">
        <v>1183</v>
      </c>
      <c r="X48" s="6" t="s">
        <v>35</v>
      </c>
      <c r="Y48" s="6" t="s">
        <v>880</v>
      </c>
      <c r="Z48" s="6" t="s">
        <v>36</v>
      </c>
      <c r="AA48" s="50"/>
    </row>
    <row r="49" spans="1:29" s="14" customFormat="1" ht="21.75" customHeight="1" x14ac:dyDescent="0.25">
      <c r="A49" s="6">
        <v>48</v>
      </c>
      <c r="B49" s="7">
        <v>2000501</v>
      </c>
      <c r="C49" s="15" t="s">
        <v>205</v>
      </c>
      <c r="D49" s="9" t="s">
        <v>206</v>
      </c>
      <c r="E49" s="9" t="s">
        <v>207</v>
      </c>
      <c r="F49" s="9" t="s">
        <v>72</v>
      </c>
      <c r="G49" s="10">
        <v>44067</v>
      </c>
      <c r="H49" s="11" t="s">
        <v>33</v>
      </c>
      <c r="I49" s="11" t="s">
        <v>91</v>
      </c>
      <c r="J49" s="11">
        <v>17556</v>
      </c>
      <c r="K49" s="11">
        <v>26334</v>
      </c>
      <c r="L49" s="12">
        <v>43890</v>
      </c>
      <c r="M49" s="12">
        <v>43890</v>
      </c>
      <c r="N49" s="12">
        <v>795</v>
      </c>
      <c r="O49" s="12">
        <v>7980</v>
      </c>
      <c r="P49" s="12">
        <v>0</v>
      </c>
      <c r="Q49" s="12">
        <v>0</v>
      </c>
      <c r="R49" s="12">
        <v>0</v>
      </c>
      <c r="S49" s="12">
        <v>0</v>
      </c>
      <c r="T49" s="12">
        <v>7980</v>
      </c>
      <c r="U49" s="12">
        <v>52665</v>
      </c>
      <c r="V49" s="12">
        <v>51870</v>
      </c>
      <c r="W49" s="13" t="s">
        <v>1180</v>
      </c>
      <c r="X49" s="6" t="s">
        <v>88</v>
      </c>
      <c r="Y49" s="6" t="s">
        <v>878</v>
      </c>
      <c r="Z49" s="6" t="s">
        <v>36</v>
      </c>
      <c r="AA49" s="50"/>
    </row>
    <row r="50" spans="1:29" s="14" customFormat="1" ht="21.75" customHeight="1" x14ac:dyDescent="0.25">
      <c r="A50" s="6">
        <v>49</v>
      </c>
      <c r="B50" s="7">
        <v>2000503</v>
      </c>
      <c r="C50" s="16" t="s">
        <v>211</v>
      </c>
      <c r="D50" s="17" t="s">
        <v>212</v>
      </c>
      <c r="E50" s="9" t="s">
        <v>701</v>
      </c>
      <c r="F50" s="9" t="s">
        <v>48</v>
      </c>
      <c r="G50" s="10">
        <v>44069</v>
      </c>
      <c r="H50" s="11" t="s">
        <v>45</v>
      </c>
      <c r="I50" s="11" t="s">
        <v>857</v>
      </c>
      <c r="J50" s="11">
        <v>37044</v>
      </c>
      <c r="K50" s="11">
        <v>55566</v>
      </c>
      <c r="L50" s="12">
        <v>92610</v>
      </c>
      <c r="M50" s="12">
        <v>92610</v>
      </c>
      <c r="N50" s="12">
        <v>795</v>
      </c>
      <c r="O50" s="12">
        <v>8820</v>
      </c>
      <c r="P50" s="12">
        <v>0</v>
      </c>
      <c r="Q50" s="12">
        <v>0</v>
      </c>
      <c r="R50" s="12">
        <v>0</v>
      </c>
      <c r="S50" s="12">
        <v>0</v>
      </c>
      <c r="T50" s="12">
        <v>8820</v>
      </c>
      <c r="U50" s="18">
        <v>102225</v>
      </c>
      <c r="V50" s="12">
        <v>101430</v>
      </c>
      <c r="W50" s="13" t="s">
        <v>1180</v>
      </c>
      <c r="X50" s="6" t="s">
        <v>881</v>
      </c>
      <c r="Y50" s="6" t="s">
        <v>893</v>
      </c>
      <c r="Z50" s="6" t="s">
        <v>36</v>
      </c>
      <c r="AA50" s="50"/>
    </row>
    <row r="51" spans="1:29" s="31" customFormat="1" ht="21.75" customHeight="1" x14ac:dyDescent="0.25">
      <c r="A51" s="6">
        <v>50</v>
      </c>
      <c r="B51" s="7">
        <v>2000570</v>
      </c>
      <c r="C51" s="15" t="s">
        <v>217</v>
      </c>
      <c r="D51" s="9" t="s">
        <v>218</v>
      </c>
      <c r="E51" s="9" t="s">
        <v>398</v>
      </c>
      <c r="F51" s="9" t="s">
        <v>81</v>
      </c>
      <c r="G51" s="10">
        <v>44652</v>
      </c>
      <c r="H51" s="11" t="s">
        <v>33</v>
      </c>
      <c r="I51" s="11" t="s">
        <v>53</v>
      </c>
      <c r="J51" s="11">
        <v>16669.8</v>
      </c>
      <c r="K51" s="11">
        <v>25004.7</v>
      </c>
      <c r="L51" s="12">
        <v>41674.5</v>
      </c>
      <c r="M51" s="12">
        <v>41674.5</v>
      </c>
      <c r="N51" s="12">
        <v>795</v>
      </c>
      <c r="O51" s="12">
        <v>3969</v>
      </c>
      <c r="P51" s="12">
        <v>0</v>
      </c>
      <c r="Q51" s="12">
        <v>0</v>
      </c>
      <c r="R51" s="12">
        <v>0</v>
      </c>
      <c r="S51" s="12">
        <v>0</v>
      </c>
      <c r="T51" s="12">
        <v>3969</v>
      </c>
      <c r="U51" s="12">
        <v>46438.5</v>
      </c>
      <c r="V51" s="12">
        <v>45643.5</v>
      </c>
      <c r="W51" s="13" t="s">
        <v>1180</v>
      </c>
      <c r="X51" s="6" t="s">
        <v>41</v>
      </c>
      <c r="Y51" s="6" t="s">
        <v>872</v>
      </c>
      <c r="Z51" s="6" t="s">
        <v>36</v>
      </c>
      <c r="AA51" s="50"/>
      <c r="AC51" s="14"/>
    </row>
    <row r="52" spans="1:29" s="14" customFormat="1" ht="21.75" customHeight="1" x14ac:dyDescent="0.25">
      <c r="A52" s="6">
        <v>51</v>
      </c>
      <c r="B52" s="19">
        <v>2000509</v>
      </c>
      <c r="C52" s="16" t="s">
        <v>219</v>
      </c>
      <c r="D52" s="17" t="s">
        <v>220</v>
      </c>
      <c r="E52" s="9" t="s">
        <v>1018</v>
      </c>
      <c r="F52" s="17" t="s">
        <v>81</v>
      </c>
      <c r="G52" s="20">
        <v>44566</v>
      </c>
      <c r="H52" s="21" t="s">
        <v>40</v>
      </c>
      <c r="I52" s="21" t="s">
        <v>221</v>
      </c>
      <c r="J52" s="11">
        <v>35583</v>
      </c>
      <c r="K52" s="11">
        <v>53374.5</v>
      </c>
      <c r="L52" s="21">
        <v>88957.5</v>
      </c>
      <c r="M52" s="18">
        <v>88957.5</v>
      </c>
      <c r="N52" s="18">
        <v>795</v>
      </c>
      <c r="O52" s="12">
        <v>16174</v>
      </c>
      <c r="P52" s="18">
        <v>0</v>
      </c>
      <c r="Q52" s="18">
        <v>0</v>
      </c>
      <c r="R52" s="18">
        <v>0</v>
      </c>
      <c r="S52" s="18">
        <v>0</v>
      </c>
      <c r="T52" s="12">
        <v>16174</v>
      </c>
      <c r="U52" s="18">
        <v>105926.5</v>
      </c>
      <c r="V52" s="12">
        <v>105131.5</v>
      </c>
      <c r="W52" s="13" t="s">
        <v>1180</v>
      </c>
      <c r="X52" s="22" t="s">
        <v>193</v>
      </c>
      <c r="Y52" s="6" t="s">
        <v>894</v>
      </c>
      <c r="Z52" s="22" t="s">
        <v>36</v>
      </c>
      <c r="AA52" s="50"/>
    </row>
    <row r="53" spans="1:29" s="14" customFormat="1" ht="21.75" customHeight="1" x14ac:dyDescent="0.25">
      <c r="A53" s="6">
        <v>52</v>
      </c>
      <c r="B53" s="19">
        <v>2000649</v>
      </c>
      <c r="C53" s="16" t="s">
        <v>233</v>
      </c>
      <c r="D53" s="17" t="s">
        <v>234</v>
      </c>
      <c r="E53" s="9" t="s">
        <v>1021</v>
      </c>
      <c r="F53" s="17" t="s">
        <v>235</v>
      </c>
      <c r="G53" s="20">
        <v>44594</v>
      </c>
      <c r="H53" s="11" t="s">
        <v>236</v>
      </c>
      <c r="I53" s="11" t="s">
        <v>237</v>
      </c>
      <c r="J53" s="11">
        <v>16933.98</v>
      </c>
      <c r="K53" s="11">
        <v>25400.969999999998</v>
      </c>
      <c r="L53" s="12">
        <v>42334.95</v>
      </c>
      <c r="M53" s="18">
        <v>42334.95</v>
      </c>
      <c r="N53" s="18">
        <v>795</v>
      </c>
      <c r="O53" s="12">
        <v>11043.899999999994</v>
      </c>
      <c r="P53" s="18">
        <v>0</v>
      </c>
      <c r="Q53" s="18">
        <v>0</v>
      </c>
      <c r="R53" s="18">
        <v>0</v>
      </c>
      <c r="S53" s="18">
        <v>0</v>
      </c>
      <c r="T53" s="12">
        <v>11043.899999999994</v>
      </c>
      <c r="U53" s="18">
        <v>54173.849999999991</v>
      </c>
      <c r="V53" s="12">
        <v>53378.849999999991</v>
      </c>
      <c r="W53" s="13" t="s">
        <v>1180</v>
      </c>
      <c r="X53" s="6" t="s">
        <v>41</v>
      </c>
      <c r="Y53" s="6" t="s">
        <v>897</v>
      </c>
      <c r="Z53" s="22" t="s">
        <v>36</v>
      </c>
      <c r="AA53" s="50"/>
    </row>
    <row r="54" spans="1:29" s="14" customFormat="1" ht="21.75" customHeight="1" x14ac:dyDescent="0.25">
      <c r="A54" s="6">
        <v>53</v>
      </c>
      <c r="B54" s="23">
        <v>2000661</v>
      </c>
      <c r="C54" s="24" t="s">
        <v>248</v>
      </c>
      <c r="D54" s="25" t="s">
        <v>249</v>
      </c>
      <c r="E54" s="9" t="s">
        <v>250</v>
      </c>
      <c r="F54" s="26" t="s">
        <v>52</v>
      </c>
      <c r="G54" s="27">
        <v>44627</v>
      </c>
      <c r="H54" s="11" t="s">
        <v>87</v>
      </c>
      <c r="I54" s="11" t="s">
        <v>1008</v>
      </c>
      <c r="J54" s="28">
        <v>12600</v>
      </c>
      <c r="K54" s="28">
        <v>18900</v>
      </c>
      <c r="L54" s="28">
        <v>31500</v>
      </c>
      <c r="M54" s="28">
        <v>31500</v>
      </c>
      <c r="N54" s="28">
        <v>795</v>
      </c>
      <c r="O54" s="28">
        <v>0</v>
      </c>
      <c r="P54" s="28">
        <v>2312.5</v>
      </c>
      <c r="Q54" s="28">
        <v>0</v>
      </c>
      <c r="R54" s="28">
        <v>0</v>
      </c>
      <c r="S54" s="28">
        <v>0</v>
      </c>
      <c r="T54" s="28">
        <v>2312.5</v>
      </c>
      <c r="U54" s="28">
        <v>34607.5</v>
      </c>
      <c r="V54" s="12">
        <v>33812.5</v>
      </c>
      <c r="W54" s="29" t="s">
        <v>1096</v>
      </c>
      <c r="X54" s="6" t="s">
        <v>35</v>
      </c>
      <c r="Y54" s="6" t="s">
        <v>877</v>
      </c>
      <c r="Z54" s="30" t="s">
        <v>36</v>
      </c>
      <c r="AA54" s="50"/>
    </row>
    <row r="55" spans="1:29" s="14" customFormat="1" ht="21.75" customHeight="1" x14ac:dyDescent="0.25">
      <c r="A55" s="6">
        <v>54</v>
      </c>
      <c r="B55" s="7">
        <v>2000679</v>
      </c>
      <c r="C55" s="15" t="s">
        <v>262</v>
      </c>
      <c r="D55" s="9" t="s">
        <v>263</v>
      </c>
      <c r="E55" s="9" t="s">
        <v>264</v>
      </c>
      <c r="F55" s="9" t="s">
        <v>52</v>
      </c>
      <c r="G55" s="10">
        <v>44678</v>
      </c>
      <c r="H55" s="11" t="s">
        <v>33</v>
      </c>
      <c r="I55" s="11" t="s">
        <v>152</v>
      </c>
      <c r="J55" s="11">
        <v>15750</v>
      </c>
      <c r="K55" s="11">
        <v>23625</v>
      </c>
      <c r="L55" s="12">
        <v>39375</v>
      </c>
      <c r="M55" s="12">
        <v>39375</v>
      </c>
      <c r="N55" s="12">
        <v>795</v>
      </c>
      <c r="O55" s="12">
        <v>3750</v>
      </c>
      <c r="P55" s="12">
        <v>0</v>
      </c>
      <c r="Q55" s="12">
        <v>0</v>
      </c>
      <c r="R55" s="12">
        <v>0</v>
      </c>
      <c r="S55" s="12">
        <v>0</v>
      </c>
      <c r="T55" s="12">
        <v>3750</v>
      </c>
      <c r="U55" s="12">
        <v>43920</v>
      </c>
      <c r="V55" s="12">
        <v>43125</v>
      </c>
      <c r="W55" s="13" t="s">
        <v>1180</v>
      </c>
      <c r="X55" s="6" t="s">
        <v>41</v>
      </c>
      <c r="Y55" s="6" t="s">
        <v>888</v>
      </c>
      <c r="Z55" s="6" t="s">
        <v>36</v>
      </c>
      <c r="AA55" s="50"/>
    </row>
    <row r="56" spans="1:29" s="14" customFormat="1" ht="21.75" customHeight="1" x14ac:dyDescent="0.25">
      <c r="A56" s="6">
        <v>55</v>
      </c>
      <c r="B56" s="7">
        <v>2000690</v>
      </c>
      <c r="C56" s="15" t="s">
        <v>271</v>
      </c>
      <c r="D56" s="88" t="s">
        <v>272</v>
      </c>
      <c r="E56" s="9" t="s">
        <v>273</v>
      </c>
      <c r="F56" s="9" t="s">
        <v>274</v>
      </c>
      <c r="G56" s="10">
        <v>44713</v>
      </c>
      <c r="H56" s="11" t="s">
        <v>69</v>
      </c>
      <c r="I56" s="11" t="s">
        <v>275</v>
      </c>
      <c r="J56" s="11">
        <v>39690</v>
      </c>
      <c r="K56" s="11">
        <v>59535</v>
      </c>
      <c r="L56" s="12">
        <v>99225</v>
      </c>
      <c r="M56" s="12">
        <v>99225</v>
      </c>
      <c r="N56" s="12">
        <v>795</v>
      </c>
      <c r="O56" s="12">
        <v>0</v>
      </c>
      <c r="P56" s="12">
        <v>0</v>
      </c>
      <c r="Q56" s="12">
        <v>14883.75</v>
      </c>
      <c r="R56" s="12">
        <v>0</v>
      </c>
      <c r="S56" s="12">
        <v>4961.25</v>
      </c>
      <c r="T56" s="12">
        <v>14883.75</v>
      </c>
      <c r="U56" s="12">
        <v>114903.75</v>
      </c>
      <c r="V56" s="12">
        <v>94263.75</v>
      </c>
      <c r="W56" s="13" t="s">
        <v>1184</v>
      </c>
      <c r="X56" s="6" t="s">
        <v>746</v>
      </c>
      <c r="Y56" s="6" t="s">
        <v>901</v>
      </c>
      <c r="Z56" s="6" t="s">
        <v>36</v>
      </c>
      <c r="AA56" s="14" t="s">
        <v>1184</v>
      </c>
      <c r="AB56" s="14" t="s">
        <v>1221</v>
      </c>
    </row>
    <row r="57" spans="1:29" s="14" customFormat="1" ht="21.75" customHeight="1" x14ac:dyDescent="0.25">
      <c r="A57" s="6">
        <v>56</v>
      </c>
      <c r="B57" s="19">
        <v>2000719</v>
      </c>
      <c r="C57" s="16" t="s">
        <v>290</v>
      </c>
      <c r="D57" s="17" t="s">
        <v>291</v>
      </c>
      <c r="E57" s="9" t="s">
        <v>706</v>
      </c>
      <c r="F57" s="17" t="s">
        <v>48</v>
      </c>
      <c r="G57" s="20">
        <v>44755</v>
      </c>
      <c r="H57" s="11" t="s">
        <v>33</v>
      </c>
      <c r="I57" s="11" t="s">
        <v>152</v>
      </c>
      <c r="J57" s="11">
        <v>22137.5</v>
      </c>
      <c r="K57" s="11">
        <v>33206.25</v>
      </c>
      <c r="L57" s="12">
        <v>55343.75</v>
      </c>
      <c r="M57" s="18">
        <v>55343.75</v>
      </c>
      <c r="N57" s="18">
        <v>795</v>
      </c>
      <c r="O57" s="12">
        <v>10062.5</v>
      </c>
      <c r="P57" s="18">
        <v>0</v>
      </c>
      <c r="Q57" s="18">
        <v>0</v>
      </c>
      <c r="R57" s="18">
        <v>0</v>
      </c>
      <c r="S57" s="18">
        <v>0</v>
      </c>
      <c r="T57" s="12">
        <v>10062.5</v>
      </c>
      <c r="U57" s="18">
        <v>66201.25</v>
      </c>
      <c r="V57" s="12">
        <v>65406.25</v>
      </c>
      <c r="W57" s="13" t="s">
        <v>1180</v>
      </c>
      <c r="X57" s="6" t="s">
        <v>88</v>
      </c>
      <c r="Y57" s="6" t="s">
        <v>888</v>
      </c>
      <c r="Z57" s="22" t="s">
        <v>36</v>
      </c>
      <c r="AA57" s="50"/>
    </row>
    <row r="58" spans="1:29" s="14" customFormat="1" ht="21.75" customHeight="1" x14ac:dyDescent="0.25">
      <c r="A58" s="6">
        <v>57</v>
      </c>
      <c r="B58" s="7">
        <v>2000707</v>
      </c>
      <c r="C58" s="15" t="s">
        <v>292</v>
      </c>
      <c r="D58" s="9" t="s">
        <v>293</v>
      </c>
      <c r="E58" s="9" t="s">
        <v>458</v>
      </c>
      <c r="F58" s="9" t="s">
        <v>61</v>
      </c>
      <c r="G58" s="10">
        <v>44743</v>
      </c>
      <c r="H58" s="11" t="s">
        <v>69</v>
      </c>
      <c r="I58" s="11" t="s">
        <v>104</v>
      </c>
      <c r="J58" s="11">
        <v>20947.5</v>
      </c>
      <c r="K58" s="11">
        <v>31421.25</v>
      </c>
      <c r="L58" s="12">
        <v>52368.75</v>
      </c>
      <c r="M58" s="12">
        <v>52368.75</v>
      </c>
      <c r="N58" s="12">
        <v>795</v>
      </c>
      <c r="O58" s="12">
        <v>4987.5</v>
      </c>
      <c r="P58" s="12">
        <v>0</v>
      </c>
      <c r="Q58" s="12">
        <v>0</v>
      </c>
      <c r="R58" s="12">
        <v>0</v>
      </c>
      <c r="S58" s="12">
        <v>0</v>
      </c>
      <c r="T58" s="12">
        <v>4987.5</v>
      </c>
      <c r="U58" s="12">
        <v>58151.25</v>
      </c>
      <c r="V58" s="12">
        <v>57356.25</v>
      </c>
      <c r="W58" s="13" t="s">
        <v>1180</v>
      </c>
      <c r="X58" s="6" t="s">
        <v>88</v>
      </c>
      <c r="Y58" s="6" t="s">
        <v>882</v>
      </c>
      <c r="Z58" s="6" t="s">
        <v>36</v>
      </c>
      <c r="AA58" s="50"/>
    </row>
    <row r="59" spans="1:29" s="14" customFormat="1" ht="21.75" customHeight="1" x14ac:dyDescent="0.25">
      <c r="A59" s="6">
        <v>58</v>
      </c>
      <c r="B59" s="7">
        <v>2000722</v>
      </c>
      <c r="C59" s="15" t="s">
        <v>299</v>
      </c>
      <c r="D59" s="9" t="s">
        <v>300</v>
      </c>
      <c r="E59" s="9" t="s">
        <v>165</v>
      </c>
      <c r="F59" s="9" t="s">
        <v>301</v>
      </c>
      <c r="G59" s="10">
        <v>44767</v>
      </c>
      <c r="H59" s="11" t="s">
        <v>49</v>
      </c>
      <c r="I59" s="11" t="s">
        <v>855</v>
      </c>
      <c r="J59" s="11">
        <v>13560.800000000001</v>
      </c>
      <c r="K59" s="11">
        <v>20341.2</v>
      </c>
      <c r="L59" s="12">
        <v>33902</v>
      </c>
      <c r="M59" s="12">
        <v>33902</v>
      </c>
      <c r="N59" s="12">
        <v>795</v>
      </c>
      <c r="O59" s="12">
        <v>3229</v>
      </c>
      <c r="P59" s="12">
        <v>0</v>
      </c>
      <c r="Q59" s="12">
        <v>0</v>
      </c>
      <c r="R59" s="12">
        <v>0</v>
      </c>
      <c r="S59" s="12">
        <v>0</v>
      </c>
      <c r="T59" s="12">
        <v>3229</v>
      </c>
      <c r="U59" s="12">
        <v>37926</v>
      </c>
      <c r="V59" s="12">
        <v>37131</v>
      </c>
      <c r="W59" s="13" t="s">
        <v>1180</v>
      </c>
      <c r="X59" s="6" t="s">
        <v>88</v>
      </c>
      <c r="Y59" s="6" t="s">
        <v>887</v>
      </c>
      <c r="Z59" s="6" t="s">
        <v>36</v>
      </c>
      <c r="AA59" s="50"/>
    </row>
    <row r="60" spans="1:29" s="14" customFormat="1" ht="21.75" customHeight="1" x14ac:dyDescent="0.25">
      <c r="A60" s="6">
        <v>59</v>
      </c>
      <c r="B60" s="7">
        <v>2000716</v>
      </c>
      <c r="C60" s="15" t="s">
        <v>302</v>
      </c>
      <c r="D60" s="87" t="s">
        <v>303</v>
      </c>
      <c r="E60" s="9" t="s">
        <v>394</v>
      </c>
      <c r="F60" s="9" t="s">
        <v>48</v>
      </c>
      <c r="G60" s="10">
        <v>44754</v>
      </c>
      <c r="H60" s="11" t="s">
        <v>69</v>
      </c>
      <c r="I60" s="11" t="s">
        <v>851</v>
      </c>
      <c r="J60" s="11">
        <v>7938</v>
      </c>
      <c r="K60" s="11">
        <v>11907</v>
      </c>
      <c r="L60" s="12">
        <v>19845</v>
      </c>
      <c r="M60" s="12">
        <v>19845</v>
      </c>
      <c r="N60" s="12">
        <v>795</v>
      </c>
      <c r="O60" s="12">
        <v>1890</v>
      </c>
      <c r="P60" s="12">
        <v>0</v>
      </c>
      <c r="Q60" s="12">
        <v>0</v>
      </c>
      <c r="R60" s="12">
        <v>0</v>
      </c>
      <c r="S60" s="12">
        <v>0</v>
      </c>
      <c r="T60" s="12">
        <v>1890</v>
      </c>
      <c r="U60" s="12">
        <v>22530</v>
      </c>
      <c r="V60" s="12">
        <v>21735</v>
      </c>
      <c r="W60" s="13" t="s">
        <v>1180</v>
      </c>
      <c r="X60" s="6" t="s">
        <v>902</v>
      </c>
      <c r="Y60" s="6" t="s">
        <v>875</v>
      </c>
      <c r="Z60" s="6" t="s">
        <v>36</v>
      </c>
      <c r="AA60" s="50"/>
    </row>
    <row r="61" spans="1:29" s="14" customFormat="1" ht="21.75" customHeight="1" x14ac:dyDescent="0.25">
      <c r="A61" s="6">
        <v>60</v>
      </c>
      <c r="B61" s="19">
        <v>2000702</v>
      </c>
      <c r="C61" s="16" t="s">
        <v>304</v>
      </c>
      <c r="D61" s="17" t="s">
        <v>305</v>
      </c>
      <c r="E61" s="9" t="s">
        <v>1026</v>
      </c>
      <c r="F61" s="17" t="s">
        <v>114</v>
      </c>
      <c r="G61" s="20">
        <v>44754</v>
      </c>
      <c r="H61" s="11" t="s">
        <v>236</v>
      </c>
      <c r="I61" s="11" t="s">
        <v>237</v>
      </c>
      <c r="J61" s="11">
        <v>16789.5</v>
      </c>
      <c r="K61" s="11">
        <v>25184.25</v>
      </c>
      <c r="L61" s="12">
        <v>41973.75</v>
      </c>
      <c r="M61" s="18">
        <v>41973.75</v>
      </c>
      <c r="N61" s="18">
        <v>795</v>
      </c>
      <c r="O61" s="12">
        <v>3997.5</v>
      </c>
      <c r="P61" s="18">
        <v>0</v>
      </c>
      <c r="Q61" s="18">
        <v>0</v>
      </c>
      <c r="R61" s="18">
        <v>0</v>
      </c>
      <c r="S61" s="18">
        <v>0</v>
      </c>
      <c r="T61" s="12">
        <v>3997.5</v>
      </c>
      <c r="U61" s="18">
        <v>46766.25</v>
      </c>
      <c r="V61" s="12">
        <v>45971.25</v>
      </c>
      <c r="W61" s="13" t="s">
        <v>1180</v>
      </c>
      <c r="X61" s="6" t="s">
        <v>88</v>
      </c>
      <c r="Y61" s="6" t="s">
        <v>897</v>
      </c>
      <c r="Z61" s="22" t="s">
        <v>36</v>
      </c>
      <c r="AA61" s="50"/>
    </row>
    <row r="62" spans="1:29" s="14" customFormat="1" ht="21.75" customHeight="1" x14ac:dyDescent="0.25">
      <c r="A62" s="6">
        <v>61</v>
      </c>
      <c r="B62" s="19">
        <v>2000732</v>
      </c>
      <c r="C62" s="16" t="s">
        <v>307</v>
      </c>
      <c r="D62" s="17" t="s">
        <v>308</v>
      </c>
      <c r="E62" s="9" t="s">
        <v>1027</v>
      </c>
      <c r="F62" s="17" t="s">
        <v>230</v>
      </c>
      <c r="G62" s="20">
        <v>44774</v>
      </c>
      <c r="H62" s="11" t="s">
        <v>40</v>
      </c>
      <c r="I62" s="11" t="s">
        <v>40</v>
      </c>
      <c r="J62" s="11">
        <v>20328</v>
      </c>
      <c r="K62" s="11">
        <v>30492</v>
      </c>
      <c r="L62" s="12">
        <v>50820</v>
      </c>
      <c r="M62" s="18">
        <v>50820</v>
      </c>
      <c r="N62" s="18">
        <v>795</v>
      </c>
      <c r="O62" s="12">
        <v>4840</v>
      </c>
      <c r="P62" s="3">
        <v>0</v>
      </c>
      <c r="Q62" s="3">
        <v>0</v>
      </c>
      <c r="R62" s="12">
        <v>0</v>
      </c>
      <c r="S62" s="12">
        <v>0</v>
      </c>
      <c r="T62" s="12">
        <v>4840</v>
      </c>
      <c r="U62" s="18">
        <v>56455</v>
      </c>
      <c r="V62" s="12">
        <v>55660</v>
      </c>
      <c r="W62" s="13" t="s">
        <v>1180</v>
      </c>
      <c r="X62" s="6" t="s">
        <v>253</v>
      </c>
      <c r="Y62" s="6" t="s">
        <v>880</v>
      </c>
      <c r="Z62" s="6" t="s">
        <v>36</v>
      </c>
      <c r="AA62" s="50"/>
    </row>
    <row r="63" spans="1:29" s="14" customFormat="1" ht="21.75" customHeight="1" x14ac:dyDescent="0.25">
      <c r="A63" s="6">
        <v>62</v>
      </c>
      <c r="B63" s="7">
        <v>2000742</v>
      </c>
      <c r="C63" s="15" t="s">
        <v>309</v>
      </c>
      <c r="D63" s="9" t="s">
        <v>310</v>
      </c>
      <c r="E63" s="9" t="s">
        <v>311</v>
      </c>
      <c r="F63" s="9" t="s">
        <v>81</v>
      </c>
      <c r="G63" s="10">
        <v>44809</v>
      </c>
      <c r="H63" s="11" t="s">
        <v>87</v>
      </c>
      <c r="I63" s="11" t="s">
        <v>1008</v>
      </c>
      <c r="J63" s="11">
        <v>12789</v>
      </c>
      <c r="K63" s="11">
        <v>19183.5</v>
      </c>
      <c r="L63" s="12">
        <v>31972.5</v>
      </c>
      <c r="M63" s="12">
        <v>31972.5</v>
      </c>
      <c r="N63" s="12">
        <v>795</v>
      </c>
      <c r="O63" s="12">
        <v>3045</v>
      </c>
      <c r="P63" s="12">
        <v>0</v>
      </c>
      <c r="Q63" s="12">
        <v>0</v>
      </c>
      <c r="R63" s="12">
        <v>0</v>
      </c>
      <c r="S63" s="12">
        <v>0</v>
      </c>
      <c r="T63" s="12">
        <v>3045</v>
      </c>
      <c r="U63" s="12">
        <v>35812.5</v>
      </c>
      <c r="V63" s="12">
        <v>35017.5</v>
      </c>
      <c r="W63" s="13" t="s">
        <v>1180</v>
      </c>
      <c r="X63" s="6" t="s">
        <v>88</v>
      </c>
      <c r="Y63" s="6" t="s">
        <v>877</v>
      </c>
      <c r="Z63" s="6" t="s">
        <v>36</v>
      </c>
      <c r="AA63" s="50"/>
    </row>
    <row r="64" spans="1:29" s="14" customFormat="1" ht="21.75" customHeight="1" x14ac:dyDescent="0.25">
      <c r="A64" s="6">
        <v>63</v>
      </c>
      <c r="B64" s="19">
        <v>2000725</v>
      </c>
      <c r="C64" s="16" t="s">
        <v>315</v>
      </c>
      <c r="D64" s="17" t="s">
        <v>316</v>
      </c>
      <c r="E64" s="9" t="s">
        <v>1029</v>
      </c>
      <c r="F64" s="17" t="s">
        <v>127</v>
      </c>
      <c r="G64" s="20">
        <v>44774</v>
      </c>
      <c r="H64" s="11" t="s">
        <v>69</v>
      </c>
      <c r="I64" s="11" t="s">
        <v>270</v>
      </c>
      <c r="J64" s="11">
        <v>20240</v>
      </c>
      <c r="K64" s="11">
        <v>30360</v>
      </c>
      <c r="L64" s="12">
        <v>50600</v>
      </c>
      <c r="M64" s="18">
        <v>50600</v>
      </c>
      <c r="N64" s="18">
        <v>795</v>
      </c>
      <c r="O64" s="12">
        <v>9200</v>
      </c>
      <c r="P64" s="18">
        <v>0</v>
      </c>
      <c r="Q64" s="18">
        <v>0</v>
      </c>
      <c r="R64" s="18">
        <v>0</v>
      </c>
      <c r="S64" s="18">
        <v>0</v>
      </c>
      <c r="T64" s="12">
        <v>9200</v>
      </c>
      <c r="U64" s="18">
        <v>60595</v>
      </c>
      <c r="V64" s="12">
        <v>59800</v>
      </c>
      <c r="W64" s="13" t="s">
        <v>1180</v>
      </c>
      <c r="X64" s="6" t="s">
        <v>88</v>
      </c>
      <c r="Y64" s="6" t="s">
        <v>900</v>
      </c>
      <c r="Z64" s="22" t="s">
        <v>36</v>
      </c>
      <c r="AA64" s="50"/>
    </row>
    <row r="65" spans="1:28" s="14" customFormat="1" ht="21.75" customHeight="1" x14ac:dyDescent="0.25">
      <c r="A65" s="6">
        <v>64</v>
      </c>
      <c r="B65" s="7">
        <v>2000735</v>
      </c>
      <c r="C65" s="15" t="s">
        <v>324</v>
      </c>
      <c r="D65" s="88" t="s">
        <v>325</v>
      </c>
      <c r="E65" s="9" t="s">
        <v>513</v>
      </c>
      <c r="F65" s="9" t="s">
        <v>274</v>
      </c>
      <c r="G65" s="10">
        <v>44795</v>
      </c>
      <c r="H65" s="11" t="s">
        <v>69</v>
      </c>
      <c r="I65" s="11" t="s">
        <v>294</v>
      </c>
      <c r="J65" s="11">
        <v>35280</v>
      </c>
      <c r="K65" s="11">
        <v>52920</v>
      </c>
      <c r="L65" s="12">
        <v>88200</v>
      </c>
      <c r="M65" s="12">
        <v>88200</v>
      </c>
      <c r="N65" s="12">
        <v>795</v>
      </c>
      <c r="O65" s="12">
        <v>8400</v>
      </c>
      <c r="P65" s="12">
        <v>0</v>
      </c>
      <c r="Q65" s="12">
        <v>12600</v>
      </c>
      <c r="R65" s="12">
        <v>0</v>
      </c>
      <c r="S65" s="12">
        <v>4200</v>
      </c>
      <c r="T65" s="12">
        <v>21000</v>
      </c>
      <c r="U65" s="12">
        <v>109995</v>
      </c>
      <c r="V65" s="12">
        <v>92400</v>
      </c>
      <c r="W65" s="13" t="s">
        <v>1180</v>
      </c>
      <c r="X65" s="6" t="s">
        <v>202</v>
      </c>
      <c r="Y65" s="6" t="s">
        <v>1077</v>
      </c>
      <c r="Z65" s="6" t="s">
        <v>36</v>
      </c>
      <c r="AA65" s="14" t="s">
        <v>1180</v>
      </c>
      <c r="AB65" s="14" t="s">
        <v>1222</v>
      </c>
    </row>
    <row r="66" spans="1:28" s="14" customFormat="1" ht="21.75" customHeight="1" x14ac:dyDescent="0.25">
      <c r="A66" s="6">
        <v>65</v>
      </c>
      <c r="B66" s="23">
        <v>2000739</v>
      </c>
      <c r="C66" s="24" t="s">
        <v>326</v>
      </c>
      <c r="D66" s="25" t="s">
        <v>327</v>
      </c>
      <c r="E66" s="9" t="s">
        <v>808</v>
      </c>
      <c r="F66" s="26" t="s">
        <v>328</v>
      </c>
      <c r="G66" s="27">
        <v>44804</v>
      </c>
      <c r="H66" s="11" t="s">
        <v>236</v>
      </c>
      <c r="I66" s="11" t="s">
        <v>237</v>
      </c>
      <c r="J66" s="28">
        <v>16720</v>
      </c>
      <c r="K66" s="28">
        <v>25080</v>
      </c>
      <c r="L66" s="28">
        <v>41800</v>
      </c>
      <c r="M66" s="28">
        <v>41800</v>
      </c>
      <c r="N66" s="28">
        <v>795</v>
      </c>
      <c r="O66" s="28">
        <v>0</v>
      </c>
      <c r="P66" s="28">
        <v>539.58333333333326</v>
      </c>
      <c r="Q66" s="28">
        <v>0</v>
      </c>
      <c r="R66" s="28">
        <v>0</v>
      </c>
      <c r="S66" s="28">
        <v>0</v>
      </c>
      <c r="T66" s="28">
        <v>539.58333333333326</v>
      </c>
      <c r="U66" s="28">
        <v>43134.583333333336</v>
      </c>
      <c r="V66" s="12">
        <v>42339.583333333336</v>
      </c>
      <c r="W66" s="29" t="s">
        <v>798</v>
      </c>
      <c r="X66" s="6" t="s">
        <v>88</v>
      </c>
      <c r="Y66" s="6" t="s">
        <v>897</v>
      </c>
      <c r="Z66" s="30" t="s">
        <v>36</v>
      </c>
      <c r="AA66" s="50"/>
    </row>
    <row r="67" spans="1:28" s="14" customFormat="1" ht="21.75" customHeight="1" x14ac:dyDescent="0.25">
      <c r="A67" s="6">
        <v>66</v>
      </c>
      <c r="B67" s="7">
        <v>2000538</v>
      </c>
      <c r="C67" s="16" t="s">
        <v>329</v>
      </c>
      <c r="D67" s="17" t="s">
        <v>330</v>
      </c>
      <c r="E67" s="9" t="s">
        <v>1030</v>
      </c>
      <c r="F67" s="9" t="s">
        <v>48</v>
      </c>
      <c r="G67" s="10">
        <v>44831</v>
      </c>
      <c r="H67" s="11" t="s">
        <v>45</v>
      </c>
      <c r="I67" s="11" t="s">
        <v>256</v>
      </c>
      <c r="J67" s="11">
        <v>23284.800000000003</v>
      </c>
      <c r="K67" s="11">
        <v>34927.199999999997</v>
      </c>
      <c r="L67" s="12">
        <v>58212</v>
      </c>
      <c r="M67" s="12">
        <v>58212</v>
      </c>
      <c r="N67" s="12">
        <v>795</v>
      </c>
      <c r="O67" s="12">
        <v>10584</v>
      </c>
      <c r="P67" s="12">
        <v>0</v>
      </c>
      <c r="Q67" s="12">
        <v>0</v>
      </c>
      <c r="R67" s="12">
        <v>0</v>
      </c>
      <c r="S67" s="12">
        <v>0</v>
      </c>
      <c r="T67" s="12">
        <v>10584</v>
      </c>
      <c r="U67" s="18">
        <v>69591</v>
      </c>
      <c r="V67" s="12">
        <v>68796</v>
      </c>
      <c r="W67" s="13" t="s">
        <v>1180</v>
      </c>
      <c r="X67" s="6" t="s">
        <v>202</v>
      </c>
      <c r="Y67" s="6" t="s">
        <v>898</v>
      </c>
      <c r="Z67" s="6" t="s">
        <v>36</v>
      </c>
      <c r="AA67" s="50"/>
    </row>
    <row r="68" spans="1:28" s="14" customFormat="1" ht="21.75" customHeight="1" x14ac:dyDescent="0.25">
      <c r="A68" s="6">
        <v>67</v>
      </c>
      <c r="B68" s="7">
        <v>2000745</v>
      </c>
      <c r="C68" s="16" t="s">
        <v>331</v>
      </c>
      <c r="D68" s="17" t="s">
        <v>332</v>
      </c>
      <c r="E68" s="9" t="s">
        <v>333</v>
      </c>
      <c r="F68" s="9" t="s">
        <v>48</v>
      </c>
      <c r="G68" s="10">
        <v>44806</v>
      </c>
      <c r="H68" s="11" t="s">
        <v>45</v>
      </c>
      <c r="I68" s="11" t="s">
        <v>857</v>
      </c>
      <c r="J68" s="11">
        <v>15435</v>
      </c>
      <c r="K68" s="11">
        <v>23152.5</v>
      </c>
      <c r="L68" s="12">
        <v>38587.5</v>
      </c>
      <c r="M68" s="12">
        <v>38587.5</v>
      </c>
      <c r="N68" s="12">
        <v>795</v>
      </c>
      <c r="O68" s="12">
        <v>3675</v>
      </c>
      <c r="P68" s="12">
        <v>0</v>
      </c>
      <c r="Q68" s="12">
        <v>0</v>
      </c>
      <c r="R68" s="12">
        <v>0</v>
      </c>
      <c r="S68" s="12">
        <v>0</v>
      </c>
      <c r="T68" s="12">
        <v>3675</v>
      </c>
      <c r="U68" s="18">
        <v>43057.5</v>
      </c>
      <c r="V68" s="12">
        <v>42262.5</v>
      </c>
      <c r="W68" s="13" t="s">
        <v>1180</v>
      </c>
      <c r="X68" s="6" t="s">
        <v>88</v>
      </c>
      <c r="Y68" s="6" t="s">
        <v>893</v>
      </c>
      <c r="Z68" s="6" t="s">
        <v>36</v>
      </c>
      <c r="AA68" s="50"/>
    </row>
    <row r="69" spans="1:28" s="14" customFormat="1" ht="21.75" customHeight="1" x14ac:dyDescent="0.25">
      <c r="A69" s="6">
        <v>68</v>
      </c>
      <c r="B69" s="7">
        <v>2000751</v>
      </c>
      <c r="C69" s="15" t="s">
        <v>337</v>
      </c>
      <c r="D69" s="9" t="s">
        <v>338</v>
      </c>
      <c r="E69" s="9" t="s">
        <v>707</v>
      </c>
      <c r="F69" s="9" t="s">
        <v>52</v>
      </c>
      <c r="G69" s="10">
        <v>44806</v>
      </c>
      <c r="H69" s="11" t="s">
        <v>33</v>
      </c>
      <c r="I69" s="11" t="s">
        <v>152</v>
      </c>
      <c r="J69" s="11">
        <v>10412.1</v>
      </c>
      <c r="K69" s="11">
        <v>15618.15</v>
      </c>
      <c r="L69" s="12">
        <v>26030.25</v>
      </c>
      <c r="M69" s="12">
        <v>26030.25</v>
      </c>
      <c r="N69" s="12">
        <v>795</v>
      </c>
      <c r="O69" s="12">
        <v>4733</v>
      </c>
      <c r="P69" s="12">
        <v>0</v>
      </c>
      <c r="Q69" s="12">
        <v>0</v>
      </c>
      <c r="R69" s="12">
        <v>0</v>
      </c>
      <c r="S69" s="12">
        <v>0</v>
      </c>
      <c r="T69" s="12">
        <v>4733</v>
      </c>
      <c r="U69" s="12">
        <v>31558.25</v>
      </c>
      <c r="V69" s="12">
        <v>30763.25</v>
      </c>
      <c r="W69" s="13" t="s">
        <v>1180</v>
      </c>
      <c r="X69" s="6" t="s">
        <v>210</v>
      </c>
      <c r="Y69" s="6" t="s">
        <v>888</v>
      </c>
      <c r="Z69" s="6" t="s">
        <v>36</v>
      </c>
      <c r="AA69" s="50"/>
    </row>
    <row r="70" spans="1:28" s="14" customFormat="1" ht="21.75" customHeight="1" x14ac:dyDescent="0.25">
      <c r="A70" s="6">
        <v>69</v>
      </c>
      <c r="B70" s="7">
        <v>2000760</v>
      </c>
      <c r="C70" s="15" t="s">
        <v>339</v>
      </c>
      <c r="D70" s="9" t="s">
        <v>340</v>
      </c>
      <c r="E70" s="9" t="s">
        <v>100</v>
      </c>
      <c r="F70" s="9" t="s">
        <v>72</v>
      </c>
      <c r="G70" s="10">
        <v>44817</v>
      </c>
      <c r="H70" s="11" t="s">
        <v>33</v>
      </c>
      <c r="I70" s="11" t="s">
        <v>97</v>
      </c>
      <c r="J70" s="11">
        <v>8400</v>
      </c>
      <c r="K70" s="11">
        <v>12600</v>
      </c>
      <c r="L70" s="12">
        <v>21000</v>
      </c>
      <c r="M70" s="12">
        <v>21000</v>
      </c>
      <c r="N70" s="12">
        <v>795</v>
      </c>
      <c r="O70" s="12">
        <v>2000</v>
      </c>
      <c r="P70" s="12">
        <v>0</v>
      </c>
      <c r="Q70" s="12">
        <v>0</v>
      </c>
      <c r="R70" s="12">
        <v>0</v>
      </c>
      <c r="S70" s="12">
        <v>0</v>
      </c>
      <c r="T70" s="12">
        <v>2000</v>
      </c>
      <c r="U70" s="12">
        <v>23795</v>
      </c>
      <c r="V70" s="12">
        <v>23000</v>
      </c>
      <c r="W70" s="13" t="s">
        <v>1180</v>
      </c>
      <c r="X70" s="6" t="s">
        <v>210</v>
      </c>
      <c r="Y70" s="6" t="s">
        <v>880</v>
      </c>
      <c r="Z70" s="6" t="s">
        <v>36</v>
      </c>
      <c r="AA70" s="50"/>
    </row>
    <row r="71" spans="1:28" s="14" customFormat="1" ht="21.75" customHeight="1" x14ac:dyDescent="0.25">
      <c r="A71" s="6">
        <v>70</v>
      </c>
      <c r="B71" s="7">
        <v>2000759</v>
      </c>
      <c r="C71" s="15" t="s">
        <v>341</v>
      </c>
      <c r="D71" s="9" t="s">
        <v>342</v>
      </c>
      <c r="E71" s="9" t="s">
        <v>925</v>
      </c>
      <c r="F71" s="9" t="s">
        <v>114</v>
      </c>
      <c r="G71" s="10">
        <v>44816</v>
      </c>
      <c r="H71" s="11" t="s">
        <v>236</v>
      </c>
      <c r="I71" s="11" t="s">
        <v>306</v>
      </c>
      <c r="J71" s="11">
        <v>14700</v>
      </c>
      <c r="K71" s="11">
        <v>22050</v>
      </c>
      <c r="L71" s="12">
        <v>36750</v>
      </c>
      <c r="M71" s="12">
        <v>36750</v>
      </c>
      <c r="N71" s="12">
        <v>795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37545</v>
      </c>
      <c r="V71" s="12">
        <v>36750</v>
      </c>
      <c r="W71" s="13" t="s">
        <v>1101</v>
      </c>
      <c r="X71" s="6" t="s">
        <v>88</v>
      </c>
      <c r="Y71" s="6" t="s">
        <v>904</v>
      </c>
      <c r="Z71" s="6" t="s">
        <v>36</v>
      </c>
      <c r="AA71" s="50"/>
    </row>
    <row r="72" spans="1:28" s="14" customFormat="1" ht="21.75" customHeight="1" x14ac:dyDescent="0.25">
      <c r="A72" s="6">
        <v>71</v>
      </c>
      <c r="B72" s="7">
        <v>2000776</v>
      </c>
      <c r="C72" s="15" t="s">
        <v>343</v>
      </c>
      <c r="D72" s="9" t="s">
        <v>344</v>
      </c>
      <c r="E72" s="9" t="s">
        <v>708</v>
      </c>
      <c r="F72" s="9" t="s">
        <v>48</v>
      </c>
      <c r="G72" s="10">
        <v>44838</v>
      </c>
      <c r="H72" s="11" t="s">
        <v>87</v>
      </c>
      <c r="I72" s="11" t="s">
        <v>176</v>
      </c>
      <c r="J72" s="11">
        <v>31460</v>
      </c>
      <c r="K72" s="11">
        <v>47190</v>
      </c>
      <c r="L72" s="12">
        <v>78650</v>
      </c>
      <c r="M72" s="12">
        <v>78650</v>
      </c>
      <c r="N72" s="12">
        <v>795</v>
      </c>
      <c r="O72" s="12">
        <v>14300</v>
      </c>
      <c r="P72" s="12">
        <v>0</v>
      </c>
      <c r="Q72" s="12">
        <v>0</v>
      </c>
      <c r="R72" s="12">
        <v>0</v>
      </c>
      <c r="S72" s="12">
        <v>0</v>
      </c>
      <c r="T72" s="12">
        <v>14300</v>
      </c>
      <c r="U72" s="12">
        <v>93745</v>
      </c>
      <c r="V72" s="12">
        <v>92950</v>
      </c>
      <c r="W72" s="13" t="s">
        <v>1180</v>
      </c>
      <c r="X72" s="6" t="s">
        <v>202</v>
      </c>
      <c r="Y72" s="6" t="s">
        <v>890</v>
      </c>
      <c r="Z72" s="6" t="s">
        <v>36</v>
      </c>
      <c r="AA72" s="50"/>
    </row>
    <row r="73" spans="1:28" s="14" customFormat="1" ht="21.75" customHeight="1" x14ac:dyDescent="0.25">
      <c r="A73" s="6">
        <v>72</v>
      </c>
      <c r="B73" s="7">
        <v>2000766</v>
      </c>
      <c r="C73" s="15" t="s">
        <v>349</v>
      </c>
      <c r="D73" s="9" t="s">
        <v>350</v>
      </c>
      <c r="E73" s="9" t="s">
        <v>213</v>
      </c>
      <c r="F73" s="9" t="s">
        <v>81</v>
      </c>
      <c r="G73" s="10">
        <v>44841</v>
      </c>
      <c r="H73" s="11" t="s">
        <v>69</v>
      </c>
      <c r="I73" s="11" t="s">
        <v>294</v>
      </c>
      <c r="J73" s="11">
        <v>48300</v>
      </c>
      <c r="K73" s="11">
        <v>72450</v>
      </c>
      <c r="L73" s="12">
        <v>120750</v>
      </c>
      <c r="M73" s="12">
        <v>120750</v>
      </c>
      <c r="N73" s="12">
        <v>795</v>
      </c>
      <c r="O73" s="12">
        <v>31500</v>
      </c>
      <c r="P73" s="12">
        <v>0</v>
      </c>
      <c r="Q73" s="12">
        <v>0</v>
      </c>
      <c r="R73" s="12">
        <v>0</v>
      </c>
      <c r="S73" s="12">
        <v>0</v>
      </c>
      <c r="T73" s="12">
        <v>31500</v>
      </c>
      <c r="U73" s="12">
        <v>153045</v>
      </c>
      <c r="V73" s="12">
        <v>152250</v>
      </c>
      <c r="W73" s="13" t="s">
        <v>1180</v>
      </c>
      <c r="X73" s="6" t="s">
        <v>202</v>
      </c>
      <c r="Y73" s="6" t="s">
        <v>1077</v>
      </c>
      <c r="Z73" s="6" t="s">
        <v>36</v>
      </c>
      <c r="AA73" s="50"/>
    </row>
    <row r="74" spans="1:28" s="14" customFormat="1" ht="21.75" customHeight="1" x14ac:dyDescent="0.25">
      <c r="A74" s="6">
        <v>73</v>
      </c>
      <c r="B74" s="7">
        <v>2000763</v>
      </c>
      <c r="C74" s="15" t="s">
        <v>351</v>
      </c>
      <c r="D74" s="9" t="s">
        <v>352</v>
      </c>
      <c r="E74" s="9" t="s">
        <v>709</v>
      </c>
      <c r="F74" s="9" t="s">
        <v>52</v>
      </c>
      <c r="G74" s="10">
        <v>44826</v>
      </c>
      <c r="H74" s="11" t="s">
        <v>87</v>
      </c>
      <c r="I74" s="11" t="s">
        <v>1008</v>
      </c>
      <c r="J74" s="11">
        <v>9732.9</v>
      </c>
      <c r="K74" s="11">
        <v>14599.35</v>
      </c>
      <c r="L74" s="12">
        <v>24332.25</v>
      </c>
      <c r="M74" s="12">
        <v>24332.25</v>
      </c>
      <c r="N74" s="12">
        <v>795</v>
      </c>
      <c r="O74" s="12">
        <v>2317.5</v>
      </c>
      <c r="P74" s="12">
        <v>0</v>
      </c>
      <c r="Q74" s="12">
        <v>0</v>
      </c>
      <c r="R74" s="12">
        <v>0</v>
      </c>
      <c r="S74" s="12">
        <v>0</v>
      </c>
      <c r="T74" s="12">
        <v>2317.5</v>
      </c>
      <c r="U74" s="12">
        <v>27444.75</v>
      </c>
      <c r="V74" s="12">
        <v>26649.75</v>
      </c>
      <c r="W74" s="13" t="s">
        <v>1180</v>
      </c>
      <c r="X74" s="6" t="s">
        <v>210</v>
      </c>
      <c r="Y74" s="6" t="s">
        <v>877</v>
      </c>
      <c r="Z74" s="6" t="s">
        <v>36</v>
      </c>
      <c r="AA74" s="50"/>
    </row>
    <row r="75" spans="1:28" s="14" customFormat="1" ht="21.75" customHeight="1" x14ac:dyDescent="0.25">
      <c r="A75" s="6">
        <v>74</v>
      </c>
      <c r="B75" s="7">
        <v>2000548</v>
      </c>
      <c r="C75" s="16" t="s">
        <v>353</v>
      </c>
      <c r="D75" s="17" t="s">
        <v>354</v>
      </c>
      <c r="E75" s="9" t="s">
        <v>1031</v>
      </c>
      <c r="F75" s="9" t="s">
        <v>355</v>
      </c>
      <c r="G75" s="10">
        <v>44831</v>
      </c>
      <c r="H75" s="11" t="s">
        <v>45</v>
      </c>
      <c r="I75" s="11" t="s">
        <v>256</v>
      </c>
      <c r="J75" s="11">
        <v>14700</v>
      </c>
      <c r="K75" s="11">
        <v>22050</v>
      </c>
      <c r="L75" s="12">
        <v>36750</v>
      </c>
      <c r="M75" s="12">
        <v>36750</v>
      </c>
      <c r="N75" s="12">
        <v>795</v>
      </c>
      <c r="O75" s="12">
        <v>3500</v>
      </c>
      <c r="P75" s="12">
        <v>0</v>
      </c>
      <c r="Q75" s="12">
        <v>0</v>
      </c>
      <c r="R75" s="12">
        <v>0</v>
      </c>
      <c r="S75" s="12">
        <v>0</v>
      </c>
      <c r="T75" s="12">
        <v>3500</v>
      </c>
      <c r="U75" s="18">
        <v>41045</v>
      </c>
      <c r="V75" s="12">
        <v>40250</v>
      </c>
      <c r="W75" s="13" t="s">
        <v>1180</v>
      </c>
      <c r="X75" s="6" t="s">
        <v>56</v>
      </c>
      <c r="Y75" s="6" t="s">
        <v>898</v>
      </c>
      <c r="Z75" s="6" t="s">
        <v>36</v>
      </c>
      <c r="AA75" s="50"/>
    </row>
    <row r="76" spans="1:28" s="14" customFormat="1" ht="21.75" customHeight="1" x14ac:dyDescent="0.25">
      <c r="A76" s="6">
        <v>75</v>
      </c>
      <c r="B76" s="7">
        <v>2000774</v>
      </c>
      <c r="C76" s="15" t="s">
        <v>359</v>
      </c>
      <c r="D76" s="9" t="s">
        <v>360</v>
      </c>
      <c r="E76" s="9" t="s">
        <v>702</v>
      </c>
      <c r="F76" s="9" t="s">
        <v>32</v>
      </c>
      <c r="G76" s="10">
        <v>44839</v>
      </c>
      <c r="H76" s="11" t="s">
        <v>33</v>
      </c>
      <c r="I76" s="11" t="s">
        <v>34</v>
      </c>
      <c r="J76" s="11">
        <v>12535.6</v>
      </c>
      <c r="K76" s="11">
        <v>18803.399999999998</v>
      </c>
      <c r="L76" s="12">
        <v>31339</v>
      </c>
      <c r="M76" s="12">
        <v>31339</v>
      </c>
      <c r="N76" s="12">
        <v>795</v>
      </c>
      <c r="O76" s="12">
        <v>5698</v>
      </c>
      <c r="P76" s="12">
        <v>0</v>
      </c>
      <c r="Q76" s="12">
        <v>0</v>
      </c>
      <c r="R76" s="12">
        <v>0</v>
      </c>
      <c r="S76" s="12">
        <v>0</v>
      </c>
      <c r="T76" s="12">
        <v>5698</v>
      </c>
      <c r="U76" s="12">
        <v>37832</v>
      </c>
      <c r="V76" s="12">
        <v>37037</v>
      </c>
      <c r="W76" s="13" t="s">
        <v>1180</v>
      </c>
      <c r="X76" s="6" t="s">
        <v>35</v>
      </c>
      <c r="Y76" s="6" t="s">
        <v>868</v>
      </c>
      <c r="Z76" s="6" t="s">
        <v>36</v>
      </c>
      <c r="AA76" s="50"/>
    </row>
    <row r="77" spans="1:28" s="14" customFormat="1" ht="21.75" customHeight="1" x14ac:dyDescent="0.25">
      <c r="A77" s="6">
        <v>76</v>
      </c>
      <c r="B77" s="7">
        <v>2000770</v>
      </c>
      <c r="C77" s="15" t="s">
        <v>361</v>
      </c>
      <c r="D77" s="9" t="s">
        <v>362</v>
      </c>
      <c r="E77" s="9" t="s">
        <v>1032</v>
      </c>
      <c r="F77" s="9" t="s">
        <v>363</v>
      </c>
      <c r="G77" s="10">
        <v>44837</v>
      </c>
      <c r="H77" s="11" t="s">
        <v>236</v>
      </c>
      <c r="I77" s="11" t="s">
        <v>237</v>
      </c>
      <c r="J77" s="11">
        <v>13608</v>
      </c>
      <c r="K77" s="11">
        <v>20412</v>
      </c>
      <c r="L77" s="12">
        <v>34020</v>
      </c>
      <c r="M77" s="12">
        <v>34020</v>
      </c>
      <c r="N77" s="12">
        <v>795</v>
      </c>
      <c r="O77" s="12">
        <v>3240</v>
      </c>
      <c r="P77" s="12">
        <v>0</v>
      </c>
      <c r="Q77" s="12">
        <v>0</v>
      </c>
      <c r="R77" s="12">
        <v>0</v>
      </c>
      <c r="S77" s="12">
        <v>0</v>
      </c>
      <c r="T77" s="12">
        <v>3240</v>
      </c>
      <c r="U77" s="12">
        <v>38055</v>
      </c>
      <c r="V77" s="12">
        <v>37260</v>
      </c>
      <c r="W77" s="13" t="s">
        <v>1180</v>
      </c>
      <c r="X77" s="6" t="s">
        <v>210</v>
      </c>
      <c r="Y77" s="6" t="s">
        <v>897</v>
      </c>
      <c r="Z77" s="6" t="s">
        <v>36</v>
      </c>
      <c r="AA77" s="50"/>
    </row>
    <row r="78" spans="1:28" s="14" customFormat="1" ht="21.75" customHeight="1" x14ac:dyDescent="0.25">
      <c r="A78" s="6">
        <v>77</v>
      </c>
      <c r="B78" s="7">
        <v>2000778</v>
      </c>
      <c r="C78" s="15" t="s">
        <v>364</v>
      </c>
      <c r="D78" s="9" t="s">
        <v>365</v>
      </c>
      <c r="E78" s="9" t="s">
        <v>458</v>
      </c>
      <c r="F78" s="9" t="s">
        <v>127</v>
      </c>
      <c r="G78" s="10">
        <v>44844</v>
      </c>
      <c r="H78" s="11" t="s">
        <v>40</v>
      </c>
      <c r="I78" s="11" t="s">
        <v>40</v>
      </c>
      <c r="J78" s="11">
        <v>20727</v>
      </c>
      <c r="K78" s="11">
        <v>31090.5</v>
      </c>
      <c r="L78" s="12">
        <v>51817.5</v>
      </c>
      <c r="M78" s="12">
        <v>51817.5</v>
      </c>
      <c r="N78" s="12">
        <v>795</v>
      </c>
      <c r="O78" s="12">
        <v>4935</v>
      </c>
      <c r="P78" s="12">
        <v>0</v>
      </c>
      <c r="Q78" s="12">
        <v>0</v>
      </c>
      <c r="R78" s="12">
        <v>0</v>
      </c>
      <c r="S78" s="12">
        <v>0</v>
      </c>
      <c r="T78" s="12">
        <v>4935</v>
      </c>
      <c r="U78" s="12">
        <v>57547.5</v>
      </c>
      <c r="V78" s="12">
        <v>56752.5</v>
      </c>
      <c r="W78" s="13" t="s">
        <v>1180</v>
      </c>
      <c r="X78" s="6" t="s">
        <v>88</v>
      </c>
      <c r="Y78" s="6" t="s">
        <v>905</v>
      </c>
      <c r="Z78" s="6" t="s">
        <v>36</v>
      </c>
      <c r="AA78" s="50"/>
    </row>
    <row r="79" spans="1:28" s="14" customFormat="1" ht="21.75" customHeight="1" x14ac:dyDescent="0.25">
      <c r="A79" s="6">
        <v>78</v>
      </c>
      <c r="B79" s="7">
        <v>2000777</v>
      </c>
      <c r="C79" s="15" t="s">
        <v>366</v>
      </c>
      <c r="D79" s="9" t="s">
        <v>367</v>
      </c>
      <c r="E79" s="9" t="s">
        <v>1033</v>
      </c>
      <c r="F79" s="9" t="s">
        <v>81</v>
      </c>
      <c r="G79" s="10">
        <v>44839</v>
      </c>
      <c r="H79" s="11" t="s">
        <v>87</v>
      </c>
      <c r="I79" s="11" t="s">
        <v>176</v>
      </c>
      <c r="J79" s="11">
        <v>16170</v>
      </c>
      <c r="K79" s="11">
        <v>24255</v>
      </c>
      <c r="L79" s="12">
        <v>40425</v>
      </c>
      <c r="M79" s="12">
        <v>40425</v>
      </c>
      <c r="N79" s="12">
        <v>795</v>
      </c>
      <c r="O79" s="12">
        <v>3850</v>
      </c>
      <c r="P79" s="12">
        <v>0</v>
      </c>
      <c r="Q79" s="12">
        <v>0</v>
      </c>
      <c r="R79" s="12">
        <v>0</v>
      </c>
      <c r="S79" s="12">
        <v>0</v>
      </c>
      <c r="T79" s="12">
        <v>3850</v>
      </c>
      <c r="U79" s="12">
        <v>45070</v>
      </c>
      <c r="V79" s="12">
        <v>44275</v>
      </c>
      <c r="W79" s="13" t="s">
        <v>1180</v>
      </c>
      <c r="X79" s="6" t="s">
        <v>88</v>
      </c>
      <c r="Y79" s="6" t="s">
        <v>890</v>
      </c>
      <c r="Z79" s="6" t="s">
        <v>36</v>
      </c>
      <c r="AA79" s="50"/>
    </row>
    <row r="80" spans="1:28" s="14" customFormat="1" ht="21.75" customHeight="1" x14ac:dyDescent="0.25">
      <c r="A80" s="6">
        <v>79</v>
      </c>
      <c r="B80" s="7">
        <v>2000767</v>
      </c>
      <c r="C80" s="16" t="s">
        <v>368</v>
      </c>
      <c r="D80" s="89" t="s">
        <v>369</v>
      </c>
      <c r="E80" s="9" t="s">
        <v>726</v>
      </c>
      <c r="F80" s="9" t="s">
        <v>274</v>
      </c>
      <c r="G80" s="10">
        <v>44837</v>
      </c>
      <c r="H80" s="11" t="s">
        <v>45</v>
      </c>
      <c r="I80" s="11" t="s">
        <v>370</v>
      </c>
      <c r="J80" s="11">
        <v>10500</v>
      </c>
      <c r="K80" s="11">
        <v>15750</v>
      </c>
      <c r="L80" s="12">
        <v>26250</v>
      </c>
      <c r="M80" s="12">
        <v>26250</v>
      </c>
      <c r="N80" s="12">
        <v>795</v>
      </c>
      <c r="O80" s="12">
        <v>0</v>
      </c>
      <c r="P80" s="12">
        <v>0</v>
      </c>
      <c r="Q80" s="12">
        <v>3937.5</v>
      </c>
      <c r="R80" s="12">
        <v>0</v>
      </c>
      <c r="S80" s="12">
        <v>1312.5</v>
      </c>
      <c r="T80" s="12">
        <v>3937.5</v>
      </c>
      <c r="U80" s="18">
        <v>30982.5</v>
      </c>
      <c r="V80" s="12">
        <v>24937.5</v>
      </c>
      <c r="W80" s="13" t="s">
        <v>1184</v>
      </c>
      <c r="X80" s="6" t="s">
        <v>210</v>
      </c>
      <c r="Y80" s="6" t="s">
        <v>906</v>
      </c>
      <c r="Z80" s="6" t="s">
        <v>36</v>
      </c>
      <c r="AA80" s="14" t="s">
        <v>1184</v>
      </c>
      <c r="AB80" s="14" t="s">
        <v>1223</v>
      </c>
    </row>
    <row r="81" spans="1:28 16378:16382" s="14" customFormat="1" ht="21.75" customHeight="1" x14ac:dyDescent="0.25">
      <c r="A81" s="6">
        <v>80</v>
      </c>
      <c r="B81" s="7">
        <v>2000773</v>
      </c>
      <c r="C81" s="15" t="s">
        <v>371</v>
      </c>
      <c r="D81" s="9" t="s">
        <v>372</v>
      </c>
      <c r="E81" s="9" t="s">
        <v>373</v>
      </c>
      <c r="F81" s="9" t="s">
        <v>52</v>
      </c>
      <c r="G81" s="10">
        <v>44839</v>
      </c>
      <c r="H81" s="11" t="s">
        <v>33</v>
      </c>
      <c r="I81" s="11" t="s">
        <v>53</v>
      </c>
      <c r="J81" s="11">
        <v>11917.5</v>
      </c>
      <c r="K81" s="11">
        <v>17876.25</v>
      </c>
      <c r="L81" s="12">
        <v>29793.75</v>
      </c>
      <c r="M81" s="12">
        <v>29793.75</v>
      </c>
      <c r="N81" s="12">
        <v>795</v>
      </c>
      <c r="O81" s="12">
        <v>2837.5</v>
      </c>
      <c r="P81" s="12">
        <v>0</v>
      </c>
      <c r="Q81" s="12">
        <v>0</v>
      </c>
      <c r="R81" s="12">
        <v>0</v>
      </c>
      <c r="S81" s="12">
        <v>0</v>
      </c>
      <c r="T81" s="12">
        <v>2837.5</v>
      </c>
      <c r="U81" s="12">
        <v>33426.25</v>
      </c>
      <c r="V81" s="12">
        <v>32631.25</v>
      </c>
      <c r="W81" s="13" t="s">
        <v>1180</v>
      </c>
      <c r="X81" s="6" t="s">
        <v>88</v>
      </c>
      <c r="Y81" s="6" t="s">
        <v>872</v>
      </c>
      <c r="Z81" s="6" t="s">
        <v>36</v>
      </c>
      <c r="AA81" s="50"/>
    </row>
    <row r="82" spans="1:28 16378:16382" s="14" customFormat="1" ht="21.75" customHeight="1" x14ac:dyDescent="0.25">
      <c r="A82" s="6">
        <v>81</v>
      </c>
      <c r="B82" s="7">
        <v>2000807</v>
      </c>
      <c r="C82" s="15" t="s">
        <v>374</v>
      </c>
      <c r="D82" s="9" t="s">
        <v>375</v>
      </c>
      <c r="E82" s="9" t="s">
        <v>376</v>
      </c>
      <c r="F82" s="9" t="s">
        <v>363</v>
      </c>
      <c r="G82" s="10">
        <v>44866</v>
      </c>
      <c r="H82" s="11" t="s">
        <v>40</v>
      </c>
      <c r="I82" s="11" t="s">
        <v>221</v>
      </c>
      <c r="J82" s="11">
        <v>24200</v>
      </c>
      <c r="K82" s="11">
        <v>36300</v>
      </c>
      <c r="L82" s="12">
        <v>60500</v>
      </c>
      <c r="M82" s="12">
        <v>60500</v>
      </c>
      <c r="N82" s="12">
        <v>795</v>
      </c>
      <c r="O82" s="12">
        <v>11000</v>
      </c>
      <c r="P82" s="12">
        <v>0</v>
      </c>
      <c r="Q82" s="12">
        <v>0</v>
      </c>
      <c r="R82" s="12">
        <v>0</v>
      </c>
      <c r="S82" s="12">
        <v>0</v>
      </c>
      <c r="T82" s="12">
        <v>11000</v>
      </c>
      <c r="U82" s="12">
        <v>72295</v>
      </c>
      <c r="V82" s="12">
        <v>71500</v>
      </c>
      <c r="W82" s="13" t="s">
        <v>1180</v>
      </c>
      <c r="X82" s="6" t="s">
        <v>88</v>
      </c>
      <c r="Y82" s="6" t="s">
        <v>894</v>
      </c>
      <c r="Z82" s="6" t="s">
        <v>36</v>
      </c>
      <c r="AA82" s="50"/>
    </row>
    <row r="83" spans="1:28 16378:16382" s="14" customFormat="1" ht="21.75" customHeight="1" x14ac:dyDescent="0.25">
      <c r="A83" s="6">
        <v>82</v>
      </c>
      <c r="B83" s="7">
        <v>2000802</v>
      </c>
      <c r="C83" s="15" t="s">
        <v>377</v>
      </c>
      <c r="D83" s="9" t="s">
        <v>378</v>
      </c>
      <c r="E83" s="9" t="s">
        <v>682</v>
      </c>
      <c r="F83" s="9" t="s">
        <v>44</v>
      </c>
      <c r="G83" s="10">
        <v>44859</v>
      </c>
      <c r="H83" s="11" t="s">
        <v>33</v>
      </c>
      <c r="I83" s="11" t="s">
        <v>34</v>
      </c>
      <c r="J83" s="11">
        <v>13230</v>
      </c>
      <c r="K83" s="11">
        <v>19845</v>
      </c>
      <c r="L83" s="12">
        <v>33075</v>
      </c>
      <c r="M83" s="12">
        <v>33075</v>
      </c>
      <c r="N83" s="12">
        <v>795</v>
      </c>
      <c r="O83" s="12">
        <v>3150</v>
      </c>
      <c r="P83" s="12">
        <v>0</v>
      </c>
      <c r="Q83" s="12">
        <v>0</v>
      </c>
      <c r="R83" s="12">
        <v>0</v>
      </c>
      <c r="S83" s="12">
        <v>0</v>
      </c>
      <c r="T83" s="12">
        <v>3150</v>
      </c>
      <c r="U83" s="12">
        <v>37020</v>
      </c>
      <c r="V83" s="12">
        <v>36225</v>
      </c>
      <c r="W83" s="13" t="s">
        <v>1180</v>
      </c>
      <c r="X83" s="6" t="s">
        <v>210</v>
      </c>
      <c r="Y83" s="6" t="s">
        <v>868</v>
      </c>
      <c r="Z83" s="6" t="s">
        <v>36</v>
      </c>
      <c r="AA83" s="50"/>
    </row>
    <row r="84" spans="1:28 16378:16382" s="14" customFormat="1" ht="21.75" customHeight="1" x14ac:dyDescent="0.25">
      <c r="A84" s="6">
        <v>83</v>
      </c>
      <c r="B84" s="7">
        <v>2000801</v>
      </c>
      <c r="C84" s="15" t="s">
        <v>379</v>
      </c>
      <c r="D84" s="9" t="s">
        <v>380</v>
      </c>
      <c r="E84" s="9" t="s">
        <v>402</v>
      </c>
      <c r="F84" s="9" t="s">
        <v>52</v>
      </c>
      <c r="G84" s="10">
        <v>44859</v>
      </c>
      <c r="H84" s="11" t="s">
        <v>33</v>
      </c>
      <c r="I84" s="11" t="s">
        <v>34</v>
      </c>
      <c r="J84" s="11">
        <v>13230</v>
      </c>
      <c r="K84" s="11">
        <v>19845</v>
      </c>
      <c r="L84" s="12">
        <v>33075</v>
      </c>
      <c r="M84" s="12">
        <v>33075</v>
      </c>
      <c r="N84" s="12">
        <v>795</v>
      </c>
      <c r="O84" s="12">
        <v>3150</v>
      </c>
      <c r="P84" s="12">
        <v>0</v>
      </c>
      <c r="Q84" s="12">
        <v>0</v>
      </c>
      <c r="R84" s="12">
        <v>0</v>
      </c>
      <c r="S84" s="12">
        <v>0</v>
      </c>
      <c r="T84" s="12">
        <v>3150</v>
      </c>
      <c r="U84" s="12">
        <v>37020</v>
      </c>
      <c r="V84" s="12">
        <v>36225</v>
      </c>
      <c r="W84" s="13" t="s">
        <v>1180</v>
      </c>
      <c r="X84" s="6" t="s">
        <v>88</v>
      </c>
      <c r="Y84" s="6" t="s">
        <v>868</v>
      </c>
      <c r="Z84" s="6" t="s">
        <v>36</v>
      </c>
      <c r="AA84" s="50"/>
    </row>
    <row r="85" spans="1:28 16378:16382" s="14" customFormat="1" ht="21.75" customHeight="1" x14ac:dyDescent="0.25">
      <c r="A85" s="6">
        <v>84</v>
      </c>
      <c r="B85" s="7">
        <v>2000805</v>
      </c>
      <c r="C85" s="16" t="s">
        <v>381</v>
      </c>
      <c r="D85" s="17" t="s">
        <v>382</v>
      </c>
      <c r="E85" s="9" t="s">
        <v>1034</v>
      </c>
      <c r="F85" s="9" t="s">
        <v>121</v>
      </c>
      <c r="G85" s="10">
        <v>44865</v>
      </c>
      <c r="H85" s="11" t="s">
        <v>45</v>
      </c>
      <c r="I85" s="11" t="s">
        <v>848</v>
      </c>
      <c r="J85" s="11">
        <v>12485</v>
      </c>
      <c r="K85" s="11">
        <v>18727.5</v>
      </c>
      <c r="L85" s="12">
        <v>31212.5</v>
      </c>
      <c r="M85" s="12">
        <v>31212.5</v>
      </c>
      <c r="N85" s="12">
        <v>795</v>
      </c>
      <c r="O85" s="12">
        <v>5675</v>
      </c>
      <c r="P85" s="12">
        <v>0</v>
      </c>
      <c r="Q85" s="12">
        <v>0</v>
      </c>
      <c r="R85" s="12">
        <v>0</v>
      </c>
      <c r="S85" s="12">
        <v>0</v>
      </c>
      <c r="T85" s="12">
        <v>5675</v>
      </c>
      <c r="U85" s="18">
        <v>37682.5</v>
      </c>
      <c r="V85" s="12">
        <v>36887.5</v>
      </c>
      <c r="W85" s="13" t="s">
        <v>1180</v>
      </c>
      <c r="X85" s="6" t="s">
        <v>88</v>
      </c>
      <c r="Y85" s="6" t="s">
        <v>870</v>
      </c>
      <c r="Z85" s="6" t="s">
        <v>36</v>
      </c>
      <c r="AA85" s="50"/>
    </row>
    <row r="86" spans="1:28 16378:16382" s="14" customFormat="1" ht="21.75" customHeight="1" x14ac:dyDescent="0.25">
      <c r="A86" s="6">
        <v>85</v>
      </c>
      <c r="B86" s="19">
        <v>2000808</v>
      </c>
      <c r="C86" s="16" t="s">
        <v>383</v>
      </c>
      <c r="D86" s="87" t="s">
        <v>384</v>
      </c>
      <c r="E86" s="9" t="s">
        <v>1035</v>
      </c>
      <c r="F86" s="17" t="s">
        <v>114</v>
      </c>
      <c r="G86" s="20">
        <v>44867</v>
      </c>
      <c r="H86" s="11" t="s">
        <v>69</v>
      </c>
      <c r="I86" s="11" t="s">
        <v>270</v>
      </c>
      <c r="J86" s="11">
        <v>19320</v>
      </c>
      <c r="K86" s="11">
        <v>28980</v>
      </c>
      <c r="L86" s="12">
        <v>48300</v>
      </c>
      <c r="M86" s="18">
        <v>48300</v>
      </c>
      <c r="N86" s="18">
        <v>795</v>
      </c>
      <c r="O86" s="12">
        <v>4600</v>
      </c>
      <c r="P86" s="18">
        <v>0</v>
      </c>
      <c r="Q86" s="18">
        <v>0</v>
      </c>
      <c r="R86" s="18">
        <v>0</v>
      </c>
      <c r="S86" s="18">
        <v>0</v>
      </c>
      <c r="T86" s="12">
        <v>4600</v>
      </c>
      <c r="U86" s="18">
        <v>53695</v>
      </c>
      <c r="V86" s="12">
        <v>52900</v>
      </c>
      <c r="W86" s="13" t="s">
        <v>1180</v>
      </c>
      <c r="X86" s="6" t="s">
        <v>56</v>
      </c>
      <c r="Y86" s="6" t="s">
        <v>900</v>
      </c>
      <c r="Z86" s="22" t="s">
        <v>149</v>
      </c>
      <c r="AA86" s="50"/>
    </row>
    <row r="87" spans="1:28 16378:16382" s="14" customFormat="1" ht="21.75" customHeight="1" x14ac:dyDescent="0.25">
      <c r="A87" s="6">
        <v>86</v>
      </c>
      <c r="B87" s="7">
        <v>2000821</v>
      </c>
      <c r="C87" s="15" t="s">
        <v>385</v>
      </c>
      <c r="D87" s="9" t="s">
        <v>386</v>
      </c>
      <c r="E87" s="9" t="s">
        <v>710</v>
      </c>
      <c r="F87" s="9" t="s">
        <v>52</v>
      </c>
      <c r="G87" s="10">
        <v>44922</v>
      </c>
      <c r="H87" s="11" t="s">
        <v>33</v>
      </c>
      <c r="I87" s="11" t="s">
        <v>53</v>
      </c>
      <c r="J87" s="11">
        <v>10143</v>
      </c>
      <c r="K87" s="11">
        <v>15214.5</v>
      </c>
      <c r="L87" s="12">
        <v>25357.5</v>
      </c>
      <c r="M87" s="12">
        <v>25357.5</v>
      </c>
      <c r="N87" s="12">
        <v>795</v>
      </c>
      <c r="O87" s="12">
        <v>2415</v>
      </c>
      <c r="P87" s="12">
        <v>0</v>
      </c>
      <c r="Q87" s="12">
        <v>0</v>
      </c>
      <c r="R87" s="12">
        <v>0</v>
      </c>
      <c r="S87" s="12">
        <v>0</v>
      </c>
      <c r="T87" s="12">
        <v>2415</v>
      </c>
      <c r="U87" s="12">
        <v>28567.5</v>
      </c>
      <c r="V87" s="12">
        <v>27772.5</v>
      </c>
      <c r="W87" s="13" t="s">
        <v>1180</v>
      </c>
      <c r="X87" s="6" t="s">
        <v>210</v>
      </c>
      <c r="Y87" s="6" t="s">
        <v>872</v>
      </c>
      <c r="Z87" s="6" t="s">
        <v>36</v>
      </c>
      <c r="AA87" s="50"/>
    </row>
    <row r="88" spans="1:28 16378:16382" s="14" customFormat="1" ht="21.75" customHeight="1" x14ac:dyDescent="0.25">
      <c r="A88" s="22">
        <v>87</v>
      </c>
      <c r="B88" s="19">
        <v>2000811</v>
      </c>
      <c r="C88" s="16" t="s">
        <v>392</v>
      </c>
      <c r="D88" s="17" t="s">
        <v>393</v>
      </c>
      <c r="E88" s="17" t="s">
        <v>1036</v>
      </c>
      <c r="F88" s="21" t="s">
        <v>395</v>
      </c>
      <c r="G88" s="20">
        <v>44881</v>
      </c>
      <c r="H88" s="21" t="s">
        <v>69</v>
      </c>
      <c r="I88" s="21" t="s">
        <v>275</v>
      </c>
      <c r="J88" s="21">
        <v>13860</v>
      </c>
      <c r="K88" s="21">
        <v>20790</v>
      </c>
      <c r="L88" s="18">
        <v>34650</v>
      </c>
      <c r="M88" s="18">
        <v>34650</v>
      </c>
      <c r="N88" s="18">
        <v>795</v>
      </c>
      <c r="O88" s="18">
        <v>6300</v>
      </c>
      <c r="P88" s="18">
        <v>-4625</v>
      </c>
      <c r="Q88" s="18">
        <v>0</v>
      </c>
      <c r="R88" s="18">
        <v>0</v>
      </c>
      <c r="S88" s="18">
        <v>0</v>
      </c>
      <c r="T88" s="18">
        <v>1675</v>
      </c>
      <c r="U88" s="18">
        <v>37120</v>
      </c>
      <c r="V88" s="12">
        <v>36325</v>
      </c>
      <c r="W88" s="96" t="s">
        <v>1181</v>
      </c>
      <c r="X88" s="22" t="s">
        <v>210</v>
      </c>
      <c r="Y88" s="22" t="s">
        <v>901</v>
      </c>
      <c r="Z88" s="30" t="s">
        <v>36</v>
      </c>
      <c r="AA88" s="50"/>
      <c r="XEX88" s="22"/>
      <c r="XEY88" s="19"/>
      <c r="XEZ88" s="16"/>
      <c r="XFA88" s="17"/>
      <c r="XFB88" s="21"/>
    </row>
    <row r="89" spans="1:28 16378:16382" s="14" customFormat="1" ht="21.75" customHeight="1" x14ac:dyDescent="0.25">
      <c r="A89" s="6">
        <v>88</v>
      </c>
      <c r="B89" s="7">
        <v>2000813</v>
      </c>
      <c r="C89" s="15" t="s">
        <v>396</v>
      </c>
      <c r="D89" s="88" t="s">
        <v>397</v>
      </c>
      <c r="E89" s="9" t="s">
        <v>398</v>
      </c>
      <c r="F89" s="9" t="s">
        <v>399</v>
      </c>
      <c r="G89" s="10">
        <v>44889</v>
      </c>
      <c r="H89" s="11" t="s">
        <v>33</v>
      </c>
      <c r="I89" s="11" t="s">
        <v>53</v>
      </c>
      <c r="J89" s="11">
        <v>12618.400000000001</v>
      </c>
      <c r="K89" s="11">
        <v>18927.599999999999</v>
      </c>
      <c r="L89" s="12">
        <v>31546</v>
      </c>
      <c r="M89" s="12">
        <v>31546</v>
      </c>
      <c r="N89" s="12">
        <v>795</v>
      </c>
      <c r="O89" s="12">
        <v>3004.5</v>
      </c>
      <c r="P89" s="12">
        <v>0</v>
      </c>
      <c r="Q89" s="12">
        <v>3470.06</v>
      </c>
      <c r="R89" s="12">
        <v>0</v>
      </c>
      <c r="S89" s="12">
        <v>3154.6000000000004</v>
      </c>
      <c r="T89" s="12">
        <v>6474.5599999999995</v>
      </c>
      <c r="U89" s="12">
        <v>38815.56</v>
      </c>
      <c r="V89" s="12">
        <v>31395.9</v>
      </c>
      <c r="W89" s="13" t="s">
        <v>1185</v>
      </c>
      <c r="X89" s="6" t="s">
        <v>88</v>
      </c>
      <c r="Y89" s="6" t="s">
        <v>872</v>
      </c>
      <c r="Z89" s="6" t="s">
        <v>36</v>
      </c>
      <c r="AA89" s="14" t="s">
        <v>1185</v>
      </c>
      <c r="AB89" s="14" t="s">
        <v>1224</v>
      </c>
    </row>
    <row r="90" spans="1:28 16378:16382" s="14" customFormat="1" ht="21.75" customHeight="1" x14ac:dyDescent="0.25">
      <c r="A90" s="6">
        <v>89</v>
      </c>
      <c r="B90" s="23">
        <v>2000803</v>
      </c>
      <c r="C90" s="24" t="s">
        <v>403</v>
      </c>
      <c r="D90" s="25" t="s">
        <v>404</v>
      </c>
      <c r="E90" s="9" t="s">
        <v>712</v>
      </c>
      <c r="F90" s="26" t="s">
        <v>114</v>
      </c>
      <c r="G90" s="27">
        <v>44928</v>
      </c>
      <c r="H90" s="11" t="s">
        <v>33</v>
      </c>
      <c r="I90" s="11" t="s">
        <v>34</v>
      </c>
      <c r="J90" s="28">
        <v>18900</v>
      </c>
      <c r="K90" s="28">
        <v>28350</v>
      </c>
      <c r="L90" s="28">
        <v>47250</v>
      </c>
      <c r="M90" s="28">
        <v>47250</v>
      </c>
      <c r="N90" s="28">
        <v>795</v>
      </c>
      <c r="O90" s="28">
        <v>0</v>
      </c>
      <c r="P90" s="28">
        <v>3250</v>
      </c>
      <c r="Q90" s="28">
        <v>0</v>
      </c>
      <c r="R90" s="28">
        <v>0</v>
      </c>
      <c r="S90" s="28">
        <v>0</v>
      </c>
      <c r="T90" s="28">
        <v>3250</v>
      </c>
      <c r="U90" s="28">
        <v>51295</v>
      </c>
      <c r="V90" s="12">
        <v>50500</v>
      </c>
      <c r="W90" s="29" t="s">
        <v>799</v>
      </c>
      <c r="X90" s="6" t="s">
        <v>88</v>
      </c>
      <c r="Y90" s="6" t="s">
        <v>868</v>
      </c>
      <c r="Z90" s="30" t="s">
        <v>36</v>
      </c>
      <c r="AA90" s="50"/>
    </row>
    <row r="91" spans="1:28 16378:16382" s="14" customFormat="1" ht="21.75" customHeight="1" x14ac:dyDescent="0.25">
      <c r="A91" s="6">
        <v>90</v>
      </c>
      <c r="B91" s="7">
        <v>2000887</v>
      </c>
      <c r="C91" s="15" t="s">
        <v>408</v>
      </c>
      <c r="D91" s="9" t="s">
        <v>409</v>
      </c>
      <c r="E91" s="9" t="s">
        <v>714</v>
      </c>
      <c r="F91" s="9" t="s">
        <v>52</v>
      </c>
      <c r="G91" s="10">
        <v>44986</v>
      </c>
      <c r="H91" s="11" t="s">
        <v>33</v>
      </c>
      <c r="I91" s="11" t="s">
        <v>34</v>
      </c>
      <c r="J91" s="11">
        <v>13582.800000000001</v>
      </c>
      <c r="K91" s="11">
        <v>20374.2</v>
      </c>
      <c r="L91" s="12">
        <v>33957</v>
      </c>
      <c r="M91" s="12">
        <v>33957</v>
      </c>
      <c r="N91" s="12">
        <v>1590</v>
      </c>
      <c r="O91" s="12">
        <v>3234</v>
      </c>
      <c r="P91" s="12">
        <v>32340</v>
      </c>
      <c r="Q91" s="12">
        <v>0</v>
      </c>
      <c r="R91" s="12">
        <v>0</v>
      </c>
      <c r="S91" s="12">
        <v>0</v>
      </c>
      <c r="T91" s="12">
        <v>35574</v>
      </c>
      <c r="U91" s="12">
        <v>71121</v>
      </c>
      <c r="V91" s="12">
        <v>69531</v>
      </c>
      <c r="W91" s="13" t="s">
        <v>1197</v>
      </c>
      <c r="X91" s="13" t="s">
        <v>88</v>
      </c>
      <c r="Y91" s="6" t="s">
        <v>868</v>
      </c>
      <c r="Z91" s="6" t="s">
        <v>36</v>
      </c>
      <c r="AA91" s="50"/>
      <c r="AB91" s="14">
        <v>38781</v>
      </c>
    </row>
    <row r="92" spans="1:28 16378:16382" s="14" customFormat="1" ht="21.75" customHeight="1" x14ac:dyDescent="0.25">
      <c r="A92" s="6">
        <v>91</v>
      </c>
      <c r="B92" s="7">
        <v>2000884</v>
      </c>
      <c r="C92" s="15" t="s">
        <v>405</v>
      </c>
      <c r="D92" s="9" t="s">
        <v>406</v>
      </c>
      <c r="E92" s="9" t="s">
        <v>713</v>
      </c>
      <c r="F92" s="9" t="s">
        <v>407</v>
      </c>
      <c r="G92" s="10">
        <v>44985</v>
      </c>
      <c r="H92" s="11" t="s">
        <v>49</v>
      </c>
      <c r="I92" s="11" t="s">
        <v>1023</v>
      </c>
      <c r="J92" s="11">
        <v>15435</v>
      </c>
      <c r="K92" s="11">
        <v>23152.5</v>
      </c>
      <c r="L92" s="12">
        <v>38587.5</v>
      </c>
      <c r="M92" s="12">
        <v>38587.5</v>
      </c>
      <c r="N92" s="12">
        <v>795</v>
      </c>
      <c r="O92" s="12">
        <v>3675</v>
      </c>
      <c r="P92" s="12">
        <v>0</v>
      </c>
      <c r="Q92" s="12">
        <v>0</v>
      </c>
      <c r="R92" s="12">
        <v>0</v>
      </c>
      <c r="S92" s="12">
        <v>0</v>
      </c>
      <c r="T92" s="12">
        <v>3675</v>
      </c>
      <c r="U92" s="12">
        <v>43057.5</v>
      </c>
      <c r="V92" s="12">
        <v>42262.5</v>
      </c>
      <c r="W92" s="13" t="s">
        <v>1180</v>
      </c>
      <c r="X92" s="6" t="s">
        <v>88</v>
      </c>
      <c r="Y92" s="6" t="s">
        <v>899</v>
      </c>
      <c r="Z92" s="6" t="s">
        <v>36</v>
      </c>
      <c r="AA92" s="50"/>
    </row>
    <row r="93" spans="1:28 16378:16382" s="14" customFormat="1" ht="21.75" customHeight="1" x14ac:dyDescent="0.25">
      <c r="A93" s="6">
        <v>92</v>
      </c>
      <c r="B93" s="7">
        <v>2000886</v>
      </c>
      <c r="C93" s="15" t="s">
        <v>410</v>
      </c>
      <c r="D93" s="9" t="s">
        <v>411</v>
      </c>
      <c r="E93" s="9" t="s">
        <v>715</v>
      </c>
      <c r="F93" s="9" t="s">
        <v>363</v>
      </c>
      <c r="G93" s="10">
        <v>44991</v>
      </c>
      <c r="H93" s="11" t="s">
        <v>69</v>
      </c>
      <c r="I93" s="11" t="s">
        <v>275</v>
      </c>
      <c r="J93" s="11">
        <v>20837.300000000003</v>
      </c>
      <c r="K93" s="11">
        <v>31255.949999999997</v>
      </c>
      <c r="L93" s="12">
        <v>52093.25</v>
      </c>
      <c r="M93" s="12">
        <v>52093.25</v>
      </c>
      <c r="N93" s="12">
        <v>795</v>
      </c>
      <c r="O93" s="12">
        <v>4961.5</v>
      </c>
      <c r="P93" s="12">
        <v>0</v>
      </c>
      <c r="Q93" s="12">
        <v>0</v>
      </c>
      <c r="R93" s="12">
        <v>0</v>
      </c>
      <c r="S93" s="12">
        <v>0</v>
      </c>
      <c r="T93" s="12">
        <v>4961.5</v>
      </c>
      <c r="U93" s="12">
        <v>57849.75</v>
      </c>
      <c r="V93" s="12">
        <v>57054.75</v>
      </c>
      <c r="W93" s="13" t="s">
        <v>1180</v>
      </c>
      <c r="X93" s="6" t="s">
        <v>88</v>
      </c>
      <c r="Y93" s="6" t="s">
        <v>901</v>
      </c>
      <c r="Z93" s="6" t="s">
        <v>36</v>
      </c>
      <c r="AA93" s="50"/>
    </row>
    <row r="94" spans="1:28 16378:16382" s="14" customFormat="1" ht="21.75" customHeight="1" x14ac:dyDescent="0.25">
      <c r="A94" s="6">
        <v>93</v>
      </c>
      <c r="B94" s="23">
        <v>2000896</v>
      </c>
      <c r="C94" s="24" t="s">
        <v>412</v>
      </c>
      <c r="D94" s="25" t="s">
        <v>413</v>
      </c>
      <c r="E94" s="9" t="s">
        <v>926</v>
      </c>
      <c r="F94" s="26" t="s">
        <v>81</v>
      </c>
      <c r="G94" s="27">
        <v>45000</v>
      </c>
      <c r="H94" s="11" t="s">
        <v>33</v>
      </c>
      <c r="I94" s="11" t="s">
        <v>152</v>
      </c>
      <c r="J94" s="28">
        <v>32550</v>
      </c>
      <c r="K94" s="28">
        <v>48825</v>
      </c>
      <c r="L94" s="28">
        <v>81375</v>
      </c>
      <c r="M94" s="28">
        <v>81375</v>
      </c>
      <c r="N94" s="28">
        <v>795</v>
      </c>
      <c r="O94" s="28">
        <v>0</v>
      </c>
      <c r="P94" s="28">
        <v>5550</v>
      </c>
      <c r="Q94" s="28">
        <v>0</v>
      </c>
      <c r="R94" s="28">
        <v>0</v>
      </c>
      <c r="S94" s="28">
        <v>0</v>
      </c>
      <c r="T94" s="28">
        <v>5550</v>
      </c>
      <c r="U94" s="28">
        <v>87720</v>
      </c>
      <c r="V94" s="12">
        <v>86925</v>
      </c>
      <c r="W94" s="29" t="s">
        <v>1194</v>
      </c>
      <c r="X94" s="6" t="s">
        <v>202</v>
      </c>
      <c r="Y94" s="6" t="s">
        <v>888</v>
      </c>
      <c r="Z94" s="30" t="s">
        <v>36</v>
      </c>
      <c r="AA94" s="50"/>
    </row>
    <row r="95" spans="1:28 16378:16382" s="14" customFormat="1" ht="21.75" customHeight="1" x14ac:dyDescent="0.25">
      <c r="A95" s="6">
        <v>94</v>
      </c>
      <c r="B95" s="7">
        <v>2000899</v>
      </c>
      <c r="C95" s="15" t="s">
        <v>414</v>
      </c>
      <c r="D95" s="9" t="s">
        <v>415</v>
      </c>
      <c r="E95" s="9" t="s">
        <v>716</v>
      </c>
      <c r="F95" s="9" t="s">
        <v>407</v>
      </c>
      <c r="G95" s="10">
        <v>45016</v>
      </c>
      <c r="H95" s="11" t="s">
        <v>49</v>
      </c>
      <c r="I95" s="11" t="s">
        <v>62</v>
      </c>
      <c r="J95" s="11">
        <v>18480</v>
      </c>
      <c r="K95" s="11">
        <v>27720</v>
      </c>
      <c r="L95" s="12">
        <v>46200</v>
      </c>
      <c r="M95" s="12">
        <v>46200</v>
      </c>
      <c r="N95" s="12">
        <v>795</v>
      </c>
      <c r="O95" s="12">
        <v>8400</v>
      </c>
      <c r="P95" s="12">
        <v>0</v>
      </c>
      <c r="Q95" s="12">
        <v>0</v>
      </c>
      <c r="R95" s="12">
        <v>0</v>
      </c>
      <c r="S95" s="12">
        <v>0</v>
      </c>
      <c r="T95" s="12">
        <v>8400</v>
      </c>
      <c r="U95" s="12">
        <v>55395</v>
      </c>
      <c r="V95" s="12">
        <v>54600</v>
      </c>
      <c r="W95" s="13" t="s">
        <v>1180</v>
      </c>
      <c r="X95" s="6" t="s">
        <v>88</v>
      </c>
      <c r="Y95" s="6" t="s">
        <v>874</v>
      </c>
      <c r="Z95" s="6" t="s">
        <v>36</v>
      </c>
      <c r="AA95" s="50"/>
    </row>
    <row r="96" spans="1:28 16378:16382" s="14" customFormat="1" ht="21.75" customHeight="1" x14ac:dyDescent="0.25">
      <c r="A96" s="6">
        <v>95</v>
      </c>
      <c r="B96" s="7">
        <v>2000905</v>
      </c>
      <c r="C96" s="15" t="s">
        <v>416</v>
      </c>
      <c r="D96" s="9" t="s">
        <v>417</v>
      </c>
      <c r="E96" s="9" t="s">
        <v>1037</v>
      </c>
      <c r="F96" s="9" t="s">
        <v>419</v>
      </c>
      <c r="G96" s="10">
        <v>45020</v>
      </c>
      <c r="H96" s="11" t="s">
        <v>40</v>
      </c>
      <c r="I96" s="11" t="s">
        <v>847</v>
      </c>
      <c r="J96" s="11">
        <v>43537.700000000004</v>
      </c>
      <c r="K96" s="11">
        <v>65306.549999999996</v>
      </c>
      <c r="L96" s="12">
        <v>108844.25</v>
      </c>
      <c r="M96" s="12">
        <v>108844.25</v>
      </c>
      <c r="N96" s="12">
        <v>795</v>
      </c>
      <c r="O96" s="12">
        <v>10366</v>
      </c>
      <c r="P96" s="12">
        <v>0</v>
      </c>
      <c r="Q96" s="12">
        <v>0</v>
      </c>
      <c r="R96" s="12">
        <v>0</v>
      </c>
      <c r="S96" s="12">
        <v>0</v>
      </c>
      <c r="T96" s="12">
        <v>10366</v>
      </c>
      <c r="U96" s="12">
        <v>120005.25</v>
      </c>
      <c r="V96" s="12">
        <v>119210.25</v>
      </c>
      <c r="W96" s="13" t="s">
        <v>1180</v>
      </c>
      <c r="X96" s="6" t="s">
        <v>202</v>
      </c>
      <c r="Y96" s="6" t="s">
        <v>869</v>
      </c>
      <c r="Z96" s="6" t="s">
        <v>36</v>
      </c>
      <c r="AA96" s="50"/>
    </row>
    <row r="97" spans="1:28 16378:16382" s="14" customFormat="1" ht="21.75" customHeight="1" x14ac:dyDescent="0.25">
      <c r="A97" s="6">
        <v>96</v>
      </c>
      <c r="B97" s="7">
        <v>2000900</v>
      </c>
      <c r="C97" s="15" t="s">
        <v>420</v>
      </c>
      <c r="D97" s="9" t="s">
        <v>421</v>
      </c>
      <c r="E97" s="9" t="s">
        <v>1038</v>
      </c>
      <c r="F97" s="9" t="s">
        <v>114</v>
      </c>
      <c r="G97" s="10">
        <v>45012</v>
      </c>
      <c r="H97" s="11" t="s">
        <v>69</v>
      </c>
      <c r="I97" s="11" t="s">
        <v>104</v>
      </c>
      <c r="J97" s="11">
        <v>15435</v>
      </c>
      <c r="K97" s="11">
        <v>23152.5</v>
      </c>
      <c r="L97" s="12">
        <v>38587.5</v>
      </c>
      <c r="M97" s="12">
        <v>38587.5</v>
      </c>
      <c r="N97" s="12">
        <v>795</v>
      </c>
      <c r="O97" s="12">
        <v>3675</v>
      </c>
      <c r="P97" s="12">
        <v>0</v>
      </c>
      <c r="Q97" s="12">
        <v>0</v>
      </c>
      <c r="R97" s="12">
        <v>0</v>
      </c>
      <c r="S97" s="12">
        <v>0</v>
      </c>
      <c r="T97" s="12">
        <v>3675</v>
      </c>
      <c r="U97" s="12">
        <v>43057.5</v>
      </c>
      <c r="V97" s="12">
        <v>42262.5</v>
      </c>
      <c r="W97" s="13" t="s">
        <v>1180</v>
      </c>
      <c r="X97" s="6" t="s">
        <v>88</v>
      </c>
      <c r="Y97" s="6" t="s">
        <v>882</v>
      </c>
      <c r="Z97" s="6" t="s">
        <v>36</v>
      </c>
      <c r="AA97" s="50"/>
    </row>
    <row r="98" spans="1:28 16378:16382" s="14" customFormat="1" ht="21.75" customHeight="1" x14ac:dyDescent="0.25">
      <c r="A98" s="6">
        <v>97</v>
      </c>
      <c r="B98" s="7">
        <v>2000901</v>
      </c>
      <c r="C98" s="15" t="s">
        <v>422</v>
      </c>
      <c r="D98" s="9" t="s">
        <v>423</v>
      </c>
      <c r="E98" s="9" t="s">
        <v>424</v>
      </c>
      <c r="F98" s="9" t="s">
        <v>230</v>
      </c>
      <c r="G98" s="10">
        <v>45020</v>
      </c>
      <c r="H98" s="11" t="s">
        <v>87</v>
      </c>
      <c r="I98" s="11" t="s">
        <v>1008</v>
      </c>
      <c r="J98" s="11">
        <v>27720</v>
      </c>
      <c r="K98" s="11">
        <v>41580</v>
      </c>
      <c r="L98" s="12">
        <v>69300</v>
      </c>
      <c r="M98" s="12">
        <v>69300</v>
      </c>
      <c r="N98" s="12">
        <v>795</v>
      </c>
      <c r="O98" s="12">
        <v>6600</v>
      </c>
      <c r="P98" s="12">
        <v>0</v>
      </c>
      <c r="Q98" s="12">
        <v>0</v>
      </c>
      <c r="R98" s="12">
        <v>0</v>
      </c>
      <c r="S98" s="12">
        <v>0</v>
      </c>
      <c r="T98" s="12">
        <v>6600</v>
      </c>
      <c r="U98" s="12">
        <v>76695</v>
      </c>
      <c r="V98" s="12">
        <v>75900</v>
      </c>
      <c r="W98" s="13" t="s">
        <v>1180</v>
      </c>
      <c r="X98" s="6" t="s">
        <v>202</v>
      </c>
      <c r="Y98" s="6" t="s">
        <v>877</v>
      </c>
      <c r="Z98" s="6" t="s">
        <v>36</v>
      </c>
      <c r="AA98" s="50"/>
    </row>
    <row r="99" spans="1:28 16378:16382" s="14" customFormat="1" ht="21.75" customHeight="1" x14ac:dyDescent="0.25">
      <c r="A99" s="6">
        <v>98</v>
      </c>
      <c r="B99" s="7">
        <v>2000914</v>
      </c>
      <c r="C99" s="15" t="s">
        <v>428</v>
      </c>
      <c r="D99" s="9" t="s">
        <v>429</v>
      </c>
      <c r="E99" s="9" t="s">
        <v>717</v>
      </c>
      <c r="F99" s="9" t="s">
        <v>166</v>
      </c>
      <c r="G99" s="10">
        <v>45055</v>
      </c>
      <c r="H99" s="11" t="s">
        <v>69</v>
      </c>
      <c r="I99" s="11" t="s">
        <v>862</v>
      </c>
      <c r="J99" s="11">
        <v>19404</v>
      </c>
      <c r="K99" s="11">
        <v>29106</v>
      </c>
      <c r="L99" s="12">
        <v>48510</v>
      </c>
      <c r="M99" s="12">
        <v>48510</v>
      </c>
      <c r="N99" s="12">
        <v>795</v>
      </c>
      <c r="O99" s="12">
        <v>4620</v>
      </c>
      <c r="P99" s="12">
        <v>0</v>
      </c>
      <c r="Q99" s="12">
        <v>0</v>
      </c>
      <c r="R99" s="12">
        <v>0</v>
      </c>
      <c r="S99" s="12">
        <v>0</v>
      </c>
      <c r="T99" s="12">
        <v>4620</v>
      </c>
      <c r="U99" s="12">
        <v>53925</v>
      </c>
      <c r="V99" s="12">
        <v>53130</v>
      </c>
      <c r="W99" s="13" t="s">
        <v>1180</v>
      </c>
      <c r="X99" s="6" t="s">
        <v>88</v>
      </c>
      <c r="Y99" s="6" t="s">
        <v>901</v>
      </c>
      <c r="Z99" s="6" t="s">
        <v>36</v>
      </c>
      <c r="AA99" s="50"/>
    </row>
    <row r="100" spans="1:28 16378:16382" s="14" customFormat="1" ht="21.75" customHeight="1" x14ac:dyDescent="0.25">
      <c r="A100" s="22">
        <v>99</v>
      </c>
      <c r="B100" s="19">
        <v>2000902</v>
      </c>
      <c r="C100" s="16" t="s">
        <v>430</v>
      </c>
      <c r="D100" s="17" t="s">
        <v>431</v>
      </c>
      <c r="E100" s="17" t="s">
        <v>718</v>
      </c>
      <c r="F100" s="21" t="s">
        <v>314</v>
      </c>
      <c r="G100" s="20">
        <v>45019</v>
      </c>
      <c r="H100" s="21" t="s">
        <v>69</v>
      </c>
      <c r="I100" s="21" t="s">
        <v>1039</v>
      </c>
      <c r="J100" s="21">
        <v>17971.8</v>
      </c>
      <c r="K100" s="21">
        <v>26957.7</v>
      </c>
      <c r="L100" s="18">
        <v>44929.5</v>
      </c>
      <c r="M100" s="18">
        <v>44929.5</v>
      </c>
      <c r="N100" s="18">
        <v>795</v>
      </c>
      <c r="O100" s="18">
        <v>8169</v>
      </c>
      <c r="P100" s="18">
        <v>-4625</v>
      </c>
      <c r="Q100" s="18">
        <v>0</v>
      </c>
      <c r="R100" s="18">
        <v>0</v>
      </c>
      <c r="S100" s="18">
        <v>0</v>
      </c>
      <c r="T100" s="18">
        <v>3544</v>
      </c>
      <c r="U100" s="18">
        <v>49268.5</v>
      </c>
      <c r="V100" s="12">
        <v>48473.5</v>
      </c>
      <c r="W100" s="96" t="s">
        <v>1181</v>
      </c>
      <c r="X100" s="22" t="s">
        <v>88</v>
      </c>
      <c r="Y100" s="22" t="s">
        <v>907</v>
      </c>
      <c r="Z100" s="30" t="s">
        <v>36</v>
      </c>
      <c r="AA100" s="50"/>
      <c r="XEX100" s="22"/>
      <c r="XEY100" s="19"/>
      <c r="XEZ100" s="16"/>
      <c r="XFA100" s="17"/>
      <c r="XFB100" s="21"/>
    </row>
    <row r="101" spans="1:28 16378:16382" s="14" customFormat="1" ht="21.75" customHeight="1" x14ac:dyDescent="0.25">
      <c r="A101" s="6">
        <v>100</v>
      </c>
      <c r="B101" s="7">
        <v>2000537</v>
      </c>
      <c r="C101" s="16" t="s">
        <v>432</v>
      </c>
      <c r="D101" s="17" t="s">
        <v>433</v>
      </c>
      <c r="E101" s="9" t="s">
        <v>1040</v>
      </c>
      <c r="F101" s="9" t="s">
        <v>48</v>
      </c>
      <c r="G101" s="10">
        <v>45027</v>
      </c>
      <c r="H101" s="11" t="s">
        <v>45</v>
      </c>
      <c r="I101" s="11" t="s">
        <v>107</v>
      </c>
      <c r="J101" s="11">
        <v>19404</v>
      </c>
      <c r="K101" s="11">
        <v>29106</v>
      </c>
      <c r="L101" s="12">
        <v>48510</v>
      </c>
      <c r="M101" s="12">
        <v>48510</v>
      </c>
      <c r="N101" s="12">
        <v>795</v>
      </c>
      <c r="O101" s="12">
        <v>4620</v>
      </c>
      <c r="P101" s="12">
        <v>0</v>
      </c>
      <c r="Q101" s="12">
        <v>0</v>
      </c>
      <c r="R101" s="12">
        <v>0</v>
      </c>
      <c r="S101" s="12">
        <v>0</v>
      </c>
      <c r="T101" s="12">
        <v>4620</v>
      </c>
      <c r="U101" s="18">
        <v>53925</v>
      </c>
      <c r="V101" s="12">
        <v>53130</v>
      </c>
      <c r="W101" s="13" t="s">
        <v>1180</v>
      </c>
      <c r="X101" s="6" t="s">
        <v>202</v>
      </c>
      <c r="Y101" s="6" t="s">
        <v>883</v>
      </c>
      <c r="Z101" s="6" t="s">
        <v>36</v>
      </c>
      <c r="AA101" s="50"/>
    </row>
    <row r="102" spans="1:28 16378:16382" s="14" customFormat="1" ht="21.75" customHeight="1" x14ac:dyDescent="0.25">
      <c r="A102" s="6">
        <v>101</v>
      </c>
      <c r="B102" s="7">
        <v>2000915</v>
      </c>
      <c r="C102" s="15" t="s">
        <v>434</v>
      </c>
      <c r="D102" s="9" t="s">
        <v>435</v>
      </c>
      <c r="E102" s="9" t="s">
        <v>714</v>
      </c>
      <c r="F102" s="9" t="s">
        <v>52</v>
      </c>
      <c r="G102" s="10">
        <v>45027</v>
      </c>
      <c r="H102" s="11" t="s">
        <v>33</v>
      </c>
      <c r="I102" s="11" t="s">
        <v>34</v>
      </c>
      <c r="J102" s="11">
        <v>15435</v>
      </c>
      <c r="K102" s="11">
        <v>23152.5</v>
      </c>
      <c r="L102" s="12">
        <v>38587.5</v>
      </c>
      <c r="M102" s="12">
        <v>38587.5</v>
      </c>
      <c r="N102" s="12">
        <v>795</v>
      </c>
      <c r="O102" s="12">
        <v>3675</v>
      </c>
      <c r="P102" s="12">
        <v>0</v>
      </c>
      <c r="Q102" s="12">
        <v>0</v>
      </c>
      <c r="R102" s="12">
        <v>0</v>
      </c>
      <c r="S102" s="12">
        <v>0</v>
      </c>
      <c r="T102" s="12">
        <v>3675</v>
      </c>
      <c r="U102" s="12">
        <v>43057.5</v>
      </c>
      <c r="V102" s="12">
        <v>42262.5</v>
      </c>
      <c r="W102" s="13" t="s">
        <v>1180</v>
      </c>
      <c r="X102" s="6" t="s">
        <v>88</v>
      </c>
      <c r="Y102" s="6" t="s">
        <v>868</v>
      </c>
      <c r="Z102" s="6" t="s">
        <v>36</v>
      </c>
      <c r="AA102" s="50"/>
    </row>
    <row r="103" spans="1:28 16378:16382" s="14" customFormat="1" ht="21.75" customHeight="1" x14ac:dyDescent="0.25">
      <c r="A103" s="6">
        <v>102</v>
      </c>
      <c r="B103" s="7">
        <v>2000922</v>
      </c>
      <c r="C103" s="15" t="s">
        <v>436</v>
      </c>
      <c r="D103" s="9" t="s">
        <v>437</v>
      </c>
      <c r="E103" s="9" t="s">
        <v>1041</v>
      </c>
      <c r="F103" s="9" t="s">
        <v>407</v>
      </c>
      <c r="G103" s="10">
        <v>45047</v>
      </c>
      <c r="H103" s="11" t="s">
        <v>87</v>
      </c>
      <c r="I103" s="11" t="s">
        <v>858</v>
      </c>
      <c r="J103" s="11">
        <v>10001.900000000001</v>
      </c>
      <c r="K103" s="11">
        <v>15002.849999999999</v>
      </c>
      <c r="L103" s="12">
        <v>25004.75</v>
      </c>
      <c r="M103" s="12">
        <v>25004.75</v>
      </c>
      <c r="N103" s="12">
        <v>795</v>
      </c>
      <c r="O103" s="12">
        <v>2381.5</v>
      </c>
      <c r="P103" s="12">
        <v>0</v>
      </c>
      <c r="Q103" s="12">
        <v>0</v>
      </c>
      <c r="R103" s="12">
        <v>0</v>
      </c>
      <c r="S103" s="12">
        <v>0</v>
      </c>
      <c r="T103" s="12">
        <v>2381.5</v>
      </c>
      <c r="U103" s="12">
        <v>28181.25</v>
      </c>
      <c r="V103" s="12">
        <v>27386.25</v>
      </c>
      <c r="W103" s="13" t="s">
        <v>1180</v>
      </c>
      <c r="X103" s="6" t="s">
        <v>908</v>
      </c>
      <c r="Y103" s="6" t="s">
        <v>895</v>
      </c>
      <c r="Z103" s="6" t="s">
        <v>36</v>
      </c>
      <c r="AA103" s="50"/>
    </row>
    <row r="104" spans="1:28 16378:16382" s="14" customFormat="1" ht="21.75" customHeight="1" x14ac:dyDescent="0.25">
      <c r="A104" s="6">
        <v>103</v>
      </c>
      <c r="B104" s="7">
        <v>2000913</v>
      </c>
      <c r="C104" s="15" t="s">
        <v>439</v>
      </c>
      <c r="D104" s="9" t="s">
        <v>440</v>
      </c>
      <c r="E104" s="9" t="s">
        <v>1042</v>
      </c>
      <c r="F104" s="9" t="s">
        <v>230</v>
      </c>
      <c r="G104" s="10">
        <v>45033</v>
      </c>
      <c r="H104" s="11" t="s">
        <v>69</v>
      </c>
      <c r="I104" s="11" t="s">
        <v>104</v>
      </c>
      <c r="J104" s="11">
        <v>28014</v>
      </c>
      <c r="K104" s="11">
        <v>42021</v>
      </c>
      <c r="L104" s="12">
        <v>70035</v>
      </c>
      <c r="M104" s="12">
        <v>70035</v>
      </c>
      <c r="N104" s="12">
        <v>795</v>
      </c>
      <c r="O104" s="12">
        <v>6670</v>
      </c>
      <c r="P104" s="12">
        <v>0</v>
      </c>
      <c r="Q104" s="12">
        <v>0</v>
      </c>
      <c r="R104" s="12">
        <v>0</v>
      </c>
      <c r="S104" s="12">
        <v>0</v>
      </c>
      <c r="T104" s="12">
        <v>6670</v>
      </c>
      <c r="U104" s="12">
        <v>77500</v>
      </c>
      <c r="V104" s="12">
        <v>76705</v>
      </c>
      <c r="W104" s="13" t="s">
        <v>1180</v>
      </c>
      <c r="X104" s="6" t="s">
        <v>253</v>
      </c>
      <c r="Y104" s="6" t="s">
        <v>882</v>
      </c>
      <c r="Z104" s="6" t="s">
        <v>36</v>
      </c>
      <c r="AA104" s="50"/>
    </row>
    <row r="105" spans="1:28 16378:16382" s="14" customFormat="1" ht="21.75" customHeight="1" x14ac:dyDescent="0.25">
      <c r="A105" s="6">
        <v>104</v>
      </c>
      <c r="B105" s="7">
        <v>2000918</v>
      </c>
      <c r="C105" s="15" t="s">
        <v>441</v>
      </c>
      <c r="D105" s="9" t="s">
        <v>442</v>
      </c>
      <c r="E105" s="9" t="s">
        <v>1043</v>
      </c>
      <c r="F105" s="9" t="s">
        <v>48</v>
      </c>
      <c r="G105" s="10">
        <v>45042</v>
      </c>
      <c r="H105" s="11" t="s">
        <v>40</v>
      </c>
      <c r="I105" s="11" t="s">
        <v>221</v>
      </c>
      <c r="J105" s="11">
        <v>32972.5</v>
      </c>
      <c r="K105" s="11">
        <v>49458.75</v>
      </c>
      <c r="L105" s="12">
        <v>82431.25</v>
      </c>
      <c r="M105" s="12">
        <v>82431.25</v>
      </c>
      <c r="N105" s="12">
        <v>795</v>
      </c>
      <c r="O105" s="12">
        <v>14987.5</v>
      </c>
      <c r="P105" s="12">
        <v>0</v>
      </c>
      <c r="Q105" s="12">
        <v>0</v>
      </c>
      <c r="R105" s="12">
        <v>0</v>
      </c>
      <c r="S105" s="12">
        <v>0</v>
      </c>
      <c r="T105" s="12">
        <v>14987.5</v>
      </c>
      <c r="U105" s="12">
        <v>98213.75</v>
      </c>
      <c r="V105" s="12">
        <v>97418.75</v>
      </c>
      <c r="W105" s="13" t="s">
        <v>1180</v>
      </c>
      <c r="X105" s="6" t="s">
        <v>88</v>
      </c>
      <c r="Y105" s="6" t="s">
        <v>894</v>
      </c>
      <c r="Z105" s="6" t="s">
        <v>36</v>
      </c>
      <c r="AA105" s="50"/>
    </row>
    <row r="106" spans="1:28 16378:16382" s="14" customFormat="1" ht="21.75" customHeight="1" x14ac:dyDescent="0.25">
      <c r="A106" s="6">
        <v>105</v>
      </c>
      <c r="B106" s="7">
        <v>2000897</v>
      </c>
      <c r="C106" s="15" t="s">
        <v>443</v>
      </c>
      <c r="D106" s="9" t="s">
        <v>444</v>
      </c>
      <c r="E106" s="9" t="s">
        <v>719</v>
      </c>
      <c r="F106" s="9" t="s">
        <v>445</v>
      </c>
      <c r="G106" s="10">
        <v>45040</v>
      </c>
      <c r="H106" s="11" t="s">
        <v>69</v>
      </c>
      <c r="I106" s="11" t="s">
        <v>851</v>
      </c>
      <c r="J106" s="11">
        <v>19404</v>
      </c>
      <c r="K106" s="11">
        <v>29106</v>
      </c>
      <c r="L106" s="12">
        <v>48510</v>
      </c>
      <c r="M106" s="12">
        <v>48510</v>
      </c>
      <c r="N106" s="12">
        <v>795</v>
      </c>
      <c r="O106" s="12">
        <v>8820</v>
      </c>
      <c r="P106" s="12">
        <v>0</v>
      </c>
      <c r="Q106" s="12">
        <v>0</v>
      </c>
      <c r="R106" s="12">
        <v>0</v>
      </c>
      <c r="S106" s="12">
        <v>0</v>
      </c>
      <c r="T106" s="12">
        <v>8820</v>
      </c>
      <c r="U106" s="12">
        <v>58125</v>
      </c>
      <c r="V106" s="12">
        <v>57330</v>
      </c>
      <c r="W106" s="13" t="s">
        <v>1180</v>
      </c>
      <c r="X106" s="6" t="s">
        <v>202</v>
      </c>
      <c r="Y106" s="6" t="s">
        <v>875</v>
      </c>
      <c r="Z106" s="6" t="s">
        <v>36</v>
      </c>
      <c r="AA106" s="50"/>
    </row>
    <row r="107" spans="1:28 16378:16382" s="14" customFormat="1" ht="21.75" customHeight="1" x14ac:dyDescent="0.25">
      <c r="A107" s="6">
        <v>106</v>
      </c>
      <c r="B107" s="7">
        <v>2000920</v>
      </c>
      <c r="C107" s="15" t="s">
        <v>446</v>
      </c>
      <c r="D107" s="9" t="s">
        <v>447</v>
      </c>
      <c r="E107" s="9" t="s">
        <v>1044</v>
      </c>
      <c r="F107" s="9" t="s">
        <v>230</v>
      </c>
      <c r="G107" s="10">
        <v>45054</v>
      </c>
      <c r="H107" s="11" t="s">
        <v>236</v>
      </c>
      <c r="I107" s="11" t="s">
        <v>448</v>
      </c>
      <c r="J107" s="11">
        <v>12485</v>
      </c>
      <c r="K107" s="11">
        <v>18727.5</v>
      </c>
      <c r="L107" s="12">
        <v>31212.5</v>
      </c>
      <c r="M107" s="12">
        <v>31212.5</v>
      </c>
      <c r="N107" s="12">
        <v>795</v>
      </c>
      <c r="O107" s="12">
        <v>5675</v>
      </c>
      <c r="P107" s="12">
        <v>0</v>
      </c>
      <c r="Q107" s="12">
        <v>0</v>
      </c>
      <c r="R107" s="12">
        <v>0</v>
      </c>
      <c r="S107" s="12">
        <v>0</v>
      </c>
      <c r="T107" s="12">
        <v>5675</v>
      </c>
      <c r="U107" s="12">
        <v>37682.5</v>
      </c>
      <c r="V107" s="12">
        <v>36887.5</v>
      </c>
      <c r="W107" s="13" t="s">
        <v>1180</v>
      </c>
      <c r="X107" s="6" t="s">
        <v>56</v>
      </c>
      <c r="Y107" s="6" t="s">
        <v>910</v>
      </c>
      <c r="Z107" s="6" t="s">
        <v>36</v>
      </c>
      <c r="AA107" s="50"/>
    </row>
    <row r="108" spans="1:28 16378:16382" s="14" customFormat="1" ht="21.75" customHeight="1" x14ac:dyDescent="0.25">
      <c r="A108" s="6">
        <v>107</v>
      </c>
      <c r="B108" s="7">
        <v>2000862</v>
      </c>
      <c r="C108" s="15" t="s">
        <v>449</v>
      </c>
      <c r="D108" s="9" t="s">
        <v>450</v>
      </c>
      <c r="E108" s="9" t="s">
        <v>720</v>
      </c>
      <c r="F108" s="9" t="s">
        <v>32</v>
      </c>
      <c r="G108" s="10">
        <v>45047</v>
      </c>
      <c r="H108" s="11" t="s">
        <v>33</v>
      </c>
      <c r="I108" s="11" t="s">
        <v>53</v>
      </c>
      <c r="J108" s="11">
        <v>8400</v>
      </c>
      <c r="K108" s="11">
        <v>12600</v>
      </c>
      <c r="L108" s="12">
        <v>21000</v>
      </c>
      <c r="M108" s="12">
        <v>21000</v>
      </c>
      <c r="N108" s="12">
        <v>795</v>
      </c>
      <c r="O108" s="12">
        <v>2000</v>
      </c>
      <c r="P108" s="12">
        <v>0</v>
      </c>
      <c r="Q108" s="12">
        <v>0</v>
      </c>
      <c r="R108" s="12">
        <v>0</v>
      </c>
      <c r="S108" s="12">
        <v>0</v>
      </c>
      <c r="T108" s="12">
        <v>2000</v>
      </c>
      <c r="U108" s="12">
        <v>23795</v>
      </c>
      <c r="V108" s="12">
        <v>23000</v>
      </c>
      <c r="W108" s="13" t="s">
        <v>1180</v>
      </c>
      <c r="X108" s="6" t="s">
        <v>210</v>
      </c>
      <c r="Y108" s="6" t="s">
        <v>872</v>
      </c>
      <c r="Z108" s="6" t="s">
        <v>36</v>
      </c>
      <c r="AA108" s="50"/>
    </row>
    <row r="109" spans="1:28 16378:16382" s="14" customFormat="1" ht="21.75" customHeight="1" x14ac:dyDescent="0.25">
      <c r="A109" s="6">
        <v>108</v>
      </c>
      <c r="B109" s="7">
        <v>2000926</v>
      </c>
      <c r="C109" s="15" t="s">
        <v>451</v>
      </c>
      <c r="D109" s="9" t="s">
        <v>452</v>
      </c>
      <c r="E109" s="9" t="s">
        <v>453</v>
      </c>
      <c r="F109" s="9" t="s">
        <v>48</v>
      </c>
      <c r="G109" s="10">
        <v>45055</v>
      </c>
      <c r="H109" s="11" t="s">
        <v>33</v>
      </c>
      <c r="I109" s="11" t="s">
        <v>34</v>
      </c>
      <c r="J109" s="11">
        <v>15876</v>
      </c>
      <c r="K109" s="11">
        <v>23814</v>
      </c>
      <c r="L109" s="12">
        <v>39690</v>
      </c>
      <c r="M109" s="12">
        <v>39690</v>
      </c>
      <c r="N109" s="12">
        <v>795</v>
      </c>
      <c r="O109" s="12">
        <v>3780</v>
      </c>
      <c r="P109" s="12">
        <v>0</v>
      </c>
      <c r="Q109" s="12">
        <v>0</v>
      </c>
      <c r="R109" s="12">
        <v>0</v>
      </c>
      <c r="S109" s="12">
        <v>0</v>
      </c>
      <c r="T109" s="12">
        <v>3780</v>
      </c>
      <c r="U109" s="12">
        <v>44265</v>
      </c>
      <c r="V109" s="12">
        <v>43470</v>
      </c>
      <c r="W109" s="13" t="s">
        <v>1180</v>
      </c>
      <c r="X109" s="6" t="s">
        <v>88</v>
      </c>
      <c r="Y109" s="6" t="s">
        <v>868</v>
      </c>
      <c r="Z109" s="6" t="s">
        <v>36</v>
      </c>
      <c r="AA109" s="50"/>
    </row>
    <row r="110" spans="1:28 16378:16382" s="14" customFormat="1" ht="21.75" customHeight="1" x14ac:dyDescent="0.25">
      <c r="A110" s="6">
        <v>109</v>
      </c>
      <c r="B110" s="7">
        <v>2000545</v>
      </c>
      <c r="C110" s="15" t="s">
        <v>454</v>
      </c>
      <c r="D110" s="9" t="s">
        <v>455</v>
      </c>
      <c r="E110" s="9" t="s">
        <v>721</v>
      </c>
      <c r="F110" s="9" t="s">
        <v>235</v>
      </c>
      <c r="G110" s="10">
        <v>45078</v>
      </c>
      <c r="H110" s="11" t="s">
        <v>49</v>
      </c>
      <c r="I110" s="11" t="s">
        <v>1023</v>
      </c>
      <c r="J110" s="11">
        <v>23384</v>
      </c>
      <c r="K110" s="11">
        <v>35076</v>
      </c>
      <c r="L110" s="12">
        <v>58460</v>
      </c>
      <c r="M110" s="12">
        <v>58460</v>
      </c>
      <c r="N110" s="12">
        <v>795</v>
      </c>
      <c r="O110" s="12">
        <v>5567.5</v>
      </c>
      <c r="P110" s="12">
        <v>0</v>
      </c>
      <c r="Q110" s="12">
        <v>0</v>
      </c>
      <c r="R110" s="12">
        <v>0</v>
      </c>
      <c r="S110" s="12">
        <v>0</v>
      </c>
      <c r="T110" s="12">
        <v>5567.5</v>
      </c>
      <c r="U110" s="12">
        <v>64822.5</v>
      </c>
      <c r="V110" s="12">
        <v>64027.5</v>
      </c>
      <c r="W110" s="13" t="s">
        <v>1180</v>
      </c>
      <c r="X110" s="6" t="s">
        <v>88</v>
      </c>
      <c r="Y110" s="6" t="s">
        <v>887</v>
      </c>
      <c r="Z110" s="6" t="s">
        <v>36</v>
      </c>
      <c r="AA110" s="50"/>
    </row>
    <row r="111" spans="1:28 16378:16382" s="14" customFormat="1" ht="21.75" customHeight="1" x14ac:dyDescent="0.25">
      <c r="A111" s="6">
        <v>110</v>
      </c>
      <c r="B111" s="23">
        <v>2000939</v>
      </c>
      <c r="C111" s="24" t="s">
        <v>456</v>
      </c>
      <c r="D111" s="25" t="s">
        <v>457</v>
      </c>
      <c r="E111" s="9" t="s">
        <v>1045</v>
      </c>
      <c r="F111" s="26" t="s">
        <v>274</v>
      </c>
      <c r="G111" s="27">
        <v>45078</v>
      </c>
      <c r="H111" s="11" t="s">
        <v>33</v>
      </c>
      <c r="I111" s="11" t="s">
        <v>91</v>
      </c>
      <c r="J111" s="28">
        <v>28263.300000000003</v>
      </c>
      <c r="K111" s="28">
        <v>42394.95</v>
      </c>
      <c r="L111" s="28">
        <v>70658.25</v>
      </c>
      <c r="M111" s="28">
        <v>70658.25</v>
      </c>
      <c r="N111" s="28">
        <v>795</v>
      </c>
      <c r="O111" s="28">
        <v>6729.2999999999884</v>
      </c>
      <c r="P111" s="28">
        <v>2250</v>
      </c>
      <c r="Q111" s="28">
        <v>10094.040000000001</v>
      </c>
      <c r="R111" s="28">
        <v>0</v>
      </c>
      <c r="S111" s="28">
        <v>3364.6800000000003</v>
      </c>
      <c r="T111" s="28">
        <v>19073.339999999989</v>
      </c>
      <c r="U111" s="28">
        <v>90526.59</v>
      </c>
      <c r="V111" s="12">
        <v>76272.87</v>
      </c>
      <c r="W111" s="29" t="s">
        <v>1186</v>
      </c>
      <c r="X111" s="6" t="s">
        <v>41</v>
      </c>
      <c r="Y111" s="6" t="s">
        <v>878</v>
      </c>
      <c r="Z111" s="30" t="s">
        <v>36</v>
      </c>
      <c r="AA111" s="50" t="s">
        <v>1099</v>
      </c>
      <c r="AB111" s="14" t="s">
        <v>1225</v>
      </c>
    </row>
    <row r="112" spans="1:28 16378:16382" s="14" customFormat="1" ht="21.75" customHeight="1" x14ac:dyDescent="0.25">
      <c r="A112" s="6">
        <v>111</v>
      </c>
      <c r="B112" s="7">
        <v>2000934</v>
      </c>
      <c r="C112" s="15" t="s">
        <v>459</v>
      </c>
      <c r="D112" s="9" t="s">
        <v>460</v>
      </c>
      <c r="E112" s="9" t="s">
        <v>461</v>
      </c>
      <c r="F112" s="9" t="s">
        <v>48</v>
      </c>
      <c r="G112" s="10">
        <v>45070</v>
      </c>
      <c r="H112" s="11" t="s">
        <v>33</v>
      </c>
      <c r="I112" s="11" t="s">
        <v>34</v>
      </c>
      <c r="J112" s="11">
        <v>16170</v>
      </c>
      <c r="K112" s="11">
        <v>24255</v>
      </c>
      <c r="L112" s="12">
        <v>40425</v>
      </c>
      <c r="M112" s="12">
        <v>40425</v>
      </c>
      <c r="N112" s="12">
        <v>795</v>
      </c>
      <c r="O112" s="12">
        <v>7350</v>
      </c>
      <c r="P112" s="12">
        <v>0</v>
      </c>
      <c r="Q112" s="12">
        <v>0</v>
      </c>
      <c r="R112" s="12">
        <v>0</v>
      </c>
      <c r="S112" s="12">
        <v>0</v>
      </c>
      <c r="T112" s="12">
        <v>7350</v>
      </c>
      <c r="U112" s="12">
        <v>48570</v>
      </c>
      <c r="V112" s="12">
        <v>47775</v>
      </c>
      <c r="W112" s="13" t="s">
        <v>1180</v>
      </c>
      <c r="X112" s="6" t="s">
        <v>88</v>
      </c>
      <c r="Y112" s="6" t="s">
        <v>868</v>
      </c>
      <c r="Z112" s="6" t="s">
        <v>36</v>
      </c>
      <c r="AA112" s="50"/>
    </row>
    <row r="113" spans="1:29" s="14" customFormat="1" ht="21.75" customHeight="1" x14ac:dyDescent="0.25">
      <c r="A113" s="6">
        <v>112</v>
      </c>
      <c r="B113" s="7">
        <v>2000929</v>
      </c>
      <c r="C113" s="15" t="s">
        <v>462</v>
      </c>
      <c r="D113" s="9" t="s">
        <v>463</v>
      </c>
      <c r="E113" s="9" t="s">
        <v>722</v>
      </c>
      <c r="F113" s="9" t="s">
        <v>52</v>
      </c>
      <c r="G113" s="10">
        <v>45063</v>
      </c>
      <c r="H113" s="11" t="s">
        <v>33</v>
      </c>
      <c r="I113" s="11" t="s">
        <v>53</v>
      </c>
      <c r="J113" s="11">
        <v>13084.5</v>
      </c>
      <c r="K113" s="11">
        <v>19626.75</v>
      </c>
      <c r="L113" s="12">
        <v>32711.25</v>
      </c>
      <c r="M113" s="12">
        <v>32711.25</v>
      </c>
      <c r="N113" s="12">
        <v>795</v>
      </c>
      <c r="O113" s="12">
        <v>3115.5</v>
      </c>
      <c r="P113" s="12">
        <v>0</v>
      </c>
      <c r="Q113" s="12">
        <v>0</v>
      </c>
      <c r="R113" s="12">
        <v>0</v>
      </c>
      <c r="S113" s="12">
        <v>0</v>
      </c>
      <c r="T113" s="12">
        <v>3115.5</v>
      </c>
      <c r="U113" s="12">
        <v>36621.75</v>
      </c>
      <c r="V113" s="12">
        <v>35826.75</v>
      </c>
      <c r="W113" s="13" t="s">
        <v>1180</v>
      </c>
      <c r="X113" s="6" t="s">
        <v>88</v>
      </c>
      <c r="Y113" s="6" t="s">
        <v>872</v>
      </c>
      <c r="Z113" s="6" t="s">
        <v>36</v>
      </c>
      <c r="AA113" s="50"/>
    </row>
    <row r="114" spans="1:29" s="14" customFormat="1" ht="21.75" customHeight="1" x14ac:dyDescent="0.25">
      <c r="A114" s="6">
        <v>113</v>
      </c>
      <c r="B114" s="7">
        <v>2000912</v>
      </c>
      <c r="C114" s="15" t="s">
        <v>464</v>
      </c>
      <c r="D114" s="9" t="s">
        <v>465</v>
      </c>
      <c r="E114" s="9" t="s">
        <v>466</v>
      </c>
      <c r="F114" s="9" t="s">
        <v>81</v>
      </c>
      <c r="G114" s="10">
        <v>45064</v>
      </c>
      <c r="H114" s="11" t="s">
        <v>87</v>
      </c>
      <c r="I114" s="11" t="s">
        <v>1008</v>
      </c>
      <c r="J114" s="11">
        <v>11245.5</v>
      </c>
      <c r="K114" s="11">
        <v>16868.25</v>
      </c>
      <c r="L114" s="12">
        <v>28113.75</v>
      </c>
      <c r="M114" s="12">
        <v>28113.75</v>
      </c>
      <c r="N114" s="12">
        <v>795</v>
      </c>
      <c r="O114" s="12">
        <v>2677.5</v>
      </c>
      <c r="P114" s="12">
        <v>0</v>
      </c>
      <c r="Q114" s="12">
        <v>0</v>
      </c>
      <c r="R114" s="12">
        <v>0</v>
      </c>
      <c r="S114" s="12">
        <v>0</v>
      </c>
      <c r="T114" s="12">
        <v>2677.5</v>
      </c>
      <c r="U114" s="12">
        <v>31586.25</v>
      </c>
      <c r="V114" s="12">
        <v>30791.25</v>
      </c>
      <c r="W114" s="13" t="s">
        <v>1180</v>
      </c>
      <c r="X114" s="6" t="s">
        <v>210</v>
      </c>
      <c r="Y114" s="6" t="s">
        <v>877</v>
      </c>
      <c r="Z114" s="6" t="s">
        <v>36</v>
      </c>
      <c r="AA114" s="50"/>
    </row>
    <row r="115" spans="1:29" s="14" customFormat="1" ht="21.75" customHeight="1" x14ac:dyDescent="0.25">
      <c r="A115" s="6">
        <v>114</v>
      </c>
      <c r="B115" s="7">
        <v>2000948</v>
      </c>
      <c r="C115" s="15" t="s">
        <v>467</v>
      </c>
      <c r="D115" s="9" t="s">
        <v>468</v>
      </c>
      <c r="E115" s="9" t="s">
        <v>155</v>
      </c>
      <c r="F115" s="9" t="s">
        <v>230</v>
      </c>
      <c r="G115" s="10">
        <v>45089</v>
      </c>
      <c r="H115" s="11" t="s">
        <v>49</v>
      </c>
      <c r="I115" s="11" t="s">
        <v>855</v>
      </c>
      <c r="J115" s="11">
        <v>11576.300000000001</v>
      </c>
      <c r="K115" s="11">
        <v>17364.45</v>
      </c>
      <c r="L115" s="12">
        <v>28940.75</v>
      </c>
      <c r="M115" s="12">
        <v>28940.75</v>
      </c>
      <c r="N115" s="12">
        <v>795</v>
      </c>
      <c r="O115" s="12">
        <v>2756.5</v>
      </c>
      <c r="P115" s="12">
        <v>0</v>
      </c>
      <c r="Q115" s="12">
        <v>0</v>
      </c>
      <c r="R115" s="12">
        <v>0</v>
      </c>
      <c r="S115" s="12">
        <v>0</v>
      </c>
      <c r="T115" s="12">
        <v>2756.5</v>
      </c>
      <c r="U115" s="12">
        <v>32492.25</v>
      </c>
      <c r="V115" s="12">
        <v>31697.25</v>
      </c>
      <c r="W115" s="13" t="s">
        <v>1180</v>
      </c>
      <c r="X115" s="6" t="s">
        <v>210</v>
      </c>
      <c r="Y115" s="6" t="s">
        <v>887</v>
      </c>
      <c r="Z115" s="6" t="s">
        <v>36</v>
      </c>
      <c r="AA115" s="50"/>
    </row>
    <row r="116" spans="1:29" s="14" customFormat="1" ht="21.75" customHeight="1" x14ac:dyDescent="0.25">
      <c r="A116" s="6">
        <v>115</v>
      </c>
      <c r="B116" s="7">
        <v>2000938</v>
      </c>
      <c r="C116" s="15" t="s">
        <v>473</v>
      </c>
      <c r="D116" s="9" t="s">
        <v>474</v>
      </c>
      <c r="E116" s="9" t="s">
        <v>394</v>
      </c>
      <c r="F116" s="9" t="s">
        <v>348</v>
      </c>
      <c r="G116" s="10">
        <v>45078</v>
      </c>
      <c r="H116" s="11" t="s">
        <v>69</v>
      </c>
      <c r="I116" s="11" t="s">
        <v>1039</v>
      </c>
      <c r="J116" s="11">
        <v>8400</v>
      </c>
      <c r="K116" s="11">
        <v>12600</v>
      </c>
      <c r="L116" s="12">
        <v>21000</v>
      </c>
      <c r="M116" s="12">
        <v>21000</v>
      </c>
      <c r="N116" s="12">
        <v>795</v>
      </c>
      <c r="O116" s="12">
        <v>2000</v>
      </c>
      <c r="P116" s="12">
        <v>0</v>
      </c>
      <c r="Q116" s="12">
        <v>0</v>
      </c>
      <c r="R116" s="12">
        <v>0</v>
      </c>
      <c r="S116" s="12">
        <v>0</v>
      </c>
      <c r="T116" s="12">
        <v>2000</v>
      </c>
      <c r="U116" s="12">
        <v>23795</v>
      </c>
      <c r="V116" s="12">
        <v>23000</v>
      </c>
      <c r="W116" s="13" t="s">
        <v>1180</v>
      </c>
      <c r="X116" s="6" t="s">
        <v>210</v>
      </c>
      <c r="Y116" s="6" t="s">
        <v>907</v>
      </c>
      <c r="Z116" s="6" t="s">
        <v>36</v>
      </c>
      <c r="AA116" s="50"/>
    </row>
    <row r="117" spans="1:29" s="14" customFormat="1" ht="21.75" customHeight="1" x14ac:dyDescent="0.25">
      <c r="A117" s="6">
        <v>116</v>
      </c>
      <c r="B117" s="7">
        <v>2000935</v>
      </c>
      <c r="C117" s="15" t="s">
        <v>475</v>
      </c>
      <c r="D117" s="9" t="s">
        <v>476</v>
      </c>
      <c r="E117" s="9" t="s">
        <v>725</v>
      </c>
      <c r="F117" s="9" t="s">
        <v>363</v>
      </c>
      <c r="G117" s="10">
        <v>45082</v>
      </c>
      <c r="H117" s="11" t="s">
        <v>236</v>
      </c>
      <c r="I117" s="11" t="s">
        <v>237</v>
      </c>
      <c r="J117" s="11">
        <v>30870</v>
      </c>
      <c r="K117" s="11">
        <v>46305</v>
      </c>
      <c r="L117" s="12">
        <v>77175</v>
      </c>
      <c r="M117" s="12">
        <v>77175</v>
      </c>
      <c r="N117" s="12">
        <v>795</v>
      </c>
      <c r="O117" s="12">
        <v>7350</v>
      </c>
      <c r="P117" s="12">
        <v>0</v>
      </c>
      <c r="Q117" s="12">
        <v>0</v>
      </c>
      <c r="R117" s="12">
        <v>0</v>
      </c>
      <c r="S117" s="12">
        <v>0</v>
      </c>
      <c r="T117" s="12">
        <v>7350</v>
      </c>
      <c r="U117" s="12">
        <v>85320</v>
      </c>
      <c r="V117" s="12">
        <v>84525</v>
      </c>
      <c r="W117" s="13" t="s">
        <v>1180</v>
      </c>
      <c r="X117" s="6" t="s">
        <v>202</v>
      </c>
      <c r="Y117" s="6" t="s">
        <v>897</v>
      </c>
      <c r="Z117" s="6" t="s">
        <v>36</v>
      </c>
      <c r="AA117" s="50"/>
    </row>
    <row r="118" spans="1:29" s="14" customFormat="1" ht="21.75" customHeight="1" x14ac:dyDescent="0.25">
      <c r="A118" s="6">
        <v>117</v>
      </c>
      <c r="B118" s="7">
        <v>2000937</v>
      </c>
      <c r="C118" s="15" t="s">
        <v>477</v>
      </c>
      <c r="D118" s="9" t="s">
        <v>478</v>
      </c>
      <c r="E118" s="9" t="s">
        <v>1046</v>
      </c>
      <c r="F118" s="9" t="s">
        <v>479</v>
      </c>
      <c r="G118" s="10">
        <v>45070</v>
      </c>
      <c r="H118" s="11" t="s">
        <v>69</v>
      </c>
      <c r="I118" s="11" t="s">
        <v>104</v>
      </c>
      <c r="J118" s="11">
        <v>9261</v>
      </c>
      <c r="K118" s="11">
        <v>13891.5</v>
      </c>
      <c r="L118" s="12">
        <v>23152.5</v>
      </c>
      <c r="M118" s="12">
        <v>23152.5</v>
      </c>
      <c r="N118" s="12">
        <v>795</v>
      </c>
      <c r="O118" s="12">
        <v>2205</v>
      </c>
      <c r="P118" s="12">
        <v>0</v>
      </c>
      <c r="Q118" s="12">
        <v>0</v>
      </c>
      <c r="R118" s="12">
        <v>0</v>
      </c>
      <c r="S118" s="12">
        <v>0</v>
      </c>
      <c r="T118" s="12">
        <v>2205</v>
      </c>
      <c r="U118" s="12">
        <v>26152.5</v>
      </c>
      <c r="V118" s="12">
        <v>25357.5</v>
      </c>
      <c r="W118" s="13" t="s">
        <v>1180</v>
      </c>
      <c r="X118" s="6" t="s">
        <v>210</v>
      </c>
      <c r="Y118" s="6" t="s">
        <v>882</v>
      </c>
      <c r="Z118" s="6" t="s">
        <v>36</v>
      </c>
      <c r="AA118" s="50"/>
    </row>
    <row r="119" spans="1:29" s="14" customFormat="1" ht="21.75" customHeight="1" x14ac:dyDescent="0.25">
      <c r="A119" s="6">
        <v>118</v>
      </c>
      <c r="B119" s="7">
        <v>2000945</v>
      </c>
      <c r="C119" s="16" t="s">
        <v>480</v>
      </c>
      <c r="D119" s="17" t="s">
        <v>481</v>
      </c>
      <c r="E119" s="9" t="s">
        <v>1047</v>
      </c>
      <c r="F119" s="9" t="s">
        <v>348</v>
      </c>
      <c r="G119" s="10">
        <v>45078</v>
      </c>
      <c r="H119" s="11" t="s">
        <v>45</v>
      </c>
      <c r="I119" s="11" t="s">
        <v>370</v>
      </c>
      <c r="J119" s="11">
        <v>11350</v>
      </c>
      <c r="K119" s="11">
        <v>17025</v>
      </c>
      <c r="L119" s="12">
        <v>28375</v>
      </c>
      <c r="M119" s="12">
        <v>28375</v>
      </c>
      <c r="N119" s="12">
        <v>795</v>
      </c>
      <c r="O119" s="12">
        <v>12650</v>
      </c>
      <c r="P119" s="12">
        <v>0</v>
      </c>
      <c r="Q119" s="12">
        <v>0</v>
      </c>
      <c r="R119" s="12">
        <v>0</v>
      </c>
      <c r="S119" s="12">
        <v>0</v>
      </c>
      <c r="T119" s="12">
        <v>12650</v>
      </c>
      <c r="U119" s="18">
        <v>41820</v>
      </c>
      <c r="V119" s="12">
        <v>41025</v>
      </c>
      <c r="W119" s="13" t="s">
        <v>1180</v>
      </c>
      <c r="X119" s="6" t="s">
        <v>210</v>
      </c>
      <c r="Y119" s="6" t="s">
        <v>906</v>
      </c>
      <c r="Z119" s="6" t="s">
        <v>36</v>
      </c>
      <c r="AA119" s="50"/>
    </row>
    <row r="120" spans="1:29" s="14" customFormat="1" ht="21.75" customHeight="1" x14ac:dyDescent="0.25">
      <c r="A120" s="6">
        <v>119</v>
      </c>
      <c r="B120" s="7">
        <v>2000942</v>
      </c>
      <c r="C120" s="15" t="s">
        <v>482</v>
      </c>
      <c r="D120" s="9" t="s">
        <v>483</v>
      </c>
      <c r="E120" s="9" t="s">
        <v>402</v>
      </c>
      <c r="F120" s="9" t="s">
        <v>48</v>
      </c>
      <c r="G120" s="10">
        <v>45089</v>
      </c>
      <c r="H120" s="11" t="s">
        <v>33</v>
      </c>
      <c r="I120" s="11" t="s">
        <v>34</v>
      </c>
      <c r="J120" s="11">
        <v>14332.5</v>
      </c>
      <c r="K120" s="11">
        <v>21498.75</v>
      </c>
      <c r="L120" s="12">
        <v>35831.25</v>
      </c>
      <c r="M120" s="12">
        <v>35831.25</v>
      </c>
      <c r="N120" s="12">
        <v>795</v>
      </c>
      <c r="O120" s="12">
        <v>3412.5</v>
      </c>
      <c r="P120" s="12">
        <v>0</v>
      </c>
      <c r="Q120" s="12">
        <v>0</v>
      </c>
      <c r="R120" s="12">
        <v>0</v>
      </c>
      <c r="S120" s="12">
        <v>0</v>
      </c>
      <c r="T120" s="12">
        <v>3412.5</v>
      </c>
      <c r="U120" s="12">
        <v>40038.75</v>
      </c>
      <c r="V120" s="12">
        <v>39243.75</v>
      </c>
      <c r="W120" s="13" t="s">
        <v>1180</v>
      </c>
      <c r="X120" s="6" t="s">
        <v>88</v>
      </c>
      <c r="Y120" s="6" t="s">
        <v>868</v>
      </c>
      <c r="Z120" s="6" t="s">
        <v>36</v>
      </c>
      <c r="AA120" s="50"/>
    </row>
    <row r="121" spans="1:29" s="14" customFormat="1" ht="21.75" customHeight="1" x14ac:dyDescent="0.25">
      <c r="A121" s="6">
        <v>120</v>
      </c>
      <c r="B121" s="7">
        <v>2000944</v>
      </c>
      <c r="C121" s="15" t="s">
        <v>484</v>
      </c>
      <c r="D121" s="9" t="s">
        <v>485</v>
      </c>
      <c r="E121" s="9" t="s">
        <v>402</v>
      </c>
      <c r="F121" s="9" t="s">
        <v>486</v>
      </c>
      <c r="G121" s="10">
        <v>45089</v>
      </c>
      <c r="H121" s="11" t="s">
        <v>33</v>
      </c>
      <c r="I121" s="11" t="s">
        <v>34</v>
      </c>
      <c r="J121" s="11">
        <v>16758</v>
      </c>
      <c r="K121" s="11">
        <v>25137</v>
      </c>
      <c r="L121" s="12">
        <v>41895</v>
      </c>
      <c r="M121" s="12">
        <v>41895</v>
      </c>
      <c r="N121" s="12">
        <v>795</v>
      </c>
      <c r="O121" s="12">
        <v>3990</v>
      </c>
      <c r="P121" s="12">
        <v>0</v>
      </c>
      <c r="Q121" s="12">
        <v>0</v>
      </c>
      <c r="R121" s="12">
        <v>0</v>
      </c>
      <c r="S121" s="12">
        <v>0</v>
      </c>
      <c r="T121" s="12">
        <v>3990</v>
      </c>
      <c r="U121" s="12">
        <v>46680</v>
      </c>
      <c r="V121" s="12">
        <v>45885</v>
      </c>
      <c r="W121" s="13" t="s">
        <v>1180</v>
      </c>
      <c r="X121" s="6" t="s">
        <v>88</v>
      </c>
      <c r="Y121" s="6" t="s">
        <v>868</v>
      </c>
      <c r="Z121" s="6" t="s">
        <v>36</v>
      </c>
      <c r="AA121" s="50"/>
    </row>
    <row r="122" spans="1:29" s="14" customFormat="1" ht="21.75" customHeight="1" x14ac:dyDescent="0.25">
      <c r="A122" s="6">
        <v>121</v>
      </c>
      <c r="B122" s="23">
        <v>2000955</v>
      </c>
      <c r="C122" s="24" t="s">
        <v>489</v>
      </c>
      <c r="D122" s="25" t="s">
        <v>490</v>
      </c>
      <c r="E122" s="9" t="s">
        <v>927</v>
      </c>
      <c r="F122" s="26" t="s">
        <v>274</v>
      </c>
      <c r="G122" s="27">
        <v>45113</v>
      </c>
      <c r="H122" s="11" t="s">
        <v>49</v>
      </c>
      <c r="I122" s="11" t="s">
        <v>62</v>
      </c>
      <c r="J122" s="28">
        <v>33600</v>
      </c>
      <c r="K122" s="28">
        <v>50400</v>
      </c>
      <c r="L122" s="28">
        <v>84000</v>
      </c>
      <c r="M122" s="28">
        <v>84000</v>
      </c>
      <c r="N122" s="28">
        <v>795</v>
      </c>
      <c r="O122" s="28">
        <v>0</v>
      </c>
      <c r="P122" s="28">
        <v>6750</v>
      </c>
      <c r="Q122" s="28">
        <v>12000</v>
      </c>
      <c r="R122" s="28">
        <v>0</v>
      </c>
      <c r="S122" s="28">
        <v>4000</v>
      </c>
      <c r="T122" s="28">
        <v>18750</v>
      </c>
      <c r="U122" s="28">
        <v>103545</v>
      </c>
      <c r="V122" s="12">
        <v>86750</v>
      </c>
      <c r="W122" s="29" t="s">
        <v>1187</v>
      </c>
      <c r="X122" s="6" t="s">
        <v>202</v>
      </c>
      <c r="Y122" s="6" t="s">
        <v>874</v>
      </c>
      <c r="Z122" s="30" t="s">
        <v>36</v>
      </c>
      <c r="AA122" s="50" t="s">
        <v>1099</v>
      </c>
      <c r="AB122" s="14" t="s">
        <v>1226</v>
      </c>
    </row>
    <row r="123" spans="1:29" s="14" customFormat="1" ht="21.75" customHeight="1" x14ac:dyDescent="0.25">
      <c r="A123" s="6">
        <v>122</v>
      </c>
      <c r="B123" s="23">
        <v>2000953</v>
      </c>
      <c r="C123" s="24" t="s">
        <v>491</v>
      </c>
      <c r="D123" s="25" t="s">
        <v>492</v>
      </c>
      <c r="E123" s="9" t="s">
        <v>928</v>
      </c>
      <c r="F123" s="26" t="s">
        <v>274</v>
      </c>
      <c r="G123" s="27">
        <v>45117</v>
      </c>
      <c r="H123" s="11" t="s">
        <v>45</v>
      </c>
      <c r="I123" s="11" t="s">
        <v>107</v>
      </c>
      <c r="J123" s="28">
        <v>22260</v>
      </c>
      <c r="K123" s="28">
        <v>33390</v>
      </c>
      <c r="L123" s="28">
        <v>55650</v>
      </c>
      <c r="M123" s="28">
        <v>55650</v>
      </c>
      <c r="N123" s="28">
        <v>795</v>
      </c>
      <c r="O123" s="28">
        <v>0</v>
      </c>
      <c r="P123" s="28">
        <v>15075</v>
      </c>
      <c r="Q123" s="28">
        <v>7950</v>
      </c>
      <c r="R123" s="28">
        <v>0</v>
      </c>
      <c r="S123" s="28">
        <v>2650</v>
      </c>
      <c r="T123" s="28">
        <v>23025</v>
      </c>
      <c r="U123" s="28">
        <v>79470</v>
      </c>
      <c r="V123" s="12">
        <v>68075</v>
      </c>
      <c r="W123" s="29" t="s">
        <v>1196</v>
      </c>
      <c r="X123" s="6" t="s">
        <v>88</v>
      </c>
      <c r="Y123" s="6" t="s">
        <v>883</v>
      </c>
      <c r="Z123" s="30" t="s">
        <v>36</v>
      </c>
      <c r="AA123" s="50" t="s">
        <v>1099</v>
      </c>
      <c r="AB123" s="14" t="s">
        <v>1227</v>
      </c>
    </row>
    <row r="124" spans="1:29" s="5" customFormat="1" ht="21.75" customHeight="1" x14ac:dyDescent="0.25">
      <c r="A124" s="6">
        <v>123</v>
      </c>
      <c r="B124" s="7">
        <v>2000549</v>
      </c>
      <c r="C124" s="34" t="s">
        <v>493</v>
      </c>
      <c r="D124" s="11" t="s">
        <v>494</v>
      </c>
      <c r="E124" s="9" t="s">
        <v>1048</v>
      </c>
      <c r="F124" s="9" t="s">
        <v>48</v>
      </c>
      <c r="G124" s="10">
        <v>45139</v>
      </c>
      <c r="H124" s="11" t="s">
        <v>40</v>
      </c>
      <c r="I124" s="11" t="s">
        <v>847</v>
      </c>
      <c r="J124" s="11">
        <v>19404</v>
      </c>
      <c r="K124" s="11">
        <v>29106</v>
      </c>
      <c r="L124" s="12">
        <v>48510</v>
      </c>
      <c r="M124" s="12">
        <v>48510</v>
      </c>
      <c r="N124" s="12">
        <v>795</v>
      </c>
      <c r="O124" s="12">
        <v>4620</v>
      </c>
      <c r="P124" s="12">
        <v>0</v>
      </c>
      <c r="Q124" s="12">
        <v>0</v>
      </c>
      <c r="R124" s="12">
        <v>0</v>
      </c>
      <c r="S124" s="12">
        <v>0</v>
      </c>
      <c r="T124" s="12">
        <v>4620</v>
      </c>
      <c r="U124" s="12">
        <v>53925</v>
      </c>
      <c r="V124" s="12">
        <v>53130</v>
      </c>
      <c r="W124" s="13" t="s">
        <v>1180</v>
      </c>
      <c r="X124" s="6" t="s">
        <v>88</v>
      </c>
      <c r="Y124" s="6" t="s">
        <v>869</v>
      </c>
      <c r="Z124" s="6" t="s">
        <v>36</v>
      </c>
      <c r="AA124" s="50"/>
      <c r="AC124" s="14"/>
    </row>
    <row r="125" spans="1:29" s="5" customFormat="1" ht="21.75" customHeight="1" x14ac:dyDescent="0.25">
      <c r="A125" s="6">
        <v>124</v>
      </c>
      <c r="B125" s="19">
        <v>2000566</v>
      </c>
      <c r="C125" s="16" t="s">
        <v>500</v>
      </c>
      <c r="D125" s="17" t="s">
        <v>501</v>
      </c>
      <c r="E125" s="9" t="s">
        <v>1050</v>
      </c>
      <c r="F125" s="17" t="s">
        <v>48</v>
      </c>
      <c r="G125" s="20">
        <v>45113</v>
      </c>
      <c r="H125" s="11" t="s">
        <v>45</v>
      </c>
      <c r="I125" s="11" t="s">
        <v>107</v>
      </c>
      <c r="J125" s="11">
        <v>16170</v>
      </c>
      <c r="K125" s="11">
        <v>24255</v>
      </c>
      <c r="L125" s="12">
        <v>40425</v>
      </c>
      <c r="M125" s="18">
        <v>40425</v>
      </c>
      <c r="N125" s="18">
        <v>795</v>
      </c>
      <c r="O125" s="12">
        <v>3850</v>
      </c>
      <c r="P125" s="18">
        <v>0</v>
      </c>
      <c r="Q125" s="18">
        <v>0</v>
      </c>
      <c r="R125" s="18">
        <v>0</v>
      </c>
      <c r="S125" s="18">
        <v>0</v>
      </c>
      <c r="T125" s="12">
        <v>3850</v>
      </c>
      <c r="U125" s="18">
        <v>45070</v>
      </c>
      <c r="V125" s="12">
        <v>44275</v>
      </c>
      <c r="W125" s="13" t="s">
        <v>1180</v>
      </c>
      <c r="X125" s="6" t="s">
        <v>253</v>
      </c>
      <c r="Y125" s="6" t="s">
        <v>883</v>
      </c>
      <c r="Z125" s="22" t="s">
        <v>36</v>
      </c>
      <c r="AA125" s="50"/>
      <c r="AC125" s="14"/>
    </row>
    <row r="126" spans="1:29" s="14" customFormat="1" ht="21.75" customHeight="1" x14ac:dyDescent="0.25">
      <c r="A126" s="6">
        <v>125</v>
      </c>
      <c r="B126" s="23">
        <v>2000941</v>
      </c>
      <c r="C126" s="24" t="s">
        <v>505</v>
      </c>
      <c r="D126" s="25" t="s">
        <v>506</v>
      </c>
      <c r="E126" s="9" t="s">
        <v>453</v>
      </c>
      <c r="F126" s="26" t="s">
        <v>48</v>
      </c>
      <c r="G126" s="27">
        <v>45180</v>
      </c>
      <c r="H126" s="11" t="s">
        <v>33</v>
      </c>
      <c r="I126" s="11" t="s">
        <v>34</v>
      </c>
      <c r="J126" s="28">
        <v>21000</v>
      </c>
      <c r="K126" s="28">
        <v>31500</v>
      </c>
      <c r="L126" s="28">
        <v>52500</v>
      </c>
      <c r="M126" s="28">
        <v>52500</v>
      </c>
      <c r="N126" s="28">
        <v>795</v>
      </c>
      <c r="O126" s="28">
        <v>0</v>
      </c>
      <c r="P126" s="28">
        <v>2312.5</v>
      </c>
      <c r="Q126" s="28">
        <v>0</v>
      </c>
      <c r="R126" s="28">
        <v>0</v>
      </c>
      <c r="S126" s="28">
        <v>0</v>
      </c>
      <c r="T126" s="28">
        <v>2312.5</v>
      </c>
      <c r="U126" s="28">
        <v>55607.5</v>
      </c>
      <c r="V126" s="12">
        <v>54812.5</v>
      </c>
      <c r="W126" s="29" t="s">
        <v>1097</v>
      </c>
      <c r="X126" s="6" t="s">
        <v>88</v>
      </c>
      <c r="Y126" s="6" t="s">
        <v>868</v>
      </c>
      <c r="Z126" s="30" t="s">
        <v>36</v>
      </c>
      <c r="AA126" s="50"/>
    </row>
    <row r="127" spans="1:29" s="5" customFormat="1" ht="21.75" customHeight="1" x14ac:dyDescent="0.25">
      <c r="A127" s="6">
        <v>126</v>
      </c>
      <c r="B127" s="7">
        <v>2001021</v>
      </c>
      <c r="C127" s="34" t="s">
        <v>509</v>
      </c>
      <c r="D127" s="11" t="s">
        <v>510</v>
      </c>
      <c r="E127" s="9" t="s">
        <v>1048</v>
      </c>
      <c r="F127" s="9" t="s">
        <v>48</v>
      </c>
      <c r="G127" s="10">
        <v>45149</v>
      </c>
      <c r="H127" s="11" t="s">
        <v>40</v>
      </c>
      <c r="I127" s="11" t="s">
        <v>847</v>
      </c>
      <c r="J127" s="11">
        <v>22487.9</v>
      </c>
      <c r="K127" s="11">
        <v>33731.85</v>
      </c>
      <c r="L127" s="12">
        <v>56219.75</v>
      </c>
      <c r="M127" s="12">
        <v>56219.75</v>
      </c>
      <c r="N127" s="12">
        <v>795</v>
      </c>
      <c r="O127" s="12">
        <v>5354.5</v>
      </c>
      <c r="P127" s="12">
        <v>0</v>
      </c>
      <c r="Q127" s="12">
        <v>0</v>
      </c>
      <c r="R127" s="12">
        <v>0</v>
      </c>
      <c r="S127" s="12">
        <v>0</v>
      </c>
      <c r="T127" s="12">
        <v>5354.5</v>
      </c>
      <c r="U127" s="12">
        <v>62369.25</v>
      </c>
      <c r="V127" s="12">
        <v>61574.25</v>
      </c>
      <c r="W127" s="13" t="s">
        <v>1180</v>
      </c>
      <c r="X127" s="6" t="s">
        <v>41</v>
      </c>
      <c r="Y127" s="6" t="s">
        <v>869</v>
      </c>
      <c r="Z127" s="6" t="s">
        <v>36</v>
      </c>
      <c r="AA127" s="50"/>
      <c r="AC127" s="14"/>
    </row>
    <row r="128" spans="1:29" s="5" customFormat="1" ht="21.75" customHeight="1" x14ac:dyDescent="0.25">
      <c r="A128" s="6">
        <v>127</v>
      </c>
      <c r="B128" s="7">
        <v>2000978</v>
      </c>
      <c r="C128" s="35" t="s">
        <v>516</v>
      </c>
      <c r="D128" s="90" t="s">
        <v>517</v>
      </c>
      <c r="E128" s="9" t="s">
        <v>518</v>
      </c>
      <c r="F128" s="9" t="s">
        <v>519</v>
      </c>
      <c r="G128" s="10">
        <v>45117</v>
      </c>
      <c r="H128" s="11" t="s">
        <v>45</v>
      </c>
      <c r="I128" s="11" t="s">
        <v>107</v>
      </c>
      <c r="J128" s="11">
        <v>8400</v>
      </c>
      <c r="K128" s="11">
        <v>12600</v>
      </c>
      <c r="L128" s="12">
        <v>21000</v>
      </c>
      <c r="M128" s="12">
        <v>21000</v>
      </c>
      <c r="N128" s="12">
        <v>795</v>
      </c>
      <c r="O128" s="12">
        <v>0</v>
      </c>
      <c r="P128" s="12">
        <v>0</v>
      </c>
      <c r="Q128" s="12">
        <v>2940.0000000000005</v>
      </c>
      <c r="R128" s="12">
        <v>0</v>
      </c>
      <c r="S128" s="12">
        <v>1470.0000000000002</v>
      </c>
      <c r="T128" s="12">
        <v>2940.0000000000005</v>
      </c>
      <c r="U128" s="18">
        <v>24735</v>
      </c>
      <c r="V128" s="12">
        <v>19530</v>
      </c>
      <c r="W128" s="13" t="s">
        <v>1188</v>
      </c>
      <c r="X128" s="6" t="s">
        <v>210</v>
      </c>
      <c r="Y128" s="6" t="s">
        <v>883</v>
      </c>
      <c r="Z128" s="6" t="s">
        <v>36</v>
      </c>
      <c r="AA128" s="14" t="s">
        <v>1188</v>
      </c>
      <c r="AB128" s="14" t="s">
        <v>1228</v>
      </c>
      <c r="AC128" s="14"/>
    </row>
    <row r="129" spans="1:29" s="5" customFormat="1" ht="21.75" customHeight="1" x14ac:dyDescent="0.25">
      <c r="A129" s="6">
        <v>128</v>
      </c>
      <c r="B129" s="7">
        <v>2001011</v>
      </c>
      <c r="C129" s="34" t="s">
        <v>531</v>
      </c>
      <c r="D129" s="11" t="s">
        <v>532</v>
      </c>
      <c r="E129" s="9" t="s">
        <v>1051</v>
      </c>
      <c r="F129" s="9" t="s">
        <v>48</v>
      </c>
      <c r="G129" s="10">
        <v>45142</v>
      </c>
      <c r="H129" s="11" t="s">
        <v>40</v>
      </c>
      <c r="I129" s="11" t="s">
        <v>854</v>
      </c>
      <c r="J129" s="11">
        <v>40480</v>
      </c>
      <c r="K129" s="11">
        <v>60720</v>
      </c>
      <c r="L129" s="12">
        <v>101200</v>
      </c>
      <c r="M129" s="12">
        <v>101200</v>
      </c>
      <c r="N129" s="12">
        <v>795</v>
      </c>
      <c r="O129" s="12">
        <v>26400</v>
      </c>
      <c r="P129" s="12">
        <v>0</v>
      </c>
      <c r="Q129" s="12">
        <v>0</v>
      </c>
      <c r="R129" s="12">
        <v>0</v>
      </c>
      <c r="S129" s="12">
        <v>0</v>
      </c>
      <c r="T129" s="12">
        <v>26400</v>
      </c>
      <c r="U129" s="12">
        <v>128395</v>
      </c>
      <c r="V129" s="12">
        <v>127600</v>
      </c>
      <c r="W129" s="13" t="s">
        <v>1180</v>
      </c>
      <c r="X129" s="6" t="s">
        <v>202</v>
      </c>
      <c r="Y129" s="6" t="s">
        <v>886</v>
      </c>
      <c r="Z129" s="6" t="s">
        <v>36</v>
      </c>
      <c r="AA129" s="50"/>
      <c r="AC129" s="14"/>
    </row>
    <row r="130" spans="1:29" s="5" customFormat="1" ht="21.75" customHeight="1" x14ac:dyDescent="0.25">
      <c r="A130" s="6">
        <v>129</v>
      </c>
      <c r="B130" s="7">
        <v>2000516</v>
      </c>
      <c r="C130" s="34" t="s">
        <v>535</v>
      </c>
      <c r="D130" s="11" t="s">
        <v>536</v>
      </c>
      <c r="E130" s="9" t="s">
        <v>537</v>
      </c>
      <c r="F130" s="9" t="s">
        <v>348</v>
      </c>
      <c r="G130" s="10">
        <v>45139</v>
      </c>
      <c r="H130" s="11" t="s">
        <v>87</v>
      </c>
      <c r="I130" s="11" t="s">
        <v>176</v>
      </c>
      <c r="J130" s="11">
        <v>22921.300000000003</v>
      </c>
      <c r="K130" s="11">
        <v>34381.949999999997</v>
      </c>
      <c r="L130" s="12">
        <v>57303.25</v>
      </c>
      <c r="M130" s="12">
        <v>57303.25</v>
      </c>
      <c r="N130" s="12">
        <v>795</v>
      </c>
      <c r="O130" s="12">
        <v>10419</v>
      </c>
      <c r="P130" s="12">
        <v>0</v>
      </c>
      <c r="Q130" s="12">
        <v>0</v>
      </c>
      <c r="R130" s="12">
        <v>0</v>
      </c>
      <c r="S130" s="12">
        <v>0</v>
      </c>
      <c r="T130" s="12">
        <v>10419</v>
      </c>
      <c r="U130" s="12">
        <v>68517.25</v>
      </c>
      <c r="V130" s="12">
        <v>67722.25</v>
      </c>
      <c r="W130" s="13" t="s">
        <v>1180</v>
      </c>
      <c r="X130" s="6" t="s">
        <v>88</v>
      </c>
      <c r="Y130" s="6" t="s">
        <v>890</v>
      </c>
      <c r="Z130" s="6" t="s">
        <v>36</v>
      </c>
      <c r="AA130" s="50"/>
      <c r="AC130" s="14"/>
    </row>
    <row r="131" spans="1:29" s="14" customFormat="1" ht="21.75" customHeight="1" x14ac:dyDescent="0.25">
      <c r="A131" s="6">
        <v>130</v>
      </c>
      <c r="B131" s="23">
        <v>2001003</v>
      </c>
      <c r="C131" s="24" t="s">
        <v>542</v>
      </c>
      <c r="D131" s="25" t="s">
        <v>543</v>
      </c>
      <c r="E131" s="9" t="s">
        <v>544</v>
      </c>
      <c r="F131" s="26" t="s">
        <v>230</v>
      </c>
      <c r="G131" s="27">
        <v>45147</v>
      </c>
      <c r="H131" s="11" t="s">
        <v>33</v>
      </c>
      <c r="I131" s="11" t="s">
        <v>97</v>
      </c>
      <c r="J131" s="28">
        <v>32550</v>
      </c>
      <c r="K131" s="28">
        <v>48825</v>
      </c>
      <c r="L131" s="28">
        <v>81375</v>
      </c>
      <c r="M131" s="28">
        <v>81375</v>
      </c>
      <c r="N131" s="28">
        <v>795</v>
      </c>
      <c r="O131" s="28">
        <v>0</v>
      </c>
      <c r="P131" s="28">
        <v>4875</v>
      </c>
      <c r="Q131" s="28">
        <v>0</v>
      </c>
      <c r="R131" s="28">
        <v>0</v>
      </c>
      <c r="S131" s="28">
        <v>0</v>
      </c>
      <c r="T131" s="28">
        <v>4875</v>
      </c>
      <c r="U131" s="28">
        <v>87045</v>
      </c>
      <c r="V131" s="12">
        <v>86250</v>
      </c>
      <c r="W131" s="29" t="s">
        <v>1100</v>
      </c>
      <c r="X131" s="6" t="s">
        <v>202</v>
      </c>
      <c r="Y131" s="6" t="s">
        <v>880</v>
      </c>
      <c r="Z131" s="30" t="s">
        <v>36</v>
      </c>
      <c r="AA131" s="50"/>
    </row>
    <row r="132" spans="1:29" s="14" customFormat="1" ht="21.75" customHeight="1" x14ac:dyDescent="0.25">
      <c r="A132" s="6">
        <v>131</v>
      </c>
      <c r="B132" s="23">
        <v>2001013</v>
      </c>
      <c r="C132" s="24" t="s">
        <v>545</v>
      </c>
      <c r="D132" s="25" t="s">
        <v>546</v>
      </c>
      <c r="E132" s="9" t="s">
        <v>458</v>
      </c>
      <c r="F132" s="26" t="s">
        <v>547</v>
      </c>
      <c r="G132" s="27">
        <v>45166</v>
      </c>
      <c r="H132" s="11" t="s">
        <v>45</v>
      </c>
      <c r="I132" s="11" t="s">
        <v>256</v>
      </c>
      <c r="J132" s="28">
        <v>16800</v>
      </c>
      <c r="K132" s="28">
        <v>25200</v>
      </c>
      <c r="L132" s="28">
        <v>42000</v>
      </c>
      <c r="M132" s="28">
        <v>42000</v>
      </c>
      <c r="N132" s="28">
        <v>795</v>
      </c>
      <c r="O132" s="28">
        <v>0</v>
      </c>
      <c r="P132" s="28">
        <v>3250</v>
      </c>
      <c r="Q132" s="28">
        <v>2872.7999999999997</v>
      </c>
      <c r="R132" s="28">
        <v>-2666.6666666666665</v>
      </c>
      <c r="S132" s="28">
        <v>2872.7999999999997</v>
      </c>
      <c r="T132" s="28">
        <v>3456.1333333333328</v>
      </c>
      <c r="U132" s="28">
        <v>46251.133333333331</v>
      </c>
      <c r="V132" s="12">
        <v>39710.533333333333</v>
      </c>
      <c r="W132" s="29" t="s">
        <v>1198</v>
      </c>
      <c r="X132" s="6" t="s">
        <v>88</v>
      </c>
      <c r="Y132" s="6" t="s">
        <v>898</v>
      </c>
      <c r="Z132" s="30" t="s">
        <v>36</v>
      </c>
      <c r="AA132" s="50" t="s">
        <v>1198</v>
      </c>
      <c r="AB132" s="14" t="s">
        <v>1229</v>
      </c>
    </row>
    <row r="133" spans="1:29" s="14" customFormat="1" ht="21.75" customHeight="1" x14ac:dyDescent="0.25">
      <c r="A133" s="6">
        <v>132</v>
      </c>
      <c r="B133" s="23">
        <v>2000392</v>
      </c>
      <c r="C133" s="24" t="s">
        <v>548</v>
      </c>
      <c r="D133" s="25" t="s">
        <v>549</v>
      </c>
      <c r="E133" s="9" t="s">
        <v>936</v>
      </c>
      <c r="F133" s="26" t="s">
        <v>550</v>
      </c>
      <c r="G133" s="27">
        <v>45170</v>
      </c>
      <c r="H133" s="11" t="s">
        <v>33</v>
      </c>
      <c r="I133" s="11" t="s">
        <v>53</v>
      </c>
      <c r="J133" s="28">
        <v>9240</v>
      </c>
      <c r="K133" s="28">
        <v>13860</v>
      </c>
      <c r="L133" s="28">
        <v>23100</v>
      </c>
      <c r="M133" s="28">
        <v>23100</v>
      </c>
      <c r="N133" s="28">
        <v>795</v>
      </c>
      <c r="O133" s="28">
        <v>0</v>
      </c>
      <c r="P133" s="28">
        <v>2312.5</v>
      </c>
      <c r="Q133" s="28">
        <v>0</v>
      </c>
      <c r="R133" s="28">
        <v>0</v>
      </c>
      <c r="S133" s="28">
        <v>0</v>
      </c>
      <c r="T133" s="28">
        <v>2312.5</v>
      </c>
      <c r="U133" s="28">
        <v>26207.5</v>
      </c>
      <c r="V133" s="12">
        <v>25412.5</v>
      </c>
      <c r="W133" s="29" t="s">
        <v>1098</v>
      </c>
      <c r="X133" s="6" t="s">
        <v>210</v>
      </c>
      <c r="Y133" s="6" t="s">
        <v>872</v>
      </c>
      <c r="Z133" s="30" t="s">
        <v>149</v>
      </c>
      <c r="AA133" s="50"/>
    </row>
    <row r="134" spans="1:29" s="5" customFormat="1" ht="21.75" customHeight="1" x14ac:dyDescent="0.25">
      <c r="A134" s="6">
        <v>133</v>
      </c>
      <c r="B134" s="7">
        <v>2001008</v>
      </c>
      <c r="C134" s="33" t="s">
        <v>551</v>
      </c>
      <c r="D134" s="91" t="s">
        <v>552</v>
      </c>
      <c r="E134" s="9" t="s">
        <v>96</v>
      </c>
      <c r="F134" s="9" t="s">
        <v>553</v>
      </c>
      <c r="G134" s="10">
        <v>45170</v>
      </c>
      <c r="H134" s="11" t="s">
        <v>33</v>
      </c>
      <c r="I134" s="11" t="s">
        <v>97</v>
      </c>
      <c r="J134" s="11">
        <v>6300</v>
      </c>
      <c r="K134" s="11">
        <v>9450</v>
      </c>
      <c r="L134" s="12">
        <v>15750</v>
      </c>
      <c r="M134" s="12">
        <v>15750</v>
      </c>
      <c r="N134" s="12">
        <v>795</v>
      </c>
      <c r="O134" s="12">
        <v>0</v>
      </c>
      <c r="P134" s="12">
        <v>0</v>
      </c>
      <c r="Q134" s="12">
        <v>1732.5</v>
      </c>
      <c r="R134" s="12">
        <v>0</v>
      </c>
      <c r="S134" s="12">
        <v>1181.25</v>
      </c>
      <c r="T134" s="12">
        <v>1732.5</v>
      </c>
      <c r="U134" s="12">
        <v>18277.5</v>
      </c>
      <c r="V134" s="12">
        <v>14568.75</v>
      </c>
      <c r="W134" s="13" t="s">
        <v>1189</v>
      </c>
      <c r="X134" s="6" t="s">
        <v>908</v>
      </c>
      <c r="Y134" s="6" t="s">
        <v>880</v>
      </c>
      <c r="Z134" s="6" t="s">
        <v>36</v>
      </c>
      <c r="AA134" s="14" t="s">
        <v>1189</v>
      </c>
      <c r="AB134" s="14" t="s">
        <v>1230</v>
      </c>
      <c r="AC134" s="14"/>
    </row>
    <row r="135" spans="1:29" s="5" customFormat="1" ht="21.75" customHeight="1" x14ac:dyDescent="0.25">
      <c r="A135" s="6">
        <v>134</v>
      </c>
      <c r="B135" s="7">
        <v>2001016</v>
      </c>
      <c r="C135" s="34" t="s">
        <v>562</v>
      </c>
      <c r="D135" s="11" t="s">
        <v>563</v>
      </c>
      <c r="E135" s="9" t="s">
        <v>564</v>
      </c>
      <c r="F135" s="9" t="s">
        <v>52</v>
      </c>
      <c r="G135" s="10">
        <v>45182</v>
      </c>
      <c r="H135" s="11" t="s">
        <v>33</v>
      </c>
      <c r="I135" s="11" t="s">
        <v>34</v>
      </c>
      <c r="J135" s="11">
        <v>14582.2</v>
      </c>
      <c r="K135" s="11">
        <v>21873.3</v>
      </c>
      <c r="L135" s="12">
        <v>36455.5</v>
      </c>
      <c r="M135" s="12">
        <v>36455.5</v>
      </c>
      <c r="N135" s="12">
        <v>795</v>
      </c>
      <c r="O135" s="12">
        <v>6628.5</v>
      </c>
      <c r="P135" s="12">
        <v>0</v>
      </c>
      <c r="Q135" s="12">
        <v>0</v>
      </c>
      <c r="R135" s="12">
        <v>0</v>
      </c>
      <c r="S135" s="12">
        <v>0</v>
      </c>
      <c r="T135" s="12">
        <v>6628.5</v>
      </c>
      <c r="U135" s="12">
        <v>43879</v>
      </c>
      <c r="V135" s="12">
        <v>43084</v>
      </c>
      <c r="W135" s="13" t="s">
        <v>1180</v>
      </c>
      <c r="X135" s="6" t="s">
        <v>88</v>
      </c>
      <c r="Y135" s="6" t="s">
        <v>868</v>
      </c>
      <c r="Z135" s="6" t="s">
        <v>36</v>
      </c>
      <c r="AA135" s="50"/>
      <c r="AC135" s="14"/>
    </row>
    <row r="136" spans="1:29" s="14" customFormat="1" ht="21.75" customHeight="1" x14ac:dyDescent="0.25">
      <c r="A136" s="6">
        <v>135</v>
      </c>
      <c r="B136" s="23">
        <v>2001038</v>
      </c>
      <c r="C136" s="24" t="s">
        <v>568</v>
      </c>
      <c r="D136" s="25" t="s">
        <v>569</v>
      </c>
      <c r="E136" s="9" t="s">
        <v>937</v>
      </c>
      <c r="F136" s="26" t="s">
        <v>52</v>
      </c>
      <c r="G136" s="27">
        <v>45201</v>
      </c>
      <c r="H136" s="11" t="s">
        <v>236</v>
      </c>
      <c r="I136" s="11" t="s">
        <v>864</v>
      </c>
      <c r="J136" s="28">
        <v>23642.600000000002</v>
      </c>
      <c r="K136" s="28">
        <v>35463.9</v>
      </c>
      <c r="L136" s="28">
        <v>59106.5</v>
      </c>
      <c r="M136" s="28">
        <v>59106.5</v>
      </c>
      <c r="N136" s="28">
        <v>795</v>
      </c>
      <c r="O136" s="28">
        <v>0</v>
      </c>
      <c r="P136" s="28">
        <v>4500</v>
      </c>
      <c r="Q136" s="28">
        <v>0</v>
      </c>
      <c r="R136" s="28">
        <v>0</v>
      </c>
      <c r="S136" s="28">
        <v>0</v>
      </c>
      <c r="T136" s="28">
        <v>4500</v>
      </c>
      <c r="U136" s="28">
        <v>64401.5</v>
      </c>
      <c r="V136" s="12">
        <v>63606.5</v>
      </c>
      <c r="W136" s="29" t="s">
        <v>996</v>
      </c>
      <c r="X136" s="6" t="s">
        <v>202</v>
      </c>
      <c r="Y136" s="6" t="s">
        <v>911</v>
      </c>
      <c r="Z136" s="30" t="s">
        <v>36</v>
      </c>
      <c r="AA136" s="50"/>
    </row>
    <row r="137" spans="1:29" s="14" customFormat="1" ht="21.75" customHeight="1" x14ac:dyDescent="0.25">
      <c r="A137" s="6">
        <v>136</v>
      </c>
      <c r="B137" s="23">
        <v>2001040</v>
      </c>
      <c r="C137" s="24" t="s">
        <v>17</v>
      </c>
      <c r="D137" s="25" t="s">
        <v>18</v>
      </c>
      <c r="E137" s="9" t="s">
        <v>938</v>
      </c>
      <c r="F137" s="26" t="s">
        <v>573</v>
      </c>
      <c r="G137" s="27">
        <v>45196</v>
      </c>
      <c r="H137" s="11" t="s">
        <v>69</v>
      </c>
      <c r="I137" s="11" t="s">
        <v>275</v>
      </c>
      <c r="J137" s="28">
        <v>11350</v>
      </c>
      <c r="K137" s="28">
        <v>17025</v>
      </c>
      <c r="L137" s="28">
        <v>28375</v>
      </c>
      <c r="M137" s="28">
        <v>28375</v>
      </c>
      <c r="N137" s="28">
        <v>795</v>
      </c>
      <c r="O137" s="28">
        <v>0</v>
      </c>
      <c r="P137" s="28">
        <v>2312.5</v>
      </c>
      <c r="Q137" s="28">
        <v>0</v>
      </c>
      <c r="R137" s="28">
        <v>0</v>
      </c>
      <c r="S137" s="28">
        <v>0</v>
      </c>
      <c r="T137" s="28">
        <v>2312.5</v>
      </c>
      <c r="U137" s="28">
        <v>31482.5</v>
      </c>
      <c r="V137" s="12">
        <v>30687.5</v>
      </c>
      <c r="W137" s="29" t="s">
        <v>998</v>
      </c>
      <c r="X137" s="6" t="s">
        <v>88</v>
      </c>
      <c r="Y137" s="6" t="s">
        <v>901</v>
      </c>
      <c r="Z137" s="30" t="s">
        <v>36</v>
      </c>
      <c r="AA137" s="50"/>
    </row>
    <row r="138" spans="1:29" s="14" customFormat="1" ht="21.75" customHeight="1" x14ac:dyDescent="0.25">
      <c r="A138" s="6">
        <v>137</v>
      </c>
      <c r="B138" s="23">
        <v>2001099</v>
      </c>
      <c r="C138" s="24" t="s">
        <v>587</v>
      </c>
      <c r="D138" s="25" t="s">
        <v>588</v>
      </c>
      <c r="E138" s="9" t="s">
        <v>389</v>
      </c>
      <c r="F138" s="26" t="s">
        <v>130</v>
      </c>
      <c r="G138" s="27">
        <v>45271</v>
      </c>
      <c r="H138" s="11" t="s">
        <v>33</v>
      </c>
      <c r="I138" s="11" t="s">
        <v>97</v>
      </c>
      <c r="J138" s="28">
        <v>18856.7</v>
      </c>
      <c r="K138" s="28">
        <v>28285.05</v>
      </c>
      <c r="L138" s="28">
        <v>47141.75</v>
      </c>
      <c r="M138" s="28">
        <v>47141.75</v>
      </c>
      <c r="N138" s="28">
        <v>795</v>
      </c>
      <c r="O138" s="28">
        <v>0</v>
      </c>
      <c r="P138" s="28">
        <v>2312.5</v>
      </c>
      <c r="Q138" s="28">
        <v>0</v>
      </c>
      <c r="R138" s="28">
        <v>0</v>
      </c>
      <c r="S138" s="28">
        <v>0</v>
      </c>
      <c r="T138" s="28">
        <v>2312.5</v>
      </c>
      <c r="U138" s="28">
        <v>50249.25</v>
      </c>
      <c r="V138" s="12">
        <v>49454.25</v>
      </c>
      <c r="W138" s="29" t="s">
        <v>999</v>
      </c>
      <c r="X138" s="6" t="s">
        <v>88</v>
      </c>
      <c r="Y138" s="6" t="s">
        <v>880</v>
      </c>
      <c r="Z138" s="30" t="s">
        <v>36</v>
      </c>
      <c r="AA138" s="50"/>
    </row>
    <row r="139" spans="1:29" s="14" customFormat="1" ht="21.75" customHeight="1" x14ac:dyDescent="0.25">
      <c r="A139" s="6">
        <v>138</v>
      </c>
      <c r="B139" s="23">
        <v>2000582</v>
      </c>
      <c r="C139" s="24" t="s">
        <v>607</v>
      </c>
      <c r="D139" s="25" t="s">
        <v>608</v>
      </c>
      <c r="E139" s="9" t="s">
        <v>609</v>
      </c>
      <c r="F139" s="26" t="s">
        <v>48</v>
      </c>
      <c r="G139" s="27">
        <v>45385</v>
      </c>
      <c r="H139" s="11" t="s">
        <v>40</v>
      </c>
      <c r="I139" s="11" t="s">
        <v>854</v>
      </c>
      <c r="J139" s="28">
        <v>25300</v>
      </c>
      <c r="K139" s="28">
        <v>37950</v>
      </c>
      <c r="L139" s="28">
        <v>63250</v>
      </c>
      <c r="M139" s="28">
        <v>63250</v>
      </c>
      <c r="N139" s="28">
        <v>795</v>
      </c>
      <c r="O139" s="28">
        <v>0</v>
      </c>
      <c r="P139" s="28">
        <v>3250</v>
      </c>
      <c r="Q139" s="28">
        <v>0</v>
      </c>
      <c r="R139" s="28">
        <v>0</v>
      </c>
      <c r="S139" s="28">
        <v>0</v>
      </c>
      <c r="T139" s="28">
        <v>3250</v>
      </c>
      <c r="U139" s="28">
        <v>67295</v>
      </c>
      <c r="V139" s="12">
        <v>66500</v>
      </c>
      <c r="W139" s="29" t="s">
        <v>997</v>
      </c>
      <c r="X139" s="6" t="s">
        <v>88</v>
      </c>
      <c r="Y139" s="6" t="s">
        <v>886</v>
      </c>
      <c r="Z139" s="30" t="s">
        <v>36</v>
      </c>
      <c r="AA139" s="50"/>
    </row>
    <row r="140" spans="1:29" s="5" customFormat="1" ht="21.75" customHeight="1" x14ac:dyDescent="0.25">
      <c r="A140" s="6">
        <v>139</v>
      </c>
      <c r="B140" s="7">
        <v>2001141</v>
      </c>
      <c r="C140" s="34" t="s">
        <v>613</v>
      </c>
      <c r="D140" s="11" t="s">
        <v>614</v>
      </c>
      <c r="E140" s="9" t="s">
        <v>1056</v>
      </c>
      <c r="F140" s="9" t="s">
        <v>320</v>
      </c>
      <c r="G140" s="10">
        <v>45467</v>
      </c>
      <c r="H140" s="11" t="s">
        <v>87</v>
      </c>
      <c r="I140" s="11" t="s">
        <v>1008</v>
      </c>
      <c r="J140" s="11">
        <v>48400</v>
      </c>
      <c r="K140" s="11">
        <v>72600</v>
      </c>
      <c r="L140" s="12">
        <v>121000</v>
      </c>
      <c r="M140" s="12">
        <v>121000</v>
      </c>
      <c r="N140" s="12">
        <v>795</v>
      </c>
      <c r="O140" s="12">
        <v>22000</v>
      </c>
      <c r="P140" s="12">
        <v>0</v>
      </c>
      <c r="Q140" s="12">
        <v>0</v>
      </c>
      <c r="R140" s="12">
        <v>0</v>
      </c>
      <c r="S140" s="12">
        <v>0</v>
      </c>
      <c r="T140" s="12">
        <v>22000</v>
      </c>
      <c r="U140" s="12">
        <v>143795</v>
      </c>
      <c r="V140" s="12">
        <v>143000</v>
      </c>
      <c r="W140" s="13" t="s">
        <v>1180</v>
      </c>
      <c r="X140" s="6" t="s">
        <v>912</v>
      </c>
      <c r="Y140" s="6" t="s">
        <v>877</v>
      </c>
      <c r="Z140" s="6" t="s">
        <v>36</v>
      </c>
      <c r="AA140" s="50"/>
      <c r="AC140" s="14"/>
    </row>
    <row r="141" spans="1:29" s="5" customFormat="1" ht="21.75" customHeight="1" x14ac:dyDescent="0.25">
      <c r="A141" s="6">
        <v>140</v>
      </c>
      <c r="B141" s="7">
        <v>2001139</v>
      </c>
      <c r="C141" s="34" t="s">
        <v>615</v>
      </c>
      <c r="D141" s="11" t="s">
        <v>616</v>
      </c>
      <c r="E141" s="9" t="s">
        <v>617</v>
      </c>
      <c r="F141" s="9" t="s">
        <v>52</v>
      </c>
      <c r="G141" s="10">
        <v>45449</v>
      </c>
      <c r="H141" s="11" t="s">
        <v>33</v>
      </c>
      <c r="I141" s="11" t="s">
        <v>97</v>
      </c>
      <c r="J141" s="11">
        <v>19800</v>
      </c>
      <c r="K141" s="11">
        <v>29700</v>
      </c>
      <c r="L141" s="12">
        <v>49500</v>
      </c>
      <c r="M141" s="12">
        <v>49500</v>
      </c>
      <c r="N141" s="12">
        <v>795</v>
      </c>
      <c r="O141" s="12">
        <v>9000</v>
      </c>
      <c r="P141" s="12">
        <v>0</v>
      </c>
      <c r="Q141" s="12">
        <v>0</v>
      </c>
      <c r="R141" s="12">
        <v>0</v>
      </c>
      <c r="S141" s="12">
        <v>0</v>
      </c>
      <c r="T141" s="12">
        <v>9000</v>
      </c>
      <c r="U141" s="12">
        <v>59295</v>
      </c>
      <c r="V141" s="12">
        <v>58500</v>
      </c>
      <c r="W141" s="13" t="s">
        <v>1180</v>
      </c>
      <c r="X141" s="6" t="s">
        <v>56</v>
      </c>
      <c r="Y141" s="6" t="s">
        <v>880</v>
      </c>
      <c r="Z141" s="6" t="s">
        <v>36</v>
      </c>
      <c r="AA141" s="50"/>
      <c r="AC141" s="14"/>
    </row>
    <row r="142" spans="1:29" s="14" customFormat="1" ht="21.75" customHeight="1" x14ac:dyDescent="0.25">
      <c r="A142" s="6">
        <v>141</v>
      </c>
      <c r="B142" s="7">
        <v>2001172</v>
      </c>
      <c r="C142" s="15" t="s">
        <v>636</v>
      </c>
      <c r="D142" s="88" t="s">
        <v>630</v>
      </c>
      <c r="E142" s="9" t="s">
        <v>264</v>
      </c>
      <c r="F142" s="9" t="s">
        <v>274</v>
      </c>
      <c r="G142" s="10">
        <v>45574</v>
      </c>
      <c r="H142" s="11" t="s">
        <v>33</v>
      </c>
      <c r="I142" s="11" t="s">
        <v>152</v>
      </c>
      <c r="J142" s="11">
        <v>16594</v>
      </c>
      <c r="K142" s="11">
        <v>24891</v>
      </c>
      <c r="L142" s="12">
        <v>41485</v>
      </c>
      <c r="M142" s="12">
        <v>41485</v>
      </c>
      <c r="N142" s="12">
        <v>795</v>
      </c>
      <c r="O142" s="12">
        <v>0</v>
      </c>
      <c r="P142" s="12">
        <v>0</v>
      </c>
      <c r="Q142" s="12">
        <v>6222.75</v>
      </c>
      <c r="R142" s="12">
        <v>0</v>
      </c>
      <c r="S142" s="12">
        <v>2074.25</v>
      </c>
      <c r="T142" s="12">
        <v>6222.75</v>
      </c>
      <c r="U142" s="12">
        <v>48502.75</v>
      </c>
      <c r="V142" s="12">
        <v>39410.75</v>
      </c>
      <c r="W142" s="13" t="s">
        <v>1184</v>
      </c>
      <c r="X142" s="6" t="s">
        <v>56</v>
      </c>
      <c r="Y142" s="6" t="s">
        <v>888</v>
      </c>
      <c r="Z142" s="6" t="s">
        <v>36</v>
      </c>
      <c r="AA142" s="14" t="s">
        <v>1184</v>
      </c>
      <c r="AB142" s="14" t="s">
        <v>1231</v>
      </c>
    </row>
    <row r="143" spans="1:29" s="14" customFormat="1" ht="21.75" customHeight="1" x14ac:dyDescent="0.25">
      <c r="A143" s="6">
        <v>142</v>
      </c>
      <c r="B143" s="7">
        <v>2001230</v>
      </c>
      <c r="C143" s="16" t="s">
        <v>730</v>
      </c>
      <c r="D143" s="89" t="s">
        <v>731</v>
      </c>
      <c r="E143" s="9" t="s">
        <v>744</v>
      </c>
      <c r="F143" s="9" t="s">
        <v>274</v>
      </c>
      <c r="G143" s="10">
        <v>45637</v>
      </c>
      <c r="H143" s="11" t="s">
        <v>49</v>
      </c>
      <c r="I143" s="11" t="s">
        <v>747</v>
      </c>
      <c r="J143" s="11">
        <v>19180</v>
      </c>
      <c r="K143" s="11">
        <v>28771</v>
      </c>
      <c r="L143" s="12">
        <v>47951</v>
      </c>
      <c r="M143" s="12">
        <v>47951</v>
      </c>
      <c r="N143" s="12">
        <v>795</v>
      </c>
      <c r="O143" s="12">
        <v>0</v>
      </c>
      <c r="P143" s="12">
        <v>0</v>
      </c>
      <c r="Q143" s="12">
        <v>7192.65</v>
      </c>
      <c r="R143" s="12">
        <v>0</v>
      </c>
      <c r="S143" s="12">
        <v>2397.5500000000002</v>
      </c>
      <c r="T143" s="12">
        <v>7192.65</v>
      </c>
      <c r="U143" s="18">
        <v>55938.65</v>
      </c>
      <c r="V143" s="12">
        <v>45553.45</v>
      </c>
      <c r="W143" s="13" t="s">
        <v>1184</v>
      </c>
      <c r="X143" s="6" t="s">
        <v>56</v>
      </c>
      <c r="Y143" s="6" t="s">
        <v>914</v>
      </c>
      <c r="Z143" s="6" t="s">
        <v>36</v>
      </c>
      <c r="AA143" s="14" t="s">
        <v>1184</v>
      </c>
      <c r="AB143" s="14" t="s">
        <v>1232</v>
      </c>
    </row>
    <row r="144" spans="1:29" s="14" customFormat="1" ht="21.75" customHeight="1" x14ac:dyDescent="0.25">
      <c r="A144" s="6">
        <v>143</v>
      </c>
      <c r="B144" s="51">
        <v>2001220</v>
      </c>
      <c r="C144" s="16" t="s">
        <v>734</v>
      </c>
      <c r="D144" s="89" t="s">
        <v>735</v>
      </c>
      <c r="E144" s="9" t="s">
        <v>724</v>
      </c>
      <c r="F144" s="9" t="s">
        <v>274</v>
      </c>
      <c r="G144" s="10">
        <v>45625</v>
      </c>
      <c r="H144" s="11" t="s">
        <v>33</v>
      </c>
      <c r="I144" s="11" t="s">
        <v>97</v>
      </c>
      <c r="J144" s="11">
        <v>22000</v>
      </c>
      <c r="K144" s="11">
        <v>33000</v>
      </c>
      <c r="L144" s="12">
        <v>55000</v>
      </c>
      <c r="M144" s="12">
        <v>55000</v>
      </c>
      <c r="N144" s="12">
        <v>795</v>
      </c>
      <c r="O144" s="12">
        <v>0</v>
      </c>
      <c r="P144" s="32">
        <v>-7500</v>
      </c>
      <c r="Q144" s="12">
        <v>8250</v>
      </c>
      <c r="R144" s="12">
        <v>0</v>
      </c>
      <c r="S144" s="12">
        <v>2750</v>
      </c>
      <c r="T144" s="12">
        <v>750</v>
      </c>
      <c r="U144" s="18">
        <v>56545</v>
      </c>
      <c r="V144" s="12">
        <v>44750</v>
      </c>
      <c r="W144" s="13" t="s">
        <v>1190</v>
      </c>
      <c r="X144" s="6" t="s">
        <v>41</v>
      </c>
      <c r="Y144" s="6" t="s">
        <v>880</v>
      </c>
      <c r="Z144" s="6" t="s">
        <v>36</v>
      </c>
      <c r="AA144" s="14" t="s">
        <v>1099</v>
      </c>
      <c r="AB144" s="14" t="s">
        <v>1233</v>
      </c>
    </row>
    <row r="145" spans="1:28" s="14" customFormat="1" ht="21.75" customHeight="1" x14ac:dyDescent="0.25">
      <c r="A145" s="6">
        <v>144</v>
      </c>
      <c r="B145" s="23">
        <v>2001280</v>
      </c>
      <c r="C145" s="24" t="s">
        <v>769</v>
      </c>
      <c r="D145" s="25" t="s">
        <v>765</v>
      </c>
      <c r="E145" s="9" t="s">
        <v>323</v>
      </c>
      <c r="F145" s="26" t="s">
        <v>274</v>
      </c>
      <c r="G145" s="27">
        <v>45656</v>
      </c>
      <c r="H145" s="11" t="s">
        <v>236</v>
      </c>
      <c r="I145" s="11" t="s">
        <v>237</v>
      </c>
      <c r="J145" s="28">
        <v>14654.8</v>
      </c>
      <c r="K145" s="28">
        <v>21982.2</v>
      </c>
      <c r="L145" s="28">
        <v>36637</v>
      </c>
      <c r="M145" s="28">
        <v>36637</v>
      </c>
      <c r="N145" s="28">
        <v>795</v>
      </c>
      <c r="O145" s="28">
        <v>0</v>
      </c>
      <c r="P145" s="28">
        <v>4675</v>
      </c>
      <c r="Q145" s="28">
        <v>5495.55</v>
      </c>
      <c r="R145" s="28">
        <v>0</v>
      </c>
      <c r="S145" s="28">
        <v>1831.8500000000001</v>
      </c>
      <c r="T145" s="28">
        <v>10170.549999999999</v>
      </c>
      <c r="U145" s="28">
        <v>47602.55</v>
      </c>
      <c r="V145" s="12">
        <v>39480.15</v>
      </c>
      <c r="W145" s="29" t="s">
        <v>1191</v>
      </c>
      <c r="X145" s="6" t="s">
        <v>78</v>
      </c>
      <c r="Y145" s="6" t="s">
        <v>897</v>
      </c>
      <c r="Z145" s="30" t="s">
        <v>36</v>
      </c>
      <c r="AA145" s="50" t="s">
        <v>1191</v>
      </c>
      <c r="AB145" s="14" t="s">
        <v>1234</v>
      </c>
    </row>
    <row r="146" spans="1:28" s="14" customFormat="1" ht="21.75" customHeight="1" x14ac:dyDescent="0.25">
      <c r="A146" s="6">
        <v>145</v>
      </c>
      <c r="B146" s="23">
        <v>2001254</v>
      </c>
      <c r="C146" s="24" t="s">
        <v>757</v>
      </c>
      <c r="D146" s="25" t="s">
        <v>753</v>
      </c>
      <c r="E146" s="9" t="s">
        <v>1069</v>
      </c>
      <c r="F146" s="26" t="s">
        <v>235</v>
      </c>
      <c r="G146" s="27">
        <v>45644</v>
      </c>
      <c r="H146" s="11" t="s">
        <v>236</v>
      </c>
      <c r="I146" s="11" t="s">
        <v>448</v>
      </c>
      <c r="J146" s="28">
        <v>18000</v>
      </c>
      <c r="K146" s="28">
        <v>27000</v>
      </c>
      <c r="L146" s="28">
        <v>45000</v>
      </c>
      <c r="M146" s="28">
        <v>45000</v>
      </c>
      <c r="N146" s="28">
        <v>795</v>
      </c>
      <c r="O146" s="28">
        <v>0</v>
      </c>
      <c r="P146" s="28">
        <v>4983.333333333333</v>
      </c>
      <c r="Q146" s="28">
        <v>0</v>
      </c>
      <c r="R146" s="28">
        <v>0</v>
      </c>
      <c r="S146" s="28">
        <v>0</v>
      </c>
      <c r="T146" s="28">
        <v>4983.333333333333</v>
      </c>
      <c r="U146" s="28">
        <v>50778.333333333336</v>
      </c>
      <c r="V146" s="12">
        <v>49983.333333333336</v>
      </c>
      <c r="W146" s="29" t="s">
        <v>1195</v>
      </c>
      <c r="X146" s="6" t="s">
        <v>56</v>
      </c>
      <c r="Y146" s="6" t="s">
        <v>910</v>
      </c>
      <c r="Z146" s="30" t="s">
        <v>36</v>
      </c>
      <c r="AA146" s="50"/>
    </row>
    <row r="147" spans="1:28" s="14" customFormat="1" ht="21.75" customHeight="1" x14ac:dyDescent="0.25">
      <c r="A147" s="6">
        <v>146</v>
      </c>
      <c r="B147" s="22">
        <v>2001255</v>
      </c>
      <c r="C147" s="8" t="s">
        <v>760</v>
      </c>
      <c r="D147" s="89" t="s">
        <v>764</v>
      </c>
      <c r="E147" s="9" t="s">
        <v>1070</v>
      </c>
      <c r="F147" s="9" t="s">
        <v>553</v>
      </c>
      <c r="G147" s="10">
        <v>45644</v>
      </c>
      <c r="H147" s="11" t="s">
        <v>45</v>
      </c>
      <c r="I147" s="11" t="s">
        <v>107</v>
      </c>
      <c r="J147" s="11">
        <v>11350</v>
      </c>
      <c r="K147" s="11">
        <v>17025</v>
      </c>
      <c r="L147" s="12">
        <v>28375</v>
      </c>
      <c r="M147" s="12">
        <v>28375</v>
      </c>
      <c r="N147" s="12">
        <v>795</v>
      </c>
      <c r="O147" s="12">
        <v>0</v>
      </c>
      <c r="P147" s="12">
        <v>0</v>
      </c>
      <c r="Q147" s="12">
        <v>3121.25</v>
      </c>
      <c r="R147" s="12">
        <v>0</v>
      </c>
      <c r="S147" s="12">
        <v>2128.125</v>
      </c>
      <c r="T147" s="12">
        <v>3121.25</v>
      </c>
      <c r="U147" s="18">
        <v>32291.25</v>
      </c>
      <c r="V147" s="12">
        <v>26246.875</v>
      </c>
      <c r="W147" s="13" t="s">
        <v>1189</v>
      </c>
      <c r="X147" s="6" t="s">
        <v>56</v>
      </c>
      <c r="Y147" s="6" t="s">
        <v>883</v>
      </c>
      <c r="Z147" s="6" t="s">
        <v>36</v>
      </c>
      <c r="AA147" s="14" t="s">
        <v>1189</v>
      </c>
      <c r="AB147" s="14" t="s">
        <v>1235</v>
      </c>
    </row>
    <row r="148" spans="1:28" s="14" customFormat="1" ht="21.75" customHeight="1" x14ac:dyDescent="0.25">
      <c r="A148" s="6">
        <v>147</v>
      </c>
      <c r="B148" s="6">
        <v>2001272</v>
      </c>
      <c r="C148" s="15" t="s">
        <v>784</v>
      </c>
      <c r="D148" s="93" t="s">
        <v>782</v>
      </c>
      <c r="E148" s="9" t="s">
        <v>790</v>
      </c>
      <c r="F148" s="9" t="s">
        <v>274</v>
      </c>
      <c r="G148" s="10">
        <v>45695</v>
      </c>
      <c r="H148" s="11" t="s">
        <v>69</v>
      </c>
      <c r="I148" s="11" t="s">
        <v>270</v>
      </c>
      <c r="J148" s="37">
        <v>29200</v>
      </c>
      <c r="K148" s="37">
        <v>43800</v>
      </c>
      <c r="L148" s="12">
        <v>73000</v>
      </c>
      <c r="M148" s="12">
        <v>73000</v>
      </c>
      <c r="N148" s="12">
        <v>795</v>
      </c>
      <c r="O148" s="12">
        <v>0</v>
      </c>
      <c r="P148" s="32">
        <v>-16666.666666666668</v>
      </c>
      <c r="Q148" s="12">
        <v>10950</v>
      </c>
      <c r="R148" s="12">
        <v>0</v>
      </c>
      <c r="S148" s="12">
        <v>3650</v>
      </c>
      <c r="T148" s="12">
        <v>-5716.6666666666679</v>
      </c>
      <c r="U148" s="18">
        <v>68078.333333333328</v>
      </c>
      <c r="V148" s="12">
        <v>52683.333333333328</v>
      </c>
      <c r="W148" s="38" t="s">
        <v>1192</v>
      </c>
      <c r="X148" s="6" t="s">
        <v>193</v>
      </c>
      <c r="Y148" s="6" t="s">
        <v>900</v>
      </c>
      <c r="Z148" s="22" t="s">
        <v>36</v>
      </c>
      <c r="AA148" s="14" t="s">
        <v>1099</v>
      </c>
      <c r="AB148" s="14" t="s">
        <v>1236</v>
      </c>
    </row>
    <row r="149" spans="1:28" s="14" customFormat="1" ht="21.75" customHeight="1" x14ac:dyDescent="0.25">
      <c r="A149" s="6">
        <v>148</v>
      </c>
      <c r="B149" s="7">
        <v>2001412</v>
      </c>
      <c r="C149" s="52" t="s">
        <v>1093</v>
      </c>
      <c r="D149" s="53" t="s">
        <v>1092</v>
      </c>
      <c r="E149" s="9" t="s">
        <v>1094</v>
      </c>
      <c r="F149" s="53" t="s">
        <v>1095</v>
      </c>
      <c r="G149" s="54">
        <v>45938</v>
      </c>
      <c r="H149" s="11" t="s">
        <v>49</v>
      </c>
      <c r="I149" s="11" t="s">
        <v>62</v>
      </c>
      <c r="J149" s="11">
        <v>11350</v>
      </c>
      <c r="K149" s="11">
        <v>17025</v>
      </c>
      <c r="L149" s="12">
        <v>28375</v>
      </c>
      <c r="M149" s="12">
        <v>28375</v>
      </c>
      <c r="N149" s="55">
        <v>848</v>
      </c>
      <c r="O149" s="12">
        <v>0</v>
      </c>
      <c r="P149" s="55">
        <v>1891.6666666666667</v>
      </c>
      <c r="Q149" s="12">
        <v>0</v>
      </c>
      <c r="R149" s="12">
        <v>0</v>
      </c>
      <c r="S149" s="12">
        <v>0</v>
      </c>
      <c r="T149" s="12">
        <v>1891.6666666666667</v>
      </c>
      <c r="U149" s="12">
        <v>31114.666666666668</v>
      </c>
      <c r="V149" s="12">
        <v>30266.666666666668</v>
      </c>
      <c r="W149" s="13" t="s">
        <v>1193</v>
      </c>
      <c r="X149" s="6" t="s">
        <v>56</v>
      </c>
      <c r="Y149" s="6" t="s">
        <v>874</v>
      </c>
      <c r="Z149" s="22" t="s">
        <v>36</v>
      </c>
      <c r="AA149" s="50"/>
    </row>
    <row r="150" spans="1:28" s="14" customFormat="1" ht="21.75" customHeight="1" x14ac:dyDescent="0.25">
      <c r="A150" s="6">
        <v>149</v>
      </c>
      <c r="B150" s="40"/>
      <c r="C150" s="52" t="s">
        <v>1200</v>
      </c>
      <c r="D150" s="53" t="s">
        <v>1201</v>
      </c>
      <c r="E150" s="9" t="s">
        <v>1202</v>
      </c>
      <c r="F150" s="53" t="s">
        <v>573</v>
      </c>
      <c r="G150" s="54">
        <v>45964</v>
      </c>
      <c r="H150" s="91"/>
      <c r="I150" s="91"/>
      <c r="J150" s="11">
        <v>13310.8</v>
      </c>
      <c r="K150" s="11">
        <v>19966.2</v>
      </c>
      <c r="L150" s="12">
        <v>33277</v>
      </c>
      <c r="M150" s="55">
        <v>31058.533333333333</v>
      </c>
      <c r="N150" s="55">
        <v>742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31800.533333333333</v>
      </c>
      <c r="V150" s="12">
        <v>31058.533333333333</v>
      </c>
      <c r="W150" s="13" t="s">
        <v>1203</v>
      </c>
      <c r="X150" s="39"/>
      <c r="Y150" s="39"/>
      <c r="Z150" s="22" t="s">
        <v>36</v>
      </c>
      <c r="AA150" s="50"/>
    </row>
    <row r="151" spans="1:28" s="14" customFormat="1" ht="21.75" customHeight="1" x14ac:dyDescent="0.25">
      <c r="A151" s="6">
        <v>150</v>
      </c>
      <c r="B151" s="40"/>
      <c r="C151" s="52" t="s">
        <v>1205</v>
      </c>
      <c r="D151" s="99" t="s">
        <v>1204</v>
      </c>
      <c r="E151" s="9" t="s">
        <v>1206</v>
      </c>
      <c r="F151" s="53" t="s">
        <v>274</v>
      </c>
      <c r="G151" s="54">
        <v>45959</v>
      </c>
      <c r="H151" s="91"/>
      <c r="I151" s="91"/>
      <c r="J151" s="11">
        <v>18531.759999999998</v>
      </c>
      <c r="K151" s="11">
        <v>27797.64</v>
      </c>
      <c r="L151" s="12">
        <v>46329.399999999994</v>
      </c>
      <c r="M151" s="12">
        <v>46329.399999999994</v>
      </c>
      <c r="N151" s="55">
        <v>848</v>
      </c>
      <c r="O151" s="12">
        <v>0</v>
      </c>
      <c r="P151" s="12">
        <v>0</v>
      </c>
      <c r="Q151" s="12">
        <v>7412.7039999999988</v>
      </c>
      <c r="R151" s="55">
        <v>3088.6266666666666</v>
      </c>
      <c r="S151" s="12">
        <v>2470.9013333333332</v>
      </c>
      <c r="T151" s="12">
        <v>10501.330666666665</v>
      </c>
      <c r="U151" s="12">
        <v>57678.730666666655</v>
      </c>
      <c r="V151" s="12">
        <v>46947.125333333322</v>
      </c>
      <c r="W151" s="13" t="s">
        <v>1207</v>
      </c>
      <c r="X151" s="39"/>
      <c r="Y151" s="39"/>
      <c r="Z151" s="22" t="s">
        <v>149</v>
      </c>
      <c r="AA151" s="50"/>
    </row>
    <row r="152" spans="1:28" s="14" customFormat="1" ht="21.75" customHeight="1" x14ac:dyDescent="0.25">
      <c r="A152" s="6">
        <v>152</v>
      </c>
      <c r="B152" s="40"/>
      <c r="C152" s="52" t="s">
        <v>1210</v>
      </c>
      <c r="D152" s="53" t="s">
        <v>1209</v>
      </c>
      <c r="E152" s="9" t="s">
        <v>1211</v>
      </c>
      <c r="F152" s="53" t="s">
        <v>188</v>
      </c>
      <c r="G152" s="54">
        <v>45961</v>
      </c>
      <c r="H152" s="91"/>
      <c r="I152" s="91"/>
      <c r="J152" s="11">
        <v>48000</v>
      </c>
      <c r="K152" s="11">
        <v>72000</v>
      </c>
      <c r="L152" s="12">
        <v>120000</v>
      </c>
      <c r="M152" s="12">
        <v>120000</v>
      </c>
      <c r="N152" s="55">
        <v>821.5</v>
      </c>
      <c r="O152" s="12">
        <v>0</v>
      </c>
      <c r="P152" s="12">
        <v>0</v>
      </c>
      <c r="Q152" s="12">
        <v>0</v>
      </c>
      <c r="R152" s="55">
        <v>4000</v>
      </c>
      <c r="S152" s="12">
        <v>0</v>
      </c>
      <c r="T152" s="12">
        <v>4000</v>
      </c>
      <c r="U152" s="12">
        <v>124821.5</v>
      </c>
      <c r="V152" s="12">
        <v>124000</v>
      </c>
      <c r="W152" s="13" t="s">
        <v>1212</v>
      </c>
      <c r="X152" s="39"/>
      <c r="Y152" s="39"/>
      <c r="Z152" s="22" t="s">
        <v>36</v>
      </c>
      <c r="AA152" s="50"/>
    </row>
  </sheetData>
  <conditionalFormatting sqref="B1">
    <cfRule type="duplicateValues" dxfId="456" priority="5"/>
    <cfRule type="duplicateValues" dxfId="455" priority="8"/>
    <cfRule type="duplicateValues" dxfId="454" priority="9"/>
    <cfRule type="duplicateValues" dxfId="453" priority="10"/>
    <cfRule type="duplicateValues" dxfId="452" priority="23"/>
  </conditionalFormatting>
  <conditionalFormatting sqref="B2:B152">
    <cfRule type="duplicateValues" dxfId="451" priority="22156"/>
    <cfRule type="duplicateValues" dxfId="450" priority="22157"/>
  </conditionalFormatting>
  <conditionalFormatting sqref="B15">
    <cfRule type="duplicateValues" dxfId="449" priority="391"/>
  </conditionalFormatting>
  <conditionalFormatting sqref="B48">
    <cfRule type="duplicateValues" dxfId="448" priority="390"/>
  </conditionalFormatting>
  <conditionalFormatting sqref="B146">
    <cfRule type="duplicateValues" dxfId="447" priority="78"/>
    <cfRule type="duplicateValues" dxfId="446" priority="79"/>
    <cfRule type="duplicateValues" dxfId="445" priority="80"/>
  </conditionalFormatting>
  <conditionalFormatting sqref="B149:B152">
    <cfRule type="duplicateValues" dxfId="444" priority="22160"/>
    <cfRule type="duplicateValues" dxfId="443" priority="22161"/>
    <cfRule type="duplicateValues" dxfId="442" priority="22162"/>
  </conditionalFormatting>
  <conditionalFormatting sqref="B153:B1048576">
    <cfRule type="duplicateValues" dxfId="441" priority="17874"/>
    <cfRule type="duplicateValues" dxfId="440" priority="17875"/>
  </conditionalFormatting>
  <conditionalFormatting sqref="C1">
    <cfRule type="duplicateValues" dxfId="439" priority="1"/>
    <cfRule type="duplicateValues" dxfId="438" priority="2"/>
    <cfRule type="duplicateValues" dxfId="437" priority="3"/>
    <cfRule type="duplicateValues" dxfId="436" priority="4"/>
    <cfRule type="duplicateValues" dxfId="435" priority="6"/>
    <cfRule type="duplicateValues" dxfId="434" priority="7"/>
    <cfRule type="duplicateValues" dxfId="433" priority="11"/>
    <cfRule type="duplicateValues" dxfId="432" priority="12"/>
    <cfRule type="duplicateValues" dxfId="431" priority="13"/>
    <cfRule type="duplicateValues" dxfId="430" priority="14"/>
    <cfRule type="duplicateValues" dxfId="429" priority="15"/>
    <cfRule type="duplicateValues" dxfId="428" priority="16"/>
    <cfRule type="duplicateValues" dxfId="427" priority="17"/>
    <cfRule type="duplicateValues" dxfId="426" priority="18"/>
    <cfRule type="duplicateValues" dxfId="425" priority="19"/>
    <cfRule type="duplicateValues" dxfId="424" priority="20"/>
    <cfRule type="duplicateValues" dxfId="423" priority="21"/>
    <cfRule type="duplicateValues" dxfId="422" priority="22"/>
  </conditionalFormatting>
  <conditionalFormatting sqref="C2:C141">
    <cfRule type="duplicateValues" dxfId="421" priority="435"/>
    <cfRule type="duplicateValues" dxfId="420" priority="436"/>
    <cfRule type="duplicateValues" dxfId="419" priority="437"/>
  </conditionalFormatting>
  <conditionalFormatting sqref="C2:C143">
    <cfRule type="duplicateValues" dxfId="418" priority="438"/>
    <cfRule type="duplicateValues" dxfId="417" priority="439"/>
    <cfRule type="duplicateValues" dxfId="416" priority="440"/>
    <cfRule type="duplicateValues" dxfId="415" priority="441"/>
    <cfRule type="duplicateValues" dxfId="414" priority="442"/>
    <cfRule type="duplicateValues" dxfId="413" priority="443"/>
  </conditionalFormatting>
  <conditionalFormatting sqref="C2:C146">
    <cfRule type="duplicateValues" dxfId="412" priority="444"/>
    <cfRule type="duplicateValues" dxfId="411" priority="445"/>
  </conditionalFormatting>
  <conditionalFormatting sqref="C2:C148">
    <cfRule type="duplicateValues" dxfId="410" priority="430"/>
    <cfRule type="duplicateValues" dxfId="409" priority="434"/>
  </conditionalFormatting>
  <conditionalFormatting sqref="C2:C152">
    <cfRule type="duplicateValues" dxfId="408" priority="22166"/>
    <cfRule type="duplicateValues" dxfId="407" priority="22167"/>
    <cfRule type="duplicateValues" dxfId="406" priority="22168"/>
    <cfRule type="duplicateValues" dxfId="405" priority="22169"/>
    <cfRule type="duplicateValues" dxfId="404" priority="22170"/>
  </conditionalFormatting>
  <conditionalFormatting sqref="C142:C143">
    <cfRule type="duplicateValues" dxfId="403" priority="115"/>
    <cfRule type="duplicateValues" dxfId="402" priority="116"/>
    <cfRule type="duplicateValues" dxfId="401" priority="117"/>
  </conditionalFormatting>
  <conditionalFormatting sqref="C145">
    <cfRule type="duplicateValues" dxfId="400" priority="106"/>
    <cfRule type="duplicateValues" dxfId="399" priority="107"/>
    <cfRule type="duplicateValues" dxfId="398" priority="108"/>
    <cfRule type="duplicateValues" dxfId="397" priority="109"/>
    <cfRule type="duplicateValues" dxfId="396" priority="110"/>
    <cfRule type="duplicateValues" dxfId="395" priority="111"/>
    <cfRule type="duplicateValues" dxfId="394" priority="112"/>
    <cfRule type="duplicateValues" dxfId="393" priority="113"/>
    <cfRule type="duplicateValues" dxfId="392" priority="114"/>
  </conditionalFormatting>
  <conditionalFormatting sqref="C146">
    <cfRule type="duplicateValues" dxfId="391" priority="81"/>
    <cfRule type="duplicateValues" dxfId="390" priority="82"/>
    <cfRule type="duplicateValues" dxfId="389" priority="83"/>
    <cfRule type="duplicateValues" dxfId="388" priority="84"/>
    <cfRule type="duplicateValues" dxfId="387" priority="85"/>
    <cfRule type="duplicateValues" dxfId="386" priority="86"/>
    <cfRule type="duplicateValues" dxfId="385" priority="87"/>
    <cfRule type="duplicateValues" dxfId="384" priority="88"/>
    <cfRule type="duplicateValues" dxfId="383" priority="89"/>
  </conditionalFormatting>
  <conditionalFormatting sqref="C147:C148 B145 C144 B2:B143">
    <cfRule type="duplicateValues" dxfId="382" priority="432"/>
    <cfRule type="duplicateValues" dxfId="381" priority="433"/>
  </conditionalFormatting>
  <conditionalFormatting sqref="C147:C148 B145 C144 B49:B143 B16:B47 B2:B14">
    <cfRule type="duplicateValues" dxfId="380" priority="431"/>
  </conditionalFormatting>
  <conditionalFormatting sqref="C147:C148">
    <cfRule type="duplicateValues" dxfId="379" priority="48"/>
    <cfRule type="duplicateValues" dxfId="378" priority="50"/>
    <cfRule type="duplicateValues" dxfId="377" priority="51"/>
    <cfRule type="duplicateValues" dxfId="376" priority="52"/>
    <cfRule type="duplicateValues" dxfId="375" priority="53"/>
    <cfRule type="duplicateValues" dxfId="374" priority="54"/>
    <cfRule type="duplicateValues" dxfId="373" priority="55"/>
    <cfRule type="duplicateValues" dxfId="372" priority="56"/>
    <cfRule type="duplicateValues" dxfId="371" priority="57"/>
    <cfRule type="duplicateValues" dxfId="370" priority="58"/>
    <cfRule type="duplicateValues" dxfId="369" priority="59"/>
    <cfRule type="duplicateValues" dxfId="368" priority="60"/>
    <cfRule type="duplicateValues" dxfId="367" priority="61"/>
  </conditionalFormatting>
  <conditionalFormatting sqref="C149:C152">
    <cfRule type="duplicateValues" dxfId="366" priority="22176"/>
    <cfRule type="duplicateValues" dxfId="365" priority="22177"/>
    <cfRule type="duplicateValues" dxfId="364" priority="22178"/>
    <cfRule type="duplicateValues" dxfId="363" priority="22179"/>
    <cfRule type="duplicateValues" dxfId="362" priority="22180"/>
    <cfRule type="duplicateValues" dxfId="361" priority="22181"/>
    <cfRule type="duplicateValues" dxfId="360" priority="22182"/>
    <cfRule type="duplicateValues" dxfId="359" priority="22183"/>
    <cfRule type="duplicateValues" dxfId="358" priority="22184"/>
    <cfRule type="duplicateValues" dxfId="357" priority="22185"/>
    <cfRule type="duplicateValues" dxfId="356" priority="22186"/>
    <cfRule type="duplicateValues" dxfId="355" priority="22187"/>
    <cfRule type="duplicateValues" dxfId="354" priority="22188"/>
  </conditionalFormatting>
  <conditionalFormatting sqref="C153:C64558">
    <cfRule type="expression" dxfId="353" priority="17878" stopIfTrue="1">
      <formula>AND(COUNTIF($C$1:$C$64558, C153)+COUNTIF(#REF!, C153)&gt;1,NOT(ISBLANK(C153)))</formula>
    </cfRule>
  </conditionalFormatting>
  <conditionalFormatting sqref="C153:C1048576">
    <cfRule type="duplicateValues" dxfId="352" priority="931"/>
    <cfRule type="duplicateValues" dxfId="351" priority="2257"/>
    <cfRule type="duplicateValues" dxfId="350" priority="17879"/>
    <cfRule type="duplicateValues" dxfId="349" priority="17880"/>
  </conditionalFormatting>
  <conditionalFormatting sqref="D153:D64558">
    <cfRule type="expression" dxfId="348" priority="17883" stopIfTrue="1">
      <formula>AND(COUNTIF($D$1:$D$64558, D153)+COUNTIF(#REF!, D153)&gt;1,NOT(ISBLANK(D153)))</formula>
    </cfRule>
    <cfRule type="expression" dxfId="347" priority="17884" stopIfTrue="1">
      <formula>AND(COUNTIF(#REF!, D153)+COUNTIF($D$1:$D$64558, D153)&gt;1,NOT(ISBLANK(D153)))</formula>
    </cfRule>
    <cfRule type="expression" dxfId="346" priority="17885" stopIfTrue="1">
      <formula>AND(COUNTIF($D$1:$D$64558, D153)+COUNTIF(#REF!, D153)&gt;1,NOT(ISBLANK(D153)))</formula>
    </cfRule>
  </conditionalFormatting>
  <conditionalFormatting sqref="E1:E152">
    <cfRule type="expression" dxfId="345" priority="22202" stopIfTrue="1">
      <formula>AND(COUNTIF($D$124:$D$64582, E1)+COUNTIF($D$1:$D$228, E1)&gt;1,NOT(ISBLANK(E1)))</formula>
    </cfRule>
    <cfRule type="expression" dxfId="344" priority="22203" stopIfTrue="1">
      <formula>AND(COUNTIF($D$1:$D$228, E1)+COUNTIF($D$124:$D$64582, E1)&gt;1,NOT(ISBLANK(E1)))</formula>
    </cfRule>
    <cfRule type="expression" dxfId="343" priority="22204" stopIfTrue="1">
      <formula>AND(COUNTIF($D$155:$D$64582, E1)+COUNTIF($D$1:$D$122, E1)&gt;1,NOT(ISBLANK(E1)))</formula>
    </cfRule>
    <cfRule type="expression" dxfId="342" priority="22205" stopIfTrue="1">
      <formula>AND(COUNTIF($D$1:$D$90, E1)+COUNTIF($D$91:$D$64582, E1)&gt;1,NOT(ISBLANK(E1)))</formula>
    </cfRule>
  </conditionalFormatting>
  <conditionalFormatting sqref="E147:E148">
    <cfRule type="duplicateValues" dxfId="341" priority="49"/>
  </conditionalFormatting>
  <conditionalFormatting sqref="E149:E152">
    <cfRule type="expression" dxfId="340" priority="22210" stopIfTrue="1">
      <formula>AND(COUNTIF($D$1:$D$90, E149)+COUNTIF($D$91:$D$64581, E149)&gt;1,NOT(ISBLANK(E149)))</formula>
    </cfRule>
    <cfRule type="expression" dxfId="339" priority="22211" stopIfTrue="1">
      <formula>AND(COUNTIF($D$124:$D$64581, E149)+COUNTIF($D$1:$D$228, E149)&gt;1,NOT(ISBLANK(E149)))</formula>
    </cfRule>
    <cfRule type="expression" dxfId="338" priority="22212" stopIfTrue="1">
      <formula>AND(COUNTIF($D$1:$D$228, E149)+COUNTIF($D$124:$D$64581, E149)&gt;1,NOT(ISBLANK(E149)))</formula>
    </cfRule>
    <cfRule type="expression" dxfId="337" priority="22213" stopIfTrue="1">
      <formula>AND(COUNTIF($D$155:$D$64581, E149)+COUNTIF($D$1:$D$122, E149)&gt;1,NOT(ISBLANK(E149)))</formula>
    </cfRule>
  </conditionalFormatting>
  <conditionalFormatting sqref="XEY9">
    <cfRule type="duplicateValues" dxfId="336" priority="408"/>
    <cfRule type="duplicateValues" dxfId="335" priority="409"/>
    <cfRule type="duplicateValues" dxfId="334" priority="410"/>
  </conditionalFormatting>
  <conditionalFormatting sqref="XEY13">
    <cfRule type="duplicateValues" dxfId="333" priority="392"/>
    <cfRule type="duplicateValues" dxfId="332" priority="393"/>
    <cfRule type="duplicateValues" dxfId="331" priority="394"/>
  </conditionalFormatting>
  <conditionalFormatting sqref="XEY54">
    <cfRule type="duplicateValues" dxfId="330" priority="374"/>
    <cfRule type="duplicateValues" dxfId="329" priority="375"/>
    <cfRule type="duplicateValues" dxfId="328" priority="376"/>
  </conditionalFormatting>
  <conditionalFormatting sqref="XEY66">
    <cfRule type="duplicateValues" dxfId="327" priority="358"/>
    <cfRule type="duplicateValues" dxfId="326" priority="359"/>
    <cfRule type="duplicateValues" dxfId="325" priority="360"/>
  </conditionalFormatting>
  <conditionalFormatting sqref="XEY88">
    <cfRule type="duplicateValues" dxfId="324" priority="342"/>
    <cfRule type="duplicateValues" dxfId="323" priority="343"/>
    <cfRule type="duplicateValues" dxfId="322" priority="344"/>
  </conditionalFormatting>
  <conditionalFormatting sqref="XEY90">
    <cfRule type="duplicateValues" dxfId="321" priority="326"/>
    <cfRule type="duplicateValues" dxfId="320" priority="327"/>
    <cfRule type="duplicateValues" dxfId="319" priority="328"/>
  </conditionalFormatting>
  <conditionalFormatting sqref="XEY94">
    <cfRule type="duplicateValues" dxfId="318" priority="310"/>
    <cfRule type="duplicateValues" dxfId="317" priority="311"/>
    <cfRule type="duplicateValues" dxfId="316" priority="312"/>
  </conditionalFormatting>
  <conditionalFormatting sqref="XEY100">
    <cfRule type="duplicateValues" dxfId="315" priority="294"/>
    <cfRule type="duplicateValues" dxfId="314" priority="295"/>
    <cfRule type="duplicateValues" dxfId="313" priority="296"/>
  </conditionalFormatting>
  <conditionalFormatting sqref="XEY111">
    <cfRule type="duplicateValues" dxfId="312" priority="278"/>
    <cfRule type="duplicateValues" dxfId="311" priority="279"/>
    <cfRule type="duplicateValues" dxfId="310" priority="280"/>
  </conditionalFormatting>
  <conditionalFormatting sqref="XEY122">
    <cfRule type="duplicateValues" dxfId="309" priority="262"/>
    <cfRule type="duplicateValues" dxfId="308" priority="263"/>
    <cfRule type="duplicateValues" dxfId="307" priority="264"/>
  </conditionalFormatting>
  <conditionalFormatting sqref="XEY123">
    <cfRule type="duplicateValues" dxfId="306" priority="246"/>
    <cfRule type="duplicateValues" dxfId="305" priority="247"/>
    <cfRule type="duplicateValues" dxfId="304" priority="248"/>
  </conditionalFormatting>
  <conditionalFormatting sqref="XEY126">
    <cfRule type="duplicateValues" dxfId="303" priority="230"/>
    <cfRule type="duplicateValues" dxfId="302" priority="231"/>
    <cfRule type="duplicateValues" dxfId="301" priority="232"/>
  </conditionalFormatting>
  <conditionalFormatting sqref="XEY131">
    <cfRule type="duplicateValues" dxfId="300" priority="214"/>
    <cfRule type="duplicateValues" dxfId="299" priority="215"/>
    <cfRule type="duplicateValues" dxfId="298" priority="216"/>
  </conditionalFormatting>
  <conditionalFormatting sqref="XEY132">
    <cfRule type="duplicateValues" dxfId="297" priority="198"/>
    <cfRule type="duplicateValues" dxfId="296" priority="199"/>
    <cfRule type="duplicateValues" dxfId="295" priority="200"/>
  </conditionalFormatting>
  <conditionalFormatting sqref="XEY133">
    <cfRule type="duplicateValues" dxfId="294" priority="182"/>
    <cfRule type="duplicateValues" dxfId="293" priority="183"/>
    <cfRule type="duplicateValues" dxfId="292" priority="184"/>
  </conditionalFormatting>
  <conditionalFormatting sqref="XEY136">
    <cfRule type="duplicateValues" dxfId="291" priority="166"/>
    <cfRule type="duplicateValues" dxfId="290" priority="167"/>
    <cfRule type="duplicateValues" dxfId="289" priority="168"/>
  </conditionalFormatting>
  <conditionalFormatting sqref="XEY137">
    <cfRule type="duplicateValues" dxfId="288" priority="150"/>
    <cfRule type="duplicateValues" dxfId="287" priority="151"/>
    <cfRule type="duplicateValues" dxfId="286" priority="152"/>
  </conditionalFormatting>
  <conditionalFormatting sqref="XEY138">
    <cfRule type="duplicateValues" dxfId="285" priority="134"/>
    <cfRule type="duplicateValues" dxfId="284" priority="135"/>
    <cfRule type="duplicateValues" dxfId="283" priority="136"/>
  </conditionalFormatting>
  <conditionalFormatting sqref="XEY139">
    <cfRule type="duplicateValues" dxfId="282" priority="118"/>
    <cfRule type="duplicateValues" dxfId="281" priority="119"/>
    <cfRule type="duplicateValues" dxfId="280" priority="120"/>
  </conditionalFormatting>
  <conditionalFormatting sqref="XEY145">
    <cfRule type="duplicateValues" dxfId="279" priority="90"/>
    <cfRule type="duplicateValues" dxfId="278" priority="91"/>
    <cfRule type="duplicateValues" dxfId="277" priority="92"/>
  </conditionalFormatting>
  <conditionalFormatting sqref="XEY146">
    <cfRule type="duplicateValues" dxfId="276" priority="62"/>
    <cfRule type="duplicateValues" dxfId="275" priority="63"/>
    <cfRule type="duplicateValues" dxfId="274" priority="64"/>
  </conditionalFormatting>
  <conditionalFormatting sqref="XEZ9">
    <cfRule type="duplicateValues" dxfId="273" priority="411"/>
    <cfRule type="duplicateValues" dxfId="272" priority="412"/>
    <cfRule type="duplicateValues" dxfId="271" priority="413"/>
    <cfRule type="duplicateValues" dxfId="270" priority="414"/>
    <cfRule type="duplicateValues" dxfId="269" priority="415"/>
    <cfRule type="duplicateValues" dxfId="268" priority="416"/>
    <cfRule type="duplicateValues" dxfId="267" priority="417"/>
    <cfRule type="duplicateValues" dxfId="266" priority="418"/>
    <cfRule type="duplicateValues" dxfId="265" priority="419"/>
    <cfRule type="duplicateValues" dxfId="264" priority="420"/>
    <cfRule type="duplicateValues" dxfId="263" priority="421"/>
    <cfRule type="duplicateValues" dxfId="262" priority="422"/>
  </conditionalFormatting>
  <conditionalFormatting sqref="XEZ13">
    <cfRule type="duplicateValues" dxfId="261" priority="395"/>
    <cfRule type="duplicateValues" dxfId="260" priority="396"/>
    <cfRule type="duplicateValues" dxfId="259" priority="397"/>
    <cfRule type="duplicateValues" dxfId="258" priority="398"/>
    <cfRule type="duplicateValues" dxfId="257" priority="399"/>
    <cfRule type="duplicateValues" dxfId="256" priority="400"/>
    <cfRule type="duplicateValues" dxfId="255" priority="401"/>
    <cfRule type="duplicateValues" dxfId="254" priority="402"/>
    <cfRule type="duplicateValues" dxfId="253" priority="403"/>
    <cfRule type="duplicateValues" dxfId="252" priority="404"/>
    <cfRule type="duplicateValues" dxfId="251" priority="405"/>
    <cfRule type="duplicateValues" dxfId="250" priority="406"/>
  </conditionalFormatting>
  <conditionalFormatting sqref="XEZ54">
    <cfRule type="duplicateValues" dxfId="249" priority="377"/>
    <cfRule type="duplicateValues" dxfId="248" priority="378"/>
    <cfRule type="duplicateValues" dxfId="247" priority="379"/>
    <cfRule type="duplicateValues" dxfId="246" priority="380"/>
    <cfRule type="duplicateValues" dxfId="245" priority="381"/>
    <cfRule type="duplicateValues" dxfId="244" priority="382"/>
    <cfRule type="duplicateValues" dxfId="243" priority="383"/>
    <cfRule type="duplicateValues" dxfId="242" priority="384"/>
    <cfRule type="duplicateValues" dxfId="241" priority="385"/>
    <cfRule type="duplicateValues" dxfId="240" priority="386"/>
    <cfRule type="duplicateValues" dxfId="239" priority="387"/>
    <cfRule type="duplicateValues" dxfId="238" priority="388"/>
  </conditionalFormatting>
  <conditionalFormatting sqref="XEZ66">
    <cfRule type="duplicateValues" dxfId="237" priority="361"/>
    <cfRule type="duplicateValues" dxfId="236" priority="362"/>
    <cfRule type="duplicateValues" dxfId="235" priority="363"/>
    <cfRule type="duplicateValues" dxfId="234" priority="364"/>
    <cfRule type="duplicateValues" dxfId="233" priority="365"/>
    <cfRule type="duplicateValues" dxfId="232" priority="366"/>
    <cfRule type="duplicateValues" dxfId="231" priority="367"/>
    <cfRule type="duplicateValues" dxfId="230" priority="368"/>
    <cfRule type="duplicateValues" dxfId="229" priority="369"/>
    <cfRule type="duplicateValues" dxfId="228" priority="370"/>
    <cfRule type="duplicateValues" dxfId="227" priority="371"/>
    <cfRule type="duplicateValues" dxfId="226" priority="372"/>
  </conditionalFormatting>
  <conditionalFormatting sqref="XEZ88">
    <cfRule type="duplicateValues" dxfId="225" priority="345"/>
    <cfRule type="duplicateValues" dxfId="224" priority="346"/>
    <cfRule type="duplicateValues" dxfId="223" priority="347"/>
    <cfRule type="duplicateValues" dxfId="222" priority="348"/>
    <cfRule type="duplicateValues" dxfId="221" priority="349"/>
    <cfRule type="duplicateValues" dxfId="220" priority="350"/>
    <cfRule type="duplicateValues" dxfId="219" priority="351"/>
    <cfRule type="duplicateValues" dxfId="218" priority="352"/>
    <cfRule type="duplicateValues" dxfId="217" priority="353"/>
    <cfRule type="duplicateValues" dxfId="216" priority="354"/>
    <cfRule type="duplicateValues" dxfId="215" priority="355"/>
    <cfRule type="duplicateValues" dxfId="214" priority="356"/>
  </conditionalFormatting>
  <conditionalFormatting sqref="XEZ90">
    <cfRule type="duplicateValues" dxfId="213" priority="329"/>
    <cfRule type="duplicateValues" dxfId="212" priority="330"/>
    <cfRule type="duplicateValues" dxfId="211" priority="331"/>
    <cfRule type="duplicateValues" dxfId="210" priority="332"/>
    <cfRule type="duplicateValues" dxfId="209" priority="333"/>
    <cfRule type="duplicateValues" dxfId="208" priority="334"/>
    <cfRule type="duplicateValues" dxfId="207" priority="335"/>
    <cfRule type="duplicateValues" dxfId="206" priority="336"/>
    <cfRule type="duplicateValues" dxfId="205" priority="337"/>
    <cfRule type="duplicateValues" dxfId="204" priority="338"/>
    <cfRule type="duplicateValues" dxfId="203" priority="339"/>
    <cfRule type="duplicateValues" dxfId="202" priority="340"/>
  </conditionalFormatting>
  <conditionalFormatting sqref="XEZ94">
    <cfRule type="duplicateValues" dxfId="201" priority="313"/>
    <cfRule type="duplicateValues" dxfId="200" priority="314"/>
    <cfRule type="duplicateValues" dxfId="199" priority="315"/>
    <cfRule type="duplicateValues" dxfId="198" priority="316"/>
    <cfRule type="duplicateValues" dxfId="197" priority="317"/>
    <cfRule type="duplicateValues" dxfId="196" priority="318"/>
    <cfRule type="duplicateValues" dxfId="195" priority="319"/>
    <cfRule type="duplicateValues" dxfId="194" priority="320"/>
    <cfRule type="duplicateValues" dxfId="193" priority="321"/>
    <cfRule type="duplicateValues" dxfId="192" priority="322"/>
    <cfRule type="duplicateValues" dxfId="191" priority="323"/>
    <cfRule type="duplicateValues" dxfId="190" priority="324"/>
  </conditionalFormatting>
  <conditionalFormatting sqref="XEZ100">
    <cfRule type="duplicateValues" dxfId="189" priority="297"/>
    <cfRule type="duplicateValues" dxfId="188" priority="298"/>
    <cfRule type="duplicateValues" dxfId="187" priority="299"/>
    <cfRule type="duplicateValues" dxfId="186" priority="300"/>
    <cfRule type="duplicateValues" dxfId="185" priority="301"/>
    <cfRule type="duplicateValues" dxfId="184" priority="302"/>
    <cfRule type="duplicateValues" dxfId="183" priority="303"/>
    <cfRule type="duplicateValues" dxfId="182" priority="304"/>
    <cfRule type="duplicateValues" dxfId="181" priority="305"/>
    <cfRule type="duplicateValues" dxfId="180" priority="306"/>
    <cfRule type="duplicateValues" dxfId="179" priority="307"/>
    <cfRule type="duplicateValues" dxfId="178" priority="308"/>
  </conditionalFormatting>
  <conditionalFormatting sqref="XEZ111">
    <cfRule type="duplicateValues" dxfId="177" priority="281"/>
    <cfRule type="duplicateValues" dxfId="176" priority="282"/>
    <cfRule type="duplicateValues" dxfId="175" priority="283"/>
    <cfRule type="duplicateValues" dxfId="174" priority="284"/>
    <cfRule type="duplicateValues" dxfId="173" priority="285"/>
    <cfRule type="duplicateValues" dxfId="172" priority="286"/>
    <cfRule type="duplicateValues" dxfId="171" priority="287"/>
    <cfRule type="duplicateValues" dxfId="170" priority="288"/>
    <cfRule type="duplicateValues" dxfId="169" priority="289"/>
    <cfRule type="duplicateValues" dxfId="168" priority="290"/>
    <cfRule type="duplicateValues" dxfId="167" priority="291"/>
    <cfRule type="duplicateValues" dxfId="166" priority="292"/>
  </conditionalFormatting>
  <conditionalFormatting sqref="XEZ122">
    <cfRule type="duplicateValues" dxfId="165" priority="265"/>
    <cfRule type="duplicateValues" dxfId="164" priority="266"/>
    <cfRule type="duplicateValues" dxfId="163" priority="267"/>
    <cfRule type="duplicateValues" dxfId="162" priority="268"/>
    <cfRule type="duplicateValues" dxfId="161" priority="269"/>
    <cfRule type="duplicateValues" dxfId="160" priority="270"/>
    <cfRule type="duplicateValues" dxfId="159" priority="271"/>
    <cfRule type="duplicateValues" dxfId="158" priority="272"/>
    <cfRule type="duplicateValues" dxfId="157" priority="273"/>
    <cfRule type="duplicateValues" dxfId="156" priority="274"/>
    <cfRule type="duplicateValues" dxfId="155" priority="275"/>
    <cfRule type="duplicateValues" dxfId="154" priority="276"/>
  </conditionalFormatting>
  <conditionalFormatting sqref="XEZ123">
    <cfRule type="duplicateValues" dxfId="153" priority="249"/>
    <cfRule type="duplicateValues" dxfId="152" priority="250"/>
    <cfRule type="duplicateValues" dxfId="151" priority="251"/>
    <cfRule type="duplicateValues" dxfId="150" priority="252"/>
    <cfRule type="duplicateValues" dxfId="149" priority="253"/>
    <cfRule type="duplicateValues" dxfId="148" priority="254"/>
    <cfRule type="duplicateValues" dxfId="147" priority="255"/>
    <cfRule type="duplicateValues" dxfId="146" priority="256"/>
    <cfRule type="duplicateValues" dxfId="145" priority="257"/>
    <cfRule type="duplicateValues" dxfId="144" priority="258"/>
    <cfRule type="duplicateValues" dxfId="143" priority="259"/>
    <cfRule type="duplicateValues" dxfId="142" priority="260"/>
  </conditionalFormatting>
  <conditionalFormatting sqref="XEZ126">
    <cfRule type="duplicateValues" dxfId="141" priority="233"/>
    <cfRule type="duplicateValues" dxfId="140" priority="234"/>
    <cfRule type="duplicateValues" dxfId="139" priority="235"/>
    <cfRule type="duplicateValues" dxfId="138" priority="236"/>
    <cfRule type="duplicateValues" dxfId="137" priority="237"/>
    <cfRule type="duplicateValues" dxfId="136" priority="238"/>
    <cfRule type="duplicateValues" dxfId="135" priority="239"/>
    <cfRule type="duplicateValues" dxfId="134" priority="240"/>
    <cfRule type="duplicateValues" dxfId="133" priority="241"/>
    <cfRule type="duplicateValues" dxfId="132" priority="242"/>
    <cfRule type="duplicateValues" dxfId="131" priority="243"/>
    <cfRule type="duplicateValues" dxfId="130" priority="244"/>
  </conditionalFormatting>
  <conditionalFormatting sqref="XEZ131">
    <cfRule type="duplicateValues" dxfId="129" priority="217"/>
    <cfRule type="duplicateValues" dxfId="128" priority="218"/>
    <cfRule type="duplicateValues" dxfId="127" priority="219"/>
    <cfRule type="duplicateValues" dxfId="126" priority="220"/>
    <cfRule type="duplicateValues" dxfId="125" priority="221"/>
    <cfRule type="duplicateValues" dxfId="124" priority="222"/>
    <cfRule type="duplicateValues" dxfId="123" priority="223"/>
    <cfRule type="duplicateValues" dxfId="122" priority="224"/>
    <cfRule type="duplicateValues" dxfId="121" priority="225"/>
    <cfRule type="duplicateValues" dxfId="120" priority="226"/>
    <cfRule type="duplicateValues" dxfId="119" priority="227"/>
    <cfRule type="duplicateValues" dxfId="118" priority="228"/>
  </conditionalFormatting>
  <conditionalFormatting sqref="XEZ132">
    <cfRule type="duplicateValues" dxfId="117" priority="201"/>
    <cfRule type="duplicateValues" dxfId="116" priority="202"/>
    <cfRule type="duplicateValues" dxfId="115" priority="203"/>
    <cfRule type="duplicateValues" dxfId="114" priority="204"/>
    <cfRule type="duplicateValues" dxfId="113" priority="205"/>
    <cfRule type="duplicateValues" dxfId="112" priority="206"/>
    <cfRule type="duplicateValues" dxfId="111" priority="207"/>
    <cfRule type="duplicateValues" dxfId="110" priority="208"/>
    <cfRule type="duplicateValues" dxfId="109" priority="209"/>
    <cfRule type="duplicateValues" dxfId="108" priority="210"/>
    <cfRule type="duplicateValues" dxfId="107" priority="211"/>
    <cfRule type="duplicateValues" dxfId="106" priority="212"/>
  </conditionalFormatting>
  <conditionalFormatting sqref="XEZ133">
    <cfRule type="duplicateValues" dxfId="105" priority="185"/>
    <cfRule type="duplicateValues" dxfId="104" priority="186"/>
    <cfRule type="duplicateValues" dxfId="103" priority="187"/>
    <cfRule type="duplicateValues" dxfId="102" priority="188"/>
    <cfRule type="duplicateValues" dxfId="101" priority="189"/>
    <cfRule type="duplicateValues" dxfId="100" priority="190"/>
    <cfRule type="duplicateValues" dxfId="99" priority="191"/>
    <cfRule type="duplicateValues" dxfId="98" priority="192"/>
    <cfRule type="duplicateValues" dxfId="97" priority="193"/>
    <cfRule type="duplicateValues" dxfId="96" priority="194"/>
    <cfRule type="duplicateValues" dxfId="95" priority="195"/>
    <cfRule type="duplicateValues" dxfId="94" priority="196"/>
  </conditionalFormatting>
  <conditionalFormatting sqref="XEZ136">
    <cfRule type="duplicateValues" dxfId="93" priority="169"/>
    <cfRule type="duplicateValues" dxfId="92" priority="170"/>
    <cfRule type="duplicateValues" dxfId="91" priority="171"/>
    <cfRule type="duplicateValues" dxfId="90" priority="172"/>
    <cfRule type="duplicateValues" dxfId="89" priority="173"/>
    <cfRule type="duplicateValues" dxfId="88" priority="174"/>
    <cfRule type="duplicateValues" dxfId="87" priority="175"/>
    <cfRule type="duplicateValues" dxfId="86" priority="176"/>
    <cfRule type="duplicateValues" dxfId="85" priority="177"/>
    <cfRule type="duplicateValues" dxfId="84" priority="178"/>
    <cfRule type="duplicateValues" dxfId="83" priority="179"/>
    <cfRule type="duplicateValues" dxfId="82" priority="180"/>
  </conditionalFormatting>
  <conditionalFormatting sqref="XEZ137">
    <cfRule type="duplicateValues" dxfId="81" priority="153"/>
    <cfRule type="duplicateValues" dxfId="80" priority="154"/>
    <cfRule type="duplicateValues" dxfId="79" priority="155"/>
    <cfRule type="duplicateValues" dxfId="78" priority="156"/>
    <cfRule type="duplicateValues" dxfId="77" priority="157"/>
    <cfRule type="duplicateValues" dxfId="76" priority="158"/>
    <cfRule type="duplicateValues" dxfId="75" priority="159"/>
    <cfRule type="duplicateValues" dxfId="74" priority="160"/>
    <cfRule type="duplicateValues" dxfId="73" priority="161"/>
    <cfRule type="duplicateValues" dxfId="72" priority="162"/>
    <cfRule type="duplicateValues" dxfId="71" priority="163"/>
    <cfRule type="duplicateValues" dxfId="70" priority="164"/>
  </conditionalFormatting>
  <conditionalFormatting sqref="XEZ138">
    <cfRule type="duplicateValues" dxfId="69" priority="137"/>
    <cfRule type="duplicateValues" dxfId="68" priority="138"/>
    <cfRule type="duplicateValues" dxfId="67" priority="139"/>
    <cfRule type="duplicateValues" dxfId="66" priority="140"/>
    <cfRule type="duplicateValues" dxfId="65" priority="141"/>
    <cfRule type="duplicateValues" dxfId="64" priority="142"/>
    <cfRule type="duplicateValues" dxfId="63" priority="143"/>
    <cfRule type="duplicateValues" dxfId="62" priority="144"/>
    <cfRule type="duplicateValues" dxfId="61" priority="145"/>
    <cfRule type="duplicateValues" dxfId="60" priority="146"/>
    <cfRule type="duplicateValues" dxfId="59" priority="147"/>
    <cfRule type="duplicateValues" dxfId="58" priority="148"/>
  </conditionalFormatting>
  <conditionalFormatting sqref="XEZ139">
    <cfRule type="duplicateValues" dxfId="57" priority="121"/>
    <cfRule type="duplicateValues" dxfId="56" priority="122"/>
    <cfRule type="duplicateValues" dxfId="55" priority="123"/>
    <cfRule type="duplicateValues" dxfId="54" priority="124"/>
    <cfRule type="duplicateValues" dxfId="53" priority="125"/>
    <cfRule type="duplicateValues" dxfId="52" priority="126"/>
    <cfRule type="duplicateValues" dxfId="51" priority="127"/>
    <cfRule type="duplicateValues" dxfId="50" priority="128"/>
    <cfRule type="duplicateValues" dxfId="49" priority="129"/>
    <cfRule type="duplicateValues" dxfId="48" priority="130"/>
    <cfRule type="duplicateValues" dxfId="47" priority="131"/>
    <cfRule type="duplicateValues" dxfId="46" priority="132"/>
  </conditionalFormatting>
  <conditionalFormatting sqref="XEZ145">
    <cfRule type="duplicateValues" dxfId="45" priority="93"/>
    <cfRule type="duplicateValues" dxfId="44" priority="94"/>
    <cfRule type="duplicateValues" dxfId="43" priority="95"/>
    <cfRule type="duplicateValues" dxfId="42" priority="96"/>
    <cfRule type="duplicateValues" dxfId="41" priority="97"/>
    <cfRule type="duplicateValues" dxfId="40" priority="98"/>
    <cfRule type="duplicateValues" dxfId="39" priority="99"/>
    <cfRule type="duplicateValues" dxfId="38" priority="100"/>
    <cfRule type="duplicateValues" dxfId="37" priority="101"/>
    <cfRule type="duplicateValues" dxfId="36" priority="102"/>
    <cfRule type="duplicateValues" dxfId="35" priority="103"/>
    <cfRule type="duplicateValues" dxfId="34" priority="104"/>
  </conditionalFormatting>
  <conditionalFormatting sqref="XEZ146">
    <cfRule type="duplicateValues" dxfId="33" priority="65"/>
    <cfRule type="duplicateValues" dxfId="32" priority="66"/>
    <cfRule type="duplicateValues" dxfId="31" priority="67"/>
    <cfRule type="duplicateValues" dxfId="30" priority="68"/>
    <cfRule type="duplicateValues" dxfId="29" priority="69"/>
    <cfRule type="duplicateValues" dxfId="28" priority="70"/>
    <cfRule type="duplicateValues" dxfId="27" priority="71"/>
    <cfRule type="duplicateValues" dxfId="26" priority="72"/>
    <cfRule type="duplicateValues" dxfId="25" priority="73"/>
    <cfRule type="duplicateValues" dxfId="24" priority="74"/>
    <cfRule type="duplicateValues" dxfId="23" priority="75"/>
    <cfRule type="duplicateValues" dxfId="22" priority="76"/>
  </conditionalFormatting>
  <conditionalFormatting sqref="XFA9">
    <cfRule type="duplicateValues" dxfId="21" priority="423"/>
  </conditionalFormatting>
  <conditionalFormatting sqref="XFA13">
    <cfRule type="duplicateValues" dxfId="20" priority="407"/>
  </conditionalFormatting>
  <conditionalFormatting sqref="XFA54">
    <cfRule type="duplicateValues" dxfId="19" priority="389"/>
  </conditionalFormatting>
  <conditionalFormatting sqref="XFA66">
    <cfRule type="duplicateValues" dxfId="18" priority="373"/>
  </conditionalFormatting>
  <conditionalFormatting sqref="XFA88">
    <cfRule type="duplicateValues" dxfId="17" priority="357"/>
  </conditionalFormatting>
  <conditionalFormatting sqref="XFA90">
    <cfRule type="duplicateValues" dxfId="16" priority="341"/>
  </conditionalFormatting>
  <conditionalFormatting sqref="XFA94">
    <cfRule type="duplicateValues" dxfId="15" priority="325"/>
  </conditionalFormatting>
  <conditionalFormatting sqref="XFA100">
    <cfRule type="duplicateValues" dxfId="14" priority="309"/>
  </conditionalFormatting>
  <conditionalFormatting sqref="XFA111">
    <cfRule type="duplicateValues" dxfId="13" priority="293"/>
  </conditionalFormatting>
  <conditionalFormatting sqref="XFA122">
    <cfRule type="duplicateValues" dxfId="12" priority="277"/>
  </conditionalFormatting>
  <conditionalFormatting sqref="XFA123">
    <cfRule type="duplicateValues" dxfId="11" priority="261"/>
  </conditionalFormatting>
  <conditionalFormatting sqref="XFA126">
    <cfRule type="duplicateValues" dxfId="10" priority="245"/>
  </conditionalFormatting>
  <conditionalFormatting sqref="XFA131">
    <cfRule type="duplicateValues" dxfId="9" priority="229"/>
  </conditionalFormatting>
  <conditionalFormatting sqref="XFA132">
    <cfRule type="duplicateValues" dxfId="8" priority="213"/>
  </conditionalFormatting>
  <conditionalFormatting sqref="XFA133">
    <cfRule type="duplicateValues" dxfId="7" priority="197"/>
  </conditionalFormatting>
  <conditionalFormatting sqref="XFA136">
    <cfRule type="duplicateValues" dxfId="6" priority="181"/>
  </conditionalFormatting>
  <conditionalFormatting sqref="XFA137">
    <cfRule type="duplicateValues" dxfId="5" priority="165"/>
  </conditionalFormatting>
  <conditionalFormatting sqref="XFA138">
    <cfRule type="duplicateValues" dxfId="4" priority="149"/>
  </conditionalFormatting>
  <conditionalFormatting sqref="XFA139">
    <cfRule type="duplicateValues" dxfId="3" priority="133"/>
  </conditionalFormatting>
  <conditionalFormatting sqref="XFA145">
    <cfRule type="duplicateValues" dxfId="2" priority="105"/>
  </conditionalFormatting>
  <conditionalFormatting sqref="XFA146">
    <cfRule type="duplicateValues" dxfId="1" priority="7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2860-EC8D-4840-A70D-F13D41012CCF}">
  <dimension ref="A1:D308"/>
  <sheetViews>
    <sheetView topLeftCell="A161" zoomScale="115" zoomScaleNormal="115" workbookViewId="0">
      <selection activeCell="D179" sqref="D179"/>
    </sheetView>
  </sheetViews>
  <sheetFormatPr defaultColWidth="9.140625" defaultRowHeight="15" x14ac:dyDescent="0.25"/>
  <cols>
    <col min="1" max="1" width="15.140625" style="58" customWidth="1"/>
    <col min="2" max="2" width="26.7109375" style="59" bestFit="1" customWidth="1"/>
    <col min="3" max="3" width="17.7109375" style="59" bestFit="1" customWidth="1"/>
    <col min="4" max="4" width="98" style="58" bestFit="1" customWidth="1"/>
    <col min="5" max="6" width="10.5703125" style="58" bestFit="1" customWidth="1"/>
    <col min="7" max="16384" width="9.140625" style="58"/>
  </cols>
  <sheetData>
    <row r="1" spans="1:4" ht="17.25" x14ac:dyDescent="0.3">
      <c r="A1" s="104" t="s">
        <v>975</v>
      </c>
      <c r="B1" s="105"/>
      <c r="C1" s="75">
        <v>13750993.709166668</v>
      </c>
    </row>
    <row r="3" spans="1:4" ht="19.5" x14ac:dyDescent="0.3">
      <c r="A3" s="106" t="s">
        <v>976</v>
      </c>
      <c r="B3" s="107"/>
    </row>
    <row r="5" spans="1:4" ht="15.75" x14ac:dyDescent="0.25">
      <c r="A5" s="108" t="s">
        <v>977</v>
      </c>
      <c r="B5" s="108"/>
      <c r="C5" s="61">
        <f>COUNT(A7:A16)</f>
        <v>5</v>
      </c>
    </row>
    <row r="6" spans="1:4" x14ac:dyDescent="0.25">
      <c r="A6" s="72" t="s">
        <v>1000</v>
      </c>
      <c r="B6" s="63" t="s">
        <v>3</v>
      </c>
      <c r="C6" s="63" t="s">
        <v>982</v>
      </c>
      <c r="D6" s="64" t="s">
        <v>983</v>
      </c>
    </row>
    <row r="7" spans="1:4" x14ac:dyDescent="0.25">
      <c r="A7" s="65">
        <v>1</v>
      </c>
      <c r="B7" s="82" t="s">
        <v>1201</v>
      </c>
      <c r="C7" s="83">
        <v>31800.533333333333</v>
      </c>
      <c r="D7" s="66" t="s">
        <v>1215</v>
      </c>
    </row>
    <row r="8" spans="1:4" ht="30" x14ac:dyDescent="0.25">
      <c r="A8" s="65">
        <v>2</v>
      </c>
      <c r="B8" s="82" t="s">
        <v>1204</v>
      </c>
      <c r="C8" s="83">
        <v>57678.730666666655</v>
      </c>
      <c r="D8" s="66" t="s">
        <v>1215</v>
      </c>
    </row>
    <row r="9" spans="1:4" ht="30" x14ac:dyDescent="0.25">
      <c r="A9" s="65">
        <v>3</v>
      </c>
      <c r="B9" s="82" t="s">
        <v>1208</v>
      </c>
      <c r="C9" s="83">
        <v>37306.5</v>
      </c>
      <c r="D9" s="66" t="s">
        <v>1215</v>
      </c>
    </row>
    <row r="10" spans="1:4" x14ac:dyDescent="0.25">
      <c r="A10" s="65">
        <v>4</v>
      </c>
      <c r="B10" s="82" t="s">
        <v>1209</v>
      </c>
      <c r="C10" s="83">
        <v>124821.5</v>
      </c>
      <c r="D10" s="66" t="s">
        <v>1215</v>
      </c>
    </row>
    <row r="11" spans="1:4" x14ac:dyDescent="0.25">
      <c r="A11" s="65">
        <v>5</v>
      </c>
      <c r="B11" s="82" t="s">
        <v>1213</v>
      </c>
      <c r="C11" s="83">
        <v>34055.700000000004</v>
      </c>
      <c r="D11" s="66" t="s">
        <v>1215</v>
      </c>
    </row>
    <row r="17" spans="1:4" ht="15.75" thickBot="1" x14ac:dyDescent="0.3">
      <c r="B17" s="62" t="s">
        <v>622</v>
      </c>
      <c r="C17" s="62">
        <f>SUM(C7:C16)</f>
        <v>285662.96399999998</v>
      </c>
    </row>
    <row r="18" spans="1:4" ht="15.75" thickTop="1" x14ac:dyDescent="0.25">
      <c r="B18" s="58"/>
      <c r="C18" s="58"/>
    </row>
    <row r="19" spans="1:4" x14ac:dyDescent="0.25">
      <c r="B19" s="58"/>
      <c r="C19" s="58"/>
    </row>
    <row r="20" spans="1:4" ht="15.75" x14ac:dyDescent="0.25">
      <c r="A20" s="108" t="s">
        <v>978</v>
      </c>
      <c r="B20" s="108"/>
      <c r="C20" s="61">
        <f>COUNT(A22:A32)</f>
        <v>0</v>
      </c>
    </row>
    <row r="21" spans="1:4" x14ac:dyDescent="0.25">
      <c r="A21" s="72" t="s">
        <v>1000</v>
      </c>
      <c r="B21" s="63" t="s">
        <v>3</v>
      </c>
      <c r="C21" s="63" t="s">
        <v>982</v>
      </c>
      <c r="D21" s="64" t="s">
        <v>983</v>
      </c>
    </row>
    <row r="22" spans="1:4" x14ac:dyDescent="0.25">
      <c r="A22" s="65"/>
      <c r="B22" s="67"/>
      <c r="C22" s="68"/>
      <c r="D22" s="71"/>
    </row>
    <row r="23" spans="1:4" x14ac:dyDescent="0.25">
      <c r="A23" s="65"/>
      <c r="B23" s="67"/>
      <c r="C23" s="68"/>
      <c r="D23" s="71"/>
    </row>
    <row r="24" spans="1:4" x14ac:dyDescent="0.25">
      <c r="A24" s="65"/>
      <c r="B24" s="67"/>
      <c r="C24" s="68"/>
      <c r="D24" s="71"/>
    </row>
    <row r="25" spans="1:4" x14ac:dyDescent="0.25">
      <c r="A25" s="65"/>
      <c r="B25" s="67"/>
      <c r="C25" s="68"/>
      <c r="D25" s="71"/>
    </row>
    <row r="26" spans="1:4" x14ac:dyDescent="0.25">
      <c r="A26" s="65"/>
      <c r="B26" s="67"/>
      <c r="C26" s="68"/>
      <c r="D26" s="71"/>
    </row>
    <row r="33" spans="1:4" ht="15.75" thickBot="1" x14ac:dyDescent="0.3">
      <c r="B33" s="62" t="s">
        <v>622</v>
      </c>
      <c r="C33" s="62">
        <f>SUM(C22:C32)</f>
        <v>0</v>
      </c>
    </row>
    <row r="34" spans="1:4" ht="16.5" thickTop="1" thickBot="1" x14ac:dyDescent="0.3">
      <c r="B34" s="60"/>
      <c r="C34" s="60"/>
    </row>
    <row r="35" spans="1:4" ht="15.75" thickTop="1" x14ac:dyDescent="0.25"/>
    <row r="36" spans="1:4" ht="15.75" x14ac:dyDescent="0.25">
      <c r="A36" s="108" t="s">
        <v>979</v>
      </c>
      <c r="B36" s="108"/>
      <c r="C36" s="61">
        <f>COUNT(#REF!)</f>
        <v>0</v>
      </c>
    </row>
    <row r="37" spans="1:4" x14ac:dyDescent="0.25">
      <c r="A37" s="72" t="s">
        <v>1000</v>
      </c>
      <c r="B37" s="63" t="s">
        <v>3</v>
      </c>
      <c r="C37" s="63" t="s">
        <v>982</v>
      </c>
      <c r="D37" s="64" t="s">
        <v>983</v>
      </c>
    </row>
    <row r="38" spans="1:4" x14ac:dyDescent="0.25">
      <c r="A38" s="65">
        <v>1</v>
      </c>
      <c r="B38" s="82" t="s">
        <v>30</v>
      </c>
      <c r="C38" s="83">
        <v>2000</v>
      </c>
      <c r="D38" s="66" t="s">
        <v>1179</v>
      </c>
    </row>
    <row r="39" spans="1:4" x14ac:dyDescent="0.25">
      <c r="A39" s="65">
        <v>2</v>
      </c>
      <c r="B39" s="82" t="s">
        <v>38</v>
      </c>
      <c r="C39" s="83">
        <v>5375</v>
      </c>
      <c r="D39" s="66"/>
    </row>
    <row r="40" spans="1:4" ht="30" x14ac:dyDescent="0.25">
      <c r="A40" s="65">
        <v>3</v>
      </c>
      <c r="B40" s="82" t="s">
        <v>43</v>
      </c>
      <c r="C40" s="83">
        <v>2233.3333333333335</v>
      </c>
      <c r="D40" s="66" t="s">
        <v>1179</v>
      </c>
    </row>
    <row r="41" spans="1:4" x14ac:dyDescent="0.25">
      <c r="A41" s="65">
        <v>4</v>
      </c>
      <c r="B41" s="82" t="s">
        <v>47</v>
      </c>
      <c r="C41" s="83">
        <v>756</v>
      </c>
      <c r="D41" s="66" t="s">
        <v>1179</v>
      </c>
    </row>
    <row r="42" spans="1:4" x14ac:dyDescent="0.25">
      <c r="A42" s="65">
        <v>5</v>
      </c>
      <c r="B42" s="82" t="s">
        <v>55</v>
      </c>
      <c r="C42" s="83">
        <v>3500</v>
      </c>
      <c r="D42" s="66" t="s">
        <v>1179</v>
      </c>
    </row>
    <row r="43" spans="1:4" x14ac:dyDescent="0.25">
      <c r="A43" s="65">
        <v>6</v>
      </c>
      <c r="B43" s="82" t="s">
        <v>58</v>
      </c>
      <c r="C43" s="83">
        <v>2233.3333333333335</v>
      </c>
      <c r="D43" s="66" t="s">
        <v>1179</v>
      </c>
    </row>
    <row r="44" spans="1:4" x14ac:dyDescent="0.25">
      <c r="A44" s="65">
        <v>7</v>
      </c>
      <c r="B44" s="82" t="s">
        <v>60</v>
      </c>
      <c r="C44" s="83">
        <v>4284.5</v>
      </c>
      <c r="D44" s="66" t="s">
        <v>1179</v>
      </c>
    </row>
    <row r="45" spans="1:4" x14ac:dyDescent="0.25">
      <c r="A45" s="65">
        <v>8</v>
      </c>
      <c r="B45" s="82" t="s">
        <v>64</v>
      </c>
      <c r="C45" s="83">
        <v>9676</v>
      </c>
      <c r="D45" s="66" t="s">
        <v>1179</v>
      </c>
    </row>
    <row r="46" spans="1:4" x14ac:dyDescent="0.25">
      <c r="A46" s="65">
        <v>9</v>
      </c>
      <c r="B46" s="82" t="s">
        <v>71</v>
      </c>
      <c r="C46" s="83">
        <v>2837.5</v>
      </c>
      <c r="D46" s="66" t="s">
        <v>1179</v>
      </c>
    </row>
    <row r="47" spans="1:4" x14ac:dyDescent="0.25">
      <c r="A47" s="65">
        <v>10</v>
      </c>
      <c r="B47" s="82" t="s">
        <v>74</v>
      </c>
      <c r="C47" s="83">
        <v>2837.5</v>
      </c>
      <c r="D47" s="66" t="s">
        <v>1179</v>
      </c>
    </row>
    <row r="48" spans="1:4" x14ac:dyDescent="0.25">
      <c r="A48" s="65">
        <v>11</v>
      </c>
      <c r="B48" s="82" t="s">
        <v>80</v>
      </c>
      <c r="C48" s="83">
        <v>3121.5</v>
      </c>
      <c r="D48" s="66" t="s">
        <v>1179</v>
      </c>
    </row>
    <row r="49" spans="1:4" x14ac:dyDescent="0.25">
      <c r="A49" s="65">
        <v>12</v>
      </c>
      <c r="B49" s="82" t="s">
        <v>95</v>
      </c>
      <c r="C49" s="83">
        <v>2233.3333333333335</v>
      </c>
      <c r="D49" s="66" t="s">
        <v>1179</v>
      </c>
    </row>
    <row r="50" spans="1:4" x14ac:dyDescent="0.25">
      <c r="A50" s="65">
        <v>13</v>
      </c>
      <c r="B50" s="82" t="s">
        <v>99</v>
      </c>
      <c r="C50" s="83">
        <v>2233.3333333333335</v>
      </c>
      <c r="D50" s="66" t="s">
        <v>1179</v>
      </c>
    </row>
    <row r="51" spans="1:4" x14ac:dyDescent="0.25">
      <c r="A51" s="65">
        <v>14</v>
      </c>
      <c r="B51" s="82" t="s">
        <v>102</v>
      </c>
      <c r="C51" s="83">
        <v>18000</v>
      </c>
      <c r="D51" s="66" t="s">
        <v>1179</v>
      </c>
    </row>
    <row r="52" spans="1:4" x14ac:dyDescent="0.25">
      <c r="A52" s="65">
        <v>15</v>
      </c>
      <c r="B52" s="82" t="s">
        <v>109</v>
      </c>
      <c r="C52" s="83">
        <v>2233.3333333333335</v>
      </c>
      <c r="D52" s="66" t="s">
        <v>1179</v>
      </c>
    </row>
    <row r="53" spans="1:4" x14ac:dyDescent="0.25">
      <c r="A53" s="65">
        <v>16</v>
      </c>
      <c r="B53" s="82" t="s">
        <v>111</v>
      </c>
      <c r="C53" s="83">
        <v>489.66666666666669</v>
      </c>
      <c r="D53" s="66" t="s">
        <v>1179</v>
      </c>
    </row>
    <row r="54" spans="1:4" x14ac:dyDescent="0.25">
      <c r="A54" s="65">
        <v>17</v>
      </c>
      <c r="B54" s="82" t="s">
        <v>113</v>
      </c>
      <c r="C54" s="83">
        <v>3542</v>
      </c>
      <c r="D54" s="66" t="s">
        <v>1179</v>
      </c>
    </row>
    <row r="55" spans="1:4" x14ac:dyDescent="0.25">
      <c r="A55" s="65">
        <v>18</v>
      </c>
      <c r="B55" s="82" t="s">
        <v>116</v>
      </c>
      <c r="C55" s="83">
        <v>2000</v>
      </c>
      <c r="D55" s="66" t="s">
        <v>1179</v>
      </c>
    </row>
    <row r="56" spans="1:4" ht="30" x14ac:dyDescent="0.25">
      <c r="A56" s="65">
        <v>19</v>
      </c>
      <c r="B56" s="82" t="s">
        <v>119</v>
      </c>
      <c r="C56" s="83">
        <v>2837.5</v>
      </c>
      <c r="D56" s="66" t="s">
        <v>1179</v>
      </c>
    </row>
    <row r="57" spans="1:4" x14ac:dyDescent="0.25">
      <c r="A57" s="65">
        <v>20</v>
      </c>
      <c r="B57" s="82" t="s">
        <v>123</v>
      </c>
      <c r="C57" s="83">
        <v>9781</v>
      </c>
      <c r="D57" s="66" t="s">
        <v>1179</v>
      </c>
    </row>
    <row r="58" spans="1:4" x14ac:dyDescent="0.25">
      <c r="A58" s="65">
        <v>21</v>
      </c>
      <c r="B58" s="82" t="s">
        <v>126</v>
      </c>
      <c r="C58" s="83">
        <v>17884.799999999988</v>
      </c>
      <c r="D58" s="66" t="s">
        <v>1179</v>
      </c>
    </row>
    <row r="59" spans="1:4" x14ac:dyDescent="0.25">
      <c r="A59" s="65">
        <v>22</v>
      </c>
      <c r="B59" s="82" t="s">
        <v>129</v>
      </c>
      <c r="C59" s="83">
        <v>5616</v>
      </c>
      <c r="D59" s="66" t="s">
        <v>1179</v>
      </c>
    </row>
    <row r="60" spans="1:4" ht="30" x14ac:dyDescent="0.25">
      <c r="A60" s="65">
        <v>23</v>
      </c>
      <c r="B60" s="82" t="s">
        <v>133</v>
      </c>
      <c r="C60" s="83">
        <v>7892</v>
      </c>
      <c r="D60" s="66" t="s">
        <v>1179</v>
      </c>
    </row>
    <row r="61" spans="1:4" x14ac:dyDescent="0.25">
      <c r="A61" s="65">
        <v>24</v>
      </c>
      <c r="B61" s="82" t="s">
        <v>135</v>
      </c>
      <c r="C61" s="83">
        <v>3706</v>
      </c>
      <c r="D61" s="66" t="s">
        <v>1179</v>
      </c>
    </row>
    <row r="62" spans="1:4" x14ac:dyDescent="0.25">
      <c r="A62" s="65">
        <v>25</v>
      </c>
      <c r="B62" s="82" t="s">
        <v>137</v>
      </c>
      <c r="C62" s="83">
        <v>7362.5</v>
      </c>
      <c r="D62" s="66" t="s">
        <v>1179</v>
      </c>
    </row>
    <row r="63" spans="1:4" x14ac:dyDescent="0.25">
      <c r="A63" s="65">
        <v>26</v>
      </c>
      <c r="B63" s="82" t="s">
        <v>139</v>
      </c>
      <c r="C63" s="83">
        <v>1575</v>
      </c>
      <c r="D63" s="66" t="s">
        <v>1179</v>
      </c>
    </row>
    <row r="64" spans="1:4" x14ac:dyDescent="0.25">
      <c r="A64" s="65">
        <v>27</v>
      </c>
      <c r="B64" s="82" t="s">
        <v>142</v>
      </c>
      <c r="C64" s="83">
        <v>2837.5</v>
      </c>
      <c r="D64" s="66" t="s">
        <v>1179</v>
      </c>
    </row>
    <row r="65" spans="1:4" x14ac:dyDescent="0.25">
      <c r="A65" s="65">
        <v>28</v>
      </c>
      <c r="B65" s="82" t="s">
        <v>145</v>
      </c>
      <c r="C65" s="83">
        <v>913.86666666666667</v>
      </c>
      <c r="D65" s="66" t="s">
        <v>1179</v>
      </c>
    </row>
    <row r="66" spans="1:4" ht="30" x14ac:dyDescent="0.25">
      <c r="A66" s="65">
        <v>29</v>
      </c>
      <c r="B66" s="82" t="s">
        <v>148</v>
      </c>
      <c r="C66" s="83">
        <v>3500</v>
      </c>
      <c r="D66" s="66" t="s">
        <v>1179</v>
      </c>
    </row>
    <row r="67" spans="1:4" ht="30" x14ac:dyDescent="0.25">
      <c r="A67" s="65">
        <v>30</v>
      </c>
      <c r="B67" s="82" t="s">
        <v>151</v>
      </c>
      <c r="C67" s="83">
        <v>1446.6666666666667</v>
      </c>
      <c r="D67" s="66" t="s">
        <v>1179</v>
      </c>
    </row>
    <row r="68" spans="1:4" x14ac:dyDescent="0.25">
      <c r="A68" s="65">
        <v>31</v>
      </c>
      <c r="B68" s="82" t="s">
        <v>154</v>
      </c>
      <c r="C68" s="83">
        <v>2021.5</v>
      </c>
      <c r="D68" s="66" t="s">
        <v>1179</v>
      </c>
    </row>
    <row r="69" spans="1:4" x14ac:dyDescent="0.25">
      <c r="A69" s="65">
        <v>32</v>
      </c>
      <c r="B69" s="82" t="s">
        <v>157</v>
      </c>
      <c r="C69" s="83">
        <v>2887.5</v>
      </c>
      <c r="D69" s="66" t="s">
        <v>1179</v>
      </c>
    </row>
    <row r="70" spans="1:4" x14ac:dyDescent="0.25">
      <c r="A70" s="65">
        <v>33</v>
      </c>
      <c r="B70" s="82" t="s">
        <v>159</v>
      </c>
      <c r="C70" s="83">
        <v>269.86666666666667</v>
      </c>
      <c r="D70" s="66" t="s">
        <v>1179</v>
      </c>
    </row>
    <row r="71" spans="1:4" ht="30" x14ac:dyDescent="0.25">
      <c r="A71" s="65">
        <v>34</v>
      </c>
      <c r="B71" s="82" t="s">
        <v>740</v>
      </c>
      <c r="C71" s="83">
        <v>4116</v>
      </c>
      <c r="D71" s="66" t="s">
        <v>1179</v>
      </c>
    </row>
    <row r="72" spans="1:4" x14ac:dyDescent="0.25">
      <c r="A72" s="65">
        <v>35</v>
      </c>
      <c r="B72" s="82" t="s">
        <v>161</v>
      </c>
      <c r="C72" s="83">
        <v>12250</v>
      </c>
      <c r="D72" s="66" t="s">
        <v>1179</v>
      </c>
    </row>
    <row r="73" spans="1:4" ht="30" x14ac:dyDescent="0.25">
      <c r="A73" s="65">
        <v>36</v>
      </c>
      <c r="B73" s="82" t="s">
        <v>164</v>
      </c>
      <c r="C73" s="83">
        <v>4060.5</v>
      </c>
      <c r="D73" s="66" t="s">
        <v>1179</v>
      </c>
    </row>
    <row r="74" spans="1:4" ht="30" x14ac:dyDescent="0.25">
      <c r="A74" s="65">
        <v>37</v>
      </c>
      <c r="B74" s="82" t="s">
        <v>761</v>
      </c>
      <c r="C74" s="83">
        <v>2837.5</v>
      </c>
      <c r="D74" s="66" t="s">
        <v>1179</v>
      </c>
    </row>
    <row r="75" spans="1:4" x14ac:dyDescent="0.25">
      <c r="A75" s="65">
        <v>38</v>
      </c>
      <c r="B75" s="82" t="s">
        <v>169</v>
      </c>
      <c r="C75" s="83">
        <v>604.79999999999995</v>
      </c>
      <c r="D75" s="66" t="s">
        <v>1179</v>
      </c>
    </row>
    <row r="76" spans="1:4" x14ac:dyDescent="0.25">
      <c r="A76" s="65">
        <v>39</v>
      </c>
      <c r="B76" s="82" t="s">
        <v>174</v>
      </c>
      <c r="C76" s="83">
        <v>3121.5</v>
      </c>
      <c r="D76" s="66" t="s">
        <v>1179</v>
      </c>
    </row>
    <row r="77" spans="1:4" x14ac:dyDescent="0.25">
      <c r="A77" s="65">
        <v>40</v>
      </c>
      <c r="B77" s="82" t="s">
        <v>178</v>
      </c>
      <c r="C77" s="83">
        <v>1000</v>
      </c>
      <c r="D77" s="66" t="s">
        <v>1179</v>
      </c>
    </row>
    <row r="78" spans="1:4" x14ac:dyDescent="0.25">
      <c r="A78" s="65">
        <v>41</v>
      </c>
      <c r="B78" s="82" t="s">
        <v>180</v>
      </c>
      <c r="C78" s="83">
        <v>2000</v>
      </c>
      <c r="D78" s="66" t="s">
        <v>1179</v>
      </c>
    </row>
    <row r="79" spans="1:4" x14ac:dyDescent="0.25">
      <c r="A79" s="65">
        <v>42</v>
      </c>
      <c r="B79" s="82" t="s">
        <v>183</v>
      </c>
      <c r="C79" s="83">
        <v>1575</v>
      </c>
      <c r="D79" s="66" t="s">
        <v>1179</v>
      </c>
    </row>
    <row r="80" spans="1:4" x14ac:dyDescent="0.25">
      <c r="A80" s="65">
        <v>43</v>
      </c>
      <c r="B80" s="82" t="s">
        <v>185</v>
      </c>
      <c r="C80" s="83">
        <v>11232</v>
      </c>
      <c r="D80" s="66" t="s">
        <v>1179</v>
      </c>
    </row>
    <row r="81" spans="1:4" ht="30" x14ac:dyDescent="0.25">
      <c r="A81" s="65">
        <v>44</v>
      </c>
      <c r="B81" s="82" t="s">
        <v>187</v>
      </c>
      <c r="C81" s="83">
        <v>3594</v>
      </c>
      <c r="D81" s="66" t="s">
        <v>1179</v>
      </c>
    </row>
    <row r="82" spans="1:4" x14ac:dyDescent="0.25">
      <c r="A82" s="65">
        <v>45</v>
      </c>
      <c r="B82" s="82" t="s">
        <v>197</v>
      </c>
      <c r="C82" s="83">
        <v>7770</v>
      </c>
      <c r="D82" s="66" t="s">
        <v>1179</v>
      </c>
    </row>
    <row r="83" spans="1:4" ht="30" x14ac:dyDescent="0.25">
      <c r="A83" s="65">
        <v>46</v>
      </c>
      <c r="B83" s="82" t="s">
        <v>204</v>
      </c>
      <c r="C83" s="83">
        <v>2233.3333333333335</v>
      </c>
      <c r="D83" s="66" t="s">
        <v>1179</v>
      </c>
    </row>
    <row r="84" spans="1:4" x14ac:dyDescent="0.25">
      <c r="A84" s="65">
        <v>47</v>
      </c>
      <c r="B84" s="82" t="s">
        <v>206</v>
      </c>
      <c r="C84" s="83">
        <v>7980</v>
      </c>
      <c r="D84" s="66" t="s">
        <v>1179</v>
      </c>
    </row>
    <row r="85" spans="1:4" ht="30" x14ac:dyDescent="0.25">
      <c r="A85" s="65">
        <v>48</v>
      </c>
      <c r="B85" s="82" t="s">
        <v>212</v>
      </c>
      <c r="C85" s="83">
        <v>8820</v>
      </c>
      <c r="D85" s="66" t="s">
        <v>1179</v>
      </c>
    </row>
    <row r="86" spans="1:4" ht="30" x14ac:dyDescent="0.25">
      <c r="A86" s="65">
        <v>49</v>
      </c>
      <c r="B86" s="82" t="s">
        <v>218</v>
      </c>
      <c r="C86" s="83">
        <v>3969</v>
      </c>
      <c r="D86" s="66" t="s">
        <v>1179</v>
      </c>
    </row>
    <row r="87" spans="1:4" ht="30" x14ac:dyDescent="0.25">
      <c r="A87" s="65">
        <v>50</v>
      </c>
      <c r="B87" s="82" t="s">
        <v>220</v>
      </c>
      <c r="C87" s="83">
        <v>16174</v>
      </c>
      <c r="D87" s="66" t="s">
        <v>1179</v>
      </c>
    </row>
    <row r="88" spans="1:4" x14ac:dyDescent="0.25">
      <c r="A88" s="65">
        <v>51</v>
      </c>
      <c r="B88" s="82" t="s">
        <v>234</v>
      </c>
      <c r="C88" s="83">
        <v>11043.899999999994</v>
      </c>
      <c r="D88" s="66" t="s">
        <v>1179</v>
      </c>
    </row>
    <row r="89" spans="1:4" x14ac:dyDescent="0.25">
      <c r="A89" s="65">
        <v>52</v>
      </c>
      <c r="B89" s="82" t="s">
        <v>263</v>
      </c>
      <c r="C89" s="83">
        <v>3750</v>
      </c>
      <c r="D89" s="66" t="s">
        <v>1179</v>
      </c>
    </row>
    <row r="90" spans="1:4" x14ac:dyDescent="0.25">
      <c r="A90" s="65">
        <v>53</v>
      </c>
      <c r="B90" s="82" t="s">
        <v>291</v>
      </c>
      <c r="C90" s="83">
        <v>10062.5</v>
      </c>
      <c r="D90" s="66" t="s">
        <v>1179</v>
      </c>
    </row>
    <row r="91" spans="1:4" x14ac:dyDescent="0.25">
      <c r="A91" s="65">
        <v>54</v>
      </c>
      <c r="B91" s="82" t="s">
        <v>293</v>
      </c>
      <c r="C91" s="83">
        <v>4987.5</v>
      </c>
      <c r="D91" s="66" t="s">
        <v>1179</v>
      </c>
    </row>
    <row r="92" spans="1:4" x14ac:dyDescent="0.25">
      <c r="A92" s="65">
        <v>55</v>
      </c>
      <c r="B92" s="82" t="s">
        <v>300</v>
      </c>
      <c r="C92" s="83">
        <v>3229</v>
      </c>
      <c r="D92" s="66" t="s">
        <v>1179</v>
      </c>
    </row>
    <row r="93" spans="1:4" ht="30" x14ac:dyDescent="0.25">
      <c r="A93" s="65">
        <v>56</v>
      </c>
      <c r="B93" s="82" t="s">
        <v>303</v>
      </c>
      <c r="C93" s="83">
        <v>1890</v>
      </c>
      <c r="D93" s="66" t="s">
        <v>1179</v>
      </c>
    </row>
    <row r="94" spans="1:4" x14ac:dyDescent="0.25">
      <c r="A94" s="65">
        <v>57</v>
      </c>
      <c r="B94" s="82" t="s">
        <v>305</v>
      </c>
      <c r="C94" s="83">
        <v>3997.5</v>
      </c>
      <c r="D94" s="66" t="s">
        <v>1179</v>
      </c>
    </row>
    <row r="95" spans="1:4" x14ac:dyDescent="0.25">
      <c r="A95" s="65">
        <v>58</v>
      </c>
      <c r="B95" s="82" t="s">
        <v>308</v>
      </c>
      <c r="C95" s="83">
        <v>4840</v>
      </c>
      <c r="D95" s="66" t="s">
        <v>1179</v>
      </c>
    </row>
    <row r="96" spans="1:4" ht="30" x14ac:dyDescent="0.25">
      <c r="A96" s="65">
        <v>59</v>
      </c>
      <c r="B96" s="82" t="s">
        <v>310</v>
      </c>
      <c r="C96" s="83">
        <v>3045</v>
      </c>
      <c r="D96" s="66" t="s">
        <v>1179</v>
      </c>
    </row>
    <row r="97" spans="1:4" x14ac:dyDescent="0.25">
      <c r="A97" s="65">
        <v>60</v>
      </c>
      <c r="B97" s="82" t="s">
        <v>316</v>
      </c>
      <c r="C97" s="83">
        <v>9200</v>
      </c>
      <c r="D97" s="66" t="s">
        <v>1179</v>
      </c>
    </row>
    <row r="98" spans="1:4" x14ac:dyDescent="0.25">
      <c r="A98" s="65">
        <v>61</v>
      </c>
      <c r="B98" s="82" t="s">
        <v>325</v>
      </c>
      <c r="C98" s="83">
        <v>8400</v>
      </c>
      <c r="D98" s="66" t="s">
        <v>1179</v>
      </c>
    </row>
    <row r="99" spans="1:4" x14ac:dyDescent="0.25">
      <c r="A99" s="65">
        <v>62</v>
      </c>
      <c r="B99" s="82" t="s">
        <v>330</v>
      </c>
      <c r="C99" s="83">
        <v>10584</v>
      </c>
      <c r="D99" s="66" t="s">
        <v>1179</v>
      </c>
    </row>
    <row r="100" spans="1:4" x14ac:dyDescent="0.25">
      <c r="A100" s="65">
        <v>63</v>
      </c>
      <c r="B100" s="82" t="s">
        <v>332</v>
      </c>
      <c r="C100" s="83">
        <v>3675</v>
      </c>
      <c r="D100" s="66" t="s">
        <v>1179</v>
      </c>
    </row>
    <row r="101" spans="1:4" x14ac:dyDescent="0.25">
      <c r="A101" s="65">
        <v>64</v>
      </c>
      <c r="B101" s="82" t="s">
        <v>338</v>
      </c>
      <c r="C101" s="83">
        <v>4733</v>
      </c>
      <c r="D101" s="66" t="s">
        <v>1179</v>
      </c>
    </row>
    <row r="102" spans="1:4" ht="30" x14ac:dyDescent="0.25">
      <c r="A102" s="65">
        <v>65</v>
      </c>
      <c r="B102" s="82" t="s">
        <v>340</v>
      </c>
      <c r="C102" s="83">
        <v>2000</v>
      </c>
      <c r="D102" s="66" t="s">
        <v>1179</v>
      </c>
    </row>
    <row r="103" spans="1:4" x14ac:dyDescent="0.25">
      <c r="A103" s="65">
        <v>66</v>
      </c>
      <c r="B103" s="82" t="s">
        <v>344</v>
      </c>
      <c r="C103" s="83">
        <v>14300</v>
      </c>
      <c r="D103" s="66" t="s">
        <v>1179</v>
      </c>
    </row>
    <row r="104" spans="1:4" ht="30" x14ac:dyDescent="0.25">
      <c r="A104" s="65">
        <v>67</v>
      </c>
      <c r="B104" s="82" t="s">
        <v>350</v>
      </c>
      <c r="C104" s="83">
        <v>31500</v>
      </c>
      <c r="D104" s="66" t="s">
        <v>1179</v>
      </c>
    </row>
    <row r="105" spans="1:4" x14ac:dyDescent="0.25">
      <c r="A105" s="65">
        <v>68</v>
      </c>
      <c r="B105" s="82" t="s">
        <v>352</v>
      </c>
      <c r="C105" s="83">
        <v>2317.5</v>
      </c>
      <c r="D105" s="66" t="s">
        <v>1179</v>
      </c>
    </row>
    <row r="106" spans="1:4" x14ac:dyDescent="0.25">
      <c r="A106" s="65">
        <v>69</v>
      </c>
      <c r="B106" s="82" t="s">
        <v>354</v>
      </c>
      <c r="C106" s="83">
        <v>3500</v>
      </c>
      <c r="D106" s="66" t="s">
        <v>1179</v>
      </c>
    </row>
    <row r="107" spans="1:4" x14ac:dyDescent="0.25">
      <c r="A107" s="65">
        <v>70</v>
      </c>
      <c r="B107" s="82" t="s">
        <v>360</v>
      </c>
      <c r="C107" s="83">
        <v>5698</v>
      </c>
      <c r="D107" s="66" t="s">
        <v>1179</v>
      </c>
    </row>
    <row r="108" spans="1:4" x14ac:dyDescent="0.25">
      <c r="A108" s="65">
        <v>71</v>
      </c>
      <c r="B108" s="82" t="s">
        <v>362</v>
      </c>
      <c r="C108" s="83">
        <v>3240</v>
      </c>
      <c r="D108" s="66" t="s">
        <v>1179</v>
      </c>
    </row>
    <row r="109" spans="1:4" x14ac:dyDescent="0.25">
      <c r="A109" s="65">
        <v>72</v>
      </c>
      <c r="B109" s="82" t="s">
        <v>365</v>
      </c>
      <c r="C109" s="83">
        <v>4935</v>
      </c>
      <c r="D109" s="66" t="s">
        <v>1179</v>
      </c>
    </row>
    <row r="110" spans="1:4" ht="30" x14ac:dyDescent="0.25">
      <c r="A110" s="65">
        <v>73</v>
      </c>
      <c r="B110" s="82" t="s">
        <v>367</v>
      </c>
      <c r="C110" s="83">
        <v>3850</v>
      </c>
      <c r="D110" s="66" t="s">
        <v>1179</v>
      </c>
    </row>
    <row r="111" spans="1:4" ht="30" x14ac:dyDescent="0.25">
      <c r="A111" s="65">
        <v>74</v>
      </c>
      <c r="B111" s="82" t="s">
        <v>372</v>
      </c>
      <c r="C111" s="83">
        <v>2837.5</v>
      </c>
      <c r="D111" s="66" t="s">
        <v>1179</v>
      </c>
    </row>
    <row r="112" spans="1:4" x14ac:dyDescent="0.25">
      <c r="A112" s="65">
        <v>75</v>
      </c>
      <c r="B112" s="82" t="s">
        <v>375</v>
      </c>
      <c r="C112" s="83">
        <v>11000</v>
      </c>
      <c r="D112" s="66" t="s">
        <v>1179</v>
      </c>
    </row>
    <row r="113" spans="1:4" x14ac:dyDescent="0.25">
      <c r="A113" s="65">
        <v>76</v>
      </c>
      <c r="B113" s="82" t="s">
        <v>378</v>
      </c>
      <c r="C113" s="83">
        <v>3150</v>
      </c>
      <c r="D113" s="66" t="s">
        <v>1179</v>
      </c>
    </row>
    <row r="114" spans="1:4" x14ac:dyDescent="0.25">
      <c r="A114" s="65">
        <v>77</v>
      </c>
      <c r="B114" s="82" t="s">
        <v>380</v>
      </c>
      <c r="C114" s="83">
        <v>3150</v>
      </c>
      <c r="D114" s="66" t="s">
        <v>1179</v>
      </c>
    </row>
    <row r="115" spans="1:4" ht="30" x14ac:dyDescent="0.25">
      <c r="A115" s="65">
        <v>78</v>
      </c>
      <c r="B115" s="82" t="s">
        <v>382</v>
      </c>
      <c r="C115" s="83">
        <v>5675</v>
      </c>
      <c r="D115" s="66" t="s">
        <v>1179</v>
      </c>
    </row>
    <row r="116" spans="1:4" ht="30" x14ac:dyDescent="0.25">
      <c r="A116" s="65">
        <v>79</v>
      </c>
      <c r="B116" s="82" t="s">
        <v>384</v>
      </c>
      <c r="C116" s="83">
        <v>4600</v>
      </c>
      <c r="D116" s="66" t="s">
        <v>1179</v>
      </c>
    </row>
    <row r="117" spans="1:4" x14ac:dyDescent="0.25">
      <c r="A117" s="65">
        <v>80</v>
      </c>
      <c r="B117" s="82" t="s">
        <v>386</v>
      </c>
      <c r="C117" s="83">
        <v>2415</v>
      </c>
      <c r="D117" s="66" t="s">
        <v>1179</v>
      </c>
    </row>
    <row r="118" spans="1:4" x14ac:dyDescent="0.25">
      <c r="A118" s="65">
        <v>81</v>
      </c>
      <c r="B118" s="82" t="s">
        <v>393</v>
      </c>
      <c r="C118" s="83">
        <v>6300</v>
      </c>
      <c r="D118" s="66" t="s">
        <v>1179</v>
      </c>
    </row>
    <row r="119" spans="1:4" x14ac:dyDescent="0.25">
      <c r="A119" s="65">
        <v>82</v>
      </c>
      <c r="B119" s="82" t="s">
        <v>397</v>
      </c>
      <c r="C119" s="83">
        <v>3004.5</v>
      </c>
      <c r="D119" s="66" t="s">
        <v>1179</v>
      </c>
    </row>
    <row r="120" spans="1:4" x14ac:dyDescent="0.25">
      <c r="A120" s="65">
        <v>83</v>
      </c>
      <c r="B120" s="82" t="s">
        <v>406</v>
      </c>
      <c r="C120" s="83">
        <v>3675</v>
      </c>
      <c r="D120" s="66" t="s">
        <v>1179</v>
      </c>
    </row>
    <row r="121" spans="1:4" x14ac:dyDescent="0.25">
      <c r="A121" s="65">
        <v>84</v>
      </c>
      <c r="B121" s="82" t="s">
        <v>411</v>
      </c>
      <c r="C121" s="83">
        <v>4961.5</v>
      </c>
      <c r="D121" s="66" t="s">
        <v>1179</v>
      </c>
    </row>
    <row r="122" spans="1:4" x14ac:dyDescent="0.25">
      <c r="A122" s="65">
        <v>85</v>
      </c>
      <c r="B122" s="82" t="s">
        <v>415</v>
      </c>
      <c r="C122" s="83">
        <v>8400</v>
      </c>
      <c r="D122" s="66" t="s">
        <v>1179</v>
      </c>
    </row>
    <row r="123" spans="1:4" x14ac:dyDescent="0.25">
      <c r="A123" s="65">
        <v>86</v>
      </c>
      <c r="B123" s="82" t="s">
        <v>417</v>
      </c>
      <c r="C123" s="83">
        <v>10366</v>
      </c>
      <c r="D123" s="66" t="s">
        <v>1179</v>
      </c>
    </row>
    <row r="124" spans="1:4" x14ac:dyDescent="0.25">
      <c r="A124" s="65">
        <v>87</v>
      </c>
      <c r="B124" s="82" t="s">
        <v>421</v>
      </c>
      <c r="C124" s="83">
        <v>3675</v>
      </c>
      <c r="D124" s="66" t="s">
        <v>1179</v>
      </c>
    </row>
    <row r="125" spans="1:4" x14ac:dyDescent="0.25">
      <c r="A125" s="65">
        <v>88</v>
      </c>
      <c r="B125" s="82" t="s">
        <v>423</v>
      </c>
      <c r="C125" s="83">
        <v>6600</v>
      </c>
      <c r="D125" s="66" t="s">
        <v>1179</v>
      </c>
    </row>
    <row r="126" spans="1:4" x14ac:dyDescent="0.25">
      <c r="A126" s="65">
        <v>89</v>
      </c>
      <c r="B126" s="82" t="s">
        <v>429</v>
      </c>
      <c r="C126" s="83">
        <v>4620</v>
      </c>
      <c r="D126" s="66" t="s">
        <v>1179</v>
      </c>
    </row>
    <row r="127" spans="1:4" x14ac:dyDescent="0.25">
      <c r="A127" s="65">
        <v>90</v>
      </c>
      <c r="B127" s="82" t="s">
        <v>431</v>
      </c>
      <c r="C127" s="83">
        <v>8169</v>
      </c>
      <c r="D127" s="66" t="s">
        <v>1179</v>
      </c>
    </row>
    <row r="128" spans="1:4" x14ac:dyDescent="0.25">
      <c r="A128" s="65">
        <v>91</v>
      </c>
      <c r="B128" s="82" t="s">
        <v>433</v>
      </c>
      <c r="C128" s="83">
        <v>4620</v>
      </c>
      <c r="D128" s="66" t="s">
        <v>1179</v>
      </c>
    </row>
    <row r="129" spans="1:4" x14ac:dyDescent="0.25">
      <c r="A129" s="65">
        <v>92</v>
      </c>
      <c r="B129" s="82" t="s">
        <v>435</v>
      </c>
      <c r="C129" s="83">
        <v>3675</v>
      </c>
      <c r="D129" s="66" t="s">
        <v>1179</v>
      </c>
    </row>
    <row r="130" spans="1:4" x14ac:dyDescent="0.25">
      <c r="A130" s="65">
        <v>93</v>
      </c>
      <c r="B130" s="82" t="s">
        <v>437</v>
      </c>
      <c r="C130" s="83">
        <v>2381.5</v>
      </c>
      <c r="D130" s="66" t="s">
        <v>1179</v>
      </c>
    </row>
    <row r="131" spans="1:4" x14ac:dyDescent="0.25">
      <c r="A131" s="65">
        <v>94</v>
      </c>
      <c r="B131" s="82" t="s">
        <v>440</v>
      </c>
      <c r="C131" s="83">
        <v>6670</v>
      </c>
      <c r="D131" s="66" t="s">
        <v>1179</v>
      </c>
    </row>
    <row r="132" spans="1:4" ht="30" x14ac:dyDescent="0.25">
      <c r="A132" s="65">
        <v>95</v>
      </c>
      <c r="B132" s="82" t="s">
        <v>442</v>
      </c>
      <c r="C132" s="83">
        <v>14987.5</v>
      </c>
      <c r="D132" s="66" t="s">
        <v>1179</v>
      </c>
    </row>
    <row r="133" spans="1:4" x14ac:dyDescent="0.25">
      <c r="A133" s="65">
        <v>96</v>
      </c>
      <c r="B133" s="82" t="s">
        <v>444</v>
      </c>
      <c r="C133" s="83">
        <v>8820</v>
      </c>
      <c r="D133" s="66" t="s">
        <v>1179</v>
      </c>
    </row>
    <row r="134" spans="1:4" x14ac:dyDescent="0.25">
      <c r="A134" s="65">
        <v>97</v>
      </c>
      <c r="B134" s="82" t="s">
        <v>447</v>
      </c>
      <c r="C134" s="83">
        <v>5675</v>
      </c>
      <c r="D134" s="66" t="s">
        <v>1179</v>
      </c>
    </row>
    <row r="135" spans="1:4" x14ac:dyDescent="0.25">
      <c r="A135" s="65">
        <v>98</v>
      </c>
      <c r="B135" s="82" t="s">
        <v>450</v>
      </c>
      <c r="C135" s="83">
        <v>2000</v>
      </c>
      <c r="D135" s="66" t="s">
        <v>1179</v>
      </c>
    </row>
    <row r="136" spans="1:4" ht="30" x14ac:dyDescent="0.25">
      <c r="A136" s="65">
        <v>99</v>
      </c>
      <c r="B136" s="82" t="s">
        <v>452</v>
      </c>
      <c r="C136" s="83">
        <v>3780</v>
      </c>
      <c r="D136" s="66" t="s">
        <v>1179</v>
      </c>
    </row>
    <row r="137" spans="1:4" x14ac:dyDescent="0.25">
      <c r="A137" s="65">
        <v>100</v>
      </c>
      <c r="B137" s="82" t="s">
        <v>455</v>
      </c>
      <c r="C137" s="83">
        <v>5567.5</v>
      </c>
      <c r="D137" s="66" t="s">
        <v>1179</v>
      </c>
    </row>
    <row r="138" spans="1:4" ht="30" x14ac:dyDescent="0.25">
      <c r="A138" s="65">
        <v>101</v>
      </c>
      <c r="B138" s="82" t="s">
        <v>457</v>
      </c>
      <c r="C138" s="83">
        <v>6729.2999999999884</v>
      </c>
      <c r="D138" s="66" t="s">
        <v>1179</v>
      </c>
    </row>
    <row r="139" spans="1:4" ht="30" x14ac:dyDescent="0.25">
      <c r="A139" s="65">
        <v>102</v>
      </c>
      <c r="B139" s="82" t="s">
        <v>460</v>
      </c>
      <c r="C139" s="83">
        <v>7350</v>
      </c>
      <c r="D139" s="66" t="s">
        <v>1179</v>
      </c>
    </row>
    <row r="140" spans="1:4" x14ac:dyDescent="0.25">
      <c r="A140" s="65">
        <v>103</v>
      </c>
      <c r="B140" s="82" t="s">
        <v>463</v>
      </c>
      <c r="C140" s="83">
        <v>3115.5</v>
      </c>
      <c r="D140" s="66" t="s">
        <v>1179</v>
      </c>
    </row>
    <row r="141" spans="1:4" ht="30" x14ac:dyDescent="0.25">
      <c r="A141" s="65">
        <v>104</v>
      </c>
      <c r="B141" s="82" t="s">
        <v>465</v>
      </c>
      <c r="C141" s="83">
        <v>2677.5</v>
      </c>
      <c r="D141" s="66" t="s">
        <v>1179</v>
      </c>
    </row>
    <row r="142" spans="1:4" x14ac:dyDescent="0.25">
      <c r="A142" s="65">
        <v>105</v>
      </c>
      <c r="B142" s="82" t="s">
        <v>468</v>
      </c>
      <c r="C142" s="83">
        <v>2756.5</v>
      </c>
      <c r="D142" s="66" t="s">
        <v>1179</v>
      </c>
    </row>
    <row r="143" spans="1:4" x14ac:dyDescent="0.25">
      <c r="A143" s="65">
        <v>106</v>
      </c>
      <c r="B143" s="82" t="s">
        <v>474</v>
      </c>
      <c r="C143" s="83">
        <v>2000</v>
      </c>
      <c r="D143" s="66" t="s">
        <v>1179</v>
      </c>
    </row>
    <row r="144" spans="1:4" x14ac:dyDescent="0.25">
      <c r="A144" s="65">
        <v>107</v>
      </c>
      <c r="B144" s="82" t="s">
        <v>476</v>
      </c>
      <c r="C144" s="83">
        <v>7350</v>
      </c>
      <c r="D144" s="66" t="s">
        <v>1179</v>
      </c>
    </row>
    <row r="145" spans="1:4" x14ac:dyDescent="0.25">
      <c r="A145" s="65">
        <v>108</v>
      </c>
      <c r="B145" s="82" t="s">
        <v>478</v>
      </c>
      <c r="C145" s="83">
        <v>2205</v>
      </c>
      <c r="D145" s="66" t="s">
        <v>1179</v>
      </c>
    </row>
    <row r="146" spans="1:4" x14ac:dyDescent="0.25">
      <c r="A146" s="65">
        <v>109</v>
      </c>
      <c r="B146" s="82" t="s">
        <v>481</v>
      </c>
      <c r="C146" s="83">
        <v>12650</v>
      </c>
      <c r="D146" s="66" t="s">
        <v>1179</v>
      </c>
    </row>
    <row r="147" spans="1:4" ht="30" x14ac:dyDescent="0.25">
      <c r="A147" s="65">
        <v>110</v>
      </c>
      <c r="B147" s="82" t="s">
        <v>483</v>
      </c>
      <c r="C147" s="83">
        <v>3412.5</v>
      </c>
      <c r="D147" s="66" t="s">
        <v>1179</v>
      </c>
    </row>
    <row r="148" spans="1:4" x14ac:dyDescent="0.25">
      <c r="A148" s="65">
        <v>111</v>
      </c>
      <c r="B148" s="82" t="s">
        <v>485</v>
      </c>
      <c r="C148" s="83">
        <v>3990</v>
      </c>
      <c r="D148" s="66" t="s">
        <v>1179</v>
      </c>
    </row>
    <row r="149" spans="1:4" x14ac:dyDescent="0.25">
      <c r="A149" s="65">
        <v>112</v>
      </c>
      <c r="B149" s="82" t="s">
        <v>494</v>
      </c>
      <c r="C149" s="83">
        <v>4620</v>
      </c>
      <c r="D149" s="66" t="s">
        <v>1179</v>
      </c>
    </row>
    <row r="150" spans="1:4" ht="30" x14ac:dyDescent="0.25">
      <c r="A150" s="65">
        <v>113</v>
      </c>
      <c r="B150" s="82" t="s">
        <v>501</v>
      </c>
      <c r="C150" s="83">
        <v>3850</v>
      </c>
      <c r="D150" s="66" t="s">
        <v>1179</v>
      </c>
    </row>
    <row r="151" spans="1:4" ht="30" x14ac:dyDescent="0.25">
      <c r="A151" s="65">
        <v>114</v>
      </c>
      <c r="B151" s="82" t="s">
        <v>510</v>
      </c>
      <c r="C151" s="83">
        <v>5354.5</v>
      </c>
      <c r="D151" s="66" t="s">
        <v>1179</v>
      </c>
    </row>
    <row r="152" spans="1:4" ht="30" x14ac:dyDescent="0.25">
      <c r="A152" s="65">
        <v>115</v>
      </c>
      <c r="B152" s="82" t="s">
        <v>532</v>
      </c>
      <c r="C152" s="83">
        <v>26400</v>
      </c>
      <c r="D152" s="66" t="s">
        <v>1179</v>
      </c>
    </row>
    <row r="153" spans="1:4" x14ac:dyDescent="0.25">
      <c r="A153" s="65">
        <v>116</v>
      </c>
      <c r="B153" s="82" t="s">
        <v>536</v>
      </c>
      <c r="C153" s="83">
        <v>10419</v>
      </c>
      <c r="D153" s="66" t="s">
        <v>1179</v>
      </c>
    </row>
    <row r="154" spans="1:4" x14ac:dyDescent="0.25">
      <c r="A154" s="65">
        <v>117</v>
      </c>
      <c r="B154" s="82" t="s">
        <v>563</v>
      </c>
      <c r="C154" s="83">
        <v>6628.5</v>
      </c>
      <c r="D154" s="66" t="s">
        <v>1179</v>
      </c>
    </row>
    <row r="155" spans="1:4" x14ac:dyDescent="0.25">
      <c r="A155" s="65">
        <v>118</v>
      </c>
      <c r="B155" s="82" t="s">
        <v>614</v>
      </c>
      <c r="C155" s="83">
        <v>22000</v>
      </c>
      <c r="D155" s="66" t="s">
        <v>1179</v>
      </c>
    </row>
    <row r="156" spans="1:4" x14ac:dyDescent="0.25">
      <c r="A156" s="65">
        <v>119</v>
      </c>
      <c r="B156" s="82" t="s">
        <v>616</v>
      </c>
      <c r="C156" s="83">
        <v>9000</v>
      </c>
      <c r="D156" s="66" t="s">
        <v>1179</v>
      </c>
    </row>
    <row r="157" spans="1:4" x14ac:dyDescent="0.25">
      <c r="A157" s="65">
        <v>120</v>
      </c>
      <c r="B157" s="82" t="s">
        <v>64</v>
      </c>
      <c r="C157" s="83">
        <v>-4625</v>
      </c>
      <c r="D157" s="66" t="s">
        <v>1214</v>
      </c>
    </row>
    <row r="158" spans="1:4" x14ac:dyDescent="0.25">
      <c r="A158" s="65">
        <v>121</v>
      </c>
      <c r="B158" s="82" t="s">
        <v>393</v>
      </c>
      <c r="C158" s="83">
        <v>-4625</v>
      </c>
      <c r="D158" s="66" t="s">
        <v>1214</v>
      </c>
    </row>
    <row r="159" spans="1:4" x14ac:dyDescent="0.25">
      <c r="A159" s="65">
        <v>122</v>
      </c>
      <c r="B159" s="82" t="s">
        <v>431</v>
      </c>
      <c r="C159" s="83">
        <v>-4625</v>
      </c>
      <c r="D159" s="66" t="s">
        <v>1214</v>
      </c>
    </row>
    <row r="160" spans="1:4" x14ac:dyDescent="0.25">
      <c r="A160" s="65">
        <v>124</v>
      </c>
      <c r="B160" s="82" t="s">
        <v>327</v>
      </c>
      <c r="C160" s="83">
        <f>(2312.5-(2312.5/30*7))*-1</f>
        <v>-1772.9166666666667</v>
      </c>
      <c r="D160" s="66" t="s">
        <v>1216</v>
      </c>
    </row>
    <row r="161" spans="1:4" x14ac:dyDescent="0.25">
      <c r="A161" s="65">
        <v>125</v>
      </c>
      <c r="B161" s="82" t="s">
        <v>281</v>
      </c>
      <c r="C161" s="83">
        <v>-2312.5</v>
      </c>
      <c r="D161" s="66" t="s">
        <v>1216</v>
      </c>
    </row>
    <row r="162" spans="1:4" x14ac:dyDescent="0.25">
      <c r="A162" s="65">
        <v>126</v>
      </c>
      <c r="B162" s="82" t="s">
        <v>526</v>
      </c>
      <c r="C162" s="83">
        <v>-4500</v>
      </c>
      <c r="D162" s="66" t="s">
        <v>1216</v>
      </c>
    </row>
    <row r="163" spans="1:4" x14ac:dyDescent="0.25">
      <c r="A163" s="65">
        <v>127</v>
      </c>
      <c r="B163" s="82" t="s">
        <v>413</v>
      </c>
      <c r="C163" s="83">
        <v>5550</v>
      </c>
      <c r="D163" s="66" t="s">
        <v>1217</v>
      </c>
    </row>
    <row r="164" spans="1:4" ht="30" x14ac:dyDescent="0.25">
      <c r="A164" s="65">
        <v>128</v>
      </c>
      <c r="B164" s="82" t="s">
        <v>492</v>
      </c>
      <c r="C164" s="83">
        <v>15075</v>
      </c>
      <c r="D164" s="66" t="s">
        <v>1217</v>
      </c>
    </row>
    <row r="165" spans="1:4" x14ac:dyDescent="0.25">
      <c r="A165" s="65">
        <v>129</v>
      </c>
      <c r="B165" s="82" t="s">
        <v>753</v>
      </c>
      <c r="C165" s="83">
        <v>4983.333333333333</v>
      </c>
      <c r="D165" s="66" t="s">
        <v>1217</v>
      </c>
    </row>
    <row r="166" spans="1:4" x14ac:dyDescent="0.25">
      <c r="A166" s="65">
        <v>130</v>
      </c>
      <c r="B166" s="82" t="s">
        <v>409</v>
      </c>
      <c r="C166" s="83">
        <v>71121</v>
      </c>
      <c r="D166" s="66" t="s">
        <v>1218</v>
      </c>
    </row>
    <row r="167" spans="1:4" x14ac:dyDescent="0.25">
      <c r="A167" s="65">
        <v>131</v>
      </c>
      <c r="B167" s="82" t="s">
        <v>546</v>
      </c>
      <c r="C167" s="83">
        <f>40000/30*-2</f>
        <v>-2666.6666666666665</v>
      </c>
      <c r="D167" s="66" t="s">
        <v>1219</v>
      </c>
    </row>
    <row r="168" spans="1:4" x14ac:dyDescent="0.25">
      <c r="A168" s="65"/>
      <c r="B168" s="82" t="s">
        <v>1090</v>
      </c>
      <c r="C168" s="83">
        <v>50956.5</v>
      </c>
      <c r="D168" s="66" t="s">
        <v>1215</v>
      </c>
    </row>
    <row r="169" spans="1:4" x14ac:dyDescent="0.25">
      <c r="A169" s="65"/>
      <c r="B169" s="82" t="s">
        <v>1082</v>
      </c>
      <c r="C169" s="83">
        <v>28960</v>
      </c>
      <c r="D169" s="66" t="s">
        <v>1215</v>
      </c>
    </row>
    <row r="170" spans="1:4" x14ac:dyDescent="0.25">
      <c r="A170" s="65"/>
      <c r="B170" s="82" t="s">
        <v>1085</v>
      </c>
      <c r="C170" s="83">
        <v>32897.5</v>
      </c>
      <c r="D170" s="66" t="s">
        <v>1215</v>
      </c>
    </row>
    <row r="171" spans="1:4" x14ac:dyDescent="0.25">
      <c r="A171" s="65"/>
      <c r="B171" s="82" t="s">
        <v>1087</v>
      </c>
      <c r="C171" s="83">
        <v>35011.166666666701</v>
      </c>
      <c r="D171" s="66" t="s">
        <v>1215</v>
      </c>
    </row>
    <row r="172" spans="1:4" x14ac:dyDescent="0.25">
      <c r="A172" s="65"/>
      <c r="B172" s="82" t="s">
        <v>1092</v>
      </c>
      <c r="C172" s="83">
        <v>-8751</v>
      </c>
      <c r="D172" s="66" t="s">
        <v>1215</v>
      </c>
    </row>
    <row r="173" spans="1:4" x14ac:dyDescent="0.25">
      <c r="A173" s="65"/>
      <c r="B173" s="82" t="s">
        <v>1103</v>
      </c>
      <c r="C173" s="83">
        <v>8375</v>
      </c>
      <c r="D173" s="66" t="s">
        <v>1220</v>
      </c>
    </row>
    <row r="174" spans="1:4" x14ac:dyDescent="0.25">
      <c r="A174" s="65"/>
      <c r="B174" s="82" t="s">
        <v>1104</v>
      </c>
      <c r="C174" s="83">
        <v>6325</v>
      </c>
      <c r="D174" s="66" t="s">
        <v>1220</v>
      </c>
    </row>
    <row r="175" spans="1:4" x14ac:dyDescent="0.25">
      <c r="A175" s="65"/>
      <c r="B175" s="82" t="s">
        <v>169</v>
      </c>
      <c r="C175" s="83">
        <v>2268</v>
      </c>
      <c r="D175" s="66" t="s">
        <v>1220</v>
      </c>
    </row>
    <row r="176" spans="1:4" ht="30" x14ac:dyDescent="0.25">
      <c r="A176" s="65"/>
      <c r="B176" s="82" t="s">
        <v>1105</v>
      </c>
      <c r="C176" s="83">
        <v>8375</v>
      </c>
      <c r="D176" s="66" t="s">
        <v>1220</v>
      </c>
    </row>
    <row r="177" spans="1:4" x14ac:dyDescent="0.25">
      <c r="A177" s="65"/>
      <c r="B177" s="82" t="s">
        <v>47</v>
      </c>
      <c r="C177" s="83">
        <v>2835</v>
      </c>
      <c r="D177" s="66" t="s">
        <v>1220</v>
      </c>
    </row>
    <row r="178" spans="1:4" x14ac:dyDescent="0.25">
      <c r="A178" s="65"/>
      <c r="B178" s="82" t="s">
        <v>159</v>
      </c>
      <c r="C178" s="83">
        <v>1012</v>
      </c>
      <c r="D178" s="66" t="s">
        <v>1220</v>
      </c>
    </row>
    <row r="179" spans="1:4" x14ac:dyDescent="0.25">
      <c r="A179" s="65"/>
      <c r="B179" s="82" t="s">
        <v>197</v>
      </c>
      <c r="C179" s="83">
        <v>3885</v>
      </c>
      <c r="D179" s="66" t="s">
        <v>1220</v>
      </c>
    </row>
    <row r="180" spans="1:4" x14ac:dyDescent="0.25">
      <c r="A180" s="65"/>
      <c r="B180" s="82" t="s">
        <v>1106</v>
      </c>
      <c r="C180" s="83">
        <v>5425</v>
      </c>
      <c r="D180" s="66" t="s">
        <v>1220</v>
      </c>
    </row>
    <row r="181" spans="1:4" x14ac:dyDescent="0.25">
      <c r="A181" s="65"/>
      <c r="B181" s="82" t="s">
        <v>145</v>
      </c>
      <c r="C181" s="83">
        <v>3427</v>
      </c>
      <c r="D181" s="66" t="s">
        <v>1220</v>
      </c>
    </row>
    <row r="182" spans="1:4" x14ac:dyDescent="0.25">
      <c r="A182" s="65"/>
      <c r="B182" s="82" t="s">
        <v>1107</v>
      </c>
      <c r="C182" s="83">
        <v>8375</v>
      </c>
      <c r="D182" s="66" t="s">
        <v>1220</v>
      </c>
    </row>
    <row r="183" spans="1:4" ht="30" x14ac:dyDescent="0.25">
      <c r="A183" s="65"/>
      <c r="B183" s="82" t="s">
        <v>204</v>
      </c>
      <c r="C183" s="83">
        <v>8375</v>
      </c>
      <c r="D183" s="66" t="s">
        <v>1220</v>
      </c>
    </row>
    <row r="184" spans="1:4" x14ac:dyDescent="0.25">
      <c r="A184" s="65"/>
      <c r="B184" s="82" t="s">
        <v>1108</v>
      </c>
      <c r="C184" s="83">
        <v>8375</v>
      </c>
      <c r="D184" s="66" t="s">
        <v>1220</v>
      </c>
    </row>
    <row r="185" spans="1:4" x14ac:dyDescent="0.25">
      <c r="A185" s="65"/>
      <c r="B185" s="82" t="s">
        <v>1109</v>
      </c>
      <c r="C185" s="83">
        <v>8375</v>
      </c>
      <c r="D185" s="66" t="s">
        <v>1220</v>
      </c>
    </row>
    <row r="186" spans="1:4" x14ac:dyDescent="0.25">
      <c r="A186" s="65"/>
      <c r="B186" s="82" t="s">
        <v>393</v>
      </c>
      <c r="C186" s="83">
        <v>3150</v>
      </c>
      <c r="D186" s="66" t="s">
        <v>1220</v>
      </c>
    </row>
    <row r="187" spans="1:4" x14ac:dyDescent="0.25">
      <c r="A187" s="65"/>
      <c r="B187" s="82" t="s">
        <v>1110</v>
      </c>
      <c r="C187" s="83">
        <v>1836.25</v>
      </c>
      <c r="D187" s="66" t="s">
        <v>1220</v>
      </c>
    </row>
    <row r="188" spans="1:4" x14ac:dyDescent="0.25">
      <c r="A188" s="65"/>
      <c r="B188" s="82" t="s">
        <v>1111</v>
      </c>
      <c r="C188" s="83">
        <v>5521.9499999999971</v>
      </c>
      <c r="D188" s="66" t="s">
        <v>1220</v>
      </c>
    </row>
    <row r="189" spans="1:4" x14ac:dyDescent="0.25">
      <c r="A189" s="65"/>
      <c r="B189" s="82" t="s">
        <v>1112</v>
      </c>
      <c r="C189" s="83">
        <v>8942.3999999999942</v>
      </c>
      <c r="D189" s="66" t="s">
        <v>1220</v>
      </c>
    </row>
    <row r="190" spans="1:4" x14ac:dyDescent="0.25">
      <c r="A190" s="65"/>
      <c r="B190" s="82" t="s">
        <v>1113</v>
      </c>
      <c r="C190" s="83">
        <v>4410</v>
      </c>
      <c r="D190" s="66" t="s">
        <v>1220</v>
      </c>
    </row>
    <row r="191" spans="1:4" x14ac:dyDescent="0.25">
      <c r="A191" s="65"/>
      <c r="B191" s="82" t="s">
        <v>1114</v>
      </c>
      <c r="C191" s="83">
        <v>1837.5</v>
      </c>
      <c r="D191" s="66" t="s">
        <v>1220</v>
      </c>
    </row>
    <row r="192" spans="1:4" x14ac:dyDescent="0.25">
      <c r="A192" s="65"/>
      <c r="B192" s="82" t="s">
        <v>71</v>
      </c>
      <c r="C192" s="83">
        <v>1418.75</v>
      </c>
      <c r="D192" s="66" t="s">
        <v>1220</v>
      </c>
    </row>
    <row r="193" spans="1:4" x14ac:dyDescent="0.25">
      <c r="A193" s="65"/>
      <c r="B193" s="82" t="s">
        <v>1115</v>
      </c>
      <c r="C193" s="83">
        <v>1560.75</v>
      </c>
      <c r="D193" s="66" t="s">
        <v>1220</v>
      </c>
    </row>
    <row r="194" spans="1:4" x14ac:dyDescent="0.25">
      <c r="A194" s="65"/>
      <c r="B194" s="82" t="s">
        <v>113</v>
      </c>
      <c r="C194" s="83">
        <v>1771</v>
      </c>
      <c r="D194" s="66" t="s">
        <v>1220</v>
      </c>
    </row>
    <row r="195" spans="1:4" ht="30" x14ac:dyDescent="0.25">
      <c r="A195" s="65"/>
      <c r="B195" s="82" t="s">
        <v>1116</v>
      </c>
      <c r="C195" s="83">
        <v>2837.5</v>
      </c>
      <c r="D195" s="66" t="s">
        <v>1220</v>
      </c>
    </row>
    <row r="196" spans="1:4" x14ac:dyDescent="0.25">
      <c r="A196" s="65"/>
      <c r="B196" s="82" t="s">
        <v>1117</v>
      </c>
      <c r="C196" s="83">
        <v>1750</v>
      </c>
      <c r="D196" s="66" t="s">
        <v>1220</v>
      </c>
    </row>
    <row r="197" spans="1:4" x14ac:dyDescent="0.25">
      <c r="A197" s="65"/>
      <c r="B197" s="82" t="s">
        <v>1118</v>
      </c>
      <c r="C197" s="83">
        <v>1418.75</v>
      </c>
      <c r="D197" s="66" t="s">
        <v>1220</v>
      </c>
    </row>
    <row r="198" spans="1:4" x14ac:dyDescent="0.25">
      <c r="A198" s="65"/>
      <c r="B198" s="82" t="s">
        <v>154</v>
      </c>
      <c r="C198" s="83">
        <v>1010.75</v>
      </c>
      <c r="D198" s="66" t="s">
        <v>1220</v>
      </c>
    </row>
    <row r="199" spans="1:4" x14ac:dyDescent="0.25">
      <c r="A199" s="65"/>
      <c r="B199" s="82" t="s">
        <v>433</v>
      </c>
      <c r="C199" s="83">
        <v>2310</v>
      </c>
      <c r="D199" s="66" t="s">
        <v>1220</v>
      </c>
    </row>
    <row r="200" spans="1:4" x14ac:dyDescent="0.25">
      <c r="A200" s="65"/>
      <c r="B200" s="82" t="s">
        <v>1119</v>
      </c>
      <c r="C200" s="83">
        <v>1925</v>
      </c>
      <c r="D200" s="66" t="s">
        <v>1220</v>
      </c>
    </row>
    <row r="201" spans="1:4" x14ac:dyDescent="0.25">
      <c r="A201" s="65"/>
      <c r="B201" s="82" t="s">
        <v>330</v>
      </c>
      <c r="C201" s="83">
        <v>5292</v>
      </c>
      <c r="D201" s="66" t="s">
        <v>1220</v>
      </c>
    </row>
    <row r="202" spans="1:4" x14ac:dyDescent="0.25">
      <c r="A202" s="65"/>
      <c r="B202" s="82" t="s">
        <v>1120</v>
      </c>
      <c r="C202" s="83">
        <v>1750</v>
      </c>
      <c r="D202" s="66" t="s">
        <v>1220</v>
      </c>
    </row>
    <row r="203" spans="1:4" x14ac:dyDescent="0.25">
      <c r="A203" s="65"/>
      <c r="B203" s="82" t="s">
        <v>1121</v>
      </c>
      <c r="C203" s="83">
        <v>2783.75</v>
      </c>
      <c r="D203" s="66" t="s">
        <v>1220</v>
      </c>
    </row>
    <row r="204" spans="1:4" x14ac:dyDescent="0.25">
      <c r="A204" s="65"/>
      <c r="B204" s="82" t="s">
        <v>1122</v>
      </c>
      <c r="C204" s="83">
        <v>1837.5</v>
      </c>
      <c r="D204" s="66" t="s">
        <v>1220</v>
      </c>
    </row>
    <row r="205" spans="1:4" x14ac:dyDescent="0.25">
      <c r="A205" s="65"/>
      <c r="B205" s="82" t="s">
        <v>60</v>
      </c>
      <c r="C205" s="83">
        <v>2142.25</v>
      </c>
      <c r="D205" s="66" t="s">
        <v>1220</v>
      </c>
    </row>
    <row r="206" spans="1:4" x14ac:dyDescent="0.25">
      <c r="A206" s="65"/>
      <c r="B206" s="82" t="s">
        <v>1123</v>
      </c>
      <c r="C206" s="83">
        <v>4200</v>
      </c>
      <c r="D206" s="66" t="s">
        <v>1220</v>
      </c>
    </row>
    <row r="207" spans="1:4" ht="30" x14ac:dyDescent="0.25">
      <c r="A207" s="65"/>
      <c r="B207" s="82" t="s">
        <v>1124</v>
      </c>
      <c r="C207" s="83">
        <v>1418.75</v>
      </c>
      <c r="D207" s="66" t="s">
        <v>1220</v>
      </c>
    </row>
    <row r="208" spans="1:4" x14ac:dyDescent="0.25">
      <c r="A208" s="65"/>
      <c r="B208" s="82" t="s">
        <v>1125</v>
      </c>
      <c r="C208" s="83">
        <v>1418.75</v>
      </c>
      <c r="D208" s="66" t="s">
        <v>1220</v>
      </c>
    </row>
    <row r="209" spans="1:4" x14ac:dyDescent="0.25">
      <c r="A209" s="65"/>
      <c r="B209" s="82" t="s">
        <v>1126</v>
      </c>
      <c r="C209" s="83">
        <v>1443.75</v>
      </c>
      <c r="D209" s="66" t="s">
        <v>1220</v>
      </c>
    </row>
    <row r="210" spans="1:4" x14ac:dyDescent="0.25">
      <c r="A210" s="65"/>
      <c r="B210" s="82" t="s">
        <v>1127</v>
      </c>
      <c r="C210" s="83">
        <v>1418.75</v>
      </c>
      <c r="D210" s="66" t="s">
        <v>1220</v>
      </c>
    </row>
    <row r="211" spans="1:4" x14ac:dyDescent="0.25">
      <c r="A211" s="65"/>
      <c r="B211" s="82" t="s">
        <v>139</v>
      </c>
      <c r="C211" s="83">
        <v>787.5</v>
      </c>
      <c r="D211" s="66" t="s">
        <v>1220</v>
      </c>
    </row>
    <row r="212" spans="1:4" x14ac:dyDescent="0.25">
      <c r="A212" s="65"/>
      <c r="B212" s="82" t="s">
        <v>1128</v>
      </c>
      <c r="C212" s="83">
        <v>787.5</v>
      </c>
      <c r="D212" s="66" t="s">
        <v>1220</v>
      </c>
    </row>
    <row r="213" spans="1:4" ht="30" x14ac:dyDescent="0.25">
      <c r="A213" s="65"/>
      <c r="B213" s="82" t="s">
        <v>1129</v>
      </c>
      <c r="C213" s="83">
        <v>1000</v>
      </c>
      <c r="D213" s="66" t="s">
        <v>1220</v>
      </c>
    </row>
    <row r="214" spans="1:4" x14ac:dyDescent="0.25">
      <c r="A214" s="65"/>
      <c r="B214" s="82" t="s">
        <v>1130</v>
      </c>
      <c r="C214" s="83">
        <v>500</v>
      </c>
      <c r="D214" s="66" t="s">
        <v>1220</v>
      </c>
    </row>
    <row r="215" spans="1:4" x14ac:dyDescent="0.25">
      <c r="A215" s="65"/>
      <c r="B215" s="82" t="s">
        <v>1131</v>
      </c>
      <c r="C215" s="83">
        <v>1853</v>
      </c>
      <c r="D215" s="66" t="s">
        <v>1220</v>
      </c>
    </row>
    <row r="216" spans="1:4" x14ac:dyDescent="0.25">
      <c r="A216" s="65"/>
      <c r="B216" s="82" t="s">
        <v>1132</v>
      </c>
      <c r="C216" s="83">
        <v>2030.25</v>
      </c>
      <c r="D216" s="66" t="s">
        <v>1220</v>
      </c>
    </row>
    <row r="217" spans="1:4" x14ac:dyDescent="0.25">
      <c r="A217" s="65"/>
      <c r="B217" s="82" t="s">
        <v>1133</v>
      </c>
      <c r="C217" s="83">
        <v>1614.5</v>
      </c>
      <c r="D217" s="66" t="s">
        <v>1220</v>
      </c>
    </row>
    <row r="218" spans="1:4" x14ac:dyDescent="0.25">
      <c r="A218" s="65"/>
      <c r="B218" s="82" t="s">
        <v>468</v>
      </c>
      <c r="C218" s="83">
        <v>1378.25</v>
      </c>
      <c r="D218" s="66" t="s">
        <v>1220</v>
      </c>
    </row>
    <row r="219" spans="1:4" x14ac:dyDescent="0.25">
      <c r="A219" s="65"/>
      <c r="B219" s="82" t="s">
        <v>1134</v>
      </c>
      <c r="C219" s="83">
        <v>8087</v>
      </c>
      <c r="D219" s="66" t="s">
        <v>1220</v>
      </c>
    </row>
    <row r="220" spans="1:4" x14ac:dyDescent="0.25">
      <c r="A220" s="65"/>
      <c r="B220" s="82" t="s">
        <v>375</v>
      </c>
      <c r="C220" s="83">
        <v>5500</v>
      </c>
      <c r="D220" s="66" t="s">
        <v>1220</v>
      </c>
    </row>
    <row r="221" spans="1:4" x14ac:dyDescent="0.25">
      <c r="A221" s="65"/>
      <c r="B221" s="82" t="s">
        <v>1135</v>
      </c>
      <c r="C221" s="83">
        <v>7493.75</v>
      </c>
      <c r="D221" s="66" t="s">
        <v>1220</v>
      </c>
    </row>
    <row r="222" spans="1:4" x14ac:dyDescent="0.25">
      <c r="A222" s="65"/>
      <c r="B222" s="82" t="s">
        <v>365</v>
      </c>
      <c r="C222" s="83">
        <v>2467.5</v>
      </c>
      <c r="D222" s="66" t="s">
        <v>1220</v>
      </c>
    </row>
    <row r="223" spans="1:4" x14ac:dyDescent="0.25">
      <c r="A223" s="65"/>
      <c r="B223" s="82" t="s">
        <v>1136</v>
      </c>
      <c r="C223" s="83">
        <v>2420</v>
      </c>
      <c r="D223" s="66" t="s">
        <v>1220</v>
      </c>
    </row>
    <row r="224" spans="1:4" x14ac:dyDescent="0.25">
      <c r="A224" s="65"/>
      <c r="B224" s="82" t="s">
        <v>1137</v>
      </c>
      <c r="C224" s="83">
        <v>2687.5</v>
      </c>
      <c r="D224" s="66" t="s">
        <v>1220</v>
      </c>
    </row>
    <row r="225" spans="1:4" x14ac:dyDescent="0.25">
      <c r="A225" s="65"/>
      <c r="B225" s="82" t="s">
        <v>1138</v>
      </c>
      <c r="C225" s="83">
        <v>1000</v>
      </c>
      <c r="D225" s="66" t="s">
        <v>1220</v>
      </c>
    </row>
    <row r="226" spans="1:4" x14ac:dyDescent="0.25">
      <c r="A226" s="65"/>
      <c r="B226" s="82" t="s">
        <v>1139</v>
      </c>
      <c r="C226" s="83">
        <v>2310</v>
      </c>
      <c r="D226" s="66" t="s">
        <v>1220</v>
      </c>
    </row>
    <row r="227" spans="1:4" x14ac:dyDescent="0.25">
      <c r="A227" s="65"/>
      <c r="B227" s="82" t="s">
        <v>1140</v>
      </c>
      <c r="C227" s="83">
        <v>5183</v>
      </c>
      <c r="D227" s="66" t="s">
        <v>1220</v>
      </c>
    </row>
    <row r="228" spans="1:4" x14ac:dyDescent="0.25">
      <c r="A228" s="65"/>
      <c r="B228" s="82" t="s">
        <v>1141</v>
      </c>
      <c r="C228" s="83">
        <v>2677.25</v>
      </c>
      <c r="D228" s="66" t="s">
        <v>1220</v>
      </c>
    </row>
    <row r="229" spans="1:4" ht="30" x14ac:dyDescent="0.25">
      <c r="A229" s="65"/>
      <c r="B229" s="82" t="s">
        <v>1142</v>
      </c>
      <c r="C229" s="83">
        <v>3946</v>
      </c>
      <c r="D229" s="66" t="s">
        <v>1220</v>
      </c>
    </row>
    <row r="230" spans="1:4" x14ac:dyDescent="0.25">
      <c r="A230" s="65"/>
      <c r="B230" s="82" t="s">
        <v>1143</v>
      </c>
      <c r="C230" s="83">
        <v>13200</v>
      </c>
      <c r="D230" s="66" t="s">
        <v>1220</v>
      </c>
    </row>
    <row r="231" spans="1:4" x14ac:dyDescent="0.25">
      <c r="A231" s="65"/>
      <c r="B231" s="82" t="s">
        <v>1144</v>
      </c>
      <c r="C231" s="83">
        <v>1190.75</v>
      </c>
      <c r="D231" s="66" t="s">
        <v>1220</v>
      </c>
    </row>
    <row r="232" spans="1:4" x14ac:dyDescent="0.25">
      <c r="A232" s="65"/>
      <c r="B232" s="82" t="s">
        <v>614</v>
      </c>
      <c r="C232" s="83">
        <v>11000</v>
      </c>
      <c r="D232" s="66" t="s">
        <v>1220</v>
      </c>
    </row>
    <row r="233" spans="1:4" x14ac:dyDescent="0.25">
      <c r="A233" s="65"/>
      <c r="B233" s="82" t="s">
        <v>1145</v>
      </c>
      <c r="C233" s="83">
        <v>1522.5</v>
      </c>
      <c r="D233" s="66" t="s">
        <v>1220</v>
      </c>
    </row>
    <row r="234" spans="1:4" x14ac:dyDescent="0.25">
      <c r="A234" s="65"/>
      <c r="B234" s="82" t="s">
        <v>352</v>
      </c>
      <c r="C234" s="83">
        <v>1158.75</v>
      </c>
      <c r="D234" s="66" t="s">
        <v>1220</v>
      </c>
    </row>
    <row r="235" spans="1:4" x14ac:dyDescent="0.25">
      <c r="A235" s="65"/>
      <c r="B235" s="82" t="s">
        <v>423</v>
      </c>
      <c r="C235" s="83">
        <v>3300</v>
      </c>
      <c r="D235" s="66" t="s">
        <v>1220</v>
      </c>
    </row>
    <row r="236" spans="1:4" x14ac:dyDescent="0.25">
      <c r="A236" s="65"/>
      <c r="B236" s="82" t="s">
        <v>1146</v>
      </c>
      <c r="C236" s="83">
        <v>1338.75</v>
      </c>
      <c r="D236" s="66" t="s">
        <v>1220</v>
      </c>
    </row>
    <row r="237" spans="1:4" ht="30" x14ac:dyDescent="0.25">
      <c r="A237" s="65"/>
      <c r="B237" s="82" t="s">
        <v>1147</v>
      </c>
      <c r="C237" s="83">
        <v>1925</v>
      </c>
      <c r="D237" s="66" t="s">
        <v>1220</v>
      </c>
    </row>
    <row r="238" spans="1:4" x14ac:dyDescent="0.25">
      <c r="A238" s="65"/>
      <c r="B238" s="82" t="s">
        <v>174</v>
      </c>
      <c r="C238" s="83">
        <v>1560.75</v>
      </c>
      <c r="D238" s="66" t="s">
        <v>1220</v>
      </c>
    </row>
    <row r="239" spans="1:4" x14ac:dyDescent="0.25">
      <c r="A239" s="65"/>
      <c r="B239" s="82" t="s">
        <v>536</v>
      </c>
      <c r="C239" s="83">
        <v>5209.5</v>
      </c>
      <c r="D239" s="66" t="s">
        <v>1220</v>
      </c>
    </row>
    <row r="240" spans="1:4" x14ac:dyDescent="0.25">
      <c r="A240" s="65"/>
      <c r="B240" s="82" t="s">
        <v>1148</v>
      </c>
      <c r="C240" s="83">
        <v>7150</v>
      </c>
      <c r="D240" s="66" t="s">
        <v>1220</v>
      </c>
    </row>
    <row r="241" spans="1:4" x14ac:dyDescent="0.25">
      <c r="A241" s="65"/>
      <c r="B241" s="82" t="s">
        <v>305</v>
      </c>
      <c r="C241" s="83">
        <v>1998.75</v>
      </c>
      <c r="D241" s="66" t="s">
        <v>1220</v>
      </c>
    </row>
    <row r="242" spans="1:4" x14ac:dyDescent="0.25">
      <c r="A242" s="65"/>
      <c r="B242" s="82" t="s">
        <v>1149</v>
      </c>
      <c r="C242" s="83">
        <v>1620</v>
      </c>
      <c r="D242" s="66" t="s">
        <v>1220</v>
      </c>
    </row>
    <row r="243" spans="1:4" x14ac:dyDescent="0.25">
      <c r="A243" s="65"/>
      <c r="B243" s="82" t="s">
        <v>476</v>
      </c>
      <c r="C243" s="83">
        <v>3675</v>
      </c>
      <c r="D243" s="66" t="s">
        <v>1220</v>
      </c>
    </row>
    <row r="244" spans="1:4" x14ac:dyDescent="0.25">
      <c r="A244" s="65"/>
      <c r="B244" s="82" t="s">
        <v>447</v>
      </c>
      <c r="C244" s="83">
        <v>2837.5</v>
      </c>
      <c r="D244" s="66" t="s">
        <v>1220</v>
      </c>
    </row>
    <row r="245" spans="1:4" x14ac:dyDescent="0.25">
      <c r="A245" s="65"/>
      <c r="B245" s="82" t="s">
        <v>263</v>
      </c>
      <c r="C245" s="83">
        <v>1875</v>
      </c>
      <c r="D245" s="66" t="s">
        <v>1220</v>
      </c>
    </row>
    <row r="246" spans="1:4" x14ac:dyDescent="0.25">
      <c r="A246" s="65"/>
      <c r="B246" s="82" t="s">
        <v>1150</v>
      </c>
      <c r="C246" s="83">
        <v>5031.25</v>
      </c>
      <c r="D246" s="66" t="s">
        <v>1220</v>
      </c>
    </row>
    <row r="247" spans="1:4" x14ac:dyDescent="0.25">
      <c r="A247" s="65"/>
      <c r="B247" s="82" t="s">
        <v>338</v>
      </c>
      <c r="C247" s="83">
        <v>2366.5</v>
      </c>
      <c r="D247" s="66" t="s">
        <v>1220</v>
      </c>
    </row>
    <row r="248" spans="1:4" x14ac:dyDescent="0.25">
      <c r="A248" s="65"/>
      <c r="B248" s="82" t="s">
        <v>206</v>
      </c>
      <c r="C248" s="83">
        <v>3990</v>
      </c>
      <c r="D248" s="66" t="s">
        <v>1220</v>
      </c>
    </row>
    <row r="249" spans="1:4" x14ac:dyDescent="0.25">
      <c r="A249" s="65"/>
      <c r="B249" s="82" t="s">
        <v>1151</v>
      </c>
      <c r="C249" s="83">
        <v>3364.6499999999942</v>
      </c>
      <c r="D249" s="66" t="s">
        <v>1220</v>
      </c>
    </row>
    <row r="250" spans="1:4" x14ac:dyDescent="0.25">
      <c r="A250" s="65"/>
      <c r="B250" s="82" t="s">
        <v>1152</v>
      </c>
      <c r="C250" s="83">
        <v>4838</v>
      </c>
      <c r="D250" s="66" t="s">
        <v>1220</v>
      </c>
    </row>
    <row r="251" spans="1:4" x14ac:dyDescent="0.25">
      <c r="A251" s="65"/>
      <c r="B251" s="82" t="s">
        <v>1153</v>
      </c>
      <c r="C251" s="83">
        <v>1984.5</v>
      </c>
      <c r="D251" s="66" t="s">
        <v>1220</v>
      </c>
    </row>
    <row r="252" spans="1:4" ht="30" x14ac:dyDescent="0.25">
      <c r="A252" s="65"/>
      <c r="B252" s="82" t="s">
        <v>372</v>
      </c>
      <c r="C252" s="83">
        <v>1418.75</v>
      </c>
      <c r="D252" s="66" t="s">
        <v>1220</v>
      </c>
    </row>
    <row r="253" spans="1:4" x14ac:dyDescent="0.25">
      <c r="A253" s="65"/>
      <c r="B253" s="82" t="s">
        <v>1154</v>
      </c>
      <c r="C253" s="83">
        <v>1502.25</v>
      </c>
      <c r="D253" s="66" t="s">
        <v>1220</v>
      </c>
    </row>
    <row r="254" spans="1:4" x14ac:dyDescent="0.25">
      <c r="A254" s="65"/>
      <c r="B254" s="82" t="s">
        <v>1155</v>
      </c>
      <c r="C254" s="83">
        <v>1207.5</v>
      </c>
      <c r="D254" s="66" t="s">
        <v>1220</v>
      </c>
    </row>
    <row r="255" spans="1:4" x14ac:dyDescent="0.25">
      <c r="A255" s="65"/>
      <c r="B255" s="82" t="s">
        <v>1156</v>
      </c>
      <c r="C255" s="83">
        <v>1000</v>
      </c>
      <c r="D255" s="66" t="s">
        <v>1220</v>
      </c>
    </row>
    <row r="256" spans="1:4" x14ac:dyDescent="0.25">
      <c r="A256" s="65"/>
      <c r="B256" s="82" t="s">
        <v>463</v>
      </c>
      <c r="C256" s="83">
        <v>1557.75</v>
      </c>
      <c r="D256" s="66" t="s">
        <v>1220</v>
      </c>
    </row>
    <row r="257" spans="1:4" x14ac:dyDescent="0.25">
      <c r="A257" s="65"/>
      <c r="B257" s="82" t="s">
        <v>1157</v>
      </c>
      <c r="C257" s="83">
        <v>1000</v>
      </c>
      <c r="D257" s="66" t="s">
        <v>1220</v>
      </c>
    </row>
    <row r="258" spans="1:4" x14ac:dyDescent="0.25">
      <c r="A258" s="65"/>
      <c r="B258" s="82" t="s">
        <v>123</v>
      </c>
      <c r="C258" s="83">
        <v>4890.5</v>
      </c>
      <c r="D258" s="66" t="s">
        <v>1220</v>
      </c>
    </row>
    <row r="259" spans="1:4" x14ac:dyDescent="0.25">
      <c r="A259" s="65"/>
      <c r="B259" s="82" t="s">
        <v>1158</v>
      </c>
      <c r="C259" s="83">
        <v>2058</v>
      </c>
      <c r="D259" s="66" t="s">
        <v>1220</v>
      </c>
    </row>
    <row r="260" spans="1:4" x14ac:dyDescent="0.25">
      <c r="A260" s="65"/>
      <c r="B260" s="82" t="s">
        <v>360</v>
      </c>
      <c r="C260" s="83">
        <v>2849</v>
      </c>
      <c r="D260" s="66" t="s">
        <v>1220</v>
      </c>
    </row>
    <row r="261" spans="1:4" x14ac:dyDescent="0.25">
      <c r="A261" s="65"/>
      <c r="B261" s="82" t="s">
        <v>1159</v>
      </c>
      <c r="C261" s="83">
        <v>1575</v>
      </c>
      <c r="D261" s="66" t="s">
        <v>1220</v>
      </c>
    </row>
    <row r="262" spans="1:4" x14ac:dyDescent="0.25">
      <c r="A262" s="65"/>
      <c r="B262" s="82" t="s">
        <v>1160</v>
      </c>
      <c r="C262" s="83">
        <v>1575</v>
      </c>
      <c r="D262" s="66" t="s">
        <v>1220</v>
      </c>
    </row>
    <row r="263" spans="1:4" x14ac:dyDescent="0.25">
      <c r="A263" s="65"/>
      <c r="B263" s="82" t="s">
        <v>435</v>
      </c>
      <c r="C263" s="83">
        <v>1837.5</v>
      </c>
      <c r="D263" s="66" t="s">
        <v>1220</v>
      </c>
    </row>
    <row r="264" spans="1:4" x14ac:dyDescent="0.25">
      <c r="A264" s="65"/>
      <c r="B264" s="82" t="s">
        <v>1161</v>
      </c>
      <c r="C264" s="83">
        <v>1890</v>
      </c>
      <c r="D264" s="66" t="s">
        <v>1220</v>
      </c>
    </row>
    <row r="265" spans="1:4" x14ac:dyDescent="0.25">
      <c r="A265" s="65"/>
      <c r="B265" s="82" t="s">
        <v>1162</v>
      </c>
      <c r="C265" s="83">
        <v>3675</v>
      </c>
      <c r="D265" s="66" t="s">
        <v>1220</v>
      </c>
    </row>
    <row r="266" spans="1:4" x14ac:dyDescent="0.25">
      <c r="A266" s="65"/>
      <c r="B266" s="82" t="s">
        <v>1163</v>
      </c>
      <c r="C266" s="83">
        <v>1706.25</v>
      </c>
      <c r="D266" s="66" t="s">
        <v>1220</v>
      </c>
    </row>
    <row r="267" spans="1:4" x14ac:dyDescent="0.25">
      <c r="A267" s="65"/>
      <c r="B267" s="82" t="s">
        <v>1164</v>
      </c>
      <c r="C267" s="83">
        <v>1995</v>
      </c>
      <c r="D267" s="66" t="s">
        <v>1220</v>
      </c>
    </row>
    <row r="268" spans="1:4" x14ac:dyDescent="0.25">
      <c r="A268" s="65"/>
      <c r="B268" s="82" t="s">
        <v>563</v>
      </c>
      <c r="C268" s="83">
        <v>3314.25</v>
      </c>
      <c r="D268" s="66" t="s">
        <v>1220</v>
      </c>
    </row>
    <row r="269" spans="1:4" x14ac:dyDescent="0.25">
      <c r="A269" s="65"/>
      <c r="B269" s="82" t="s">
        <v>1165</v>
      </c>
      <c r="C269" s="83">
        <v>1797</v>
      </c>
      <c r="D269" s="66" t="s">
        <v>1220</v>
      </c>
    </row>
    <row r="270" spans="1:4" x14ac:dyDescent="0.25">
      <c r="A270" s="65"/>
      <c r="B270" s="82" t="s">
        <v>1166</v>
      </c>
      <c r="C270" s="83">
        <v>1000</v>
      </c>
      <c r="D270" s="66" t="s">
        <v>1220</v>
      </c>
    </row>
    <row r="271" spans="1:4" x14ac:dyDescent="0.25">
      <c r="A271" s="65"/>
      <c r="B271" s="82" t="s">
        <v>616</v>
      </c>
      <c r="C271" s="83">
        <v>4500</v>
      </c>
      <c r="D271" s="66" t="s">
        <v>1220</v>
      </c>
    </row>
    <row r="272" spans="1:4" ht="30" x14ac:dyDescent="0.25">
      <c r="A272" s="65"/>
      <c r="B272" s="82" t="s">
        <v>1167</v>
      </c>
      <c r="C272" s="83">
        <v>2808</v>
      </c>
      <c r="D272" s="66" t="s">
        <v>1220</v>
      </c>
    </row>
    <row r="273" spans="1:4" x14ac:dyDescent="0.25">
      <c r="A273" s="65"/>
      <c r="B273" s="82" t="s">
        <v>137</v>
      </c>
      <c r="C273" s="83">
        <v>3681.25</v>
      </c>
      <c r="D273" s="66" t="s">
        <v>1220</v>
      </c>
    </row>
    <row r="274" spans="1:4" ht="30" x14ac:dyDescent="0.25">
      <c r="A274" s="65"/>
      <c r="B274" s="82" t="s">
        <v>1168</v>
      </c>
      <c r="C274" s="83">
        <v>1750</v>
      </c>
      <c r="D274" s="66" t="s">
        <v>1220</v>
      </c>
    </row>
    <row r="275" spans="1:4" x14ac:dyDescent="0.25">
      <c r="A275" s="65"/>
      <c r="B275" s="82" t="s">
        <v>1169</v>
      </c>
      <c r="C275" s="83">
        <v>6125</v>
      </c>
      <c r="D275" s="66" t="s">
        <v>1220</v>
      </c>
    </row>
    <row r="276" spans="1:4" x14ac:dyDescent="0.25">
      <c r="A276" s="65"/>
      <c r="B276" s="82" t="s">
        <v>185</v>
      </c>
      <c r="C276" s="83">
        <v>5616</v>
      </c>
      <c r="D276" s="66" t="s">
        <v>1220</v>
      </c>
    </row>
    <row r="277" spans="1:4" x14ac:dyDescent="0.25">
      <c r="A277" s="65"/>
      <c r="B277" s="82" t="s">
        <v>1170</v>
      </c>
      <c r="C277" s="83">
        <v>9000</v>
      </c>
      <c r="D277" s="66" t="s">
        <v>1220</v>
      </c>
    </row>
    <row r="278" spans="1:4" x14ac:dyDescent="0.25">
      <c r="A278" s="65"/>
      <c r="B278" s="82" t="s">
        <v>1171</v>
      </c>
      <c r="C278" s="83">
        <v>1837.5</v>
      </c>
      <c r="D278" s="66" t="s">
        <v>1220</v>
      </c>
    </row>
    <row r="279" spans="1:4" x14ac:dyDescent="0.25">
      <c r="A279" s="65"/>
      <c r="B279" s="82" t="s">
        <v>440</v>
      </c>
      <c r="C279" s="83">
        <v>3335</v>
      </c>
      <c r="D279" s="66" t="s">
        <v>1220</v>
      </c>
    </row>
    <row r="280" spans="1:4" x14ac:dyDescent="0.25">
      <c r="A280" s="65"/>
      <c r="B280" s="82" t="s">
        <v>293</v>
      </c>
      <c r="C280" s="83">
        <v>2493.75</v>
      </c>
      <c r="D280" s="66" t="s">
        <v>1220</v>
      </c>
    </row>
    <row r="281" spans="1:4" x14ac:dyDescent="0.25">
      <c r="A281" s="65"/>
      <c r="B281" s="82" t="s">
        <v>478</v>
      </c>
      <c r="C281" s="83">
        <v>1102.5</v>
      </c>
      <c r="D281" s="66" t="s">
        <v>1220</v>
      </c>
    </row>
    <row r="282" spans="1:4" x14ac:dyDescent="0.25">
      <c r="A282" s="65"/>
      <c r="B282" s="82" t="s">
        <v>431</v>
      </c>
      <c r="C282" s="83">
        <v>4084.5</v>
      </c>
      <c r="D282" s="66" t="s">
        <v>1220</v>
      </c>
    </row>
    <row r="283" spans="1:4" x14ac:dyDescent="0.25">
      <c r="A283" s="65"/>
      <c r="B283" s="82" t="s">
        <v>1172</v>
      </c>
      <c r="C283" s="83">
        <v>1000</v>
      </c>
      <c r="D283" s="66" t="s">
        <v>1220</v>
      </c>
    </row>
    <row r="284" spans="1:4" x14ac:dyDescent="0.25">
      <c r="A284" s="65"/>
      <c r="B284" s="82" t="s">
        <v>1173</v>
      </c>
      <c r="C284" s="83">
        <v>4200</v>
      </c>
      <c r="D284" s="66" t="s">
        <v>1220</v>
      </c>
    </row>
    <row r="285" spans="1:4" x14ac:dyDescent="0.25">
      <c r="A285" s="65"/>
      <c r="B285" s="82" t="s">
        <v>1174</v>
      </c>
      <c r="C285" s="83">
        <v>15750</v>
      </c>
      <c r="D285" s="66" t="s">
        <v>1220</v>
      </c>
    </row>
    <row r="286" spans="1:4" x14ac:dyDescent="0.25">
      <c r="A286" s="65"/>
      <c r="B286" s="82" t="s">
        <v>411</v>
      </c>
      <c r="C286" s="83">
        <v>2480.75</v>
      </c>
      <c r="D286" s="66" t="s">
        <v>1220</v>
      </c>
    </row>
    <row r="287" spans="1:4" x14ac:dyDescent="0.25">
      <c r="A287" s="65"/>
      <c r="B287" s="82" t="s">
        <v>429</v>
      </c>
      <c r="C287" s="83">
        <v>2310</v>
      </c>
      <c r="D287" s="66" t="s">
        <v>1220</v>
      </c>
    </row>
    <row r="288" spans="1:4" x14ac:dyDescent="0.25">
      <c r="A288" s="65"/>
      <c r="B288" s="82" t="s">
        <v>1175</v>
      </c>
      <c r="C288" s="83">
        <v>4600</v>
      </c>
      <c r="D288" s="66" t="s">
        <v>1220</v>
      </c>
    </row>
    <row r="289" spans="1:4" x14ac:dyDescent="0.25">
      <c r="A289" s="65"/>
      <c r="B289" s="82" t="s">
        <v>1176</v>
      </c>
      <c r="C289" s="83">
        <v>2300</v>
      </c>
      <c r="D289" s="66" t="s">
        <v>1220</v>
      </c>
    </row>
    <row r="290" spans="1:4" x14ac:dyDescent="0.25">
      <c r="A290" s="65"/>
      <c r="B290" s="82" t="s">
        <v>1177</v>
      </c>
      <c r="C290" s="83">
        <v>945</v>
      </c>
      <c r="D290" s="66" t="s">
        <v>1220</v>
      </c>
    </row>
    <row r="291" spans="1:4" x14ac:dyDescent="0.25">
      <c r="A291" s="65"/>
      <c r="B291" s="82" t="s">
        <v>444</v>
      </c>
      <c r="C291" s="83">
        <v>4410</v>
      </c>
      <c r="D291" s="66" t="s">
        <v>1220</v>
      </c>
    </row>
    <row r="292" spans="1:4" x14ac:dyDescent="0.25">
      <c r="A292" s="65"/>
      <c r="B292" s="82" t="s">
        <v>1178</v>
      </c>
      <c r="C292" s="83">
        <v>1617</v>
      </c>
      <c r="D292" s="66" t="s">
        <v>1220</v>
      </c>
    </row>
    <row r="293" spans="1:4" x14ac:dyDescent="0.25">
      <c r="A293" s="70"/>
      <c r="B293" s="69"/>
      <c r="C293" s="69"/>
      <c r="D293" s="70"/>
    </row>
    <row r="294" spans="1:4" x14ac:dyDescent="0.25">
      <c r="A294" s="70"/>
      <c r="B294" s="69"/>
      <c r="C294" s="69"/>
      <c r="D294" s="70"/>
    </row>
    <row r="295" spans="1:4" x14ac:dyDescent="0.25">
      <c r="A295" s="70"/>
      <c r="B295" s="69"/>
      <c r="C295" s="69"/>
      <c r="D295" s="70"/>
    </row>
    <row r="296" spans="1:4" x14ac:dyDescent="0.25">
      <c r="A296" s="70"/>
      <c r="B296" s="69"/>
      <c r="C296" s="69"/>
      <c r="D296" s="70"/>
    </row>
    <row r="297" spans="1:4" x14ac:dyDescent="0.25">
      <c r="A297" s="70"/>
      <c r="B297" s="69"/>
      <c r="C297" s="69"/>
      <c r="D297" s="70"/>
    </row>
    <row r="298" spans="1:4" x14ac:dyDescent="0.25">
      <c r="A298" s="70"/>
      <c r="B298" s="69"/>
      <c r="C298" s="69"/>
      <c r="D298" s="70"/>
    </row>
    <row r="299" spans="1:4" x14ac:dyDescent="0.25">
      <c r="A299" s="70"/>
      <c r="B299" s="69"/>
      <c r="C299" s="69"/>
      <c r="D299" s="70"/>
    </row>
    <row r="300" spans="1:4" x14ac:dyDescent="0.25">
      <c r="A300" s="70"/>
      <c r="B300" s="69"/>
      <c r="C300" s="69"/>
      <c r="D300" s="70"/>
    </row>
    <row r="301" spans="1:4" x14ac:dyDescent="0.25">
      <c r="A301" s="70"/>
      <c r="B301" s="69"/>
      <c r="C301" s="69"/>
      <c r="D301" s="70"/>
    </row>
    <row r="302" spans="1:4" ht="15.75" thickBot="1" x14ac:dyDescent="0.3">
      <c r="B302" s="62" t="s">
        <v>622</v>
      </c>
      <c r="C302" s="62">
        <f>SUM(C38:C301)</f>
        <v>1292681.5333333334</v>
      </c>
    </row>
    <row r="303" spans="1:4" ht="15.75" thickTop="1" x14ac:dyDescent="0.25"/>
    <row r="305" spans="1:2" x14ac:dyDescent="0.25">
      <c r="A305" s="73" t="s">
        <v>980</v>
      </c>
      <c r="B305" s="57">
        <f>C1+C17-C33+C302</f>
        <v>15329338.206500001</v>
      </c>
    </row>
    <row r="308" spans="1:2" x14ac:dyDescent="0.25">
      <c r="A308" s="74" t="s">
        <v>981</v>
      </c>
      <c r="B308" s="56">
        <f>B305-Payroll!U316</f>
        <v>15241618.206500001</v>
      </c>
    </row>
  </sheetData>
  <mergeCells count="5">
    <mergeCell ref="A1:B1"/>
    <mergeCell ref="A3:B3"/>
    <mergeCell ref="A36:B36"/>
    <mergeCell ref="A20:B20"/>
    <mergeCell ref="A5:B5"/>
  </mergeCells>
  <conditionalFormatting sqref="B1:B1048576">
    <cfRule type="duplicateValues" dxfId="0" priority="1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Payroll</vt:lpstr>
      <vt:lpstr>Variation</vt:lpstr>
      <vt:lpstr>Prior to current month report</vt:lpstr>
      <vt:lpstr>Payroll!Print_Titles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Hiba Hassan Sleiman</dc:creator>
  <cp:keywords/>
  <dc:description/>
  <cp:lastModifiedBy>Hany Abdelaal</cp:lastModifiedBy>
  <cp:revision/>
  <cp:lastPrinted>2025-10-28T06:09:20Z</cp:lastPrinted>
  <dcterms:created xsi:type="dcterms:W3CDTF">2019-04-25T06:03:29Z</dcterms:created>
  <dcterms:modified xsi:type="dcterms:W3CDTF">2025-11-21T06:21:07Z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