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mtgovae-my.sharepoint.com/personal/hany_abdelaal_adpic_gov_ae/Documents/Documents/"/>
    </mc:Choice>
  </mc:AlternateContent>
  <xr:revisionPtr revIDLastSave="0" documentId="8_{9D9843D7-B5C8-427B-AF90-A2D70590118A}" xr6:coauthVersionLast="47" xr6:coauthVersionMax="47" xr10:uidLastSave="{00000000-0000-0000-0000-000000000000}"/>
  <bookViews>
    <workbookView xWindow="28680" yWindow="-120" windowWidth="29040" windowHeight="15720" activeTab="1" xr2:uid="{5E5396D8-02C7-4908-95CD-2B872CA86471}"/>
  </bookViews>
  <sheets>
    <sheet name="Direct" sheetId="1" r:id="rId1"/>
    <sheet name="Outsource" sheetId="2" r:id="rId2"/>
  </sheets>
  <definedNames>
    <definedName name="_xlnm._FilterDatabase" localSheetId="0" hidden="1">Direct!$C$1:$AA$281</definedName>
    <definedName name="_xlnm._FilterDatabase" localSheetId="1" hidden="1">Outsource!$C$1:$P$213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M30" i="2"/>
  <c r="N30" i="2"/>
  <c r="M31" i="2"/>
  <c r="N31" i="2"/>
  <c r="M32" i="2"/>
  <c r="N32" i="2"/>
  <c r="M33" i="2"/>
  <c r="N33" i="2"/>
  <c r="M34" i="2"/>
  <c r="N34" i="2"/>
  <c r="M35" i="2"/>
  <c r="N35" i="2"/>
  <c r="M36" i="2"/>
  <c r="N36" i="2"/>
  <c r="M37" i="2"/>
  <c r="N37" i="2"/>
  <c r="M38" i="2"/>
  <c r="N38" i="2"/>
  <c r="M39" i="2"/>
  <c r="N39" i="2"/>
  <c r="M40" i="2"/>
  <c r="N40" i="2"/>
  <c r="M41" i="2"/>
  <c r="N41" i="2"/>
  <c r="M42" i="2"/>
  <c r="N42" i="2"/>
  <c r="M43" i="2"/>
  <c r="N43" i="2"/>
  <c r="M44" i="2"/>
  <c r="N44" i="2"/>
  <c r="M45" i="2"/>
  <c r="N45" i="2"/>
  <c r="M46" i="2"/>
  <c r="N46" i="2"/>
  <c r="M47" i="2"/>
  <c r="N47" i="2"/>
  <c r="M48" i="2"/>
  <c r="N48" i="2"/>
  <c r="M49" i="2"/>
  <c r="N49" i="2"/>
  <c r="M50" i="2"/>
  <c r="N50" i="2"/>
  <c r="M51" i="2"/>
  <c r="N51" i="2"/>
  <c r="M52" i="2"/>
  <c r="N52" i="2"/>
  <c r="M53" i="2"/>
  <c r="N53" i="2"/>
  <c r="M54" i="2"/>
  <c r="N54" i="2"/>
  <c r="M55" i="2"/>
  <c r="N55" i="2"/>
  <c r="M56" i="2"/>
  <c r="N56" i="2"/>
  <c r="M57" i="2"/>
  <c r="N57" i="2"/>
  <c r="M58" i="2"/>
  <c r="N58" i="2"/>
  <c r="M59" i="2"/>
  <c r="N59" i="2"/>
  <c r="M60" i="2"/>
  <c r="N60" i="2"/>
  <c r="M61" i="2"/>
  <c r="N61" i="2"/>
  <c r="M62" i="2"/>
  <c r="N62" i="2"/>
  <c r="M63" i="2"/>
  <c r="N63" i="2"/>
  <c r="M64" i="2"/>
  <c r="N64" i="2"/>
  <c r="M65" i="2"/>
  <c r="N65" i="2"/>
  <c r="M66" i="2"/>
  <c r="N66" i="2"/>
  <c r="M67" i="2"/>
  <c r="N67" i="2"/>
  <c r="M68" i="2"/>
  <c r="N68" i="2"/>
  <c r="M69" i="2"/>
  <c r="N69" i="2"/>
  <c r="M70" i="2"/>
  <c r="N70" i="2"/>
  <c r="M71" i="2"/>
  <c r="N71" i="2"/>
  <c r="M72" i="2"/>
  <c r="N72" i="2"/>
  <c r="M73" i="2"/>
  <c r="N73" i="2"/>
  <c r="M74" i="2"/>
  <c r="N74" i="2"/>
  <c r="M75" i="2"/>
  <c r="N75" i="2"/>
  <c r="M76" i="2"/>
  <c r="N76" i="2"/>
  <c r="M77" i="2"/>
  <c r="N77" i="2"/>
  <c r="M78" i="2"/>
  <c r="N78" i="2"/>
  <c r="M79" i="2"/>
  <c r="N79" i="2"/>
  <c r="M80" i="2"/>
  <c r="N80" i="2"/>
  <c r="M81" i="2"/>
  <c r="N81" i="2"/>
  <c r="M82" i="2"/>
  <c r="N82" i="2"/>
  <c r="M83" i="2"/>
  <c r="N83" i="2"/>
  <c r="M84" i="2"/>
  <c r="N84" i="2"/>
  <c r="M85" i="2"/>
  <c r="N85" i="2"/>
  <c r="M86" i="2"/>
  <c r="N86" i="2"/>
  <c r="M87" i="2"/>
  <c r="N87" i="2"/>
  <c r="M88" i="2"/>
  <c r="N88" i="2"/>
  <c r="M89" i="2"/>
  <c r="N89" i="2"/>
  <c r="M90" i="2"/>
  <c r="N90" i="2"/>
  <c r="M91" i="2"/>
  <c r="N91" i="2"/>
  <c r="M92" i="2"/>
  <c r="N92" i="2"/>
  <c r="M93" i="2"/>
  <c r="N93" i="2"/>
  <c r="M94" i="2"/>
  <c r="N94" i="2"/>
  <c r="M95" i="2"/>
  <c r="N95" i="2"/>
  <c r="M96" i="2"/>
  <c r="N96" i="2"/>
  <c r="M97" i="2"/>
  <c r="N97" i="2"/>
  <c r="M98" i="2"/>
  <c r="N98" i="2"/>
  <c r="M99" i="2"/>
  <c r="N99" i="2"/>
  <c r="M100" i="2"/>
  <c r="N100" i="2"/>
  <c r="M101" i="2"/>
  <c r="N101" i="2"/>
  <c r="M102" i="2"/>
  <c r="N102" i="2"/>
  <c r="M103" i="2"/>
  <c r="N103" i="2"/>
  <c r="M104" i="2"/>
  <c r="N104" i="2"/>
  <c r="M105" i="2"/>
  <c r="N105" i="2"/>
  <c r="M106" i="2"/>
  <c r="N106" i="2"/>
  <c r="M107" i="2"/>
  <c r="N107" i="2"/>
  <c r="M108" i="2"/>
  <c r="N108" i="2"/>
  <c r="M109" i="2"/>
  <c r="N109" i="2"/>
  <c r="M110" i="2"/>
  <c r="N110" i="2"/>
  <c r="M111" i="2"/>
  <c r="N111" i="2"/>
  <c r="M112" i="2"/>
  <c r="N112" i="2"/>
  <c r="M113" i="2"/>
  <c r="N113" i="2"/>
  <c r="M114" i="2"/>
  <c r="N114" i="2"/>
  <c r="M115" i="2"/>
  <c r="N115" i="2"/>
  <c r="M116" i="2"/>
  <c r="N116" i="2"/>
  <c r="M117" i="2"/>
  <c r="N117" i="2"/>
  <c r="M118" i="2"/>
  <c r="N118" i="2"/>
  <c r="M119" i="2"/>
  <c r="N119" i="2"/>
  <c r="M120" i="2"/>
  <c r="N120" i="2"/>
  <c r="M121" i="2"/>
  <c r="N121" i="2"/>
  <c r="M122" i="2"/>
  <c r="N122" i="2"/>
  <c r="M123" i="2"/>
  <c r="N123" i="2"/>
  <c r="M124" i="2"/>
  <c r="N124" i="2"/>
  <c r="M125" i="2"/>
  <c r="N125" i="2"/>
  <c r="M126" i="2"/>
  <c r="N126" i="2"/>
  <c r="M127" i="2"/>
  <c r="N127" i="2"/>
  <c r="M128" i="2"/>
  <c r="N128" i="2"/>
  <c r="M129" i="2"/>
  <c r="N129" i="2"/>
  <c r="M130" i="2"/>
  <c r="N130" i="2"/>
  <c r="M131" i="2"/>
  <c r="N131" i="2"/>
  <c r="M132" i="2"/>
  <c r="N132" i="2"/>
  <c r="M133" i="2"/>
  <c r="N133" i="2"/>
  <c r="M134" i="2"/>
  <c r="N134" i="2"/>
  <c r="M135" i="2"/>
  <c r="N135" i="2"/>
  <c r="M136" i="2"/>
  <c r="N136" i="2"/>
  <c r="M137" i="2"/>
  <c r="N137" i="2"/>
  <c r="M138" i="2"/>
  <c r="N138" i="2"/>
  <c r="M139" i="2"/>
  <c r="N139" i="2"/>
  <c r="M140" i="2"/>
  <c r="N140" i="2"/>
  <c r="M141" i="2"/>
  <c r="N141" i="2"/>
  <c r="M142" i="2"/>
  <c r="N142" i="2"/>
  <c r="M143" i="2"/>
  <c r="N143" i="2"/>
  <c r="M144" i="2"/>
  <c r="N144" i="2"/>
  <c r="M145" i="2"/>
  <c r="N145" i="2"/>
  <c r="M146" i="2"/>
  <c r="N146" i="2"/>
  <c r="M147" i="2"/>
  <c r="N147" i="2"/>
  <c r="M148" i="2"/>
  <c r="N148" i="2"/>
  <c r="M149" i="2"/>
  <c r="N149" i="2"/>
  <c r="M150" i="2"/>
  <c r="N150" i="2"/>
  <c r="M151" i="2"/>
  <c r="N151" i="2"/>
  <c r="M152" i="2"/>
  <c r="N152" i="2"/>
  <c r="M153" i="2"/>
  <c r="N153" i="2"/>
  <c r="M154" i="2"/>
  <c r="N154" i="2"/>
  <c r="M155" i="2"/>
  <c r="N155" i="2"/>
  <c r="M156" i="2"/>
  <c r="N156" i="2"/>
  <c r="M157" i="2"/>
  <c r="N157" i="2"/>
  <c r="M158" i="2"/>
  <c r="N158" i="2"/>
  <c r="M159" i="2"/>
  <c r="N159" i="2"/>
  <c r="M160" i="2"/>
  <c r="N160" i="2"/>
  <c r="M161" i="2"/>
  <c r="N161" i="2"/>
  <c r="M162" i="2"/>
  <c r="N162" i="2"/>
  <c r="M163" i="2"/>
  <c r="N163" i="2"/>
  <c r="M164" i="2"/>
  <c r="N164" i="2"/>
  <c r="M165" i="2"/>
  <c r="N165" i="2"/>
  <c r="M166" i="2"/>
  <c r="N166" i="2"/>
  <c r="M167" i="2"/>
  <c r="N167" i="2"/>
  <c r="M168" i="2"/>
  <c r="N168" i="2"/>
  <c r="M169" i="2"/>
  <c r="N169" i="2"/>
  <c r="M170" i="2"/>
  <c r="N170" i="2"/>
  <c r="M171" i="2"/>
  <c r="N171" i="2"/>
  <c r="M172" i="2"/>
  <c r="N172" i="2"/>
  <c r="M173" i="2"/>
  <c r="N173" i="2"/>
  <c r="M174" i="2"/>
  <c r="N174" i="2"/>
  <c r="M175" i="2"/>
  <c r="N175" i="2"/>
  <c r="M176" i="2"/>
  <c r="N176" i="2"/>
  <c r="M177" i="2"/>
  <c r="N177" i="2"/>
  <c r="M178" i="2"/>
  <c r="N178" i="2"/>
  <c r="M179" i="2"/>
  <c r="N179" i="2"/>
  <c r="M180" i="2"/>
  <c r="N180" i="2"/>
  <c r="M181" i="2"/>
  <c r="N181" i="2"/>
  <c r="M182" i="2"/>
  <c r="N182" i="2"/>
  <c r="M183" i="2"/>
  <c r="N183" i="2"/>
  <c r="M184" i="2"/>
  <c r="N184" i="2"/>
  <c r="M185" i="2"/>
  <c r="N185" i="2"/>
  <c r="M186" i="2"/>
  <c r="N186" i="2"/>
  <c r="M187" i="2"/>
  <c r="N187" i="2"/>
  <c r="M188" i="2"/>
  <c r="N188" i="2"/>
  <c r="M189" i="2"/>
  <c r="N189" i="2"/>
  <c r="M190" i="2"/>
  <c r="N190" i="2"/>
  <c r="M191" i="2"/>
  <c r="N191" i="2"/>
  <c r="M192" i="2"/>
  <c r="N192" i="2"/>
  <c r="M193" i="2"/>
  <c r="N193" i="2"/>
  <c r="M194" i="2"/>
  <c r="N194" i="2"/>
  <c r="M195" i="2"/>
  <c r="N195" i="2"/>
  <c r="M196" i="2"/>
  <c r="N196" i="2"/>
  <c r="M197" i="2"/>
  <c r="N197" i="2"/>
  <c r="M198" i="2"/>
  <c r="N198" i="2"/>
  <c r="M199" i="2"/>
  <c r="N199" i="2"/>
  <c r="M200" i="2"/>
  <c r="N200" i="2"/>
  <c r="M201" i="2"/>
  <c r="N201" i="2"/>
  <c r="M202" i="2"/>
  <c r="N202" i="2"/>
  <c r="M203" i="2"/>
  <c r="N203" i="2"/>
  <c r="M204" i="2"/>
  <c r="N204" i="2"/>
  <c r="M205" i="2"/>
  <c r="N205" i="2"/>
  <c r="M206" i="2"/>
  <c r="N206" i="2"/>
  <c r="M207" i="2"/>
  <c r="N207" i="2"/>
  <c r="M208" i="2"/>
  <c r="N208" i="2"/>
  <c r="M209" i="2"/>
  <c r="N209" i="2"/>
  <c r="M210" i="2"/>
  <c r="N210" i="2"/>
  <c r="M211" i="2"/>
  <c r="N211" i="2"/>
  <c r="M212" i="2"/>
  <c r="N212" i="2"/>
  <c r="M213" i="2"/>
  <c r="N213" i="2"/>
  <c r="N2" i="2"/>
  <c r="M2" i="2"/>
</calcChain>
</file>

<file path=xl/sharedStrings.xml><?xml version="1.0" encoding="utf-8"?>
<sst xmlns="http://schemas.openxmlformats.org/spreadsheetml/2006/main" count="3481" uniqueCount="602">
  <si>
    <t>Staff ID</t>
  </si>
  <si>
    <t>Employee Name</t>
  </si>
  <si>
    <t>Action Type</t>
  </si>
  <si>
    <t>Effective Date</t>
  </si>
  <si>
    <t>Contract Type</t>
  </si>
  <si>
    <t>Current Grade</t>
  </si>
  <si>
    <t>New Grade</t>
  </si>
  <si>
    <t>Mohamed Osman El Hassan</t>
  </si>
  <si>
    <t>Promotion</t>
  </si>
  <si>
    <t>4A</t>
  </si>
  <si>
    <t>Chaimaa Ahmed Toumi</t>
  </si>
  <si>
    <t>Outsource</t>
  </si>
  <si>
    <t>4B</t>
  </si>
  <si>
    <t>3C</t>
  </si>
  <si>
    <t>Jood Mohamed AlJneibi</t>
  </si>
  <si>
    <t>Acting Confirmation</t>
  </si>
  <si>
    <t>Direct Hire</t>
  </si>
  <si>
    <t>Shamma Mohamed Almansoori</t>
  </si>
  <si>
    <t>3A</t>
  </si>
  <si>
    <t>5A</t>
  </si>
  <si>
    <t>6A</t>
  </si>
  <si>
    <t>Yaser Saeed Alneyadi</t>
  </si>
  <si>
    <t>2A</t>
  </si>
  <si>
    <t>Alreem Hamad Al Ameri</t>
  </si>
  <si>
    <t>Noor Alhaj AlMehairbi</t>
  </si>
  <si>
    <t>Hamdan Khamis Al Hosani</t>
  </si>
  <si>
    <t>Assim Mohamed Abdelrahman</t>
  </si>
  <si>
    <t>Esraa Mohamed Al Atayeb</t>
  </si>
  <si>
    <t>Fatima Hassan Ahmed</t>
  </si>
  <si>
    <t>7A</t>
  </si>
  <si>
    <t>Ahmed Mohammed AlBlooshi</t>
  </si>
  <si>
    <t>Esameldin Mohamed Abdesalam</t>
  </si>
  <si>
    <t>Saleh Hasan Abu Kuhail</t>
  </si>
  <si>
    <t>Ayesh Mohamed Al Harbi</t>
  </si>
  <si>
    <t>Fatema Abdulrahman Al Tamimi</t>
  </si>
  <si>
    <t>1A</t>
  </si>
  <si>
    <t>Kakkuzil Mohamed Shereef</t>
  </si>
  <si>
    <t>Berta Manas AlCaidi</t>
  </si>
  <si>
    <t>3B</t>
  </si>
  <si>
    <t>2C</t>
  </si>
  <si>
    <t>5B</t>
  </si>
  <si>
    <t>Halima Kourrate</t>
  </si>
  <si>
    <t>Leslie Rocal</t>
  </si>
  <si>
    <t>Sahil Dhawan</t>
  </si>
  <si>
    <t>Hanaa AbuShawish</t>
  </si>
  <si>
    <t>Saji Ramakurup Gopinathan</t>
  </si>
  <si>
    <t>Mariam Ahmed Al Nuaimi</t>
  </si>
  <si>
    <t>Reem Salem Al Jaberi</t>
  </si>
  <si>
    <t>Ghadeer El Khub</t>
  </si>
  <si>
    <t>2B</t>
  </si>
  <si>
    <t>1C</t>
  </si>
  <si>
    <t>Expedieto Agravante</t>
  </si>
  <si>
    <t>Husam Hassan El Ali</t>
  </si>
  <si>
    <t>Tino Belarmino Castillo</t>
  </si>
  <si>
    <t>Jayapal Reddy Eigapuri</t>
  </si>
  <si>
    <t>Anas Yousef Alkhun</t>
  </si>
  <si>
    <t>Ahmed Hassan Hussein</t>
  </si>
  <si>
    <t>Tim Alastair Smith</t>
  </si>
  <si>
    <t>Nagendra Kumar</t>
  </si>
  <si>
    <t>Waleed El Gaali Mohammed</t>
  </si>
  <si>
    <t>Muhammed Hashim Thangal Kunju</t>
  </si>
  <si>
    <t>Mallak Ahmad Etoum</t>
  </si>
  <si>
    <t>Omar Jehad Mosleh</t>
  </si>
  <si>
    <t>Vijay Maruthamuthu</t>
  </si>
  <si>
    <t>Zeinab El Turk</t>
  </si>
  <si>
    <t>Shaikh Hamdan Khalifa Alnehayan</t>
  </si>
  <si>
    <t>Amira Chabbah</t>
  </si>
  <si>
    <t>Ahad Khateeb Nisar</t>
  </si>
  <si>
    <t>Current Salary</t>
  </si>
  <si>
    <t>New Salary</t>
  </si>
  <si>
    <t>Cost</t>
  </si>
  <si>
    <t>Salary Increment</t>
  </si>
  <si>
    <t>Sub-Grade</t>
  </si>
  <si>
    <t>Sub-grade</t>
  </si>
  <si>
    <t>1B</t>
  </si>
  <si>
    <t>5C</t>
  </si>
  <si>
    <t>4C</t>
  </si>
  <si>
    <t>6B</t>
  </si>
  <si>
    <t>Sector</t>
  </si>
  <si>
    <t>Department</t>
  </si>
  <si>
    <t>Ali Ahmed Al Suwaidi</t>
  </si>
  <si>
    <t>Abu Dhabi Arabic Language Centre</t>
  </si>
  <si>
    <t>Book Fairs &amp; Events</t>
  </si>
  <si>
    <t>Sara Abdulla Alshamsi</t>
  </si>
  <si>
    <t>Creative Content</t>
  </si>
  <si>
    <t>Culture</t>
  </si>
  <si>
    <t>Culture Festivals &amp; Platforms</t>
  </si>
  <si>
    <t>Culture Programming</t>
  </si>
  <si>
    <t>Afra Alsghayer Almuharrami</t>
  </si>
  <si>
    <t>Culture Sites Management</t>
  </si>
  <si>
    <t>Mariam Ali Aldarmaki</t>
  </si>
  <si>
    <t>Muna Salem Alshamsi</t>
  </si>
  <si>
    <t>Haya Mahdi Al Hajeri</t>
  </si>
  <si>
    <t>Alia Fareed Jalabi</t>
  </si>
  <si>
    <t>Safaa Mubarak Bin Amro</t>
  </si>
  <si>
    <t>Ahmed Elhoussini Salama</t>
  </si>
  <si>
    <t>Anood Saleh Al Ameri</t>
  </si>
  <si>
    <t>Jameela Jameel Al Jneibi</t>
  </si>
  <si>
    <t>Fatima Eisa Al Shamsi</t>
  </si>
  <si>
    <t>Abdulla Abdulraouf Alhammadi</t>
  </si>
  <si>
    <t>Sultan Obaid Al Dhaheri</t>
  </si>
  <si>
    <t>6C</t>
  </si>
  <si>
    <t>Historic Environment</t>
  </si>
  <si>
    <t>Saeed Abdullah Alameri</t>
  </si>
  <si>
    <t>Ahmed Mohamed Aljunaibi</t>
  </si>
  <si>
    <t>Library Management</t>
  </si>
  <si>
    <t>Suaad Abdulla Nasser</t>
  </si>
  <si>
    <t>Moza Ali Al Sulaitany</t>
  </si>
  <si>
    <t>Tarfa Sultan Al Derei</t>
  </si>
  <si>
    <t>Fayeza Khamis Al Rayssi</t>
  </si>
  <si>
    <t>Afra Rashed Alktebi</t>
  </si>
  <si>
    <t>Office Of Undersecretary</t>
  </si>
  <si>
    <t>Legal &amp; Government Affairs</t>
  </si>
  <si>
    <t>Danielle Jennifer De Martini</t>
  </si>
  <si>
    <t>Strategic Marketing &amp; Communication</t>
  </si>
  <si>
    <t>Creative &amp; Production</t>
  </si>
  <si>
    <t>Ali Jassem Alzaabi</t>
  </si>
  <si>
    <t>Support Services</t>
  </si>
  <si>
    <t>Finance</t>
  </si>
  <si>
    <t>Badreya Ahmed Abdouli</t>
  </si>
  <si>
    <t>People &amp; Performance</t>
  </si>
  <si>
    <t>Wael Omar Al Shalabi</t>
  </si>
  <si>
    <t>Supply Management</t>
  </si>
  <si>
    <t>Tourism</t>
  </si>
  <si>
    <t>Destinations Management Department</t>
  </si>
  <si>
    <t>Director General Office</t>
  </si>
  <si>
    <t>Mohamed Yousif Alwheibi</t>
  </si>
  <si>
    <t>Licensing &amp; Regulatory Compliance</t>
  </si>
  <si>
    <t>Eman Yousef Al Saiqal</t>
  </si>
  <si>
    <t>ALC Executive Director’s Office</t>
  </si>
  <si>
    <t>Naser Mohamed Al Khaja</t>
  </si>
  <si>
    <t>Tarek Rashed</t>
  </si>
  <si>
    <t>Arabic Language Education &amp; Research</t>
  </si>
  <si>
    <t>Ayesha Eid Al Mazrouei</t>
  </si>
  <si>
    <t>Iman Ali AlHammadi</t>
  </si>
  <si>
    <t>Shaikha Sultan Alneyadi</t>
  </si>
  <si>
    <t>Hamed Ahmed Alsheebani</t>
  </si>
  <si>
    <t>Thany A. Abualqaraya</t>
  </si>
  <si>
    <t>Muataz Eweidat</t>
  </si>
  <si>
    <t>Irum Fawad Siddiqui</t>
  </si>
  <si>
    <t>Literature Awards</t>
  </si>
  <si>
    <t>Shaikha Abdulla Al Ali</t>
  </si>
  <si>
    <t>Abdul Rahman Mohamed Al Naqbi</t>
  </si>
  <si>
    <t>Wadha Mohamed Almaeeni</t>
  </si>
  <si>
    <t>Marketing &amp; Communications</t>
  </si>
  <si>
    <t>Mariam Abdulkarim Badawi</t>
  </si>
  <si>
    <t>Mariam Omar Al Hashmi</t>
  </si>
  <si>
    <t>Alicia Jimenez Avila</t>
  </si>
  <si>
    <t>Sabha Ahmed Al Ameri</t>
  </si>
  <si>
    <t>Specialized Library</t>
  </si>
  <si>
    <t>Nezar Sayedabdulla Al Moosawi</t>
  </si>
  <si>
    <t>Amnah Ali Alromaithi</t>
  </si>
  <si>
    <t>Rashed Hamad Almheiri</t>
  </si>
  <si>
    <t>Aysha Salem Al Blooshi</t>
  </si>
  <si>
    <t>latifa Saif Aldarmaki</t>
  </si>
  <si>
    <t>Salem Ahmed Mubarak</t>
  </si>
  <si>
    <t>Maryam Ali AlMeqbaali</t>
  </si>
  <si>
    <t>Strategic Planning Office - ALC</t>
  </si>
  <si>
    <t>Salem Na'el Salamah</t>
  </si>
  <si>
    <t>Deema Matar Alshamsi</t>
  </si>
  <si>
    <t>Kinda Nabil Suleiman</t>
  </si>
  <si>
    <t>Dyala Zaki Nusseibeh</t>
  </si>
  <si>
    <t>Jarir Abbas</t>
  </si>
  <si>
    <t>Reem Ghaith Fadda</t>
  </si>
  <si>
    <t>Mariam Bader AlZarooni</t>
  </si>
  <si>
    <t>Sara Eltigani Salih</t>
  </si>
  <si>
    <t>Culture Sector Marketing</t>
  </si>
  <si>
    <t>Fatima Nabeel AlShamsi</t>
  </si>
  <si>
    <t>Ali Ahmed Kashwani</t>
  </si>
  <si>
    <t>Amna Sakher Saif</t>
  </si>
  <si>
    <t>Culture Sector Policy and Development Office</t>
  </si>
  <si>
    <t>Elena Raevskikh</t>
  </si>
  <si>
    <t>Bilel Abboudi</t>
  </si>
  <si>
    <t>Antoine Elias Zeynoun</t>
  </si>
  <si>
    <t>Manal Ali Albadi</t>
  </si>
  <si>
    <t>Amena Abdulla Alareefi</t>
  </si>
  <si>
    <t>Khaled Mohammed Al Neyadi</t>
  </si>
  <si>
    <t>Yosra El Hassan</t>
  </si>
  <si>
    <t>Salama Nasser Al Shamsi</t>
  </si>
  <si>
    <t>Alisher Akhmedov</t>
  </si>
  <si>
    <t>Ghubaisha Hamad Al Hemeiri</t>
  </si>
  <si>
    <t>Bader Buti AlShamsi</t>
  </si>
  <si>
    <t>Mohamed Jasim Alhosani</t>
  </si>
  <si>
    <t>Nadia Khamis Alshamsi</t>
  </si>
  <si>
    <t>Dalal Mohamed Shadid</t>
  </si>
  <si>
    <t>Fatema Mohamed Altahboush</t>
  </si>
  <si>
    <t>Hamda Obaid Al Dhaheri</t>
  </si>
  <si>
    <t>Abdulla Saeed Al Ghafli</t>
  </si>
  <si>
    <t>Bashayer Mohamed Bin Amrou</t>
  </si>
  <si>
    <t>Shaikha Saeed Al Zaabi</t>
  </si>
  <si>
    <t>Shamma Mohamed Al Faheem</t>
  </si>
  <si>
    <t>Asma Salem Al Maskari</t>
  </si>
  <si>
    <t>Abdulla Hamad Almansoori</t>
  </si>
  <si>
    <t>Ahmed Mohammed Barzaiq</t>
  </si>
  <si>
    <t>Shayea Nasser AlHajeri</t>
  </si>
  <si>
    <t>Farah Majdi Bushnaq</t>
  </si>
  <si>
    <t>Rim Emadeldin Kassem</t>
  </si>
  <si>
    <t>Franco Tudlasan Selle</t>
  </si>
  <si>
    <t>Shamma Heyab AlKetbi</t>
  </si>
  <si>
    <t>Rowayah Abdulla Alkindi</t>
  </si>
  <si>
    <t>Abdulaziz Naser Almansoori</t>
  </si>
  <si>
    <t>Reem Mustafa AlHosani</t>
  </si>
  <si>
    <t>Ahmed Atif Mohamed</t>
  </si>
  <si>
    <t>Eman Abdulrahman Al Barakani</t>
  </si>
  <si>
    <t>Naseer Salmeen Al Ameri</t>
  </si>
  <si>
    <t>Mouza Mohamed Alqubaisi</t>
  </si>
  <si>
    <t>Himyan Husain Alkhoori</t>
  </si>
  <si>
    <t>Dr. Musa Salem Al Hawari</t>
  </si>
  <si>
    <t>Education &amp; Outreach</t>
  </si>
  <si>
    <t>James Matthews</t>
  </si>
  <si>
    <t>Mahra Fadel Al Muhairi</t>
  </si>
  <si>
    <t>Ayesha Jawhar Almarzooqi</t>
  </si>
  <si>
    <t>Lubna Ali Altenaiji</t>
  </si>
  <si>
    <t>Ashwaq Ibrahim Alabdulmonem</t>
  </si>
  <si>
    <t>Fatema Ahmed Al Shehhi</t>
  </si>
  <si>
    <t>Rasha Musbbeh Al Mehairi</t>
  </si>
  <si>
    <t>Moza Tarek Shahin</t>
  </si>
  <si>
    <t>Aqeel Ahmed Aqeel</t>
  </si>
  <si>
    <t>Mohamed Mattar Al-Dhaheri</t>
  </si>
  <si>
    <t>Jaber Saleh Al Merri</t>
  </si>
  <si>
    <t>Marhoun Sulaiman Al Khambashi</t>
  </si>
  <si>
    <t>Hamdan Rashed Al Rashdi</t>
  </si>
  <si>
    <t>Mohammed Abdulla Al Harmoodi</t>
  </si>
  <si>
    <t>Ahmed Mohamed Ghareeb</t>
  </si>
  <si>
    <t>Waleed Awad Omar</t>
  </si>
  <si>
    <t>Mubarak Hazeem Al Mazrouei</t>
  </si>
  <si>
    <t>Saeed Hmoud Al Meqbaali</t>
  </si>
  <si>
    <t>Hager Hasan Al Menhali</t>
  </si>
  <si>
    <t>Muna Mohammed ALKaabi</t>
  </si>
  <si>
    <t>Intangible Cultural Heritage</t>
  </si>
  <si>
    <t>Abdel Aziz Gomaa Elhadad</t>
  </si>
  <si>
    <t>Walid Al Halani</t>
  </si>
  <si>
    <t>Hamad Sultan Al Suwaidi</t>
  </si>
  <si>
    <t>Afra Saeed Al Mansoori</t>
  </si>
  <si>
    <t>Jamela Saeed Mohammed</t>
  </si>
  <si>
    <t>Mouza Saeed Al Mehairbi</t>
  </si>
  <si>
    <t>Hessa Khamis AlMazrouei</t>
  </si>
  <si>
    <t>Hessa Salem Alkhyeli</t>
  </si>
  <si>
    <t>Shaikha Saif Alnuaimi</t>
  </si>
  <si>
    <t>Hasna Ali Alameri</t>
  </si>
  <si>
    <t>Mariam Mohammed AlJneibi</t>
  </si>
  <si>
    <t>Mohammed Jihad Abdulhadi</t>
  </si>
  <si>
    <t>Suhaila Abdullah Al Hosani</t>
  </si>
  <si>
    <t>Rashed Obaid Al Mansouri</t>
  </si>
  <si>
    <t>Mansoor Qais Binyamani</t>
  </si>
  <si>
    <t>Seham Mohamed Abdulla</t>
  </si>
  <si>
    <t>Meysoun Hassan Al Balooshi</t>
  </si>
  <si>
    <t>Mouza Saeed Al Ameri</t>
  </si>
  <si>
    <t>Abdulla Husain Almarzooqi</t>
  </si>
  <si>
    <t>Muza Ahmed Alshafee</t>
  </si>
  <si>
    <t>Fatima Sultan Alkuwaiti</t>
  </si>
  <si>
    <t>Ali Saif Alkaabi</t>
  </si>
  <si>
    <t>Huthaifa Abdulla Al Zadjali</t>
  </si>
  <si>
    <t>Sumaiya Abdelrahman Al Marzooqi</t>
  </si>
  <si>
    <t>Rita Aoun</t>
  </si>
  <si>
    <t>Office of the Culture Executive Director</t>
  </si>
  <si>
    <t>Osama Aljamal</t>
  </si>
  <si>
    <t>Scientific, Curatorial and Collection Department</t>
  </si>
  <si>
    <t>Mariam Musa Mohammad</t>
  </si>
  <si>
    <t>Mahesh Kumar Rangan</t>
  </si>
  <si>
    <t>Renad M M Hussein</t>
  </si>
  <si>
    <t>Khadija El Bennaoui</t>
  </si>
  <si>
    <t>Ghaith Mohammed Meftah</t>
  </si>
  <si>
    <t>Ahmed Khamis Mohammed</t>
  </si>
  <si>
    <t>Budour Ali Alderei</t>
  </si>
  <si>
    <t>Office of Chairman</t>
  </si>
  <si>
    <t>Executive Affairs</t>
  </si>
  <si>
    <t>Nada Khaled Almessabi</t>
  </si>
  <si>
    <t>Tourism Sector Management Office</t>
  </si>
  <si>
    <t>Fatima Sughayer Al Dhaheri</t>
  </si>
  <si>
    <t>Internal Audit Office</t>
  </si>
  <si>
    <t>Aysha Slayem Aljneibi</t>
  </si>
  <si>
    <t>Feras Mohammed Almomani</t>
  </si>
  <si>
    <t>Sara Abdulla Qassem</t>
  </si>
  <si>
    <t>Wissam Halimi</t>
  </si>
  <si>
    <t>Waleed Saeed ALSaeedi</t>
  </si>
  <si>
    <t>Mariam Adnan Almarzooqi</t>
  </si>
  <si>
    <t>Oliver Marcel Roland Heim</t>
  </si>
  <si>
    <t>Project Management &amp; Engineering</t>
  </si>
  <si>
    <t>Mouza Abdulla Al Qemzi</t>
  </si>
  <si>
    <t>Maitha Saeed Al Mheiri</t>
  </si>
  <si>
    <t>Basel Ahmad Abu Yousef</t>
  </si>
  <si>
    <t>Ghassan Ahmad Chehade</t>
  </si>
  <si>
    <t>Tendering &amp; Projects Control</t>
  </si>
  <si>
    <t>Jayagopalan Ullattil</t>
  </si>
  <si>
    <t>Fatema Najem Al Hosani</t>
  </si>
  <si>
    <t>Audrey Gulay Yener</t>
  </si>
  <si>
    <t>Najeeb Fawzi Ghraizy</t>
  </si>
  <si>
    <t>Hessa Raad Almahri</t>
  </si>
  <si>
    <t>Sameer Taher Bagaber</t>
  </si>
  <si>
    <t>Strategic Affairs</t>
  </si>
  <si>
    <t>Business Excellence &amp; Continuity</t>
  </si>
  <si>
    <t>Asma Amer Al Saadi</t>
  </si>
  <si>
    <t>Mounir Sinno</t>
  </si>
  <si>
    <t>Amel Mohamed Mourali</t>
  </si>
  <si>
    <t>Data &amp; AI Department</t>
  </si>
  <si>
    <t>Sara Sulaiman Alhammadi</t>
  </si>
  <si>
    <t>Office of Strategic Affairs Executive Director</t>
  </si>
  <si>
    <t>Bashair Hasn Alomar</t>
  </si>
  <si>
    <t>Strategic Planning</t>
  </si>
  <si>
    <t>Sheikh Faisal Saqer Al Qassimi</t>
  </si>
  <si>
    <t>Strategic Communications</t>
  </si>
  <si>
    <t>Amani Merza Alhendi</t>
  </si>
  <si>
    <t>As per HRA approval</t>
  </si>
  <si>
    <t>Khulood Mannaa Al Khoori</t>
  </si>
  <si>
    <t>Muhimma Mohamed Alriyami</t>
  </si>
  <si>
    <t>Ameena Mohamed Al Rashedi</t>
  </si>
  <si>
    <t>Noora Saeed Al Ali</t>
  </si>
  <si>
    <t>Aysha Mohammed AlShamsi</t>
  </si>
  <si>
    <t>Hamed Mahmood Alkhoori</t>
  </si>
  <si>
    <t>Abdulla Mohamed Alsheikh</t>
  </si>
  <si>
    <t>Hessa Yaser Al Shamsi</t>
  </si>
  <si>
    <t>Neera Saeed AL Ketbi</t>
  </si>
  <si>
    <t>Samia Saeed Alameri</t>
  </si>
  <si>
    <t>Fatme Omairat</t>
  </si>
  <si>
    <t>Muna Khalil Al Khoori</t>
  </si>
  <si>
    <t>Rahma Yousef Al Senaidi</t>
  </si>
  <si>
    <t>Maisoon Mohamed Al Naqeeb</t>
  </si>
  <si>
    <t>Saeeda Husain Al Mansoori</t>
  </si>
  <si>
    <t>Saif Najeeb Al Hajeri</t>
  </si>
  <si>
    <t>Shamma Ali Alsheraifi</t>
  </si>
  <si>
    <t>Hamdan Mubarak Binhaidarah  Al Tamimi</t>
  </si>
  <si>
    <t>AlAnoud Ali Mousa</t>
  </si>
  <si>
    <t>Omar Saleh AlJawhari</t>
  </si>
  <si>
    <t>Noura Mohamed Alqubaisi</t>
  </si>
  <si>
    <t>Mahra Abdulla Binhussain</t>
  </si>
  <si>
    <t>Hanan Mohammed AlBlooshi</t>
  </si>
  <si>
    <t>Maitha Ali Alnuaimi</t>
  </si>
  <si>
    <t>Asmaa Omar Alhashmi</t>
  </si>
  <si>
    <t>Abdulla Mohamed Almehairi</t>
  </si>
  <si>
    <t>Saeed Ghumail Al Nuaimi</t>
  </si>
  <si>
    <t>Mohammed Ali AlBlooshi</t>
  </si>
  <si>
    <t>Biju Koshy</t>
  </si>
  <si>
    <t>Saeeda Hamad Alzaabi</t>
  </si>
  <si>
    <t>Samah Rashed Almheiri</t>
  </si>
  <si>
    <t>Khalifa Ahmed Almarzooqi</t>
  </si>
  <si>
    <t>Bakhita Salem Al Ahbabi</t>
  </si>
  <si>
    <t>Technology</t>
  </si>
  <si>
    <t>Nawwaf Mohamed Alharmi</t>
  </si>
  <si>
    <t>Waad Saeed Aljaberi</t>
  </si>
  <si>
    <t>Wafa Sanad Al Mehairbi</t>
  </si>
  <si>
    <t>Azayez Al Shaiba Al Muharrami</t>
  </si>
  <si>
    <t>Abu Dhabi Conventions &amp; Exhibition Bureau</t>
  </si>
  <si>
    <t>Zenab Gharib Mohamed</t>
  </si>
  <si>
    <t>Moammar Mohammed Almarzouqi</t>
  </si>
  <si>
    <t>Ameera Abdulla Al Mazrouei</t>
  </si>
  <si>
    <t>Abu Dhabi Events Bureau</t>
  </si>
  <si>
    <t>Mariam Nabeel Abdulkarim</t>
  </si>
  <si>
    <t>Nawaf Ali Aljahdami</t>
  </si>
  <si>
    <t>Meera Musabah Almazrouei</t>
  </si>
  <si>
    <t>Hind Mahmood Abdul Rasool</t>
  </si>
  <si>
    <t>Ayesha Mohsin Alsubaihi</t>
  </si>
  <si>
    <t>Raid Y Obeidi</t>
  </si>
  <si>
    <t>Layla Radhwan Al Ali</t>
  </si>
  <si>
    <t>Emiratization &amp; Capability Development Office</t>
  </si>
  <si>
    <t>Ati Abdulla Al Dhaheri</t>
  </si>
  <si>
    <t>International Operations</t>
  </si>
  <si>
    <t>Sultan Ali Al Mansoori</t>
  </si>
  <si>
    <t>Afra Mohamed Almheiri</t>
  </si>
  <si>
    <t>Bashayer Omar Alameri</t>
  </si>
  <si>
    <t>Luisa Sakirow</t>
  </si>
  <si>
    <t>Aliazia Salem Aldhaheri</t>
  </si>
  <si>
    <t>Salamah Mahfooz Al Shehhi</t>
  </si>
  <si>
    <t>Hamda Abdulla Alhosani</t>
  </si>
  <si>
    <t>Saad Ali Alomaira</t>
  </si>
  <si>
    <t>Fatima Toufiq Karmostaji</t>
  </si>
  <si>
    <t>Jawaher Obaid Khadem</t>
  </si>
  <si>
    <t>Sultan Shahin Al Awani</t>
  </si>
  <si>
    <t>Hana'a Khaled Abdul Hadi</t>
  </si>
  <si>
    <t>Abdalla Abdelghani Banihammad</t>
  </si>
  <si>
    <t>Hayat Abdelrahman Al Hosani</t>
  </si>
  <si>
    <t>Mariam Mubarak Alhameli</t>
  </si>
  <si>
    <t>Fatima Hasan AlMaazmi</t>
  </si>
  <si>
    <t>Mohamed Mahmood Alhammadi</t>
  </si>
  <si>
    <t>Saif Salem Al Neyadi</t>
  </si>
  <si>
    <t>Rashed Mohammed Alshamsi</t>
  </si>
  <si>
    <t>Sultan Qasem Hussain</t>
  </si>
  <si>
    <t>Talal Mohamed AlAmri</t>
  </si>
  <si>
    <t>Saeed Abdulla ALzaabi</t>
  </si>
  <si>
    <t>Abdulazeez Naser Alhammadi</t>
  </si>
  <si>
    <t>Fatima Hamad Alneyadi</t>
  </si>
  <si>
    <t>Lateefa Abdulaziz Alhammadi</t>
  </si>
  <si>
    <t>Salama Sultan Alnuaimi</t>
  </si>
  <si>
    <t>Tourism Products Development</t>
  </si>
  <si>
    <t>Khameis Ali Alhefeiti</t>
  </si>
  <si>
    <t>Afra Eissa Al Nahyan</t>
  </si>
  <si>
    <t>Mariam Khalifa Al Dhaheri</t>
  </si>
  <si>
    <t>Visitors Experience</t>
  </si>
  <si>
    <t>Sara Abdulla Al Aslai</t>
  </si>
  <si>
    <t>Ayesha Abdulla Al Memari</t>
  </si>
  <si>
    <t>Saif Saeed Al Matroushi</t>
  </si>
  <si>
    <t>Ali Saeed AlKtebi</t>
  </si>
  <si>
    <t>Saleh Saeed Almansoori</t>
  </si>
  <si>
    <t>Majed Mubarak Saeed Almansoori</t>
  </si>
  <si>
    <t>Suaad Rashied AlMemari</t>
  </si>
  <si>
    <t>Fahad Mubarak Almansoori</t>
  </si>
  <si>
    <t>Bashayer Abdulla Alhammadi</t>
  </si>
  <si>
    <t>Bushra Yousef Al Hosani</t>
  </si>
  <si>
    <t>Grainne Treise Murphy</t>
  </si>
  <si>
    <t>Planning, Strategy &amp; Operations</t>
  </si>
  <si>
    <t>Noura Nadim Kahil</t>
  </si>
  <si>
    <t>Khalil Mohammed Alshaikh</t>
  </si>
  <si>
    <t>Khaled Hussein Dalky</t>
  </si>
  <si>
    <t>Abdallah Abushmaes</t>
  </si>
  <si>
    <t>Mohamed Yakoub Hamouda</t>
  </si>
  <si>
    <t>Afaf Rady Elsayed</t>
  </si>
  <si>
    <t>Ahmed Ezzdin Shlibak</t>
  </si>
  <si>
    <t>Maryam Abdulkarim Balfageih</t>
  </si>
  <si>
    <t>Zainah Meshal Abusido</t>
  </si>
  <si>
    <t>Rahmah Hasan Al Abidi</t>
  </si>
  <si>
    <t>Majd Shat</t>
  </si>
  <si>
    <t>Malek Abu Ageel</t>
  </si>
  <si>
    <t>Hamza Shafiq Alqum</t>
  </si>
  <si>
    <t>Andrawes Snobar</t>
  </si>
  <si>
    <t>Yanal Alshaban</t>
  </si>
  <si>
    <t>Imad Deiratany</t>
  </si>
  <si>
    <t>Maria Fatima Buensalido</t>
  </si>
  <si>
    <t>Ehab Hani Haddad</t>
  </si>
  <si>
    <t>Ciaran Costello</t>
  </si>
  <si>
    <t>Nader Monir</t>
  </si>
  <si>
    <t>Tracy Wilson</t>
  </si>
  <si>
    <t>Rabi Georges</t>
  </si>
  <si>
    <t>Ramadan Youssef Hassanien Mohamed</t>
  </si>
  <si>
    <t>Ezzat Al Hamwi</t>
  </si>
  <si>
    <t>Danielle Robinson</t>
  </si>
  <si>
    <t>Mohamed Fawaz Almadhoun</t>
  </si>
  <si>
    <t>Honaida Hassan Naib</t>
  </si>
  <si>
    <t>Malak Mohamed Al Ajou</t>
  </si>
  <si>
    <t>Ahmad Akram Al Zubi</t>
  </si>
  <si>
    <t>Hassan Dankar</t>
  </si>
  <si>
    <t>Ali Said Al Kaabi</t>
  </si>
  <si>
    <t>Fatima Murad Abdullah</t>
  </si>
  <si>
    <t>Hadaya Juma Al Kaabi</t>
  </si>
  <si>
    <t>Halima Ali Al Shihhi</t>
  </si>
  <si>
    <t>Khalfan Juma Al Kaabi</t>
  </si>
  <si>
    <t>Mohammed Ali Al Kaabi</t>
  </si>
  <si>
    <t>Moza Rashid Al Naaimi</t>
  </si>
  <si>
    <t>Rabia Saadoun Al Naaimi</t>
  </si>
  <si>
    <t>Said Saif Al Shaqsi</t>
  </si>
  <si>
    <t>Zahrah Salem Al Marri</t>
  </si>
  <si>
    <t>Maryam Said Saif Al Kaabi</t>
  </si>
  <si>
    <t>Abdullah Salim Rashid Al Maqbali</t>
  </si>
  <si>
    <t>Khalid Ali Said Al Kaabi</t>
  </si>
  <si>
    <t>Priji Kumar Damodharan</t>
  </si>
  <si>
    <t>Yasin Mohamed Ibrahim</t>
  </si>
  <si>
    <t>Moustafa Mohamed Elmetwally</t>
  </si>
  <si>
    <t>Mohammad Munir</t>
  </si>
  <si>
    <t>Yagob Al Ghadban</t>
  </si>
  <si>
    <t>Kamal Mahmoud</t>
  </si>
  <si>
    <t>Yazeed Kloub</t>
  </si>
  <si>
    <t>Seri Sami Badran</t>
  </si>
  <si>
    <t>Anna Balysheva</t>
  </si>
  <si>
    <t>Anabela Ferreira</t>
  </si>
  <si>
    <t>IOANNIS SPANOS</t>
  </si>
  <si>
    <t>Lucia Pizzinato</t>
  </si>
  <si>
    <t>Marivie Sangalang Pascua</t>
  </si>
  <si>
    <t>Diego Carrera</t>
  </si>
  <si>
    <t>Mohammed Abualsaid</t>
  </si>
  <si>
    <t>Mohammed Thayal Movval</t>
  </si>
  <si>
    <t/>
  </si>
  <si>
    <t>Faizal Kandy</t>
  </si>
  <si>
    <t>Zeljkica Palcer</t>
  </si>
  <si>
    <t>Raouf Ibrahim Salama</t>
  </si>
  <si>
    <t>Deniz Ghazal</t>
  </si>
  <si>
    <t>Mohammad Alsmadi</t>
  </si>
  <si>
    <t>Amal Mohamad El Hajj</t>
  </si>
  <si>
    <t>Nasar Abdul Kharim</t>
  </si>
  <si>
    <t>Khalil Al Mukhalati</t>
  </si>
  <si>
    <t>Jose Ferdie Valencia</t>
  </si>
  <si>
    <t>Eugenie Remie Marcelo</t>
  </si>
  <si>
    <t>Raied Al Bitar</t>
  </si>
  <si>
    <t>Chadi Alagha</t>
  </si>
  <si>
    <t>Khaled Haitham Alamat</t>
  </si>
  <si>
    <t>Georgios Zervas</t>
  </si>
  <si>
    <t>Rene von Müllen</t>
  </si>
  <si>
    <t>Khalid Tawfiq Al-Saqqar</t>
  </si>
  <si>
    <t>Shabeer Mohamed Mohamedali</t>
  </si>
  <si>
    <t>Jayakumar Sekar Sekar</t>
  </si>
  <si>
    <t>Mohammed Sunaif Shareef</t>
  </si>
  <si>
    <t>Ayman Kazim Alkhatib</t>
  </si>
  <si>
    <t>Rexie Donaire Encabo</t>
  </si>
  <si>
    <t>Anas Mohd Azeezyeh</t>
  </si>
  <si>
    <t>Fouda Taha ElSayed</t>
  </si>
  <si>
    <t>David Millan Ruiz</t>
  </si>
  <si>
    <t>Mokhtar Maher Aboelela</t>
  </si>
  <si>
    <t>Niharika Soni</t>
  </si>
  <si>
    <t>Ehab Adel ElBeal</t>
  </si>
  <si>
    <t>Katia Muro</t>
  </si>
  <si>
    <t>Ahmed Gamal Hemida</t>
  </si>
  <si>
    <t>Mohamed Alkhuja</t>
  </si>
  <si>
    <t>Organization Strategy &amp; Transformation Department</t>
  </si>
  <si>
    <t>Mohamed Hesham Mohamed</t>
  </si>
  <si>
    <t>Vineet Israni</t>
  </si>
  <si>
    <t>Anan Khammash</t>
  </si>
  <si>
    <t>Inna Shchurova</t>
  </si>
  <si>
    <t>Karim Qassoud</t>
  </si>
  <si>
    <t>Marwan Taiseer Kayyali</t>
  </si>
  <si>
    <t>Mohamed El-Shorafa</t>
  </si>
  <si>
    <t>Ben A. Gendrano JR</t>
  </si>
  <si>
    <t>Nada Assaf</t>
  </si>
  <si>
    <t>Zain Variawa</t>
  </si>
  <si>
    <t>Emad Haj Abdul Fattah</t>
  </si>
  <si>
    <t>Mira Al Abdulla</t>
  </si>
  <si>
    <t>Farres Mohamad Kailany</t>
  </si>
  <si>
    <t>Brayden Ainzuain</t>
  </si>
  <si>
    <t>Jawan Fares</t>
  </si>
  <si>
    <t>Sector Marketing</t>
  </si>
  <si>
    <t>Ziad Al Nabilsy</t>
  </si>
  <si>
    <t>Hebah Salim</t>
  </si>
  <si>
    <t>Israa Imad Maharmeh</t>
  </si>
  <si>
    <t>Saif Aldin Ghazi Khalil</t>
  </si>
  <si>
    <t>Saleh Mahmood Al Qawasmeh</t>
  </si>
  <si>
    <t>Hiba Hassan Sleiman</t>
  </si>
  <si>
    <t>Nihal AbuHaseera</t>
  </si>
  <si>
    <t>Yasmeen Zuhair Masoud</t>
  </si>
  <si>
    <t>Alaa Ayman Allan</t>
  </si>
  <si>
    <t>Ahmed Mahmoud Ahmed</t>
  </si>
  <si>
    <t>Amruddin Shajahan</t>
  </si>
  <si>
    <t>Jamil Wajih Al Atrash</t>
  </si>
  <si>
    <t>Mohammed Siyad Nalakath</t>
  </si>
  <si>
    <t>Mohamd Elgayar</t>
  </si>
  <si>
    <t>Heitham Kaddoura</t>
  </si>
  <si>
    <t>Muetaz Ahmed Musaeed</t>
  </si>
  <si>
    <t>Salem Imad Sultan</t>
  </si>
  <si>
    <t>Esraa Mahmoud Ayoub</t>
  </si>
  <si>
    <t>Office of the Support Services Executive Director</t>
  </si>
  <si>
    <t>Hamad Ali Al Rumaithi</t>
  </si>
  <si>
    <t>Reema Azmi AlSadeq</t>
  </si>
  <si>
    <t>Riham A.A. Alatrash</t>
  </si>
  <si>
    <t>Zainab Mohamed Hamed</t>
  </si>
  <si>
    <t>Hijas Puthalath Aniyaparavan</t>
  </si>
  <si>
    <t>Iman Haidous</t>
  </si>
  <si>
    <t>Abhinav Rajhans</t>
  </si>
  <si>
    <t>Ahmed Essameldin Fahmy</t>
  </si>
  <si>
    <t>Mohammad Awad</t>
  </si>
  <si>
    <t>Zeinab Bayoumy</t>
  </si>
  <si>
    <t>Charlyn Apdan</t>
  </si>
  <si>
    <t>Priyanka Priyadarshani</t>
  </si>
  <si>
    <t>Evangeline Garcia</t>
  </si>
  <si>
    <t>Nader Khaled Sarieddine</t>
  </si>
  <si>
    <t>Tamer Cheng</t>
  </si>
  <si>
    <t>Mohammed Sairaj</t>
  </si>
  <si>
    <t>Prima Sheena Celeste</t>
  </si>
  <si>
    <t>Muhammad Farook</t>
  </si>
  <si>
    <t>Basil Ali Ismail</t>
  </si>
  <si>
    <t>Saji Joseph</t>
  </si>
  <si>
    <t>Swati Singla</t>
  </si>
  <si>
    <t>Shameer Cheeroth</t>
  </si>
  <si>
    <t>Islam Altawallbeh</t>
  </si>
  <si>
    <t>Waddah Mohammad Zanah</t>
  </si>
  <si>
    <t>Shadi Alshinteer</t>
  </si>
  <si>
    <t>Ashraf Albarasy</t>
  </si>
  <si>
    <t>Jitha Sajith</t>
  </si>
  <si>
    <t>Tariq Massarwah</t>
  </si>
  <si>
    <t>Abdelrahman Abdelsalam ElGharieb</t>
  </si>
  <si>
    <t>Ibrahim Osama Khalil</t>
  </si>
  <si>
    <t>Ahmad Mamdouh</t>
  </si>
  <si>
    <t>Saji Asok Pillai</t>
  </si>
  <si>
    <t>Mohammed Ali Ibrahim Hassanin</t>
  </si>
  <si>
    <t>Thomas Jean Patrick de Oliveira</t>
  </si>
  <si>
    <t>Sarah Julie Ferry</t>
  </si>
  <si>
    <t>Bahaaeldin Mohamed Okasha</t>
  </si>
  <si>
    <t>Shabeena Cassiere</t>
  </si>
  <si>
    <t>Syed Moazzam Ali</t>
  </si>
  <si>
    <t>Noman Valliani</t>
  </si>
  <si>
    <t>Asanka Thushara Lankapurage</t>
  </si>
  <si>
    <t>Fakhry Maher Alsarraj</t>
  </si>
  <si>
    <t>Xavier Mellet</t>
  </si>
  <si>
    <t>Karim Tarek Kabil</t>
  </si>
  <si>
    <t>Claudia Manuela Frei</t>
  </si>
  <si>
    <t>Saida Khaydarova</t>
  </si>
  <si>
    <t>Hilmi Abdul Hadi</t>
  </si>
  <si>
    <t>Zoran Ninic</t>
  </si>
  <si>
    <t>Souad Alaoui</t>
  </si>
  <si>
    <t>Khulood Ahmad Al Thani</t>
  </si>
  <si>
    <t>May Elsayed Ezzeldin</t>
  </si>
  <si>
    <t>Valentina Sanna</t>
  </si>
  <si>
    <t>Aghyad Sati</t>
  </si>
  <si>
    <t>Raheel Abdul Lateef</t>
  </si>
  <si>
    <t>Melroy Peter Vaz</t>
  </si>
  <si>
    <t>Bahaa Redwan Al Am Eddine</t>
  </si>
  <si>
    <t>Mansurudeen Ishola</t>
  </si>
  <si>
    <t>Shaima Ayman Allan</t>
  </si>
  <si>
    <t>Lillian Kildani</t>
  </si>
  <si>
    <t>Faheem Uddin Mohammed</t>
  </si>
  <si>
    <t>Sara Moustafa Kamal</t>
  </si>
  <si>
    <t>Koyuki Engelhardt</t>
  </si>
  <si>
    <t xml:space="preserve">Basic Salary </t>
  </si>
  <si>
    <t xml:space="preserve">Child Allowance </t>
  </si>
  <si>
    <t xml:space="preserve">Cost of Living Allowance </t>
  </si>
  <si>
    <t xml:space="preserve">Etihad Allowance </t>
  </si>
  <si>
    <t>Expatriate Allowance</t>
  </si>
  <si>
    <t xml:space="preserve">Housing Allowance </t>
  </si>
  <si>
    <t xml:space="preserve">Social Allowance </t>
  </si>
  <si>
    <t xml:space="preserve">Supplementary Allowance </t>
  </si>
  <si>
    <t xml:space="preserve">Taskeen Allowance </t>
  </si>
  <si>
    <t>Gross</t>
  </si>
  <si>
    <t>Old Pension</t>
  </si>
  <si>
    <t>New Pension</t>
  </si>
  <si>
    <t>Amena Abdulrahman AlAli</t>
  </si>
  <si>
    <t>New Basic</t>
  </si>
  <si>
    <t>New Supplementary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</si>
</sst>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Verdana"/>
      <family val="2"/>
    </font>
    <font>
      <sz val="9"/>
      <color rgb="FF000000"/>
      <name val="Verdana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DAE9F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4" borderId="2" applyNumberFormat="0" applyProtection="0">
      <alignment horizontal="left"/>
    </xf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9" fontId="3" fillId="0" borderId="1" xfId="2" applyNumberFormat="1" applyFont="1" applyFill="1" applyBorder="1" applyAlignment="1">
      <alignment horizontal="left" vertical="center"/>
    </xf>
    <xf numFmtId="0" fontId="3" fillId="0" borderId="1" xfId="2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43" fontId="3" fillId="0" borderId="4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3" fontId="0" fillId="0" borderId="0" xfId="0" applyNumberFormat="1"/>
    <xf numFmtId="0" fontId="3" fillId="3" borderId="4" xfId="0" applyFont="1" applyFill="1" applyBorder="1" applyAlignment="1">
      <alignment horizontal="center" vertical="center" wrapText="1"/>
    </xf>
    <xf numFmtId="43" fontId="3" fillId="0" borderId="4" xfId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" fontId="2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43" fontId="3" fillId="0" borderId="5" xfId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3" fontId="3" fillId="0" borderId="0" xfId="1" applyFont="1" applyFill="1" applyBorder="1" applyAlignment="1">
      <alignment horizontal="center" vertical="center"/>
    </xf>
  </cellXfs>
  <cellStyles count="3">
    <cellStyle name="background-color:White; color:Black; font:font-family:Arial; font-size:10pt; font-weight:normal; font-style:normal; ; font-family:Arial; font-size:10pt; font-weight:normal; font-style:normal; border-collapse:separate; border-left:Black 1px solid; border-r" xfId="2" xr:uid="{A59565A9-2247-4A87-A134-FFB47BFC64D6}"/>
    <cellStyle name="Comma" xfId="1" builtinId="3"/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D99E6-9ADD-462B-999F-23CC049F4EC9}">
  <dimension ref="C1:AA281"/>
  <sheetViews>
    <sheetView zoomScaleNormal="100" workbookViewId="0">
      <selection activeCell="D1" sqref="D1"/>
    </sheetView>
  </sheetViews>
  <sheetFormatPr defaultRowHeight="21.75" customHeight="1" x14ac:dyDescent="0.25"/>
  <cols>
    <col min="3" max="3" width="12.28515625" bestFit="1" customWidth="1"/>
    <col min="4" max="4" width="38.42578125" bestFit="1" customWidth="1"/>
    <col min="5" max="5" width="18.7109375" bestFit="1" customWidth="1"/>
    <col min="6" max="6" width="19.5703125" bestFit="1" customWidth="1"/>
    <col min="7" max="7" width="18.28515625" bestFit="1" customWidth="1"/>
    <col min="8" max="8" width="18.5703125" bestFit="1" customWidth="1"/>
    <col min="9" max="9" width="15.5703125" bestFit="1" customWidth="1"/>
    <col min="10" max="10" width="18.7109375" bestFit="1" customWidth="1"/>
    <col min="11" max="11" width="15.7109375" bestFit="1" customWidth="1"/>
    <col min="12" max="12" width="11.5703125" bestFit="1" customWidth="1"/>
    <col min="13" max="13" width="35.42578125" bestFit="1" customWidth="1"/>
    <col min="14" max="14" width="44.42578125" bestFit="1" customWidth="1"/>
    <col min="15" max="15" width="16.28515625" style="18" bestFit="1" customWidth="1"/>
    <col min="16" max="16" width="18.42578125" style="18" bestFit="1" customWidth="1"/>
    <col min="17" max="17" width="21" style="18" bestFit="1" customWidth="1"/>
    <col min="18" max="18" width="15.42578125" style="18" bestFit="1" customWidth="1"/>
    <col min="19" max="19" width="22.7109375" style="18" bestFit="1" customWidth="1"/>
    <col min="20" max="20" width="20.42578125" style="18" bestFit="1" customWidth="1"/>
    <col min="21" max="21" width="19.85546875" style="18" bestFit="1" customWidth="1"/>
    <col min="22" max="22" width="23" style="18" bestFit="1" customWidth="1"/>
    <col min="23" max="23" width="16.28515625" style="18" bestFit="1" customWidth="1"/>
    <col min="24" max="24" width="5.140625" bestFit="1" customWidth="1"/>
    <col min="25" max="25" width="19.7109375" style="18" bestFit="1" customWidth="1"/>
    <col min="26" max="27" width="22.85546875" style="18" bestFit="1" customWidth="1"/>
  </cols>
  <sheetData>
    <row r="1" spans="3:27" ht="22.5" x14ac:dyDescent="0.25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2" t="s">
        <v>5</v>
      </c>
      <c r="I1" s="2" t="s">
        <v>6</v>
      </c>
      <c r="J1" s="5" t="s">
        <v>68</v>
      </c>
      <c r="K1" s="5" t="s">
        <v>69</v>
      </c>
      <c r="L1" s="5" t="s">
        <v>70</v>
      </c>
      <c r="M1" s="1" t="s">
        <v>78</v>
      </c>
      <c r="N1" s="1" t="s">
        <v>79</v>
      </c>
      <c r="O1" s="16" t="s">
        <v>587</v>
      </c>
      <c r="P1" s="16" t="s">
        <v>589</v>
      </c>
      <c r="Q1" s="16" t="s">
        <v>590</v>
      </c>
      <c r="R1" s="16" t="s">
        <v>591</v>
      </c>
      <c r="S1" s="16" t="s">
        <v>592</v>
      </c>
      <c r="T1" s="16" t="s">
        <v>593</v>
      </c>
      <c r="U1" s="16" t="s">
        <v>594</v>
      </c>
      <c r="V1" s="16" t="s">
        <v>595</v>
      </c>
      <c r="W1" s="16" t="s">
        <v>596</v>
      </c>
      <c r="Y1" s="16" t="s">
        <v>588</v>
      </c>
      <c r="Z1" s="16" t="s">
        <v>598</v>
      </c>
      <c r="AA1" s="16" t="s">
        <v>597</v>
      </c>
    </row>
    <row r="2" spans="3:27" ht="21.75" customHeight="1" x14ac:dyDescent="0.25">
      <c r="C2" s="4">
        <v>298</v>
      </c>
      <c r="D2" s="12" t="s">
        <v>80</v>
      </c>
      <c r="E2" s="9" t="s">
        <v>8</v>
      </c>
      <c r="F2" s="8">
        <v>45953</v>
      </c>
      <c r="G2" s="7" t="s">
        <v>16</v>
      </c>
      <c r="H2" s="9" t="s">
        <v>9</v>
      </c>
      <c r="I2" s="9" t="s">
        <v>13</v>
      </c>
      <c r="J2" s="6">
        <v>33090</v>
      </c>
      <c r="K2" s="6">
        <v>34500</v>
      </c>
      <c r="L2" s="6">
        <v>1410</v>
      </c>
      <c r="M2" s="12" t="s">
        <v>81</v>
      </c>
      <c r="N2" s="12" t="s">
        <v>82</v>
      </c>
      <c r="O2" s="17">
        <v>18700</v>
      </c>
      <c r="P2" s="17">
        <v>1500</v>
      </c>
      <c r="Q2" s="17">
        <v>0</v>
      </c>
      <c r="R2" s="17">
        <v>0</v>
      </c>
      <c r="S2" s="17">
        <v>5300</v>
      </c>
      <c r="T2" s="17">
        <v>1500</v>
      </c>
      <c r="U2" s="17">
        <v>7500</v>
      </c>
      <c r="V2" s="17">
        <v>0</v>
      </c>
      <c r="W2" s="17">
        <v>34500</v>
      </c>
      <c r="X2" s="15">
        <v>0</v>
      </c>
      <c r="Y2" s="17">
        <v>0</v>
      </c>
      <c r="Z2" s="17">
        <v>-1350</v>
      </c>
      <c r="AA2" s="17">
        <v>-1219.5</v>
      </c>
    </row>
    <row r="3" spans="3:27" ht="21.75" customHeight="1" x14ac:dyDescent="0.25">
      <c r="C3" s="4">
        <v>1227</v>
      </c>
      <c r="D3" s="12" t="s">
        <v>83</v>
      </c>
      <c r="E3" s="9" t="s">
        <v>8</v>
      </c>
      <c r="F3" s="8">
        <v>45953</v>
      </c>
      <c r="G3" s="7" t="s">
        <v>16</v>
      </c>
      <c r="H3" s="9" t="s">
        <v>9</v>
      </c>
      <c r="I3" s="9" t="s">
        <v>13</v>
      </c>
      <c r="J3" s="6">
        <v>34509</v>
      </c>
      <c r="K3" s="6">
        <v>36234.5</v>
      </c>
      <c r="L3" s="6">
        <v>1725.5</v>
      </c>
      <c r="M3" s="12" t="s">
        <v>81</v>
      </c>
      <c r="N3" s="12" t="s">
        <v>84</v>
      </c>
      <c r="O3" s="17">
        <v>20425.5</v>
      </c>
      <c r="P3" s="17">
        <v>1500</v>
      </c>
      <c r="Q3" s="17">
        <v>0</v>
      </c>
      <c r="R3" s="17">
        <v>0</v>
      </c>
      <c r="S3" s="17">
        <v>5300</v>
      </c>
      <c r="T3" s="17">
        <v>1500</v>
      </c>
      <c r="U3" s="17">
        <v>7500</v>
      </c>
      <c r="V3" s="17">
        <v>9</v>
      </c>
      <c r="W3" s="17">
        <v>36234.5</v>
      </c>
      <c r="X3" s="15">
        <v>0</v>
      </c>
      <c r="Y3" s="17">
        <v>0</v>
      </c>
      <c r="Z3" s="17">
        <v>-1436.28</v>
      </c>
      <c r="AA3" s="17">
        <v>-1290.45</v>
      </c>
    </row>
    <row r="4" spans="3:27" ht="21.75" customHeight="1" x14ac:dyDescent="0.25">
      <c r="C4" s="11">
        <v>1636</v>
      </c>
      <c r="D4" s="12" t="s">
        <v>14</v>
      </c>
      <c r="E4" s="7" t="s">
        <v>15</v>
      </c>
      <c r="F4" s="8">
        <v>45901</v>
      </c>
      <c r="G4" s="7" t="s">
        <v>16</v>
      </c>
      <c r="H4" s="9" t="s">
        <v>12</v>
      </c>
      <c r="I4" s="9" t="s">
        <v>13</v>
      </c>
      <c r="J4" s="6">
        <v>21900</v>
      </c>
      <c r="K4" s="6">
        <v>34500</v>
      </c>
      <c r="L4" s="6">
        <v>12600</v>
      </c>
      <c r="M4" s="12" t="s">
        <v>85</v>
      </c>
      <c r="N4" s="12" t="s">
        <v>86</v>
      </c>
      <c r="O4" s="17">
        <v>18700</v>
      </c>
      <c r="P4" s="17">
        <v>1500</v>
      </c>
      <c r="Q4" s="17">
        <v>0</v>
      </c>
      <c r="R4" s="17">
        <v>0</v>
      </c>
      <c r="S4" s="17">
        <v>5300</v>
      </c>
      <c r="T4" s="17">
        <v>1500</v>
      </c>
      <c r="U4" s="17">
        <v>7500</v>
      </c>
      <c r="V4" s="17">
        <v>0</v>
      </c>
      <c r="W4" s="17">
        <v>34500</v>
      </c>
      <c r="X4" s="15">
        <v>0</v>
      </c>
      <c r="Y4" s="17">
        <v>0</v>
      </c>
      <c r="Z4" s="17">
        <v>-1350</v>
      </c>
      <c r="AA4" s="17">
        <v>-865</v>
      </c>
    </row>
    <row r="5" spans="3:27" ht="21.75" customHeight="1" x14ac:dyDescent="0.25">
      <c r="C5" s="11">
        <v>1331</v>
      </c>
      <c r="D5" s="12" t="s">
        <v>17</v>
      </c>
      <c r="E5" s="7" t="s">
        <v>15</v>
      </c>
      <c r="F5" s="8">
        <v>45901</v>
      </c>
      <c r="G5" s="7" t="s">
        <v>16</v>
      </c>
      <c r="H5" s="9" t="s">
        <v>9</v>
      </c>
      <c r="I5" s="9" t="s">
        <v>18</v>
      </c>
      <c r="J5" s="6">
        <v>34509</v>
      </c>
      <c r="K5" s="6">
        <v>39000</v>
      </c>
      <c r="L5" s="6">
        <v>4491</v>
      </c>
      <c r="M5" s="12" t="s">
        <v>85</v>
      </c>
      <c r="N5" s="12" t="s">
        <v>87</v>
      </c>
      <c r="O5" s="17">
        <v>23200</v>
      </c>
      <c r="P5" s="17">
        <v>1500</v>
      </c>
      <c r="Q5" s="17">
        <v>0</v>
      </c>
      <c r="R5" s="17">
        <v>0</v>
      </c>
      <c r="S5" s="17">
        <v>5300</v>
      </c>
      <c r="T5" s="17">
        <v>1500</v>
      </c>
      <c r="U5" s="17">
        <v>7500</v>
      </c>
      <c r="V5" s="17">
        <v>0</v>
      </c>
      <c r="W5" s="17">
        <v>39000</v>
      </c>
      <c r="X5" s="15">
        <v>0</v>
      </c>
      <c r="Y5" s="17">
        <v>0</v>
      </c>
      <c r="Z5" s="17">
        <v>-1575</v>
      </c>
      <c r="AA5" s="17">
        <v>-1290.45</v>
      </c>
    </row>
    <row r="6" spans="3:27" ht="21.75" customHeight="1" x14ac:dyDescent="0.25">
      <c r="C6" s="4">
        <v>1150</v>
      </c>
      <c r="D6" s="12" t="s">
        <v>88</v>
      </c>
      <c r="E6" s="9" t="s">
        <v>8</v>
      </c>
      <c r="F6" s="8">
        <v>45953</v>
      </c>
      <c r="G6" s="7" t="s">
        <v>16</v>
      </c>
      <c r="H6" s="9" t="s">
        <v>9</v>
      </c>
      <c r="I6" s="9" t="s">
        <v>13</v>
      </c>
      <c r="J6" s="6">
        <v>35309</v>
      </c>
      <c r="K6" s="6">
        <v>37074.5</v>
      </c>
      <c r="L6" s="6">
        <v>1765.5</v>
      </c>
      <c r="M6" s="12" t="s">
        <v>85</v>
      </c>
      <c r="N6" s="12" t="s">
        <v>89</v>
      </c>
      <c r="O6" s="17">
        <v>20465.5</v>
      </c>
      <c r="P6" s="17">
        <v>1500</v>
      </c>
      <c r="Q6" s="17">
        <v>0</v>
      </c>
      <c r="R6" s="17">
        <v>0</v>
      </c>
      <c r="S6" s="17">
        <v>5300</v>
      </c>
      <c r="T6" s="17">
        <v>1500</v>
      </c>
      <c r="U6" s="17">
        <v>7500</v>
      </c>
      <c r="V6" s="17">
        <v>809</v>
      </c>
      <c r="W6" s="17">
        <v>37074.5</v>
      </c>
      <c r="X6" s="15">
        <v>0</v>
      </c>
      <c r="Y6" s="17">
        <v>0</v>
      </c>
      <c r="Z6" s="17">
        <v>-1438.28</v>
      </c>
      <c r="AA6" s="17">
        <v>-1330.45</v>
      </c>
    </row>
    <row r="7" spans="3:27" ht="21.75" customHeight="1" x14ac:dyDescent="0.25">
      <c r="C7" s="4">
        <v>1431</v>
      </c>
      <c r="D7" s="12" t="s">
        <v>90</v>
      </c>
      <c r="E7" s="9" t="s">
        <v>8</v>
      </c>
      <c r="F7" s="8">
        <v>45953</v>
      </c>
      <c r="G7" s="7" t="s">
        <v>16</v>
      </c>
      <c r="H7" s="9" t="s">
        <v>9</v>
      </c>
      <c r="I7" s="9" t="s">
        <v>13</v>
      </c>
      <c r="J7" s="6">
        <v>33390</v>
      </c>
      <c r="K7" s="6">
        <v>34500</v>
      </c>
      <c r="L7" s="6">
        <v>1110</v>
      </c>
      <c r="M7" s="12" t="s">
        <v>85</v>
      </c>
      <c r="N7" s="12" t="s">
        <v>89</v>
      </c>
      <c r="O7" s="17">
        <v>18700</v>
      </c>
      <c r="P7" s="17">
        <v>1500</v>
      </c>
      <c r="Q7" s="17">
        <v>0</v>
      </c>
      <c r="R7" s="17">
        <v>0</v>
      </c>
      <c r="S7" s="17">
        <v>5300</v>
      </c>
      <c r="T7" s="17">
        <v>1500</v>
      </c>
      <c r="U7" s="17">
        <v>7500</v>
      </c>
      <c r="V7" s="17">
        <v>0</v>
      </c>
      <c r="W7" s="17">
        <v>34500</v>
      </c>
      <c r="X7" s="15">
        <v>0</v>
      </c>
      <c r="Y7" s="17">
        <v>0</v>
      </c>
      <c r="Z7" s="17">
        <v>-1350</v>
      </c>
      <c r="AA7" s="17">
        <v>-1234.5</v>
      </c>
    </row>
    <row r="8" spans="3:27" ht="21.75" customHeight="1" x14ac:dyDescent="0.25">
      <c r="C8" s="4">
        <v>1365</v>
      </c>
      <c r="D8" s="12" t="s">
        <v>91</v>
      </c>
      <c r="E8" s="9" t="s">
        <v>8</v>
      </c>
      <c r="F8" s="8">
        <v>45953</v>
      </c>
      <c r="G8" s="7" t="s">
        <v>16</v>
      </c>
      <c r="H8" s="9" t="s">
        <v>9</v>
      </c>
      <c r="I8" s="9" t="s">
        <v>13</v>
      </c>
      <c r="J8" s="6">
        <v>33390</v>
      </c>
      <c r="K8" s="6">
        <v>34500</v>
      </c>
      <c r="L8" s="6">
        <v>1110</v>
      </c>
      <c r="M8" s="12" t="s">
        <v>85</v>
      </c>
      <c r="N8" s="12" t="s">
        <v>89</v>
      </c>
      <c r="O8" s="17">
        <v>18700</v>
      </c>
      <c r="P8" s="17">
        <v>1500</v>
      </c>
      <c r="Q8" s="17">
        <v>0</v>
      </c>
      <c r="R8" s="17">
        <v>0</v>
      </c>
      <c r="S8" s="17">
        <v>5300</v>
      </c>
      <c r="T8" s="17">
        <v>1500</v>
      </c>
      <c r="U8" s="17">
        <v>7500</v>
      </c>
      <c r="V8" s="17">
        <v>0</v>
      </c>
      <c r="W8" s="17">
        <v>34500</v>
      </c>
      <c r="X8" s="15">
        <v>0</v>
      </c>
      <c r="Y8" s="17">
        <v>0</v>
      </c>
      <c r="Z8" s="17">
        <v>-1350</v>
      </c>
      <c r="AA8" s="17">
        <v>-1234.5</v>
      </c>
    </row>
    <row r="9" spans="3:27" ht="21.75" customHeight="1" x14ac:dyDescent="0.25">
      <c r="C9" s="4">
        <v>1105</v>
      </c>
      <c r="D9" s="12" t="s">
        <v>92</v>
      </c>
      <c r="E9" s="9" t="s">
        <v>8</v>
      </c>
      <c r="F9" s="8">
        <v>45953</v>
      </c>
      <c r="G9" s="7" t="s">
        <v>16</v>
      </c>
      <c r="H9" s="9" t="s">
        <v>9</v>
      </c>
      <c r="I9" s="9" t="s">
        <v>13</v>
      </c>
      <c r="J9" s="6">
        <v>33890</v>
      </c>
      <c r="K9" s="6">
        <v>34500</v>
      </c>
      <c r="L9" s="6">
        <v>610</v>
      </c>
      <c r="M9" s="12" t="s">
        <v>85</v>
      </c>
      <c r="N9" s="12" t="s">
        <v>89</v>
      </c>
      <c r="O9" s="17">
        <v>18700</v>
      </c>
      <c r="P9" s="17">
        <v>1500</v>
      </c>
      <c r="Q9" s="17">
        <v>0</v>
      </c>
      <c r="R9" s="17">
        <v>0</v>
      </c>
      <c r="S9" s="17">
        <v>5300</v>
      </c>
      <c r="T9" s="17">
        <v>1500</v>
      </c>
      <c r="U9" s="17">
        <v>7500</v>
      </c>
      <c r="V9" s="17">
        <v>0</v>
      </c>
      <c r="W9" s="17">
        <v>34500</v>
      </c>
      <c r="X9" s="15">
        <v>0</v>
      </c>
      <c r="Y9" s="17">
        <v>0</v>
      </c>
      <c r="Z9" s="17">
        <v>-1350</v>
      </c>
      <c r="AA9" s="17">
        <v>-1259.5</v>
      </c>
    </row>
    <row r="10" spans="3:27" ht="21.75" customHeight="1" x14ac:dyDescent="0.25">
      <c r="C10" s="4">
        <v>7049</v>
      </c>
      <c r="D10" s="12" t="s">
        <v>93</v>
      </c>
      <c r="E10" s="9" t="s">
        <v>8</v>
      </c>
      <c r="F10" s="8">
        <v>45953</v>
      </c>
      <c r="G10" s="7" t="s">
        <v>16</v>
      </c>
      <c r="H10" s="9" t="s">
        <v>9</v>
      </c>
      <c r="I10" s="9" t="s">
        <v>13</v>
      </c>
      <c r="J10" s="6">
        <v>33090</v>
      </c>
      <c r="K10" s="6">
        <v>34500</v>
      </c>
      <c r="L10" s="6">
        <v>1410</v>
      </c>
      <c r="M10" s="12" t="s">
        <v>85</v>
      </c>
      <c r="N10" s="12" t="s">
        <v>89</v>
      </c>
      <c r="O10" s="17">
        <v>18700</v>
      </c>
      <c r="P10" s="17">
        <v>1500</v>
      </c>
      <c r="Q10" s="17">
        <v>0</v>
      </c>
      <c r="R10" s="17">
        <v>0</v>
      </c>
      <c r="S10" s="17">
        <v>5300</v>
      </c>
      <c r="T10" s="17">
        <v>1500</v>
      </c>
      <c r="U10" s="17">
        <v>7500</v>
      </c>
      <c r="V10" s="17">
        <v>0</v>
      </c>
      <c r="W10" s="17">
        <v>34500</v>
      </c>
      <c r="X10" s="15">
        <v>0</v>
      </c>
      <c r="Y10" s="17">
        <v>0</v>
      </c>
      <c r="Z10" s="17">
        <v>-1350</v>
      </c>
      <c r="AA10" s="17">
        <v>-1219.5</v>
      </c>
    </row>
    <row r="11" spans="3:27" ht="21.75" customHeight="1" x14ac:dyDescent="0.25">
      <c r="C11" s="4">
        <v>1436</v>
      </c>
      <c r="D11" s="12" t="s">
        <v>94</v>
      </c>
      <c r="E11" s="9" t="s">
        <v>8</v>
      </c>
      <c r="F11" s="8">
        <v>45953</v>
      </c>
      <c r="G11" s="7" t="s">
        <v>16</v>
      </c>
      <c r="H11" s="9" t="s">
        <v>9</v>
      </c>
      <c r="I11" s="9" t="s">
        <v>13</v>
      </c>
      <c r="J11" s="6">
        <v>33390</v>
      </c>
      <c r="K11" s="6">
        <v>34500</v>
      </c>
      <c r="L11" s="6">
        <v>1110</v>
      </c>
      <c r="M11" s="12" t="s">
        <v>85</v>
      </c>
      <c r="N11" s="12" t="s">
        <v>89</v>
      </c>
      <c r="O11" s="17">
        <v>18700</v>
      </c>
      <c r="P11" s="17">
        <v>1500</v>
      </c>
      <c r="Q11" s="17">
        <v>0</v>
      </c>
      <c r="R11" s="17">
        <v>0</v>
      </c>
      <c r="S11" s="17">
        <v>5300</v>
      </c>
      <c r="T11" s="17">
        <v>1500</v>
      </c>
      <c r="U11" s="17">
        <v>7500</v>
      </c>
      <c r="V11" s="17">
        <v>0</v>
      </c>
      <c r="W11" s="17">
        <v>34500</v>
      </c>
      <c r="X11" s="15">
        <v>0</v>
      </c>
      <c r="Y11" s="17">
        <v>0</v>
      </c>
      <c r="Z11" s="17">
        <v>-1350</v>
      </c>
      <c r="AA11" s="17">
        <v>-1234.5</v>
      </c>
    </row>
    <row r="12" spans="3:27" ht="21.75" customHeight="1" x14ac:dyDescent="0.25">
      <c r="C12" s="4">
        <v>1445</v>
      </c>
      <c r="D12" s="12" t="s">
        <v>95</v>
      </c>
      <c r="E12" s="9" t="s">
        <v>8</v>
      </c>
      <c r="F12" s="8">
        <v>45953</v>
      </c>
      <c r="G12" s="7" t="s">
        <v>16</v>
      </c>
      <c r="H12" s="9" t="s">
        <v>9</v>
      </c>
      <c r="I12" s="9" t="s">
        <v>13</v>
      </c>
      <c r="J12" s="6">
        <v>23283</v>
      </c>
      <c r="K12" s="6">
        <v>24447.25</v>
      </c>
      <c r="L12" s="6">
        <v>1164.25</v>
      </c>
      <c r="M12" s="12" t="s">
        <v>85</v>
      </c>
      <c r="N12" s="12" t="s">
        <v>89</v>
      </c>
      <c r="O12" s="17">
        <v>12384.25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11250</v>
      </c>
      <c r="V12" s="17">
        <v>813</v>
      </c>
      <c r="W12" s="17">
        <v>24447.25</v>
      </c>
      <c r="X12" s="15">
        <v>0</v>
      </c>
      <c r="Y12" s="17">
        <v>0</v>
      </c>
      <c r="Z12" s="17">
        <v>0</v>
      </c>
      <c r="AA12" s="17">
        <v>0</v>
      </c>
    </row>
    <row r="13" spans="3:27" ht="21.75" customHeight="1" x14ac:dyDescent="0.25">
      <c r="C13" s="4">
        <v>1224</v>
      </c>
      <c r="D13" s="12" t="s">
        <v>96</v>
      </c>
      <c r="E13" s="9" t="s">
        <v>8</v>
      </c>
      <c r="F13" s="8">
        <v>45953</v>
      </c>
      <c r="G13" s="7" t="s">
        <v>16</v>
      </c>
      <c r="H13" s="9" t="s">
        <v>19</v>
      </c>
      <c r="I13" s="9" t="s">
        <v>76</v>
      </c>
      <c r="J13" s="6">
        <v>25810</v>
      </c>
      <c r="K13" s="6">
        <v>27100.5</v>
      </c>
      <c r="L13" s="6">
        <v>1290.5</v>
      </c>
      <c r="M13" s="12" t="s">
        <v>85</v>
      </c>
      <c r="N13" s="12" t="s">
        <v>89</v>
      </c>
      <c r="O13" s="17">
        <v>10790.5</v>
      </c>
      <c r="P13" s="17">
        <v>1200</v>
      </c>
      <c r="Q13" s="17">
        <v>2700</v>
      </c>
      <c r="R13" s="17">
        <v>0</v>
      </c>
      <c r="S13" s="17">
        <v>4300</v>
      </c>
      <c r="T13" s="17">
        <v>1200</v>
      </c>
      <c r="U13" s="17">
        <v>4600</v>
      </c>
      <c r="V13" s="17">
        <v>2310</v>
      </c>
      <c r="W13" s="17">
        <v>27100.5</v>
      </c>
      <c r="X13" s="15">
        <v>0</v>
      </c>
      <c r="Y13" s="17">
        <v>0</v>
      </c>
      <c r="Z13" s="17">
        <v>-1009.52</v>
      </c>
      <c r="AA13" s="17">
        <v>-955.5</v>
      </c>
    </row>
    <row r="14" spans="3:27" ht="21.75" customHeight="1" x14ac:dyDescent="0.25">
      <c r="C14" s="4">
        <v>1225</v>
      </c>
      <c r="D14" s="12" t="s">
        <v>97</v>
      </c>
      <c r="E14" s="9" t="s">
        <v>8</v>
      </c>
      <c r="F14" s="8">
        <v>45953</v>
      </c>
      <c r="G14" s="7" t="s">
        <v>16</v>
      </c>
      <c r="H14" s="9" t="s">
        <v>19</v>
      </c>
      <c r="I14" s="9" t="s">
        <v>76</v>
      </c>
      <c r="J14" s="6">
        <v>25810</v>
      </c>
      <c r="K14" s="6">
        <v>27100.5</v>
      </c>
      <c r="L14" s="6">
        <v>1290.5</v>
      </c>
      <c r="M14" s="12" t="s">
        <v>85</v>
      </c>
      <c r="N14" s="12" t="s">
        <v>89</v>
      </c>
      <c r="O14" s="17">
        <v>10790.5</v>
      </c>
      <c r="P14" s="17">
        <v>1200</v>
      </c>
      <c r="Q14" s="17">
        <v>2700</v>
      </c>
      <c r="R14" s="17">
        <v>0</v>
      </c>
      <c r="S14" s="17">
        <v>4300</v>
      </c>
      <c r="T14" s="17">
        <v>1200</v>
      </c>
      <c r="U14" s="17">
        <v>4600</v>
      </c>
      <c r="V14" s="17">
        <v>2310</v>
      </c>
      <c r="W14" s="17">
        <v>27100.5</v>
      </c>
      <c r="X14" s="15">
        <v>0</v>
      </c>
      <c r="Y14" s="17">
        <v>0</v>
      </c>
      <c r="Z14" s="17">
        <v>-1009.52</v>
      </c>
      <c r="AA14" s="17">
        <v>-955.5</v>
      </c>
    </row>
    <row r="15" spans="3:27" ht="21.75" customHeight="1" x14ac:dyDescent="0.25">
      <c r="C15" s="4">
        <v>1267</v>
      </c>
      <c r="D15" s="12" t="s">
        <v>98</v>
      </c>
      <c r="E15" s="9" t="s">
        <v>8</v>
      </c>
      <c r="F15" s="8">
        <v>45953</v>
      </c>
      <c r="G15" s="7" t="s">
        <v>16</v>
      </c>
      <c r="H15" s="9" t="s">
        <v>9</v>
      </c>
      <c r="I15" s="9" t="s">
        <v>13</v>
      </c>
      <c r="J15" s="6">
        <v>34509</v>
      </c>
      <c r="K15" s="6">
        <v>36234.5</v>
      </c>
      <c r="L15" s="6">
        <v>1725.5</v>
      </c>
      <c r="M15" s="12" t="s">
        <v>85</v>
      </c>
      <c r="N15" s="12" t="s">
        <v>89</v>
      </c>
      <c r="O15" s="17">
        <v>20425.5</v>
      </c>
      <c r="P15" s="17">
        <v>1500</v>
      </c>
      <c r="Q15" s="17">
        <v>0</v>
      </c>
      <c r="R15" s="17">
        <v>0</v>
      </c>
      <c r="S15" s="17">
        <v>5300</v>
      </c>
      <c r="T15" s="17">
        <v>1500</v>
      </c>
      <c r="U15" s="17">
        <v>7500</v>
      </c>
      <c r="V15" s="17">
        <v>9</v>
      </c>
      <c r="W15" s="17">
        <v>36234.5</v>
      </c>
      <c r="X15" s="15">
        <v>0</v>
      </c>
      <c r="Y15" s="17">
        <v>0</v>
      </c>
      <c r="Z15" s="17">
        <v>-1436.28</v>
      </c>
      <c r="AA15" s="17">
        <v>-1290.45</v>
      </c>
    </row>
    <row r="16" spans="3:27" ht="21.75" customHeight="1" x14ac:dyDescent="0.25">
      <c r="C16" s="4">
        <v>1145</v>
      </c>
      <c r="D16" s="12" t="s">
        <v>99</v>
      </c>
      <c r="E16" s="9" t="s">
        <v>8</v>
      </c>
      <c r="F16" s="8">
        <v>45953</v>
      </c>
      <c r="G16" s="7" t="s">
        <v>16</v>
      </c>
      <c r="H16" s="9" t="s">
        <v>20</v>
      </c>
      <c r="I16" s="9" t="s">
        <v>75</v>
      </c>
      <c r="J16" s="6">
        <v>20543.25</v>
      </c>
      <c r="K16" s="6">
        <v>21570.5</v>
      </c>
      <c r="L16" s="6">
        <v>1027.25</v>
      </c>
      <c r="M16" s="12" t="s">
        <v>85</v>
      </c>
      <c r="N16" s="12" t="s">
        <v>89</v>
      </c>
      <c r="O16" s="17">
        <v>8305.5</v>
      </c>
      <c r="P16" s="17">
        <v>1000</v>
      </c>
      <c r="Q16" s="17">
        <v>2800</v>
      </c>
      <c r="R16" s="17">
        <v>0</v>
      </c>
      <c r="S16" s="17">
        <v>3500</v>
      </c>
      <c r="T16" s="17">
        <v>1000</v>
      </c>
      <c r="U16" s="17">
        <v>3200</v>
      </c>
      <c r="V16" s="17">
        <v>1765</v>
      </c>
      <c r="W16" s="17">
        <v>21570.5</v>
      </c>
      <c r="X16" s="15">
        <v>0</v>
      </c>
      <c r="Y16" s="17">
        <v>0</v>
      </c>
      <c r="Z16" s="17">
        <v>-830.28</v>
      </c>
      <c r="AA16" s="17">
        <v>-778.91</v>
      </c>
    </row>
    <row r="17" spans="3:27" ht="21.75" customHeight="1" x14ac:dyDescent="0.25">
      <c r="C17" s="11">
        <v>1091</v>
      </c>
      <c r="D17" s="12" t="s">
        <v>21</v>
      </c>
      <c r="E17" s="7" t="s">
        <v>15</v>
      </c>
      <c r="F17" s="8">
        <v>45901</v>
      </c>
      <c r="G17" s="7" t="s">
        <v>16</v>
      </c>
      <c r="H17" s="9" t="s">
        <v>18</v>
      </c>
      <c r="I17" s="9" t="s">
        <v>22</v>
      </c>
      <c r="J17" s="6">
        <v>46989.600000000006</v>
      </c>
      <c r="K17" s="6">
        <v>56000</v>
      </c>
      <c r="L17" s="6">
        <v>9010.3999999999942</v>
      </c>
      <c r="M17" s="12" t="s">
        <v>85</v>
      </c>
      <c r="N17" s="12" t="s">
        <v>89</v>
      </c>
      <c r="O17" s="17">
        <v>35000</v>
      </c>
      <c r="P17" s="17">
        <v>2000</v>
      </c>
      <c r="Q17" s="17">
        <v>0</v>
      </c>
      <c r="R17" s="17">
        <v>0</v>
      </c>
      <c r="S17" s="17">
        <v>6500</v>
      </c>
      <c r="T17" s="17">
        <v>2000</v>
      </c>
      <c r="U17" s="17">
        <v>10500</v>
      </c>
      <c r="V17" s="17">
        <v>0</v>
      </c>
      <c r="W17" s="17">
        <v>56000</v>
      </c>
      <c r="X17" s="15">
        <v>0</v>
      </c>
      <c r="Y17" s="17">
        <v>0</v>
      </c>
      <c r="Z17" s="17">
        <v>-2275</v>
      </c>
      <c r="AA17" s="17">
        <v>-1809.48</v>
      </c>
    </row>
    <row r="18" spans="3:27" ht="21.75" customHeight="1" x14ac:dyDescent="0.25">
      <c r="C18" s="11">
        <v>1169</v>
      </c>
      <c r="D18" s="12" t="s">
        <v>23</v>
      </c>
      <c r="E18" s="7" t="s">
        <v>8</v>
      </c>
      <c r="F18" s="8">
        <v>45901</v>
      </c>
      <c r="G18" s="7" t="s">
        <v>16</v>
      </c>
      <c r="H18" s="9" t="s">
        <v>9</v>
      </c>
      <c r="I18" s="9" t="s">
        <v>18</v>
      </c>
      <c r="J18" s="6">
        <v>35309</v>
      </c>
      <c r="K18" s="6">
        <v>39000</v>
      </c>
      <c r="L18" s="6">
        <v>3691</v>
      </c>
      <c r="M18" s="12" t="s">
        <v>85</v>
      </c>
      <c r="N18" s="12" t="s">
        <v>89</v>
      </c>
      <c r="O18" s="17">
        <v>23200</v>
      </c>
      <c r="P18" s="17">
        <v>1500</v>
      </c>
      <c r="Q18" s="17">
        <v>0</v>
      </c>
      <c r="R18" s="17">
        <v>0</v>
      </c>
      <c r="S18" s="17">
        <v>5300</v>
      </c>
      <c r="T18" s="17">
        <v>1500</v>
      </c>
      <c r="U18" s="17">
        <v>7500</v>
      </c>
      <c r="V18" s="17">
        <v>0</v>
      </c>
      <c r="W18" s="17">
        <v>39000</v>
      </c>
      <c r="X18" s="15">
        <v>0</v>
      </c>
      <c r="Y18" s="17">
        <v>0</v>
      </c>
      <c r="Z18" s="17">
        <v>-1575</v>
      </c>
      <c r="AA18" s="17">
        <v>-1330.45</v>
      </c>
    </row>
    <row r="19" spans="3:27" ht="21.75" customHeight="1" x14ac:dyDescent="0.25">
      <c r="C19" s="11">
        <v>1517</v>
      </c>
      <c r="D19" s="12" t="s">
        <v>24</v>
      </c>
      <c r="E19" s="7" t="s">
        <v>15</v>
      </c>
      <c r="F19" s="8">
        <v>45901</v>
      </c>
      <c r="G19" s="7" t="s">
        <v>16</v>
      </c>
      <c r="H19" s="9" t="s">
        <v>9</v>
      </c>
      <c r="I19" s="9" t="s">
        <v>18</v>
      </c>
      <c r="J19" s="6">
        <v>34839</v>
      </c>
      <c r="K19" s="6">
        <v>39000</v>
      </c>
      <c r="L19" s="6">
        <v>4161</v>
      </c>
      <c r="M19" s="12" t="s">
        <v>85</v>
      </c>
      <c r="N19" s="12" t="s">
        <v>89</v>
      </c>
      <c r="O19" s="17">
        <v>23200</v>
      </c>
      <c r="P19" s="17">
        <v>1500</v>
      </c>
      <c r="Q19" s="17">
        <v>0</v>
      </c>
      <c r="R19" s="17">
        <v>0</v>
      </c>
      <c r="S19" s="17">
        <v>5300</v>
      </c>
      <c r="T19" s="17">
        <v>1500</v>
      </c>
      <c r="U19" s="17">
        <v>7500</v>
      </c>
      <c r="V19" s="17">
        <v>0</v>
      </c>
      <c r="W19" s="17">
        <v>39000</v>
      </c>
      <c r="X19" s="15">
        <v>0</v>
      </c>
      <c r="Y19" s="17">
        <v>0</v>
      </c>
      <c r="Z19" s="17">
        <v>-1575</v>
      </c>
      <c r="AA19" s="17">
        <v>-1306.95</v>
      </c>
    </row>
    <row r="20" spans="3:27" ht="21.75" customHeight="1" x14ac:dyDescent="0.25">
      <c r="C20" s="11">
        <v>1705</v>
      </c>
      <c r="D20" s="12" t="s">
        <v>25</v>
      </c>
      <c r="E20" s="7" t="s">
        <v>15</v>
      </c>
      <c r="F20" s="8">
        <v>45901</v>
      </c>
      <c r="G20" s="7" t="s">
        <v>16</v>
      </c>
      <c r="H20" s="9" t="s">
        <v>12</v>
      </c>
      <c r="I20" s="9" t="s">
        <v>13</v>
      </c>
      <c r="J20" s="6">
        <v>21900</v>
      </c>
      <c r="K20" s="6">
        <v>34500</v>
      </c>
      <c r="L20" s="6">
        <v>12600</v>
      </c>
      <c r="M20" s="12" t="s">
        <v>85</v>
      </c>
      <c r="N20" s="12" t="s">
        <v>89</v>
      </c>
      <c r="O20" s="17">
        <v>18700</v>
      </c>
      <c r="P20" s="17">
        <v>1500</v>
      </c>
      <c r="Q20" s="17">
        <v>0</v>
      </c>
      <c r="R20" s="17">
        <v>0</v>
      </c>
      <c r="S20" s="17">
        <v>5300</v>
      </c>
      <c r="T20" s="17">
        <v>1500</v>
      </c>
      <c r="U20" s="17">
        <v>7500</v>
      </c>
      <c r="V20" s="17">
        <v>0</v>
      </c>
      <c r="W20" s="17">
        <v>34500</v>
      </c>
      <c r="X20" s="15">
        <v>0</v>
      </c>
      <c r="Y20" s="17">
        <v>0</v>
      </c>
      <c r="Z20" s="17">
        <v>-1350</v>
      </c>
      <c r="AA20" s="17">
        <v>-865</v>
      </c>
    </row>
    <row r="21" spans="3:27" ht="21.75" customHeight="1" x14ac:dyDescent="0.25">
      <c r="C21" s="11">
        <v>1710</v>
      </c>
      <c r="D21" s="12" t="s">
        <v>26</v>
      </c>
      <c r="E21" s="7" t="s">
        <v>15</v>
      </c>
      <c r="F21" s="8">
        <v>45901</v>
      </c>
      <c r="G21" s="7" t="s">
        <v>16</v>
      </c>
      <c r="H21" s="9" t="s">
        <v>12</v>
      </c>
      <c r="I21" s="9" t="s">
        <v>13</v>
      </c>
      <c r="J21" s="6">
        <v>15900</v>
      </c>
      <c r="K21" s="6">
        <v>20500</v>
      </c>
      <c r="L21" s="6">
        <v>4600</v>
      </c>
      <c r="M21" s="12" t="s">
        <v>85</v>
      </c>
      <c r="N21" s="12" t="s">
        <v>89</v>
      </c>
      <c r="O21" s="17">
        <v>9250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11250</v>
      </c>
      <c r="V21" s="17">
        <v>0</v>
      </c>
      <c r="W21" s="17">
        <v>20500</v>
      </c>
      <c r="X21" s="15">
        <v>0</v>
      </c>
      <c r="Y21" s="17">
        <v>0</v>
      </c>
      <c r="Z21" s="17">
        <v>0</v>
      </c>
      <c r="AA21" s="17">
        <v>0</v>
      </c>
    </row>
    <row r="22" spans="3:27" ht="21.75" customHeight="1" x14ac:dyDescent="0.25">
      <c r="C22" s="11">
        <v>1711</v>
      </c>
      <c r="D22" s="12" t="s">
        <v>27</v>
      </c>
      <c r="E22" s="7" t="s">
        <v>15</v>
      </c>
      <c r="F22" s="8">
        <v>45901</v>
      </c>
      <c r="G22" s="7" t="s">
        <v>16</v>
      </c>
      <c r="H22" s="9" t="s">
        <v>12</v>
      </c>
      <c r="I22" s="9" t="s">
        <v>13</v>
      </c>
      <c r="J22" s="6">
        <v>15900</v>
      </c>
      <c r="K22" s="6">
        <v>20500</v>
      </c>
      <c r="L22" s="6">
        <v>4600</v>
      </c>
      <c r="M22" s="12" t="s">
        <v>85</v>
      </c>
      <c r="N22" s="12" t="s">
        <v>89</v>
      </c>
      <c r="O22" s="17">
        <v>9250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11250</v>
      </c>
      <c r="V22" s="17">
        <v>0</v>
      </c>
      <c r="W22" s="17">
        <v>20500</v>
      </c>
      <c r="X22" s="15">
        <v>0</v>
      </c>
      <c r="Y22" s="17">
        <v>0</v>
      </c>
      <c r="Z22" s="17">
        <v>0</v>
      </c>
      <c r="AA22" s="17">
        <v>0</v>
      </c>
    </row>
    <row r="23" spans="3:27" ht="21.75" customHeight="1" x14ac:dyDescent="0.25">
      <c r="C23" s="4">
        <v>215</v>
      </c>
      <c r="D23" s="12" t="s">
        <v>100</v>
      </c>
      <c r="E23" s="9" t="s">
        <v>8</v>
      </c>
      <c r="F23" s="8">
        <v>45953</v>
      </c>
      <c r="G23" s="7" t="s">
        <v>16</v>
      </c>
      <c r="H23" s="9" t="s">
        <v>29</v>
      </c>
      <c r="I23" s="9" t="s">
        <v>101</v>
      </c>
      <c r="J23" s="6">
        <v>15864</v>
      </c>
      <c r="K23" s="6">
        <v>16657.25</v>
      </c>
      <c r="L23" s="6">
        <v>793.25</v>
      </c>
      <c r="M23" s="12" t="s">
        <v>85</v>
      </c>
      <c r="N23" s="12" t="s">
        <v>102</v>
      </c>
      <c r="O23" s="17">
        <v>6093.25</v>
      </c>
      <c r="P23" s="17">
        <v>800</v>
      </c>
      <c r="Q23" s="17">
        <v>2600</v>
      </c>
      <c r="R23" s="17">
        <v>0</v>
      </c>
      <c r="S23" s="17">
        <v>2900</v>
      </c>
      <c r="T23" s="17">
        <v>800</v>
      </c>
      <c r="U23" s="17">
        <v>2600</v>
      </c>
      <c r="V23" s="17">
        <v>864</v>
      </c>
      <c r="W23" s="17">
        <v>16657.25</v>
      </c>
      <c r="X23" s="15">
        <v>0</v>
      </c>
      <c r="Y23" s="17">
        <v>2400</v>
      </c>
      <c r="Z23" s="17">
        <v>-779.66</v>
      </c>
      <c r="AA23" s="17">
        <v>-728.2</v>
      </c>
    </row>
    <row r="24" spans="3:27" ht="21.75" customHeight="1" x14ac:dyDescent="0.25">
      <c r="C24" s="4">
        <v>1017</v>
      </c>
      <c r="D24" s="12" t="s">
        <v>103</v>
      </c>
      <c r="E24" s="9" t="s">
        <v>8</v>
      </c>
      <c r="F24" s="8">
        <v>45953</v>
      </c>
      <c r="G24" s="7" t="s">
        <v>16</v>
      </c>
      <c r="H24" s="9" t="s">
        <v>9</v>
      </c>
      <c r="I24" s="9" t="s">
        <v>13</v>
      </c>
      <c r="J24" s="6">
        <v>34509</v>
      </c>
      <c r="K24" s="6">
        <v>36234.5</v>
      </c>
      <c r="L24" s="6">
        <v>1725.5</v>
      </c>
      <c r="M24" s="12" t="s">
        <v>85</v>
      </c>
      <c r="N24" s="12" t="s">
        <v>102</v>
      </c>
      <c r="O24" s="17">
        <v>20425.5</v>
      </c>
      <c r="P24" s="17">
        <v>1500</v>
      </c>
      <c r="Q24" s="17">
        <v>0</v>
      </c>
      <c r="R24" s="17">
        <v>0</v>
      </c>
      <c r="S24" s="17">
        <v>5300</v>
      </c>
      <c r="T24" s="17">
        <v>1500</v>
      </c>
      <c r="U24" s="17">
        <v>7500</v>
      </c>
      <c r="V24" s="17">
        <v>9</v>
      </c>
      <c r="W24" s="17">
        <v>36234.5</v>
      </c>
      <c r="X24" s="15">
        <v>0</v>
      </c>
      <c r="Y24" s="17">
        <v>3000</v>
      </c>
      <c r="Z24" s="17">
        <v>-1586.28</v>
      </c>
      <c r="AA24" s="17">
        <v>-1440.45</v>
      </c>
    </row>
    <row r="25" spans="3:27" ht="21.75" customHeight="1" x14ac:dyDescent="0.25">
      <c r="C25" s="4">
        <v>778</v>
      </c>
      <c r="D25" s="12" t="s">
        <v>30</v>
      </c>
      <c r="E25" s="9" t="s">
        <v>8</v>
      </c>
      <c r="F25" s="8">
        <v>45953</v>
      </c>
      <c r="G25" s="7" t="s">
        <v>16</v>
      </c>
      <c r="H25" s="9" t="s">
        <v>9</v>
      </c>
      <c r="I25" s="9" t="s">
        <v>18</v>
      </c>
      <c r="J25" s="6">
        <v>34509</v>
      </c>
      <c r="K25" s="6">
        <v>39000</v>
      </c>
      <c r="L25" s="6">
        <v>4491</v>
      </c>
      <c r="M25" s="12" t="s">
        <v>85</v>
      </c>
      <c r="N25" s="12" t="s">
        <v>102</v>
      </c>
      <c r="O25" s="17">
        <v>23200</v>
      </c>
      <c r="P25" s="17">
        <v>1500</v>
      </c>
      <c r="Q25" s="17">
        <v>0</v>
      </c>
      <c r="R25" s="17">
        <v>0</v>
      </c>
      <c r="S25" s="17">
        <v>5300</v>
      </c>
      <c r="T25" s="17">
        <v>1500</v>
      </c>
      <c r="U25" s="17">
        <v>7500</v>
      </c>
      <c r="V25" s="17">
        <v>0</v>
      </c>
      <c r="W25" s="17">
        <v>39000</v>
      </c>
      <c r="X25" s="15">
        <v>0</v>
      </c>
      <c r="Y25" s="17">
        <v>1200</v>
      </c>
      <c r="Z25" s="17">
        <v>-1635</v>
      </c>
      <c r="AA25" s="17">
        <v>-1350.45</v>
      </c>
    </row>
    <row r="26" spans="3:27" ht="21.75" customHeight="1" x14ac:dyDescent="0.25">
      <c r="C26" s="4">
        <v>935</v>
      </c>
      <c r="D26" s="12" t="s">
        <v>104</v>
      </c>
      <c r="E26" s="9" t="s">
        <v>8</v>
      </c>
      <c r="F26" s="8">
        <v>45953</v>
      </c>
      <c r="G26" s="7" t="s">
        <v>16</v>
      </c>
      <c r="H26" s="9" t="s">
        <v>9</v>
      </c>
      <c r="I26" s="9" t="s">
        <v>13</v>
      </c>
      <c r="J26" s="6">
        <v>34509</v>
      </c>
      <c r="K26" s="6">
        <v>36234.5</v>
      </c>
      <c r="L26" s="6">
        <v>1725.5</v>
      </c>
      <c r="M26" s="12" t="s">
        <v>85</v>
      </c>
      <c r="N26" s="12" t="s">
        <v>105</v>
      </c>
      <c r="O26" s="17">
        <v>20425.5</v>
      </c>
      <c r="P26" s="17">
        <v>1500</v>
      </c>
      <c r="Q26" s="17">
        <v>0</v>
      </c>
      <c r="R26" s="17">
        <v>0</v>
      </c>
      <c r="S26" s="17">
        <v>5300</v>
      </c>
      <c r="T26" s="17">
        <v>1500</v>
      </c>
      <c r="U26" s="17">
        <v>7500</v>
      </c>
      <c r="V26" s="17">
        <v>9</v>
      </c>
      <c r="W26" s="17">
        <v>36234.5</v>
      </c>
      <c r="X26" s="15">
        <v>0</v>
      </c>
      <c r="Y26" s="17">
        <v>1800</v>
      </c>
      <c r="Z26" s="17">
        <v>-1526.28</v>
      </c>
      <c r="AA26" s="17">
        <v>-1380.45</v>
      </c>
    </row>
    <row r="27" spans="3:27" ht="21.75" customHeight="1" x14ac:dyDescent="0.25">
      <c r="C27" s="4">
        <v>799</v>
      </c>
      <c r="D27" s="12" t="s">
        <v>106</v>
      </c>
      <c r="E27" s="9" t="s">
        <v>8</v>
      </c>
      <c r="F27" s="8">
        <v>45953</v>
      </c>
      <c r="G27" s="7" t="s">
        <v>16</v>
      </c>
      <c r="H27" s="9" t="s">
        <v>9</v>
      </c>
      <c r="I27" s="9" t="s">
        <v>13</v>
      </c>
      <c r="J27" s="6">
        <v>36069.9</v>
      </c>
      <c r="K27" s="6">
        <v>37873.5</v>
      </c>
      <c r="L27" s="6">
        <v>1803.5999999999985</v>
      </c>
      <c r="M27" s="12" t="s">
        <v>85</v>
      </c>
      <c r="N27" s="12" t="s">
        <v>105</v>
      </c>
      <c r="O27" s="17">
        <v>20503.5</v>
      </c>
      <c r="P27" s="17">
        <v>1500</v>
      </c>
      <c r="Q27" s="17">
        <v>0</v>
      </c>
      <c r="R27" s="17">
        <v>0</v>
      </c>
      <c r="S27" s="17">
        <v>5300</v>
      </c>
      <c r="T27" s="17">
        <v>1500</v>
      </c>
      <c r="U27" s="17">
        <v>7500</v>
      </c>
      <c r="V27" s="17">
        <v>1570</v>
      </c>
      <c r="W27" s="17">
        <v>37873.5</v>
      </c>
      <c r="X27" s="15">
        <v>0</v>
      </c>
      <c r="Y27" s="17">
        <v>0</v>
      </c>
      <c r="Z27" s="17">
        <v>-1440.18</v>
      </c>
      <c r="AA27" s="17">
        <v>-1368.5</v>
      </c>
    </row>
    <row r="28" spans="3:27" ht="21.75" customHeight="1" x14ac:dyDescent="0.25">
      <c r="C28" s="4">
        <v>408</v>
      </c>
      <c r="D28" s="12" t="s">
        <v>107</v>
      </c>
      <c r="E28" s="9" t="s">
        <v>8</v>
      </c>
      <c r="F28" s="8">
        <v>45953</v>
      </c>
      <c r="G28" s="7" t="s">
        <v>16</v>
      </c>
      <c r="H28" s="9" t="s">
        <v>19</v>
      </c>
      <c r="I28" s="9" t="s">
        <v>76</v>
      </c>
      <c r="J28" s="6">
        <v>29599.599999999999</v>
      </c>
      <c r="K28" s="6">
        <v>31079.5</v>
      </c>
      <c r="L28" s="6">
        <v>1479.9000000000015</v>
      </c>
      <c r="M28" s="12" t="s">
        <v>85</v>
      </c>
      <c r="N28" s="12" t="s">
        <v>105</v>
      </c>
      <c r="O28" s="17">
        <v>12079.5</v>
      </c>
      <c r="P28" s="17">
        <v>1200</v>
      </c>
      <c r="Q28" s="17">
        <v>5100</v>
      </c>
      <c r="R28" s="17">
        <v>0</v>
      </c>
      <c r="S28" s="17">
        <v>4300</v>
      </c>
      <c r="T28" s="17">
        <v>1200</v>
      </c>
      <c r="U28" s="17">
        <v>4600</v>
      </c>
      <c r="V28" s="17">
        <v>2600</v>
      </c>
      <c r="W28" s="17">
        <v>31079.5</v>
      </c>
      <c r="X28" s="15">
        <v>0</v>
      </c>
      <c r="Y28" s="17">
        <v>0</v>
      </c>
      <c r="Z28" s="17">
        <v>-1193.98</v>
      </c>
      <c r="AA28" s="17">
        <v>-1144.98</v>
      </c>
    </row>
    <row r="29" spans="3:27" ht="21.75" customHeight="1" thickBot="1" x14ac:dyDescent="0.3">
      <c r="C29" s="4">
        <v>1236</v>
      </c>
      <c r="D29" s="12" t="s">
        <v>108</v>
      </c>
      <c r="E29" s="14" t="s">
        <v>8</v>
      </c>
      <c r="F29" s="8">
        <v>45953</v>
      </c>
      <c r="G29" s="7" t="s">
        <v>16</v>
      </c>
      <c r="H29" s="9" t="s">
        <v>9</v>
      </c>
      <c r="I29" s="9" t="s">
        <v>13</v>
      </c>
      <c r="J29" s="6">
        <v>34509</v>
      </c>
      <c r="K29" s="6">
        <v>36234.5</v>
      </c>
      <c r="L29" s="6">
        <v>1725.5</v>
      </c>
      <c r="M29" s="12" t="s">
        <v>85</v>
      </c>
      <c r="N29" s="12" t="s">
        <v>105</v>
      </c>
      <c r="O29" s="17">
        <v>20425.5</v>
      </c>
      <c r="P29" s="17">
        <v>1500</v>
      </c>
      <c r="Q29" s="17">
        <v>0</v>
      </c>
      <c r="R29" s="17">
        <v>0</v>
      </c>
      <c r="S29" s="17">
        <v>5300</v>
      </c>
      <c r="T29" s="17">
        <v>1500</v>
      </c>
      <c r="U29" s="17">
        <v>7500</v>
      </c>
      <c r="V29" s="17">
        <v>9</v>
      </c>
      <c r="W29" s="17">
        <v>36234.5</v>
      </c>
      <c r="X29" s="15">
        <v>0</v>
      </c>
      <c r="Y29" s="17">
        <v>0</v>
      </c>
      <c r="Z29" s="17">
        <v>-1436.28</v>
      </c>
      <c r="AA29" s="17">
        <v>-1290.45</v>
      </c>
    </row>
    <row r="30" spans="3:27" ht="21.75" customHeight="1" thickBot="1" x14ac:dyDescent="0.3">
      <c r="C30" s="4">
        <v>1522</v>
      </c>
      <c r="D30" s="12" t="s">
        <v>109</v>
      </c>
      <c r="E30" s="14" t="s">
        <v>8</v>
      </c>
      <c r="F30" s="8">
        <v>45953</v>
      </c>
      <c r="G30" s="7" t="s">
        <v>16</v>
      </c>
      <c r="H30" s="9" t="s">
        <v>9</v>
      </c>
      <c r="I30" s="9" t="s">
        <v>13</v>
      </c>
      <c r="J30" s="6">
        <v>34509</v>
      </c>
      <c r="K30" s="6">
        <v>36234.5</v>
      </c>
      <c r="L30" s="6">
        <v>1725.5</v>
      </c>
      <c r="M30" s="12" t="s">
        <v>85</v>
      </c>
      <c r="N30" s="12" t="s">
        <v>105</v>
      </c>
      <c r="O30" s="17">
        <v>20425.5</v>
      </c>
      <c r="P30" s="17">
        <v>1500</v>
      </c>
      <c r="Q30" s="17">
        <v>0</v>
      </c>
      <c r="R30" s="17">
        <v>0</v>
      </c>
      <c r="S30" s="17">
        <v>5300</v>
      </c>
      <c r="T30" s="17">
        <v>1500</v>
      </c>
      <c r="U30" s="17">
        <v>7500</v>
      </c>
      <c r="V30" s="17">
        <v>9</v>
      </c>
      <c r="W30" s="17">
        <v>36234.5</v>
      </c>
      <c r="X30" s="15">
        <v>0</v>
      </c>
      <c r="Y30" s="17">
        <v>0</v>
      </c>
      <c r="Z30" s="17">
        <v>-1436.28</v>
      </c>
      <c r="AA30" s="17">
        <v>-1290.45</v>
      </c>
    </row>
    <row r="31" spans="3:27" ht="21.75" customHeight="1" thickBot="1" x14ac:dyDescent="0.3">
      <c r="C31" s="4">
        <v>1524</v>
      </c>
      <c r="D31" s="12" t="s">
        <v>110</v>
      </c>
      <c r="E31" s="14" t="s">
        <v>8</v>
      </c>
      <c r="F31" s="8">
        <v>45953</v>
      </c>
      <c r="G31" s="7" t="s">
        <v>16</v>
      </c>
      <c r="H31" s="9" t="s">
        <v>9</v>
      </c>
      <c r="I31" s="9" t="s">
        <v>13</v>
      </c>
      <c r="J31" s="6">
        <v>35059.5</v>
      </c>
      <c r="K31" s="6">
        <v>36812.5</v>
      </c>
      <c r="L31" s="6">
        <v>1753</v>
      </c>
      <c r="M31" s="12" t="s">
        <v>85</v>
      </c>
      <c r="N31" s="12" t="s">
        <v>105</v>
      </c>
      <c r="O31" s="17">
        <v>20453</v>
      </c>
      <c r="P31" s="17">
        <v>1500</v>
      </c>
      <c r="Q31" s="17">
        <v>0</v>
      </c>
      <c r="R31" s="17">
        <v>0</v>
      </c>
      <c r="S31" s="17">
        <v>5300</v>
      </c>
      <c r="T31" s="17">
        <v>1500</v>
      </c>
      <c r="U31" s="17">
        <v>7500</v>
      </c>
      <c r="V31" s="17">
        <v>559.5</v>
      </c>
      <c r="W31" s="17">
        <v>36812.5</v>
      </c>
      <c r="X31" s="15">
        <v>0</v>
      </c>
      <c r="Y31" s="17">
        <v>0</v>
      </c>
      <c r="Z31" s="17">
        <v>-1437.65</v>
      </c>
      <c r="AA31" s="17">
        <v>-1317.98</v>
      </c>
    </row>
    <row r="32" spans="3:27" ht="21.75" customHeight="1" thickBot="1" x14ac:dyDescent="0.3">
      <c r="C32" s="4">
        <v>639</v>
      </c>
      <c r="D32" s="12" t="s">
        <v>33</v>
      </c>
      <c r="E32" s="14" t="s">
        <v>8</v>
      </c>
      <c r="F32" s="8">
        <v>45953</v>
      </c>
      <c r="G32" s="7" t="s">
        <v>16</v>
      </c>
      <c r="H32" s="9" t="s">
        <v>9</v>
      </c>
      <c r="I32" s="9" t="s">
        <v>13</v>
      </c>
      <c r="J32" s="6">
        <v>35342</v>
      </c>
      <c r="K32" s="6">
        <v>37109</v>
      </c>
      <c r="L32" s="6">
        <v>1561</v>
      </c>
      <c r="M32" s="12" t="s">
        <v>85</v>
      </c>
      <c r="N32" s="12" t="s">
        <v>105</v>
      </c>
      <c r="O32" s="17">
        <v>20467</v>
      </c>
      <c r="P32" s="17">
        <v>1500</v>
      </c>
      <c r="Q32" s="17">
        <v>0</v>
      </c>
      <c r="R32" s="17">
        <v>0</v>
      </c>
      <c r="S32" s="17">
        <v>5300</v>
      </c>
      <c r="T32" s="17">
        <v>1500</v>
      </c>
      <c r="U32" s="17">
        <v>7500</v>
      </c>
      <c r="V32" s="17">
        <v>842</v>
      </c>
      <c r="W32" s="17">
        <v>37109</v>
      </c>
      <c r="X32" s="15">
        <v>0</v>
      </c>
      <c r="Y32" s="17">
        <v>2400</v>
      </c>
      <c r="Z32" s="17">
        <v>-1558.35</v>
      </c>
      <c r="AA32" s="17">
        <v>-1452.1</v>
      </c>
    </row>
    <row r="33" spans="3:27" ht="21.75" customHeight="1" thickBot="1" x14ac:dyDescent="0.3">
      <c r="C33" s="11">
        <v>680</v>
      </c>
      <c r="D33" s="12" t="s">
        <v>34</v>
      </c>
      <c r="E33" s="10" t="s">
        <v>15</v>
      </c>
      <c r="F33" s="8">
        <v>45901</v>
      </c>
      <c r="G33" s="7" t="s">
        <v>16</v>
      </c>
      <c r="H33" s="9" t="s">
        <v>22</v>
      </c>
      <c r="I33" s="9" t="s">
        <v>35</v>
      </c>
      <c r="J33" s="6">
        <v>60173.5</v>
      </c>
      <c r="K33" s="6">
        <v>80000</v>
      </c>
      <c r="L33" s="6">
        <v>19826.5</v>
      </c>
      <c r="M33" s="12" t="s">
        <v>85</v>
      </c>
      <c r="N33" s="12" t="s">
        <v>105</v>
      </c>
      <c r="O33" s="17">
        <v>52000</v>
      </c>
      <c r="P33" s="17">
        <v>2500</v>
      </c>
      <c r="Q33" s="17">
        <v>0</v>
      </c>
      <c r="R33" s="17">
        <v>0</v>
      </c>
      <c r="S33" s="17">
        <v>8000</v>
      </c>
      <c r="T33" s="17">
        <v>2500</v>
      </c>
      <c r="U33" s="17">
        <v>15000</v>
      </c>
      <c r="V33" s="17">
        <v>0</v>
      </c>
      <c r="W33" s="17">
        <v>80000</v>
      </c>
      <c r="X33" s="15">
        <v>0</v>
      </c>
      <c r="Y33" s="17">
        <v>0</v>
      </c>
      <c r="Z33" s="17">
        <v>-3250</v>
      </c>
      <c r="AA33" s="17">
        <v>-2304.7199999999998</v>
      </c>
    </row>
    <row r="34" spans="3:27" ht="21.75" customHeight="1" thickBot="1" x14ac:dyDescent="0.3">
      <c r="C34" s="7">
        <v>7075</v>
      </c>
      <c r="D34" s="12" t="s">
        <v>41</v>
      </c>
      <c r="E34" s="10" t="s">
        <v>15</v>
      </c>
      <c r="F34" s="8">
        <v>45921</v>
      </c>
      <c r="G34" s="7" t="s">
        <v>16</v>
      </c>
      <c r="H34" s="9" t="s">
        <v>12</v>
      </c>
      <c r="I34" s="9" t="s">
        <v>13</v>
      </c>
      <c r="J34" s="6">
        <v>15900</v>
      </c>
      <c r="K34" s="6">
        <v>20500</v>
      </c>
      <c r="L34" s="6">
        <v>4600</v>
      </c>
      <c r="M34" s="12" t="s">
        <v>111</v>
      </c>
      <c r="N34" s="12" t="s">
        <v>112</v>
      </c>
      <c r="O34" s="17">
        <v>9250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11250</v>
      </c>
      <c r="V34" s="17">
        <v>0</v>
      </c>
      <c r="W34" s="17">
        <v>20500</v>
      </c>
      <c r="X34" s="15">
        <v>0</v>
      </c>
      <c r="Y34" s="17">
        <v>0</v>
      </c>
      <c r="Z34" s="17">
        <v>0</v>
      </c>
      <c r="AA34" s="17">
        <v>0</v>
      </c>
    </row>
    <row r="35" spans="3:27" ht="21.75" customHeight="1" x14ac:dyDescent="0.25">
      <c r="C35" s="4">
        <v>1357</v>
      </c>
      <c r="D35" s="12" t="s">
        <v>113</v>
      </c>
      <c r="E35" s="9" t="s">
        <v>8</v>
      </c>
      <c r="F35" s="8">
        <v>45953</v>
      </c>
      <c r="G35" s="7" t="s">
        <v>16</v>
      </c>
      <c r="H35" s="9" t="s">
        <v>9</v>
      </c>
      <c r="I35" s="9" t="s">
        <v>13</v>
      </c>
      <c r="J35" s="6">
        <v>22243</v>
      </c>
      <c r="K35" s="6">
        <v>23355.25</v>
      </c>
      <c r="L35" s="6">
        <v>1112.25</v>
      </c>
      <c r="M35" s="12" t="s">
        <v>114</v>
      </c>
      <c r="N35" s="12" t="s">
        <v>115</v>
      </c>
      <c r="O35" s="17">
        <v>10792.25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11250</v>
      </c>
      <c r="V35" s="17">
        <v>1313</v>
      </c>
      <c r="W35" s="17">
        <v>23355.25</v>
      </c>
      <c r="X35" s="15">
        <v>0</v>
      </c>
      <c r="Y35" s="17">
        <v>0</v>
      </c>
      <c r="Z35" s="17">
        <v>0</v>
      </c>
      <c r="AA35" s="17">
        <v>0</v>
      </c>
    </row>
    <row r="36" spans="3:27" ht="21.75" customHeight="1" x14ac:dyDescent="0.25">
      <c r="C36" s="4">
        <v>865</v>
      </c>
      <c r="D36" s="12" t="s">
        <v>46</v>
      </c>
      <c r="E36" s="9" t="s">
        <v>8</v>
      </c>
      <c r="F36" s="8">
        <v>45953</v>
      </c>
      <c r="G36" s="7" t="s">
        <v>16</v>
      </c>
      <c r="H36" s="9" t="s">
        <v>9</v>
      </c>
      <c r="I36" s="9" t="s">
        <v>13</v>
      </c>
      <c r="J36" s="6">
        <v>39772</v>
      </c>
      <c r="K36" s="6">
        <v>41760.5</v>
      </c>
      <c r="L36" s="6">
        <v>1988.5</v>
      </c>
      <c r="M36" s="12" t="s">
        <v>114</v>
      </c>
      <c r="N36" s="12" t="s">
        <v>115</v>
      </c>
      <c r="O36" s="17">
        <v>20688.5</v>
      </c>
      <c r="P36" s="17">
        <v>1500</v>
      </c>
      <c r="Q36" s="17">
        <v>3100</v>
      </c>
      <c r="R36" s="17">
        <v>0</v>
      </c>
      <c r="S36" s="17">
        <v>5300</v>
      </c>
      <c r="T36" s="17">
        <v>1500</v>
      </c>
      <c r="U36" s="17">
        <v>7500</v>
      </c>
      <c r="V36" s="17">
        <v>2172</v>
      </c>
      <c r="W36" s="17">
        <v>41760.5</v>
      </c>
      <c r="X36" s="15">
        <v>0</v>
      </c>
      <c r="Y36" s="17">
        <v>0</v>
      </c>
      <c r="Z36" s="17">
        <v>-1604.42</v>
      </c>
      <c r="AA36" s="17">
        <v>-1553.6</v>
      </c>
    </row>
    <row r="37" spans="3:27" ht="21.75" customHeight="1" x14ac:dyDescent="0.25">
      <c r="C37" s="11">
        <v>1049</v>
      </c>
      <c r="D37" s="12" t="s">
        <v>47</v>
      </c>
      <c r="E37" s="7" t="s">
        <v>8</v>
      </c>
      <c r="F37" s="8">
        <v>45901</v>
      </c>
      <c r="G37" s="7" t="s">
        <v>16</v>
      </c>
      <c r="H37" s="9" t="s">
        <v>12</v>
      </c>
      <c r="I37" s="9" t="s">
        <v>13</v>
      </c>
      <c r="J37" s="6">
        <v>29778.53</v>
      </c>
      <c r="K37" s="6">
        <v>34500</v>
      </c>
      <c r="L37" s="6">
        <v>4721.4700000000012</v>
      </c>
      <c r="M37" s="12" t="s">
        <v>114</v>
      </c>
      <c r="N37" s="12" t="s">
        <v>115</v>
      </c>
      <c r="O37" s="17">
        <v>18700</v>
      </c>
      <c r="P37" s="17">
        <v>1500</v>
      </c>
      <c r="Q37" s="17">
        <v>0</v>
      </c>
      <c r="R37" s="17">
        <v>0</v>
      </c>
      <c r="S37" s="17">
        <v>5300</v>
      </c>
      <c r="T37" s="17">
        <v>1500</v>
      </c>
      <c r="U37" s="17">
        <v>7500</v>
      </c>
      <c r="V37" s="17">
        <v>0</v>
      </c>
      <c r="W37" s="17">
        <v>34500</v>
      </c>
      <c r="X37" s="15">
        <v>0</v>
      </c>
      <c r="Y37" s="17">
        <v>0</v>
      </c>
      <c r="Z37" s="17">
        <v>-1350</v>
      </c>
      <c r="AA37" s="17">
        <v>-1148.43</v>
      </c>
    </row>
    <row r="38" spans="3:27" ht="21.75" customHeight="1" x14ac:dyDescent="0.25">
      <c r="C38" s="4">
        <v>1259</v>
      </c>
      <c r="D38" s="12" t="s">
        <v>116</v>
      </c>
      <c r="E38" s="9" t="s">
        <v>8</v>
      </c>
      <c r="F38" s="8">
        <v>45953</v>
      </c>
      <c r="G38" s="7" t="s">
        <v>16</v>
      </c>
      <c r="H38" s="9" t="s">
        <v>9</v>
      </c>
      <c r="I38" s="9" t="s">
        <v>13</v>
      </c>
      <c r="J38" s="6">
        <v>34509</v>
      </c>
      <c r="K38" s="6">
        <v>36234.5</v>
      </c>
      <c r="L38" s="6">
        <v>1725.5</v>
      </c>
      <c r="M38" s="12" t="s">
        <v>117</v>
      </c>
      <c r="N38" s="12" t="s">
        <v>118</v>
      </c>
      <c r="O38" s="17">
        <v>20425.5</v>
      </c>
      <c r="P38" s="17">
        <v>1500</v>
      </c>
      <c r="Q38" s="17">
        <v>0</v>
      </c>
      <c r="R38" s="17">
        <v>0</v>
      </c>
      <c r="S38" s="17">
        <v>5300</v>
      </c>
      <c r="T38" s="17">
        <v>1500</v>
      </c>
      <c r="U38" s="17">
        <v>7500</v>
      </c>
      <c r="V38" s="17">
        <v>9</v>
      </c>
      <c r="W38" s="17">
        <v>36234.5</v>
      </c>
      <c r="X38" s="15">
        <v>0</v>
      </c>
      <c r="Y38" s="17">
        <v>0</v>
      </c>
      <c r="Z38" s="17">
        <v>-1436.28</v>
      </c>
      <c r="AA38" s="17">
        <v>-1290.45</v>
      </c>
    </row>
    <row r="39" spans="3:27" ht="21.75" customHeight="1" x14ac:dyDescent="0.25">
      <c r="C39" s="4">
        <v>600</v>
      </c>
      <c r="D39" s="12" t="s">
        <v>119</v>
      </c>
      <c r="E39" s="9" t="s">
        <v>8</v>
      </c>
      <c r="F39" s="8">
        <v>45953</v>
      </c>
      <c r="G39" s="7" t="s">
        <v>16</v>
      </c>
      <c r="H39" s="9" t="s">
        <v>9</v>
      </c>
      <c r="I39" s="9" t="s">
        <v>13</v>
      </c>
      <c r="J39" s="6">
        <v>33090</v>
      </c>
      <c r="K39" s="6">
        <v>34500</v>
      </c>
      <c r="L39" s="6">
        <v>1410</v>
      </c>
      <c r="M39" s="12" t="s">
        <v>117</v>
      </c>
      <c r="N39" s="12" t="s">
        <v>120</v>
      </c>
      <c r="O39" s="17">
        <v>18700</v>
      </c>
      <c r="P39" s="17">
        <v>1500</v>
      </c>
      <c r="Q39" s="17">
        <v>0</v>
      </c>
      <c r="R39" s="17">
        <v>0</v>
      </c>
      <c r="S39" s="17">
        <v>5300</v>
      </c>
      <c r="T39" s="17">
        <v>1500</v>
      </c>
      <c r="U39" s="17">
        <v>7500</v>
      </c>
      <c r="V39" s="17">
        <v>0</v>
      </c>
      <c r="W39" s="17">
        <v>34500</v>
      </c>
      <c r="X39" s="15">
        <v>0</v>
      </c>
      <c r="Y39" s="17">
        <v>3600</v>
      </c>
      <c r="Z39" s="17">
        <v>-1530</v>
      </c>
      <c r="AA39" s="17">
        <v>-1399.5</v>
      </c>
    </row>
    <row r="40" spans="3:27" ht="21.75" customHeight="1" x14ac:dyDescent="0.25">
      <c r="C40" s="4">
        <v>45</v>
      </c>
      <c r="D40" s="12" t="s">
        <v>121</v>
      </c>
      <c r="E40" s="9" t="s">
        <v>8</v>
      </c>
      <c r="F40" s="8">
        <v>45953</v>
      </c>
      <c r="G40" s="7" t="s">
        <v>16</v>
      </c>
      <c r="H40" s="9" t="s">
        <v>9</v>
      </c>
      <c r="I40" s="9" t="s">
        <v>13</v>
      </c>
      <c r="J40" s="6">
        <v>30388.45</v>
      </c>
      <c r="K40" s="6">
        <v>31907.75</v>
      </c>
      <c r="L40" s="6">
        <v>1519.2999999999993</v>
      </c>
      <c r="M40" s="12" t="s">
        <v>117</v>
      </c>
      <c r="N40" s="12" t="s">
        <v>122</v>
      </c>
      <c r="O40" s="17">
        <v>19844.75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11250</v>
      </c>
      <c r="V40" s="17">
        <v>813</v>
      </c>
      <c r="W40" s="17">
        <v>31907.75</v>
      </c>
      <c r="X40" s="15">
        <v>0</v>
      </c>
      <c r="Y40" s="17">
        <v>0</v>
      </c>
      <c r="Z40" s="17">
        <v>0</v>
      </c>
      <c r="AA40" s="17">
        <v>0</v>
      </c>
    </row>
    <row r="41" spans="3:27" ht="21.75" customHeight="1" x14ac:dyDescent="0.25">
      <c r="C41" s="4">
        <v>1330</v>
      </c>
      <c r="D41" s="12" t="s">
        <v>65</v>
      </c>
      <c r="E41" s="9" t="s">
        <v>8</v>
      </c>
      <c r="F41" s="8">
        <v>45953</v>
      </c>
      <c r="G41" s="7" t="s">
        <v>16</v>
      </c>
      <c r="H41" s="9" t="s">
        <v>38</v>
      </c>
      <c r="I41" s="9" t="s">
        <v>39</v>
      </c>
      <c r="J41" s="6">
        <v>37000</v>
      </c>
      <c r="K41" s="6">
        <v>48000</v>
      </c>
      <c r="L41" s="6">
        <v>11000</v>
      </c>
      <c r="M41" s="12" t="s">
        <v>123</v>
      </c>
      <c r="N41" s="12" t="s">
        <v>125</v>
      </c>
      <c r="O41" s="17">
        <v>27000</v>
      </c>
      <c r="P41" s="17">
        <v>2000</v>
      </c>
      <c r="Q41" s="17">
        <v>0</v>
      </c>
      <c r="R41" s="17">
        <v>0</v>
      </c>
      <c r="S41" s="17">
        <v>6500</v>
      </c>
      <c r="T41" s="17">
        <v>2000</v>
      </c>
      <c r="U41" s="17">
        <v>10500</v>
      </c>
      <c r="V41" s="17">
        <v>0</v>
      </c>
      <c r="W41" s="17">
        <v>48000</v>
      </c>
      <c r="X41" s="15">
        <v>0</v>
      </c>
      <c r="Y41" s="17">
        <v>0</v>
      </c>
      <c r="Z41" s="17">
        <v>-1875</v>
      </c>
      <c r="AA41" s="17">
        <v>-1475</v>
      </c>
    </row>
    <row r="42" spans="3:27" ht="21.75" customHeight="1" x14ac:dyDescent="0.25">
      <c r="C42" s="4">
        <v>1485</v>
      </c>
      <c r="D42" s="12" t="s">
        <v>126</v>
      </c>
      <c r="E42" s="9" t="s">
        <v>8</v>
      </c>
      <c r="F42" s="8">
        <v>45953</v>
      </c>
      <c r="G42" s="7" t="s">
        <v>16</v>
      </c>
      <c r="H42" s="9" t="s">
        <v>9</v>
      </c>
      <c r="I42" s="9" t="s">
        <v>13</v>
      </c>
      <c r="J42" s="6">
        <v>33390</v>
      </c>
      <c r="K42" s="6">
        <v>34500</v>
      </c>
      <c r="L42" s="6">
        <v>1110</v>
      </c>
      <c r="M42" s="12" t="s">
        <v>123</v>
      </c>
      <c r="N42" s="12" t="s">
        <v>127</v>
      </c>
      <c r="O42" s="17">
        <v>18700</v>
      </c>
      <c r="P42" s="17">
        <v>1500</v>
      </c>
      <c r="Q42" s="17">
        <v>0</v>
      </c>
      <c r="R42" s="17">
        <v>0</v>
      </c>
      <c r="S42" s="17">
        <v>5300</v>
      </c>
      <c r="T42" s="17">
        <v>1500</v>
      </c>
      <c r="U42" s="17">
        <v>7500</v>
      </c>
      <c r="V42" s="17">
        <v>0</v>
      </c>
      <c r="W42" s="17">
        <v>34500</v>
      </c>
      <c r="X42" s="15">
        <v>0</v>
      </c>
      <c r="Y42" s="17">
        <v>1200</v>
      </c>
      <c r="Z42" s="17">
        <v>-1410</v>
      </c>
      <c r="AA42" s="17">
        <v>-1294.5</v>
      </c>
    </row>
    <row r="43" spans="3:27" ht="21.75" customHeight="1" x14ac:dyDescent="0.25">
      <c r="C43" s="13">
        <v>59</v>
      </c>
      <c r="D43" s="12" t="s">
        <v>128</v>
      </c>
      <c r="E43" s="9" t="s">
        <v>71</v>
      </c>
      <c r="F43" s="8">
        <v>45901</v>
      </c>
      <c r="G43" s="9" t="s">
        <v>16</v>
      </c>
      <c r="H43" s="9" t="s">
        <v>22</v>
      </c>
      <c r="I43" s="9" t="s">
        <v>22</v>
      </c>
      <c r="J43" s="6">
        <v>79052</v>
      </c>
      <c r="K43" s="6">
        <v>83710.5</v>
      </c>
      <c r="L43" s="6">
        <v>4658.5</v>
      </c>
      <c r="M43" s="12" t="s">
        <v>81</v>
      </c>
      <c r="N43" s="12" t="s">
        <v>129</v>
      </c>
      <c r="O43" s="17">
        <v>51243.5</v>
      </c>
      <c r="P43" s="17">
        <v>2000</v>
      </c>
      <c r="Q43" s="17">
        <v>4467</v>
      </c>
      <c r="R43" s="17">
        <v>0</v>
      </c>
      <c r="S43" s="17">
        <v>6500</v>
      </c>
      <c r="T43" s="17">
        <v>2000</v>
      </c>
      <c r="U43" s="17">
        <v>10500</v>
      </c>
      <c r="V43" s="17">
        <v>7000</v>
      </c>
      <c r="W43" s="17">
        <v>83710.5</v>
      </c>
      <c r="X43" s="15">
        <v>0</v>
      </c>
      <c r="Y43" s="17">
        <v>0</v>
      </c>
      <c r="Z43" s="17">
        <v>-3310.52</v>
      </c>
      <c r="AA43" s="17">
        <v>-3077.6</v>
      </c>
    </row>
    <row r="44" spans="3:27" ht="21.75" customHeight="1" x14ac:dyDescent="0.25">
      <c r="C44" s="13">
        <v>429</v>
      </c>
      <c r="D44" s="12" t="s">
        <v>130</v>
      </c>
      <c r="E44" s="9" t="s">
        <v>71</v>
      </c>
      <c r="F44" s="8">
        <v>45901</v>
      </c>
      <c r="G44" s="9" t="s">
        <v>16</v>
      </c>
      <c r="H44" s="9" t="s">
        <v>18</v>
      </c>
      <c r="I44" s="9" t="s">
        <v>18</v>
      </c>
      <c r="J44" s="6">
        <v>59079.199999999997</v>
      </c>
      <c r="K44" s="6">
        <v>62167</v>
      </c>
      <c r="L44" s="6">
        <v>3087.8000000000029</v>
      </c>
      <c r="M44" s="12" t="s">
        <v>81</v>
      </c>
      <c r="N44" s="12" t="s">
        <v>129</v>
      </c>
      <c r="O44" s="17">
        <v>33967</v>
      </c>
      <c r="P44" s="17">
        <v>1500</v>
      </c>
      <c r="Q44" s="17">
        <v>6400</v>
      </c>
      <c r="R44" s="17">
        <v>0</v>
      </c>
      <c r="S44" s="17">
        <v>5300</v>
      </c>
      <c r="T44" s="17">
        <v>1500</v>
      </c>
      <c r="U44" s="17">
        <v>7500</v>
      </c>
      <c r="V44" s="17">
        <v>6000</v>
      </c>
      <c r="W44" s="17">
        <v>62167</v>
      </c>
      <c r="X44" s="15">
        <v>0</v>
      </c>
      <c r="Y44" s="17">
        <v>2400</v>
      </c>
      <c r="Z44" s="17">
        <v>-2553.35</v>
      </c>
      <c r="AA44" s="17">
        <v>-2398.96</v>
      </c>
    </row>
    <row r="45" spans="3:27" ht="21.75" customHeight="1" x14ac:dyDescent="0.25">
      <c r="C45" s="11">
        <v>1613</v>
      </c>
      <c r="D45" s="12" t="s">
        <v>131</v>
      </c>
      <c r="E45" s="7" t="s">
        <v>71</v>
      </c>
      <c r="F45" s="8">
        <v>45901</v>
      </c>
      <c r="G45" s="7" t="s">
        <v>16</v>
      </c>
      <c r="H45" s="9" t="s">
        <v>22</v>
      </c>
      <c r="I45" s="9" t="s">
        <v>22</v>
      </c>
      <c r="J45" s="6">
        <v>40625</v>
      </c>
      <c r="K45" s="6">
        <v>42412.5</v>
      </c>
      <c r="L45" s="6">
        <v>1787.5</v>
      </c>
      <c r="M45" s="12" t="s">
        <v>81</v>
      </c>
      <c r="N45" s="12" t="s">
        <v>132</v>
      </c>
      <c r="O45" s="17">
        <v>19662.5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22750</v>
      </c>
      <c r="V45" s="17">
        <v>0</v>
      </c>
      <c r="W45" s="17">
        <v>42412.5</v>
      </c>
      <c r="X45" s="15">
        <v>0</v>
      </c>
      <c r="Y45" s="17">
        <v>0</v>
      </c>
      <c r="Z45" s="17">
        <v>0</v>
      </c>
      <c r="AA45" s="17">
        <v>0</v>
      </c>
    </row>
    <row r="46" spans="3:27" ht="21.75" customHeight="1" x14ac:dyDescent="0.25">
      <c r="C46" s="11">
        <v>77</v>
      </c>
      <c r="D46" s="12" t="s">
        <v>133</v>
      </c>
      <c r="E46" s="7" t="s">
        <v>72</v>
      </c>
      <c r="F46" s="8">
        <v>45901</v>
      </c>
      <c r="G46" s="7" t="s">
        <v>16</v>
      </c>
      <c r="H46" s="9" t="s">
        <v>74</v>
      </c>
      <c r="I46" s="9" t="s">
        <v>35</v>
      </c>
      <c r="J46" s="6">
        <v>90858.6</v>
      </c>
      <c r="K46" s="6">
        <v>95401.5</v>
      </c>
      <c r="L46" s="6">
        <v>4542.8999999999942</v>
      </c>
      <c r="M46" s="12" t="s">
        <v>81</v>
      </c>
      <c r="N46" s="12" t="s">
        <v>82</v>
      </c>
      <c r="O46" s="17">
        <v>56543</v>
      </c>
      <c r="P46" s="17">
        <v>2500</v>
      </c>
      <c r="Q46" s="17">
        <v>5247.5</v>
      </c>
      <c r="R46" s="17">
        <v>0</v>
      </c>
      <c r="S46" s="17">
        <v>8000</v>
      </c>
      <c r="T46" s="17">
        <v>2500</v>
      </c>
      <c r="U46" s="17">
        <v>15000</v>
      </c>
      <c r="V46" s="17">
        <v>5611</v>
      </c>
      <c r="W46" s="17">
        <v>95401.5</v>
      </c>
      <c r="X46" s="15">
        <v>0</v>
      </c>
      <c r="Y46" s="17">
        <v>0</v>
      </c>
      <c r="Z46" s="17">
        <v>-3739.52</v>
      </c>
      <c r="AA46" s="17">
        <v>-3512.38</v>
      </c>
    </row>
    <row r="47" spans="3:27" ht="21.75" customHeight="1" x14ac:dyDescent="0.25">
      <c r="C47" s="11">
        <v>963</v>
      </c>
      <c r="D47" s="12" t="s">
        <v>134</v>
      </c>
      <c r="E47" s="7" t="s">
        <v>71</v>
      </c>
      <c r="F47" s="8">
        <v>45901</v>
      </c>
      <c r="G47" s="7" t="s">
        <v>16</v>
      </c>
      <c r="H47" s="9" t="s">
        <v>18</v>
      </c>
      <c r="I47" s="9" t="s">
        <v>18</v>
      </c>
      <c r="J47" s="6">
        <v>47052</v>
      </c>
      <c r="K47" s="6">
        <v>49837.25</v>
      </c>
      <c r="L47" s="6">
        <v>2785.25</v>
      </c>
      <c r="M47" s="12" t="s">
        <v>81</v>
      </c>
      <c r="N47" s="12" t="s">
        <v>82</v>
      </c>
      <c r="O47" s="17">
        <v>30637.25</v>
      </c>
      <c r="P47" s="17">
        <v>1500</v>
      </c>
      <c r="Q47" s="17">
        <v>0</v>
      </c>
      <c r="R47" s="17">
        <v>0</v>
      </c>
      <c r="S47" s="17">
        <v>5300</v>
      </c>
      <c r="T47" s="17">
        <v>1500</v>
      </c>
      <c r="U47" s="17">
        <v>7500</v>
      </c>
      <c r="V47" s="17">
        <v>3400</v>
      </c>
      <c r="W47" s="17">
        <v>49837.25</v>
      </c>
      <c r="X47" s="15">
        <v>0</v>
      </c>
      <c r="Y47" s="17">
        <v>0</v>
      </c>
      <c r="Z47" s="17">
        <v>-1946.86</v>
      </c>
      <c r="AA47" s="17">
        <v>-1807.6</v>
      </c>
    </row>
    <row r="48" spans="3:27" ht="21.75" customHeight="1" x14ac:dyDescent="0.25">
      <c r="C48" s="11">
        <v>1678</v>
      </c>
      <c r="D48" s="12" t="s">
        <v>135</v>
      </c>
      <c r="E48" s="7" t="s">
        <v>72</v>
      </c>
      <c r="F48" s="8">
        <v>45901</v>
      </c>
      <c r="G48" s="7" t="s">
        <v>16</v>
      </c>
      <c r="H48" s="9" t="s">
        <v>12</v>
      </c>
      <c r="I48" s="9" t="s">
        <v>9</v>
      </c>
      <c r="J48" s="6">
        <v>21900</v>
      </c>
      <c r="K48" s="6">
        <v>24200</v>
      </c>
      <c r="L48" s="6">
        <v>2300</v>
      </c>
      <c r="M48" s="12" t="s">
        <v>81</v>
      </c>
      <c r="N48" s="12" t="s">
        <v>82</v>
      </c>
      <c r="O48" s="17">
        <v>12900</v>
      </c>
      <c r="P48" s="17">
        <v>1200</v>
      </c>
      <c r="Q48" s="17">
        <v>0</v>
      </c>
      <c r="R48" s="17">
        <v>0</v>
      </c>
      <c r="S48" s="17">
        <v>4300</v>
      </c>
      <c r="T48" s="17">
        <v>1200</v>
      </c>
      <c r="U48" s="17">
        <v>4600</v>
      </c>
      <c r="V48" s="17">
        <v>0</v>
      </c>
      <c r="W48" s="17">
        <v>24200</v>
      </c>
      <c r="X48" s="15">
        <v>0</v>
      </c>
      <c r="Y48" s="17">
        <v>0</v>
      </c>
      <c r="Z48" s="17">
        <v>-980</v>
      </c>
      <c r="AA48" s="17">
        <v>-865</v>
      </c>
    </row>
    <row r="49" spans="3:27" ht="21.75" customHeight="1" x14ac:dyDescent="0.25">
      <c r="C49" s="11">
        <v>1720</v>
      </c>
      <c r="D49" s="12" t="s">
        <v>136</v>
      </c>
      <c r="E49" s="7" t="s">
        <v>72</v>
      </c>
      <c r="F49" s="8">
        <v>45901</v>
      </c>
      <c r="G49" s="7" t="s">
        <v>16</v>
      </c>
      <c r="H49" s="9" t="s">
        <v>38</v>
      </c>
      <c r="I49" s="9" t="s">
        <v>18</v>
      </c>
      <c r="J49" s="6">
        <v>63447.3</v>
      </c>
      <c r="K49" s="6">
        <v>66619.75</v>
      </c>
      <c r="L49" s="6">
        <v>3172.4499999999971</v>
      </c>
      <c r="M49" s="12" t="s">
        <v>81</v>
      </c>
      <c r="N49" s="12" t="s">
        <v>82</v>
      </c>
      <c r="O49" s="17">
        <v>50819.75</v>
      </c>
      <c r="P49" s="17">
        <v>1500</v>
      </c>
      <c r="Q49" s="17">
        <v>0</v>
      </c>
      <c r="R49" s="17">
        <v>0</v>
      </c>
      <c r="S49" s="17">
        <v>5300</v>
      </c>
      <c r="T49" s="17">
        <v>1500</v>
      </c>
      <c r="U49" s="17">
        <v>7500</v>
      </c>
      <c r="V49" s="17">
        <v>0</v>
      </c>
      <c r="W49" s="17">
        <v>66619.75</v>
      </c>
      <c r="X49" s="15">
        <v>0</v>
      </c>
      <c r="Y49" s="17">
        <v>600</v>
      </c>
      <c r="Z49" s="17">
        <v>-2985.99</v>
      </c>
      <c r="AA49" s="17">
        <v>-2827.36</v>
      </c>
    </row>
    <row r="50" spans="3:27" ht="21.75" customHeight="1" x14ac:dyDescent="0.25">
      <c r="C50" s="11">
        <v>416</v>
      </c>
      <c r="D50" s="12" t="s">
        <v>137</v>
      </c>
      <c r="E50" s="7" t="s">
        <v>71</v>
      </c>
      <c r="F50" s="8">
        <v>45901</v>
      </c>
      <c r="G50" s="7" t="s">
        <v>16</v>
      </c>
      <c r="H50" s="9" t="s">
        <v>22</v>
      </c>
      <c r="I50" s="9" t="s">
        <v>22</v>
      </c>
      <c r="J50" s="6">
        <v>45188</v>
      </c>
      <c r="K50" s="6">
        <v>46813</v>
      </c>
      <c r="L50" s="6">
        <v>1625</v>
      </c>
      <c r="M50" s="12" t="s">
        <v>81</v>
      </c>
      <c r="N50" s="12" t="s">
        <v>84</v>
      </c>
      <c r="O50" s="17">
        <v>17875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22750</v>
      </c>
      <c r="V50" s="17">
        <v>6188</v>
      </c>
      <c r="W50" s="17">
        <v>46813</v>
      </c>
      <c r="X50" s="15">
        <v>0</v>
      </c>
      <c r="Y50" s="17">
        <v>0</v>
      </c>
      <c r="Z50" s="17">
        <v>0</v>
      </c>
      <c r="AA50" s="17">
        <v>0</v>
      </c>
    </row>
    <row r="51" spans="3:27" ht="21.75" customHeight="1" x14ac:dyDescent="0.25">
      <c r="C51" s="11">
        <v>533</v>
      </c>
      <c r="D51" s="12" t="s">
        <v>138</v>
      </c>
      <c r="E51" s="7" t="s">
        <v>72</v>
      </c>
      <c r="F51" s="8">
        <v>45901</v>
      </c>
      <c r="G51" s="7" t="s">
        <v>16</v>
      </c>
      <c r="H51" s="9" t="s">
        <v>38</v>
      </c>
      <c r="I51" s="9" t="s">
        <v>18</v>
      </c>
      <c r="J51" s="6">
        <v>25266.15</v>
      </c>
      <c r="K51" s="6">
        <v>28500</v>
      </c>
      <c r="L51" s="6">
        <v>3233.8499999999985</v>
      </c>
      <c r="M51" s="12" t="s">
        <v>81</v>
      </c>
      <c r="N51" s="12" t="s">
        <v>84</v>
      </c>
      <c r="O51" s="17">
        <v>11750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16750</v>
      </c>
      <c r="V51" s="17">
        <v>0</v>
      </c>
      <c r="W51" s="17">
        <v>28500</v>
      </c>
      <c r="X51" s="15">
        <v>0</v>
      </c>
      <c r="Y51" s="17">
        <v>0</v>
      </c>
      <c r="Z51" s="17">
        <v>0</v>
      </c>
      <c r="AA51" s="17">
        <v>0</v>
      </c>
    </row>
    <row r="52" spans="3:27" ht="21.75" customHeight="1" x14ac:dyDescent="0.25">
      <c r="C52" s="11">
        <v>928</v>
      </c>
      <c r="D52" s="12" t="s">
        <v>139</v>
      </c>
      <c r="E52" s="7" t="s">
        <v>71</v>
      </c>
      <c r="F52" s="8">
        <v>45901</v>
      </c>
      <c r="G52" s="7" t="s">
        <v>16</v>
      </c>
      <c r="H52" s="9" t="s">
        <v>22</v>
      </c>
      <c r="I52" s="9" t="s">
        <v>22</v>
      </c>
      <c r="J52" s="6">
        <v>64031.25</v>
      </c>
      <c r="K52" s="6">
        <v>67434.5</v>
      </c>
      <c r="L52" s="6">
        <v>3403.25</v>
      </c>
      <c r="M52" s="12" t="s">
        <v>81</v>
      </c>
      <c r="N52" s="12" t="s">
        <v>140</v>
      </c>
      <c r="O52" s="17">
        <v>37434.5</v>
      </c>
      <c r="P52" s="17">
        <v>0</v>
      </c>
      <c r="Q52" s="17">
        <v>0</v>
      </c>
      <c r="R52" s="17">
        <v>0</v>
      </c>
      <c r="S52" s="17">
        <v>0</v>
      </c>
      <c r="T52" s="17">
        <v>0</v>
      </c>
      <c r="U52" s="17">
        <v>22750</v>
      </c>
      <c r="V52" s="17">
        <v>7250</v>
      </c>
      <c r="W52" s="17">
        <v>67434.5</v>
      </c>
      <c r="X52" s="15">
        <v>0</v>
      </c>
      <c r="Y52" s="17">
        <v>0</v>
      </c>
      <c r="Z52" s="17">
        <v>0</v>
      </c>
      <c r="AA52" s="17">
        <v>0</v>
      </c>
    </row>
    <row r="53" spans="3:27" ht="21.75" customHeight="1" x14ac:dyDescent="0.25">
      <c r="C53" s="11">
        <v>1680</v>
      </c>
      <c r="D53" s="12" t="s">
        <v>141</v>
      </c>
      <c r="E53" s="7" t="s">
        <v>72</v>
      </c>
      <c r="F53" s="8">
        <v>45901</v>
      </c>
      <c r="G53" s="7" t="s">
        <v>16</v>
      </c>
      <c r="H53" s="9" t="s">
        <v>12</v>
      </c>
      <c r="I53" s="9" t="s">
        <v>9</v>
      </c>
      <c r="J53" s="6">
        <v>21900</v>
      </c>
      <c r="K53" s="6">
        <v>24200</v>
      </c>
      <c r="L53" s="6">
        <v>2300</v>
      </c>
      <c r="M53" s="12" t="s">
        <v>81</v>
      </c>
      <c r="N53" s="12" t="s">
        <v>140</v>
      </c>
      <c r="O53" s="17">
        <v>12900</v>
      </c>
      <c r="P53" s="17">
        <v>1200</v>
      </c>
      <c r="Q53" s="17">
        <v>0</v>
      </c>
      <c r="R53" s="17">
        <v>0</v>
      </c>
      <c r="S53" s="17">
        <v>4300</v>
      </c>
      <c r="T53" s="17">
        <v>1200</v>
      </c>
      <c r="U53" s="17">
        <v>4600</v>
      </c>
      <c r="V53" s="17">
        <v>0</v>
      </c>
      <c r="W53" s="17">
        <v>24200</v>
      </c>
      <c r="X53" s="15">
        <v>0</v>
      </c>
      <c r="Y53" s="17">
        <v>0</v>
      </c>
      <c r="Z53" s="17">
        <v>-980</v>
      </c>
      <c r="AA53" s="17">
        <v>-865</v>
      </c>
    </row>
    <row r="54" spans="3:27" ht="21.75" customHeight="1" x14ac:dyDescent="0.25">
      <c r="C54" s="11">
        <v>1696</v>
      </c>
      <c r="D54" s="12" t="s">
        <v>142</v>
      </c>
      <c r="E54" s="7" t="s">
        <v>72</v>
      </c>
      <c r="F54" s="8">
        <v>45901</v>
      </c>
      <c r="G54" s="7" t="s">
        <v>16</v>
      </c>
      <c r="H54" s="9" t="s">
        <v>74</v>
      </c>
      <c r="I54" s="9" t="s">
        <v>35</v>
      </c>
      <c r="J54" s="6">
        <v>104089.65</v>
      </c>
      <c r="K54" s="6">
        <v>109294.25</v>
      </c>
      <c r="L54" s="6">
        <v>5204.6000000000058</v>
      </c>
      <c r="M54" s="12" t="s">
        <v>81</v>
      </c>
      <c r="N54" s="12" t="s">
        <v>140</v>
      </c>
      <c r="O54" s="17">
        <v>81294.25</v>
      </c>
      <c r="P54" s="17">
        <v>2500</v>
      </c>
      <c r="Q54" s="17">
        <v>0</v>
      </c>
      <c r="R54" s="17">
        <v>0</v>
      </c>
      <c r="S54" s="17">
        <v>8000</v>
      </c>
      <c r="T54" s="17">
        <v>2500</v>
      </c>
      <c r="U54" s="17">
        <v>15000</v>
      </c>
      <c r="V54" s="17">
        <v>0</v>
      </c>
      <c r="W54" s="17">
        <v>109294.25</v>
      </c>
      <c r="X54" s="15">
        <v>0</v>
      </c>
      <c r="Y54" s="17">
        <v>2400</v>
      </c>
      <c r="Z54" s="17">
        <v>-4834.71</v>
      </c>
      <c r="AA54" s="17">
        <v>-4574.4799999999996</v>
      </c>
    </row>
    <row r="55" spans="3:27" ht="21.75" customHeight="1" x14ac:dyDescent="0.25">
      <c r="C55" s="11">
        <v>1611</v>
      </c>
      <c r="D55" s="12" t="s">
        <v>143</v>
      </c>
      <c r="E55" s="7" t="s">
        <v>72</v>
      </c>
      <c r="F55" s="8">
        <v>45901</v>
      </c>
      <c r="G55" s="7" t="s">
        <v>16</v>
      </c>
      <c r="H55" s="9" t="s">
        <v>12</v>
      </c>
      <c r="I55" s="9" t="s">
        <v>9</v>
      </c>
      <c r="J55" s="6">
        <v>21900</v>
      </c>
      <c r="K55" s="6">
        <v>24200</v>
      </c>
      <c r="L55" s="6">
        <v>2300</v>
      </c>
      <c r="M55" s="12" t="s">
        <v>81</v>
      </c>
      <c r="N55" s="12" t="s">
        <v>144</v>
      </c>
      <c r="O55" s="17">
        <v>12900</v>
      </c>
      <c r="P55" s="17">
        <v>1200</v>
      </c>
      <c r="Q55" s="17">
        <v>0</v>
      </c>
      <c r="R55" s="17">
        <v>0</v>
      </c>
      <c r="S55" s="17">
        <v>4300</v>
      </c>
      <c r="T55" s="17">
        <v>1200</v>
      </c>
      <c r="U55" s="17">
        <v>4600</v>
      </c>
      <c r="V55" s="17">
        <v>0</v>
      </c>
      <c r="W55" s="17">
        <v>24200</v>
      </c>
      <c r="X55" s="15">
        <v>0</v>
      </c>
      <c r="Y55" s="17">
        <v>0</v>
      </c>
      <c r="Z55" s="17">
        <v>-980</v>
      </c>
      <c r="AA55" s="17">
        <v>-865</v>
      </c>
    </row>
    <row r="56" spans="3:27" ht="21.75" customHeight="1" x14ac:dyDescent="0.25">
      <c r="C56" s="11">
        <v>1659</v>
      </c>
      <c r="D56" s="12" t="s">
        <v>145</v>
      </c>
      <c r="E56" s="7" t="s">
        <v>72</v>
      </c>
      <c r="F56" s="8">
        <v>45901</v>
      </c>
      <c r="G56" s="7" t="s">
        <v>16</v>
      </c>
      <c r="H56" s="9" t="s">
        <v>12</v>
      </c>
      <c r="I56" s="9" t="s">
        <v>9</v>
      </c>
      <c r="J56" s="6">
        <v>21900</v>
      </c>
      <c r="K56" s="6">
        <v>24200</v>
      </c>
      <c r="L56" s="6">
        <v>2300</v>
      </c>
      <c r="M56" s="12" t="s">
        <v>81</v>
      </c>
      <c r="N56" s="12" t="s">
        <v>144</v>
      </c>
      <c r="O56" s="17">
        <v>12900</v>
      </c>
      <c r="P56" s="17">
        <v>1200</v>
      </c>
      <c r="Q56" s="17">
        <v>0</v>
      </c>
      <c r="R56" s="17">
        <v>0</v>
      </c>
      <c r="S56" s="17">
        <v>4300</v>
      </c>
      <c r="T56" s="17">
        <v>1200</v>
      </c>
      <c r="U56" s="17">
        <v>4600</v>
      </c>
      <c r="V56" s="17">
        <v>0</v>
      </c>
      <c r="W56" s="17">
        <v>24200</v>
      </c>
      <c r="X56" s="15">
        <v>0</v>
      </c>
      <c r="Y56" s="17">
        <v>0</v>
      </c>
      <c r="Z56" s="17">
        <v>-980</v>
      </c>
      <c r="AA56" s="17">
        <v>-865</v>
      </c>
    </row>
    <row r="57" spans="3:27" ht="21.75" customHeight="1" x14ac:dyDescent="0.25">
      <c r="C57" s="11">
        <v>1668</v>
      </c>
      <c r="D57" s="12" t="s">
        <v>146</v>
      </c>
      <c r="E57" s="7" t="s">
        <v>72</v>
      </c>
      <c r="F57" s="8">
        <v>45901</v>
      </c>
      <c r="G57" s="7" t="s">
        <v>16</v>
      </c>
      <c r="H57" s="9" t="s">
        <v>38</v>
      </c>
      <c r="I57" s="9" t="s">
        <v>18</v>
      </c>
      <c r="J57" s="6">
        <v>37000</v>
      </c>
      <c r="K57" s="6">
        <v>39000</v>
      </c>
      <c r="L57" s="6">
        <v>2000</v>
      </c>
      <c r="M57" s="12" t="s">
        <v>81</v>
      </c>
      <c r="N57" s="12" t="s">
        <v>144</v>
      </c>
      <c r="O57" s="17">
        <v>23200</v>
      </c>
      <c r="P57" s="17">
        <v>1500</v>
      </c>
      <c r="Q57" s="17">
        <v>0</v>
      </c>
      <c r="R57" s="17">
        <v>0</v>
      </c>
      <c r="S57" s="17">
        <v>5300</v>
      </c>
      <c r="T57" s="17">
        <v>1500</v>
      </c>
      <c r="U57" s="17">
        <v>7500</v>
      </c>
      <c r="V57" s="17">
        <v>0</v>
      </c>
      <c r="W57" s="17">
        <v>39000</v>
      </c>
      <c r="X57" s="15">
        <v>0</v>
      </c>
      <c r="Y57" s="17">
        <v>0</v>
      </c>
      <c r="Z57" s="17">
        <v>-1575</v>
      </c>
      <c r="AA57" s="17">
        <v>-1475</v>
      </c>
    </row>
    <row r="58" spans="3:27" ht="21.75" customHeight="1" x14ac:dyDescent="0.25">
      <c r="C58" s="11">
        <v>1719</v>
      </c>
      <c r="D58" s="12" t="s">
        <v>147</v>
      </c>
      <c r="E58" s="7" t="s">
        <v>72</v>
      </c>
      <c r="F58" s="8">
        <v>45901</v>
      </c>
      <c r="G58" s="7" t="s">
        <v>16</v>
      </c>
      <c r="H58" s="9" t="s">
        <v>49</v>
      </c>
      <c r="I58" s="9" t="s">
        <v>22</v>
      </c>
      <c r="J58" s="6">
        <v>97140.75</v>
      </c>
      <c r="K58" s="6">
        <v>101997.75</v>
      </c>
      <c r="L58" s="6">
        <v>4857</v>
      </c>
      <c r="M58" s="12" t="s">
        <v>81</v>
      </c>
      <c r="N58" s="12" t="s">
        <v>144</v>
      </c>
      <c r="O58" s="17">
        <v>80997.75</v>
      </c>
      <c r="P58" s="17">
        <v>2000</v>
      </c>
      <c r="Q58" s="17">
        <v>0</v>
      </c>
      <c r="R58" s="17">
        <v>0</v>
      </c>
      <c r="S58" s="17">
        <v>6500</v>
      </c>
      <c r="T58" s="17">
        <v>2000</v>
      </c>
      <c r="U58" s="17">
        <v>10500</v>
      </c>
      <c r="V58" s="17">
        <v>0</v>
      </c>
      <c r="W58" s="17">
        <v>101997.75</v>
      </c>
      <c r="X58" s="15">
        <v>0</v>
      </c>
      <c r="Y58" s="17">
        <v>0</v>
      </c>
      <c r="Z58" s="17">
        <v>-4574.8900000000003</v>
      </c>
      <c r="AA58" s="17">
        <v>-4332.04</v>
      </c>
    </row>
    <row r="59" spans="3:27" ht="21.75" customHeight="1" x14ac:dyDescent="0.25">
      <c r="C59" s="11">
        <v>19</v>
      </c>
      <c r="D59" s="12" t="s">
        <v>148</v>
      </c>
      <c r="E59" s="7" t="s">
        <v>71</v>
      </c>
      <c r="F59" s="8">
        <v>45901</v>
      </c>
      <c r="G59" s="7" t="s">
        <v>16</v>
      </c>
      <c r="H59" s="9" t="s">
        <v>22</v>
      </c>
      <c r="I59" s="9" t="s">
        <v>22</v>
      </c>
      <c r="J59" s="6">
        <v>93368.73</v>
      </c>
      <c r="K59" s="6">
        <v>98125.5</v>
      </c>
      <c r="L59" s="6">
        <v>4756.7700000000041</v>
      </c>
      <c r="M59" s="12" t="s">
        <v>81</v>
      </c>
      <c r="N59" s="12" t="s">
        <v>149</v>
      </c>
      <c r="O59" s="17">
        <v>52325.5</v>
      </c>
      <c r="P59" s="17">
        <v>2000</v>
      </c>
      <c r="Q59" s="17">
        <v>17800</v>
      </c>
      <c r="R59" s="17">
        <v>0</v>
      </c>
      <c r="S59" s="17">
        <v>6500</v>
      </c>
      <c r="T59" s="17">
        <v>2000</v>
      </c>
      <c r="U59" s="17">
        <v>10500</v>
      </c>
      <c r="V59" s="17">
        <v>7000</v>
      </c>
      <c r="W59" s="17">
        <v>98125.5</v>
      </c>
      <c r="X59" s="15">
        <v>0</v>
      </c>
      <c r="Y59" s="17">
        <v>0</v>
      </c>
      <c r="Z59" s="17">
        <v>-4031.28</v>
      </c>
      <c r="AA59" s="17">
        <v>-3793.44</v>
      </c>
    </row>
    <row r="60" spans="3:27" ht="21.75" customHeight="1" x14ac:dyDescent="0.25">
      <c r="C60" s="11">
        <v>188</v>
      </c>
      <c r="D60" s="12" t="s">
        <v>150</v>
      </c>
      <c r="E60" s="7" t="s">
        <v>71</v>
      </c>
      <c r="F60" s="8">
        <v>45901</v>
      </c>
      <c r="G60" s="7" t="s">
        <v>16</v>
      </c>
      <c r="H60" s="9" t="s">
        <v>18</v>
      </c>
      <c r="I60" s="9" t="s">
        <v>18</v>
      </c>
      <c r="J60" s="6">
        <v>42772.75</v>
      </c>
      <c r="K60" s="6">
        <v>45296.5</v>
      </c>
      <c r="L60" s="6">
        <v>2523.75</v>
      </c>
      <c r="M60" s="12" t="s">
        <v>81</v>
      </c>
      <c r="N60" s="12" t="s">
        <v>149</v>
      </c>
      <c r="O60" s="17">
        <v>27760.75</v>
      </c>
      <c r="P60" s="17">
        <v>1500</v>
      </c>
      <c r="Q60" s="17">
        <v>0</v>
      </c>
      <c r="R60" s="17">
        <v>0</v>
      </c>
      <c r="S60" s="17">
        <v>5300</v>
      </c>
      <c r="T60" s="17">
        <v>1500</v>
      </c>
      <c r="U60" s="17">
        <v>7500</v>
      </c>
      <c r="V60" s="17">
        <v>1735.75</v>
      </c>
      <c r="W60" s="17">
        <v>45296.5</v>
      </c>
      <c r="X60" s="15">
        <v>0</v>
      </c>
      <c r="Y60" s="17">
        <v>1800</v>
      </c>
      <c r="Z60" s="17">
        <v>-1893.04</v>
      </c>
      <c r="AA60" s="17">
        <v>-1766.85</v>
      </c>
    </row>
    <row r="61" spans="3:27" ht="21.75" customHeight="1" x14ac:dyDescent="0.25">
      <c r="C61" s="11">
        <v>1404</v>
      </c>
      <c r="D61" s="12" t="s">
        <v>151</v>
      </c>
      <c r="E61" s="7" t="s">
        <v>72</v>
      </c>
      <c r="F61" s="8">
        <v>45901</v>
      </c>
      <c r="G61" s="7" t="s">
        <v>16</v>
      </c>
      <c r="H61" s="9" t="s">
        <v>38</v>
      </c>
      <c r="I61" s="9" t="s">
        <v>18</v>
      </c>
      <c r="J61" s="6">
        <v>37000</v>
      </c>
      <c r="K61" s="6">
        <v>39000</v>
      </c>
      <c r="L61" s="6">
        <v>2000</v>
      </c>
      <c r="M61" s="12" t="s">
        <v>81</v>
      </c>
      <c r="N61" s="12" t="s">
        <v>149</v>
      </c>
      <c r="O61" s="17">
        <v>23200</v>
      </c>
      <c r="P61" s="17">
        <v>1500</v>
      </c>
      <c r="Q61" s="17">
        <v>0</v>
      </c>
      <c r="R61" s="17">
        <v>0</v>
      </c>
      <c r="S61" s="17">
        <v>5300</v>
      </c>
      <c r="T61" s="17">
        <v>1500</v>
      </c>
      <c r="U61" s="17">
        <v>7500</v>
      </c>
      <c r="V61" s="17">
        <v>0</v>
      </c>
      <c r="W61" s="17">
        <v>39000</v>
      </c>
      <c r="X61" s="15">
        <v>0</v>
      </c>
      <c r="Y61" s="17">
        <v>0</v>
      </c>
      <c r="Z61" s="17">
        <v>-1575</v>
      </c>
      <c r="AA61" s="17">
        <v>-1475</v>
      </c>
    </row>
    <row r="62" spans="3:27" ht="21.75" customHeight="1" x14ac:dyDescent="0.25">
      <c r="C62" s="11">
        <v>1405</v>
      </c>
      <c r="D62" s="12" t="s">
        <v>152</v>
      </c>
      <c r="E62" s="7" t="s">
        <v>15</v>
      </c>
      <c r="F62" s="8">
        <v>45901</v>
      </c>
      <c r="G62" s="7" t="s">
        <v>16</v>
      </c>
      <c r="H62" s="9" t="s">
        <v>13</v>
      </c>
      <c r="I62" s="9" t="s">
        <v>38</v>
      </c>
      <c r="J62" s="6">
        <v>37910.25</v>
      </c>
      <c r="K62" s="6">
        <v>39805.75</v>
      </c>
      <c r="L62" s="6">
        <v>1895.5</v>
      </c>
      <c r="M62" s="12" t="s">
        <v>81</v>
      </c>
      <c r="N62" s="12" t="s">
        <v>149</v>
      </c>
      <c r="O62" s="17">
        <v>23095.5</v>
      </c>
      <c r="P62" s="17">
        <v>1500</v>
      </c>
      <c r="Q62" s="17">
        <v>0</v>
      </c>
      <c r="R62" s="17">
        <v>0</v>
      </c>
      <c r="S62" s="17">
        <v>5300</v>
      </c>
      <c r="T62" s="17">
        <v>1500</v>
      </c>
      <c r="U62" s="17">
        <v>7500</v>
      </c>
      <c r="V62" s="17">
        <v>910.25</v>
      </c>
      <c r="W62" s="17">
        <v>39805.75</v>
      </c>
      <c r="X62" s="15">
        <v>0</v>
      </c>
      <c r="Y62" s="17">
        <v>0</v>
      </c>
      <c r="Z62" s="17">
        <v>-1569.78</v>
      </c>
      <c r="AA62" s="17">
        <v>-1440.26</v>
      </c>
    </row>
    <row r="63" spans="3:27" ht="21.75" customHeight="1" x14ac:dyDescent="0.25">
      <c r="C63" s="11">
        <v>1660</v>
      </c>
      <c r="D63" s="12" t="s">
        <v>153</v>
      </c>
      <c r="E63" s="7" t="s">
        <v>72</v>
      </c>
      <c r="F63" s="8">
        <v>45901</v>
      </c>
      <c r="G63" s="7" t="s">
        <v>16</v>
      </c>
      <c r="H63" s="9" t="s">
        <v>12</v>
      </c>
      <c r="I63" s="9" t="s">
        <v>9</v>
      </c>
      <c r="J63" s="6">
        <v>21900</v>
      </c>
      <c r="K63" s="6">
        <v>24200</v>
      </c>
      <c r="L63" s="6">
        <v>2300</v>
      </c>
      <c r="M63" s="12" t="s">
        <v>81</v>
      </c>
      <c r="N63" s="12" t="s">
        <v>149</v>
      </c>
      <c r="O63" s="17">
        <v>12900</v>
      </c>
      <c r="P63" s="17">
        <v>1200</v>
      </c>
      <c r="Q63" s="17">
        <v>0</v>
      </c>
      <c r="R63" s="17">
        <v>0</v>
      </c>
      <c r="S63" s="17">
        <v>4300</v>
      </c>
      <c r="T63" s="17">
        <v>1200</v>
      </c>
      <c r="U63" s="17">
        <v>4600</v>
      </c>
      <c r="V63" s="17">
        <v>0</v>
      </c>
      <c r="W63" s="17">
        <v>24200</v>
      </c>
      <c r="X63" s="15">
        <v>0</v>
      </c>
      <c r="Y63" s="17">
        <v>0</v>
      </c>
      <c r="Z63" s="17">
        <v>-980</v>
      </c>
      <c r="AA63" s="17">
        <v>-865</v>
      </c>
    </row>
    <row r="64" spans="3:27" ht="21.75" customHeight="1" x14ac:dyDescent="0.25">
      <c r="C64" s="11">
        <v>1679</v>
      </c>
      <c r="D64" s="12" t="s">
        <v>154</v>
      </c>
      <c r="E64" s="7" t="s">
        <v>72</v>
      </c>
      <c r="F64" s="8">
        <v>45901</v>
      </c>
      <c r="G64" s="7" t="s">
        <v>16</v>
      </c>
      <c r="H64" s="9" t="s">
        <v>12</v>
      </c>
      <c r="I64" s="9" t="s">
        <v>9</v>
      </c>
      <c r="J64" s="6">
        <v>21900</v>
      </c>
      <c r="K64" s="6">
        <v>24200</v>
      </c>
      <c r="L64" s="6">
        <v>2300</v>
      </c>
      <c r="M64" s="12" t="s">
        <v>81</v>
      </c>
      <c r="N64" s="12" t="s">
        <v>149</v>
      </c>
      <c r="O64" s="17">
        <v>12900</v>
      </c>
      <c r="P64" s="17">
        <v>1200</v>
      </c>
      <c r="Q64" s="17">
        <v>0</v>
      </c>
      <c r="R64" s="17">
        <v>0</v>
      </c>
      <c r="S64" s="17">
        <v>4300</v>
      </c>
      <c r="T64" s="17">
        <v>1200</v>
      </c>
      <c r="U64" s="17">
        <v>4600</v>
      </c>
      <c r="V64" s="17">
        <v>0</v>
      </c>
      <c r="W64" s="17">
        <v>24200</v>
      </c>
      <c r="X64" s="15">
        <v>0</v>
      </c>
      <c r="Y64" s="17">
        <v>0</v>
      </c>
      <c r="Z64" s="17">
        <v>-980</v>
      </c>
      <c r="AA64" s="17">
        <v>-865</v>
      </c>
    </row>
    <row r="65" spans="3:27" ht="21.75" customHeight="1" x14ac:dyDescent="0.25">
      <c r="C65" s="11">
        <v>943</v>
      </c>
      <c r="D65" s="12" t="s">
        <v>155</v>
      </c>
      <c r="E65" s="7" t="s">
        <v>71</v>
      </c>
      <c r="F65" s="8">
        <v>45901</v>
      </c>
      <c r="G65" s="7" t="s">
        <v>16</v>
      </c>
      <c r="H65" s="9" t="s">
        <v>18</v>
      </c>
      <c r="I65" s="9" t="s">
        <v>18</v>
      </c>
      <c r="J65" s="6">
        <v>44836.5</v>
      </c>
      <c r="K65" s="6">
        <v>47610.25</v>
      </c>
      <c r="L65" s="6">
        <v>2773.75</v>
      </c>
      <c r="M65" s="12" t="s">
        <v>81</v>
      </c>
      <c r="N65" s="12" t="s">
        <v>149</v>
      </c>
      <c r="O65" s="17">
        <v>30510.25</v>
      </c>
      <c r="P65" s="17">
        <v>1500</v>
      </c>
      <c r="Q65" s="17">
        <v>0</v>
      </c>
      <c r="R65" s="17">
        <v>0</v>
      </c>
      <c r="S65" s="17">
        <v>5300</v>
      </c>
      <c r="T65" s="17">
        <v>1500</v>
      </c>
      <c r="U65" s="17">
        <v>7500</v>
      </c>
      <c r="V65" s="17">
        <v>1300</v>
      </c>
      <c r="W65" s="17">
        <v>47610.25</v>
      </c>
      <c r="X65" s="15">
        <v>0</v>
      </c>
      <c r="Y65" s="17">
        <v>2400</v>
      </c>
      <c r="Z65" s="17">
        <v>-2060.5100000000002</v>
      </c>
      <c r="AA65" s="17">
        <v>-1921.82</v>
      </c>
    </row>
    <row r="66" spans="3:27" ht="21.75" customHeight="1" x14ac:dyDescent="0.25">
      <c r="C66" s="11">
        <v>950</v>
      </c>
      <c r="D66" s="12" t="s">
        <v>156</v>
      </c>
      <c r="E66" s="7" t="s">
        <v>71</v>
      </c>
      <c r="F66" s="8">
        <v>45901</v>
      </c>
      <c r="G66" s="7" t="s">
        <v>16</v>
      </c>
      <c r="H66" s="9" t="s">
        <v>22</v>
      </c>
      <c r="I66" s="9" t="s">
        <v>22</v>
      </c>
      <c r="J66" s="6">
        <v>56000</v>
      </c>
      <c r="K66" s="6">
        <v>59500</v>
      </c>
      <c r="L66" s="6">
        <v>3500</v>
      </c>
      <c r="M66" s="12" t="s">
        <v>81</v>
      </c>
      <c r="N66" s="12" t="s">
        <v>157</v>
      </c>
      <c r="O66" s="17">
        <v>38500</v>
      </c>
      <c r="P66" s="17">
        <v>2000</v>
      </c>
      <c r="Q66" s="17">
        <v>0</v>
      </c>
      <c r="R66" s="17">
        <v>0</v>
      </c>
      <c r="S66" s="17">
        <v>6500</v>
      </c>
      <c r="T66" s="17">
        <v>2000</v>
      </c>
      <c r="U66" s="17">
        <v>10500</v>
      </c>
      <c r="V66" s="17">
        <v>0</v>
      </c>
      <c r="W66" s="17">
        <v>59500</v>
      </c>
      <c r="X66" s="15">
        <v>0</v>
      </c>
      <c r="Y66" s="17">
        <v>0</v>
      </c>
      <c r="Z66" s="17">
        <v>-2450</v>
      </c>
      <c r="AA66" s="17">
        <v>-2275</v>
      </c>
    </row>
    <row r="67" spans="3:27" ht="21.75" customHeight="1" x14ac:dyDescent="0.25">
      <c r="C67" s="11">
        <v>443</v>
      </c>
      <c r="D67" s="12" t="s">
        <v>158</v>
      </c>
      <c r="E67" s="7" t="s">
        <v>71</v>
      </c>
      <c r="F67" s="8">
        <v>45901</v>
      </c>
      <c r="G67" s="7" t="s">
        <v>16</v>
      </c>
      <c r="H67" s="9" t="s">
        <v>18</v>
      </c>
      <c r="I67" s="9" t="s">
        <v>18</v>
      </c>
      <c r="J67" s="6">
        <v>44036.83</v>
      </c>
      <c r="K67" s="6">
        <v>46146.75</v>
      </c>
      <c r="L67" s="6">
        <v>2109.9199999999983</v>
      </c>
      <c r="M67" s="12" t="s">
        <v>81</v>
      </c>
      <c r="N67" s="12" t="s">
        <v>157</v>
      </c>
      <c r="O67" s="17">
        <v>23208.75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16750</v>
      </c>
      <c r="V67" s="17">
        <v>6188</v>
      </c>
      <c r="W67" s="17">
        <v>46146.75</v>
      </c>
      <c r="X67" s="15">
        <v>0</v>
      </c>
      <c r="Y67" s="17">
        <v>0</v>
      </c>
      <c r="Z67" s="17">
        <v>0</v>
      </c>
      <c r="AA67" s="17">
        <v>0</v>
      </c>
    </row>
    <row r="68" spans="3:27" ht="21.75" customHeight="1" x14ac:dyDescent="0.25">
      <c r="C68" s="11">
        <v>1500</v>
      </c>
      <c r="D68" s="12" t="s">
        <v>159</v>
      </c>
      <c r="E68" s="7" t="s">
        <v>15</v>
      </c>
      <c r="F68" s="8">
        <v>45901</v>
      </c>
      <c r="G68" s="7" t="s">
        <v>16</v>
      </c>
      <c r="H68" s="9" t="s">
        <v>18</v>
      </c>
      <c r="I68" s="9" t="s">
        <v>39</v>
      </c>
      <c r="J68" s="6">
        <v>39000</v>
      </c>
      <c r="K68" s="6">
        <v>48000</v>
      </c>
      <c r="L68" s="6">
        <v>9000</v>
      </c>
      <c r="M68" s="12" t="s">
        <v>85</v>
      </c>
      <c r="N68" s="12" t="s">
        <v>86</v>
      </c>
      <c r="O68" s="17">
        <v>27000</v>
      </c>
      <c r="P68" s="17">
        <v>2000</v>
      </c>
      <c r="Q68" s="17">
        <v>0</v>
      </c>
      <c r="R68" s="17">
        <v>0</v>
      </c>
      <c r="S68" s="17">
        <v>6500</v>
      </c>
      <c r="T68" s="17">
        <v>2000</v>
      </c>
      <c r="U68" s="17">
        <v>10500</v>
      </c>
      <c r="V68" s="17">
        <v>0</v>
      </c>
      <c r="W68" s="17">
        <v>48000</v>
      </c>
      <c r="X68" s="15">
        <v>0</v>
      </c>
      <c r="Y68" s="17">
        <v>0</v>
      </c>
      <c r="Z68" s="17">
        <v>-1875</v>
      </c>
      <c r="AA68" s="17">
        <v>-1575</v>
      </c>
    </row>
    <row r="69" spans="3:27" ht="21.75" customHeight="1" x14ac:dyDescent="0.25">
      <c r="C69" s="11">
        <v>268</v>
      </c>
      <c r="D69" s="12" t="s">
        <v>160</v>
      </c>
      <c r="E69" s="7" t="s">
        <v>71</v>
      </c>
      <c r="F69" s="8">
        <v>45901</v>
      </c>
      <c r="G69" s="7" t="s">
        <v>16</v>
      </c>
      <c r="H69" s="9" t="s">
        <v>18</v>
      </c>
      <c r="I69" s="9" t="s">
        <v>18</v>
      </c>
      <c r="J69" s="6">
        <v>33625</v>
      </c>
      <c r="K69" s="6">
        <v>35350</v>
      </c>
      <c r="L69" s="6">
        <v>1725</v>
      </c>
      <c r="M69" s="12" t="s">
        <v>85</v>
      </c>
      <c r="N69" s="12" t="s">
        <v>87</v>
      </c>
      <c r="O69" s="17">
        <v>18975</v>
      </c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17">
        <v>11250</v>
      </c>
      <c r="V69" s="17">
        <v>5125</v>
      </c>
      <c r="W69" s="17">
        <v>35350</v>
      </c>
      <c r="X69" s="15">
        <v>0</v>
      </c>
      <c r="Y69" s="17">
        <v>0</v>
      </c>
      <c r="Z69" s="17">
        <v>0</v>
      </c>
      <c r="AA69" s="17">
        <v>0</v>
      </c>
    </row>
    <row r="70" spans="3:27" ht="21.75" customHeight="1" x14ac:dyDescent="0.25">
      <c r="C70" s="11">
        <v>1123</v>
      </c>
      <c r="D70" s="12" t="s">
        <v>161</v>
      </c>
      <c r="E70" s="7" t="s">
        <v>71</v>
      </c>
      <c r="F70" s="8">
        <v>45901</v>
      </c>
      <c r="G70" s="7" t="s">
        <v>16</v>
      </c>
      <c r="H70" s="9" t="s">
        <v>22</v>
      </c>
      <c r="I70" s="9" t="s">
        <v>22</v>
      </c>
      <c r="J70" s="6">
        <v>71450</v>
      </c>
      <c r="K70" s="6">
        <v>75300</v>
      </c>
      <c r="L70" s="6">
        <v>3850</v>
      </c>
      <c r="M70" s="12" t="s">
        <v>85</v>
      </c>
      <c r="N70" s="12" t="s">
        <v>87</v>
      </c>
      <c r="O70" s="17">
        <v>42350</v>
      </c>
      <c r="P70" s="17">
        <v>2000</v>
      </c>
      <c r="Q70" s="17">
        <v>950</v>
      </c>
      <c r="R70" s="17">
        <v>4000</v>
      </c>
      <c r="S70" s="17">
        <v>6500</v>
      </c>
      <c r="T70" s="17">
        <v>2000</v>
      </c>
      <c r="U70" s="17">
        <v>10500</v>
      </c>
      <c r="V70" s="17">
        <v>7000</v>
      </c>
      <c r="W70" s="17">
        <v>75300</v>
      </c>
      <c r="X70" s="15">
        <v>0</v>
      </c>
      <c r="Y70" s="17">
        <v>0</v>
      </c>
      <c r="Z70" s="17">
        <v>-2690</v>
      </c>
      <c r="AA70" s="17">
        <v>-2497.5</v>
      </c>
    </row>
    <row r="71" spans="3:27" ht="21.75" customHeight="1" x14ac:dyDescent="0.25">
      <c r="C71" s="11">
        <v>1282</v>
      </c>
      <c r="D71" s="12" t="s">
        <v>162</v>
      </c>
      <c r="E71" s="7" t="s">
        <v>72</v>
      </c>
      <c r="F71" s="8">
        <v>45901</v>
      </c>
      <c r="G71" s="7" t="s">
        <v>16</v>
      </c>
      <c r="H71" s="9" t="s">
        <v>75</v>
      </c>
      <c r="I71" s="9" t="s">
        <v>40</v>
      </c>
      <c r="J71" s="6">
        <v>17863.650000000001</v>
      </c>
      <c r="K71" s="6">
        <v>18756.75</v>
      </c>
      <c r="L71" s="6">
        <v>893.09999999999854</v>
      </c>
      <c r="M71" s="12" t="s">
        <v>85</v>
      </c>
      <c r="N71" s="12" t="s">
        <v>87</v>
      </c>
      <c r="O71" s="17">
        <v>14118.75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4638</v>
      </c>
      <c r="V71" s="17">
        <v>0</v>
      </c>
      <c r="W71" s="17">
        <v>18756.75</v>
      </c>
      <c r="X71" s="15">
        <v>0</v>
      </c>
      <c r="Y71" s="17">
        <v>0</v>
      </c>
      <c r="Z71" s="17">
        <v>0</v>
      </c>
      <c r="AA71" s="17">
        <v>0</v>
      </c>
    </row>
    <row r="72" spans="3:27" ht="21.75" customHeight="1" x14ac:dyDescent="0.25">
      <c r="C72" s="11">
        <v>1475</v>
      </c>
      <c r="D72" s="12" t="s">
        <v>163</v>
      </c>
      <c r="E72" s="7" t="s">
        <v>72</v>
      </c>
      <c r="F72" s="8">
        <v>45901</v>
      </c>
      <c r="G72" s="7" t="s">
        <v>16</v>
      </c>
      <c r="H72" s="9" t="s">
        <v>50</v>
      </c>
      <c r="I72" s="9" t="s">
        <v>74</v>
      </c>
      <c r="J72" s="6">
        <v>64312.5</v>
      </c>
      <c r="K72" s="6">
        <v>67528.25</v>
      </c>
      <c r="L72" s="6">
        <v>3215.75</v>
      </c>
      <c r="M72" s="12" t="s">
        <v>85</v>
      </c>
      <c r="N72" s="12" t="s">
        <v>87</v>
      </c>
      <c r="O72" s="17">
        <v>37528.25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30000</v>
      </c>
      <c r="V72" s="17">
        <v>0</v>
      </c>
      <c r="W72" s="17">
        <v>67528.25</v>
      </c>
      <c r="X72" s="15">
        <v>0</v>
      </c>
      <c r="Y72" s="17">
        <v>0</v>
      </c>
      <c r="Z72" s="17">
        <v>0</v>
      </c>
      <c r="AA72" s="17">
        <v>0</v>
      </c>
    </row>
    <row r="73" spans="3:27" ht="21.75" customHeight="1" x14ac:dyDescent="0.25">
      <c r="C73" s="11">
        <v>1599</v>
      </c>
      <c r="D73" s="12" t="s">
        <v>164</v>
      </c>
      <c r="E73" s="7" t="s">
        <v>72</v>
      </c>
      <c r="F73" s="8">
        <v>45901</v>
      </c>
      <c r="G73" s="7" t="s">
        <v>16</v>
      </c>
      <c r="H73" s="9" t="s">
        <v>12</v>
      </c>
      <c r="I73" s="9" t="s">
        <v>9</v>
      </c>
      <c r="J73" s="6">
        <v>21900</v>
      </c>
      <c r="K73" s="6">
        <v>24200</v>
      </c>
      <c r="L73" s="6">
        <v>2300</v>
      </c>
      <c r="M73" s="12" t="s">
        <v>85</v>
      </c>
      <c r="N73" s="12" t="s">
        <v>87</v>
      </c>
      <c r="O73" s="17">
        <v>12900</v>
      </c>
      <c r="P73" s="17">
        <v>1200</v>
      </c>
      <c r="Q73" s="17">
        <v>0</v>
      </c>
      <c r="R73" s="17">
        <v>0</v>
      </c>
      <c r="S73" s="17">
        <v>4300</v>
      </c>
      <c r="T73" s="17">
        <v>1200</v>
      </c>
      <c r="U73" s="17">
        <v>4600</v>
      </c>
      <c r="V73" s="17">
        <v>0</v>
      </c>
      <c r="W73" s="17">
        <v>24200</v>
      </c>
      <c r="X73" s="15">
        <v>0</v>
      </c>
      <c r="Y73" s="17">
        <v>0</v>
      </c>
      <c r="Z73" s="17">
        <v>-980</v>
      </c>
      <c r="AA73" s="17">
        <v>-865</v>
      </c>
    </row>
    <row r="74" spans="3:27" ht="21.75" customHeight="1" x14ac:dyDescent="0.25">
      <c r="C74" s="11">
        <v>1338</v>
      </c>
      <c r="D74" s="12" t="s">
        <v>165</v>
      </c>
      <c r="E74" s="7" t="s">
        <v>72</v>
      </c>
      <c r="F74" s="8">
        <v>45901</v>
      </c>
      <c r="G74" s="7" t="s">
        <v>16</v>
      </c>
      <c r="H74" s="9" t="s">
        <v>38</v>
      </c>
      <c r="I74" s="9" t="s">
        <v>18</v>
      </c>
      <c r="J74" s="6">
        <v>25266.15</v>
      </c>
      <c r="K74" s="6">
        <v>28500</v>
      </c>
      <c r="L74" s="6">
        <v>3233.8499999999985</v>
      </c>
      <c r="M74" s="12" t="s">
        <v>85</v>
      </c>
      <c r="N74" s="12" t="s">
        <v>166</v>
      </c>
      <c r="O74" s="17">
        <v>13203.15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15296.85</v>
      </c>
      <c r="V74" s="17">
        <v>0</v>
      </c>
      <c r="W74" s="17">
        <v>28500</v>
      </c>
      <c r="X74" s="15">
        <v>0</v>
      </c>
      <c r="Y74" s="17">
        <v>0</v>
      </c>
      <c r="Z74" s="17">
        <v>0</v>
      </c>
      <c r="AA74" s="17">
        <v>0</v>
      </c>
    </row>
    <row r="75" spans="3:27" ht="21.75" customHeight="1" x14ac:dyDescent="0.25">
      <c r="C75" s="11">
        <v>1339</v>
      </c>
      <c r="D75" s="12" t="s">
        <v>167</v>
      </c>
      <c r="E75" s="7" t="s">
        <v>71</v>
      </c>
      <c r="F75" s="8">
        <v>45901</v>
      </c>
      <c r="G75" s="7" t="s">
        <v>16</v>
      </c>
      <c r="H75" s="9" t="s">
        <v>18</v>
      </c>
      <c r="I75" s="9" t="s">
        <v>18</v>
      </c>
      <c r="J75" s="6">
        <v>42315</v>
      </c>
      <c r="K75" s="6">
        <v>44836.5</v>
      </c>
      <c r="L75" s="6">
        <v>2521.5</v>
      </c>
      <c r="M75" s="12" t="s">
        <v>85</v>
      </c>
      <c r="N75" s="12" t="s">
        <v>166</v>
      </c>
      <c r="O75" s="17">
        <v>27736.5</v>
      </c>
      <c r="P75" s="17">
        <v>1500</v>
      </c>
      <c r="Q75" s="17">
        <v>0</v>
      </c>
      <c r="R75" s="17">
        <v>0</v>
      </c>
      <c r="S75" s="17">
        <v>5300</v>
      </c>
      <c r="T75" s="17">
        <v>1500</v>
      </c>
      <c r="U75" s="17">
        <v>7500</v>
      </c>
      <c r="V75" s="17">
        <v>1300</v>
      </c>
      <c r="W75" s="17">
        <v>44836.5</v>
      </c>
      <c r="X75" s="15">
        <v>0</v>
      </c>
      <c r="Y75" s="17">
        <v>0</v>
      </c>
      <c r="Z75" s="17">
        <v>-1801.82</v>
      </c>
      <c r="AA75" s="17">
        <v>-1675.75</v>
      </c>
    </row>
    <row r="76" spans="3:27" ht="21.75" customHeight="1" x14ac:dyDescent="0.25">
      <c r="C76" s="11">
        <v>1569</v>
      </c>
      <c r="D76" s="12" t="s">
        <v>168</v>
      </c>
      <c r="E76" s="7" t="s">
        <v>72</v>
      </c>
      <c r="F76" s="8">
        <v>45901</v>
      </c>
      <c r="G76" s="7" t="s">
        <v>16</v>
      </c>
      <c r="H76" s="9" t="s">
        <v>38</v>
      </c>
      <c r="I76" s="9" t="s">
        <v>18</v>
      </c>
      <c r="J76" s="6">
        <v>37000</v>
      </c>
      <c r="K76" s="6">
        <v>39000</v>
      </c>
      <c r="L76" s="6">
        <v>2000</v>
      </c>
      <c r="M76" s="12" t="s">
        <v>85</v>
      </c>
      <c r="N76" s="12" t="s">
        <v>166</v>
      </c>
      <c r="O76" s="17">
        <v>23200</v>
      </c>
      <c r="P76" s="17">
        <v>1500</v>
      </c>
      <c r="Q76" s="17">
        <v>0</v>
      </c>
      <c r="R76" s="17">
        <v>0</v>
      </c>
      <c r="S76" s="17">
        <v>5300</v>
      </c>
      <c r="T76" s="17">
        <v>1500</v>
      </c>
      <c r="U76" s="17">
        <v>7500</v>
      </c>
      <c r="V76" s="17">
        <v>0</v>
      </c>
      <c r="W76" s="17">
        <v>39000</v>
      </c>
      <c r="X76" s="15">
        <v>0</v>
      </c>
      <c r="Y76" s="17">
        <v>0</v>
      </c>
      <c r="Z76" s="17">
        <v>-1575</v>
      </c>
      <c r="AA76" s="17">
        <v>-1475</v>
      </c>
    </row>
    <row r="77" spans="3:27" ht="21.75" customHeight="1" x14ac:dyDescent="0.25">
      <c r="C77" s="11">
        <v>867</v>
      </c>
      <c r="D77" s="12" t="s">
        <v>169</v>
      </c>
      <c r="E77" s="7" t="s">
        <v>71</v>
      </c>
      <c r="F77" s="8">
        <v>45901</v>
      </c>
      <c r="G77" s="7" t="s">
        <v>16</v>
      </c>
      <c r="H77" s="9" t="s">
        <v>18</v>
      </c>
      <c r="I77" s="9" t="s">
        <v>18</v>
      </c>
      <c r="J77" s="6">
        <v>42315</v>
      </c>
      <c r="K77" s="6">
        <v>44836.5</v>
      </c>
      <c r="L77" s="6">
        <v>2521.5</v>
      </c>
      <c r="M77" s="12" t="s">
        <v>85</v>
      </c>
      <c r="N77" s="12" t="s">
        <v>170</v>
      </c>
      <c r="O77" s="17">
        <v>27736.5</v>
      </c>
      <c r="P77" s="17">
        <v>1500</v>
      </c>
      <c r="Q77" s="17">
        <v>0</v>
      </c>
      <c r="R77" s="17">
        <v>0</v>
      </c>
      <c r="S77" s="17">
        <v>5300</v>
      </c>
      <c r="T77" s="17">
        <v>1500</v>
      </c>
      <c r="U77" s="17">
        <v>7500</v>
      </c>
      <c r="V77" s="17">
        <v>1300</v>
      </c>
      <c r="W77" s="17">
        <v>44836.5</v>
      </c>
      <c r="X77" s="15">
        <v>0</v>
      </c>
      <c r="Y77" s="17">
        <v>0</v>
      </c>
      <c r="Z77" s="17">
        <v>-1801.82</v>
      </c>
      <c r="AA77" s="17">
        <v>-1675.75</v>
      </c>
    </row>
    <row r="78" spans="3:27" ht="21.75" customHeight="1" x14ac:dyDescent="0.25">
      <c r="C78" s="11">
        <v>1468</v>
      </c>
      <c r="D78" s="12" t="s">
        <v>171</v>
      </c>
      <c r="E78" s="7" t="s">
        <v>71</v>
      </c>
      <c r="F78" s="8">
        <v>45901</v>
      </c>
      <c r="G78" s="7" t="s">
        <v>16</v>
      </c>
      <c r="H78" s="9" t="s">
        <v>18</v>
      </c>
      <c r="I78" s="9" t="s">
        <v>18</v>
      </c>
      <c r="J78" s="6">
        <v>33625</v>
      </c>
      <c r="K78" s="6">
        <v>35475</v>
      </c>
      <c r="L78" s="6">
        <v>1850</v>
      </c>
      <c r="M78" s="12" t="s">
        <v>85</v>
      </c>
      <c r="N78" s="12" t="s">
        <v>170</v>
      </c>
      <c r="O78" s="17">
        <v>20350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10000</v>
      </c>
      <c r="V78" s="17">
        <v>5125</v>
      </c>
      <c r="W78" s="17">
        <v>35475</v>
      </c>
      <c r="X78" s="15">
        <v>0</v>
      </c>
      <c r="Y78" s="17">
        <v>0</v>
      </c>
      <c r="Z78" s="17">
        <v>0</v>
      </c>
      <c r="AA78" s="17">
        <v>0</v>
      </c>
    </row>
    <row r="79" spans="3:27" ht="21.75" customHeight="1" x14ac:dyDescent="0.25">
      <c r="C79" s="11">
        <v>1596</v>
      </c>
      <c r="D79" s="12" t="s">
        <v>172</v>
      </c>
      <c r="E79" s="7" t="s">
        <v>72</v>
      </c>
      <c r="F79" s="8">
        <v>45901</v>
      </c>
      <c r="G79" s="7" t="s">
        <v>16</v>
      </c>
      <c r="H79" s="9" t="s">
        <v>38</v>
      </c>
      <c r="I79" s="9" t="s">
        <v>18</v>
      </c>
      <c r="J79" s="6">
        <v>22350</v>
      </c>
      <c r="K79" s="6">
        <v>28500</v>
      </c>
      <c r="L79" s="6">
        <v>6150</v>
      </c>
      <c r="M79" s="12" t="s">
        <v>85</v>
      </c>
      <c r="N79" s="12" t="s">
        <v>170</v>
      </c>
      <c r="O79" s="17">
        <v>11750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16750</v>
      </c>
      <c r="V79" s="17">
        <v>0</v>
      </c>
      <c r="W79" s="17">
        <v>28500</v>
      </c>
      <c r="X79" s="15">
        <v>0</v>
      </c>
      <c r="Y79" s="17">
        <v>0</v>
      </c>
      <c r="Z79" s="17">
        <v>0</v>
      </c>
      <c r="AA79" s="17">
        <v>0</v>
      </c>
    </row>
    <row r="80" spans="3:27" ht="21.75" customHeight="1" x14ac:dyDescent="0.25">
      <c r="C80" s="11">
        <v>1610</v>
      </c>
      <c r="D80" s="12" t="s">
        <v>173</v>
      </c>
      <c r="E80" s="7" t="s">
        <v>72</v>
      </c>
      <c r="F80" s="8">
        <v>45901</v>
      </c>
      <c r="G80" s="7" t="s">
        <v>16</v>
      </c>
      <c r="H80" s="9" t="s">
        <v>38</v>
      </c>
      <c r="I80" s="9" t="s">
        <v>18</v>
      </c>
      <c r="J80" s="6">
        <v>22350</v>
      </c>
      <c r="K80" s="6">
        <v>28500</v>
      </c>
      <c r="L80" s="6">
        <v>6150</v>
      </c>
      <c r="M80" s="12" t="s">
        <v>85</v>
      </c>
      <c r="N80" s="12" t="s">
        <v>170</v>
      </c>
      <c r="O80" s="17">
        <v>11750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16750</v>
      </c>
      <c r="V80" s="17">
        <v>0</v>
      </c>
      <c r="W80" s="17">
        <v>28500</v>
      </c>
      <c r="X80" s="15">
        <v>0</v>
      </c>
      <c r="Y80" s="17">
        <v>0</v>
      </c>
      <c r="Z80" s="17">
        <v>0</v>
      </c>
      <c r="AA80" s="17">
        <v>0</v>
      </c>
    </row>
    <row r="81" spans="3:27" ht="21.75" customHeight="1" x14ac:dyDescent="0.25">
      <c r="C81" s="11">
        <v>1698</v>
      </c>
      <c r="D81" s="12" t="s">
        <v>174</v>
      </c>
      <c r="E81" s="7" t="s">
        <v>72</v>
      </c>
      <c r="F81" s="8">
        <v>45901</v>
      </c>
      <c r="G81" s="7" t="s">
        <v>16</v>
      </c>
      <c r="H81" s="9" t="s">
        <v>13</v>
      </c>
      <c r="I81" s="9" t="s">
        <v>38</v>
      </c>
      <c r="J81" s="6">
        <v>34500</v>
      </c>
      <c r="K81" s="6">
        <v>37000</v>
      </c>
      <c r="L81" s="6">
        <v>2500</v>
      </c>
      <c r="M81" s="12" t="s">
        <v>85</v>
      </c>
      <c r="N81" s="12" t="s">
        <v>170</v>
      </c>
      <c r="O81" s="17">
        <v>21200</v>
      </c>
      <c r="P81" s="17">
        <v>1500</v>
      </c>
      <c r="Q81" s="17">
        <v>0</v>
      </c>
      <c r="R81" s="17">
        <v>0</v>
      </c>
      <c r="S81" s="17">
        <v>5300</v>
      </c>
      <c r="T81" s="17">
        <v>1500</v>
      </c>
      <c r="U81" s="17">
        <v>7500</v>
      </c>
      <c r="V81" s="17">
        <v>0</v>
      </c>
      <c r="W81" s="17">
        <v>37000</v>
      </c>
      <c r="X81" s="15">
        <v>0</v>
      </c>
      <c r="Y81" s="17">
        <v>0</v>
      </c>
      <c r="Z81" s="17">
        <v>-1475</v>
      </c>
      <c r="AA81" s="17">
        <v>-1435.5</v>
      </c>
    </row>
    <row r="82" spans="3:27" ht="21.75" customHeight="1" x14ac:dyDescent="0.25">
      <c r="C82" s="11">
        <v>1757</v>
      </c>
      <c r="D82" s="12" t="s">
        <v>175</v>
      </c>
      <c r="E82" s="7" t="s">
        <v>72</v>
      </c>
      <c r="F82" s="8">
        <v>45901</v>
      </c>
      <c r="G82" s="7" t="s">
        <v>16</v>
      </c>
      <c r="H82" s="9" t="s">
        <v>76</v>
      </c>
      <c r="I82" s="9" t="s">
        <v>9</v>
      </c>
      <c r="J82" s="6">
        <v>20800</v>
      </c>
      <c r="K82" s="6">
        <v>24200</v>
      </c>
      <c r="L82" s="6">
        <v>3400</v>
      </c>
      <c r="M82" s="12" t="s">
        <v>85</v>
      </c>
      <c r="N82" s="12" t="s">
        <v>89</v>
      </c>
      <c r="O82" s="17">
        <v>12900</v>
      </c>
      <c r="P82" s="17">
        <v>1200</v>
      </c>
      <c r="Q82" s="17">
        <v>0</v>
      </c>
      <c r="R82" s="17">
        <v>0</v>
      </c>
      <c r="S82" s="17">
        <v>4300</v>
      </c>
      <c r="T82" s="17">
        <v>1200</v>
      </c>
      <c r="U82" s="17">
        <v>4600</v>
      </c>
      <c r="V82" s="17">
        <v>0</v>
      </c>
      <c r="W82" s="17">
        <v>24200</v>
      </c>
      <c r="X82" s="15">
        <v>0</v>
      </c>
      <c r="Y82" s="17">
        <v>0</v>
      </c>
      <c r="Z82" s="17">
        <v>-980</v>
      </c>
      <c r="AA82" s="17">
        <v>-810</v>
      </c>
    </row>
    <row r="83" spans="3:27" ht="21.75" customHeight="1" x14ac:dyDescent="0.25">
      <c r="C83" s="11">
        <v>148</v>
      </c>
      <c r="D83" s="12" t="s">
        <v>176</v>
      </c>
      <c r="E83" s="7" t="s">
        <v>71</v>
      </c>
      <c r="F83" s="8">
        <v>45901</v>
      </c>
      <c r="G83" s="7" t="s">
        <v>16</v>
      </c>
      <c r="H83" s="9" t="s">
        <v>18</v>
      </c>
      <c r="I83" s="9" t="s">
        <v>18</v>
      </c>
      <c r="J83" s="6">
        <v>53672</v>
      </c>
      <c r="K83" s="6">
        <v>56479.25</v>
      </c>
      <c r="L83" s="6">
        <v>2807.25</v>
      </c>
      <c r="M83" s="12" t="s">
        <v>85</v>
      </c>
      <c r="N83" s="12" t="s">
        <v>89</v>
      </c>
      <c r="O83" s="17">
        <v>30879.25</v>
      </c>
      <c r="P83" s="17">
        <v>1500</v>
      </c>
      <c r="Q83" s="17">
        <v>3800</v>
      </c>
      <c r="R83" s="17">
        <v>0</v>
      </c>
      <c r="S83" s="17">
        <v>5300</v>
      </c>
      <c r="T83" s="17">
        <v>1500</v>
      </c>
      <c r="U83" s="17">
        <v>7500</v>
      </c>
      <c r="V83" s="17">
        <v>6000</v>
      </c>
      <c r="W83" s="17">
        <v>56479.25</v>
      </c>
      <c r="X83" s="15">
        <v>0</v>
      </c>
      <c r="Y83" s="17">
        <v>3000</v>
      </c>
      <c r="Z83" s="17">
        <v>-2298.96</v>
      </c>
      <c r="AA83" s="17">
        <v>-2158.6</v>
      </c>
    </row>
    <row r="84" spans="3:27" ht="21.75" customHeight="1" x14ac:dyDescent="0.25">
      <c r="C84" s="11">
        <v>371</v>
      </c>
      <c r="D84" s="12" t="s">
        <v>177</v>
      </c>
      <c r="E84" s="7" t="s">
        <v>71</v>
      </c>
      <c r="F84" s="8">
        <v>45901</v>
      </c>
      <c r="G84" s="7" t="s">
        <v>16</v>
      </c>
      <c r="H84" s="9" t="s">
        <v>18</v>
      </c>
      <c r="I84" s="9" t="s">
        <v>18</v>
      </c>
      <c r="J84" s="6">
        <v>33625</v>
      </c>
      <c r="K84" s="6">
        <v>35475</v>
      </c>
      <c r="L84" s="6">
        <v>1850</v>
      </c>
      <c r="M84" s="12" t="s">
        <v>85</v>
      </c>
      <c r="N84" s="12" t="s">
        <v>89</v>
      </c>
      <c r="O84" s="17">
        <v>20350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10000</v>
      </c>
      <c r="V84" s="17">
        <v>5125</v>
      </c>
      <c r="W84" s="17">
        <v>35475</v>
      </c>
      <c r="X84" s="15">
        <v>0</v>
      </c>
      <c r="Y84" s="17">
        <v>0</v>
      </c>
      <c r="Z84" s="17">
        <v>0</v>
      </c>
      <c r="AA84" s="17">
        <v>0</v>
      </c>
    </row>
    <row r="85" spans="3:27" ht="21.75" customHeight="1" x14ac:dyDescent="0.25">
      <c r="C85" s="11">
        <v>409</v>
      </c>
      <c r="D85" s="12" t="s">
        <v>178</v>
      </c>
      <c r="E85" s="7" t="s">
        <v>71</v>
      </c>
      <c r="F85" s="8">
        <v>45901</v>
      </c>
      <c r="G85" s="7" t="s">
        <v>16</v>
      </c>
      <c r="H85" s="9" t="s">
        <v>35</v>
      </c>
      <c r="I85" s="9" t="s">
        <v>35</v>
      </c>
      <c r="J85" s="6">
        <v>104236.20000000001</v>
      </c>
      <c r="K85" s="6">
        <v>111157.5</v>
      </c>
      <c r="L85" s="6">
        <v>6921.2999999999884</v>
      </c>
      <c r="M85" s="12" t="s">
        <v>85</v>
      </c>
      <c r="N85" s="12" t="s">
        <v>89</v>
      </c>
      <c r="O85" s="17">
        <v>76133.5</v>
      </c>
      <c r="P85" s="17">
        <v>2500</v>
      </c>
      <c r="Q85" s="17">
        <v>0</v>
      </c>
      <c r="R85" s="17">
        <v>0</v>
      </c>
      <c r="S85" s="17">
        <v>8000</v>
      </c>
      <c r="T85" s="17">
        <v>2500</v>
      </c>
      <c r="U85" s="17">
        <v>15000</v>
      </c>
      <c r="V85" s="17">
        <v>7024</v>
      </c>
      <c r="W85" s="17">
        <v>111157.5</v>
      </c>
      <c r="X85" s="15">
        <v>0</v>
      </c>
      <c r="Y85" s="17">
        <v>0</v>
      </c>
      <c r="Z85" s="17">
        <v>-4456.68</v>
      </c>
      <c r="AA85" s="17">
        <v>-4110.6000000000004</v>
      </c>
    </row>
    <row r="86" spans="3:27" ht="21.75" customHeight="1" x14ac:dyDescent="0.25">
      <c r="C86" s="11">
        <v>561</v>
      </c>
      <c r="D86" s="12" t="s">
        <v>179</v>
      </c>
      <c r="E86" s="7" t="s">
        <v>71</v>
      </c>
      <c r="F86" s="8">
        <v>45901</v>
      </c>
      <c r="G86" s="7" t="s">
        <v>16</v>
      </c>
      <c r="H86" s="9" t="s">
        <v>18</v>
      </c>
      <c r="I86" s="9" t="s">
        <v>18</v>
      </c>
      <c r="J86" s="6">
        <v>33625</v>
      </c>
      <c r="K86" s="6">
        <v>35475</v>
      </c>
      <c r="L86" s="6">
        <v>1850</v>
      </c>
      <c r="M86" s="12" t="s">
        <v>85</v>
      </c>
      <c r="N86" s="12" t="s">
        <v>89</v>
      </c>
      <c r="O86" s="17">
        <v>20350</v>
      </c>
      <c r="P86" s="17">
        <v>0</v>
      </c>
      <c r="Q86" s="17">
        <v>0</v>
      </c>
      <c r="R86" s="17">
        <v>0</v>
      </c>
      <c r="S86" s="17">
        <v>0</v>
      </c>
      <c r="T86" s="17">
        <v>0</v>
      </c>
      <c r="U86" s="17">
        <v>10000</v>
      </c>
      <c r="V86" s="17">
        <v>5125</v>
      </c>
      <c r="W86" s="17">
        <v>35475</v>
      </c>
      <c r="X86" s="15">
        <v>0</v>
      </c>
      <c r="Y86" s="17">
        <v>0</v>
      </c>
      <c r="Z86" s="17">
        <v>0</v>
      </c>
      <c r="AA86" s="17">
        <v>0</v>
      </c>
    </row>
    <row r="87" spans="3:27" ht="21.75" customHeight="1" x14ac:dyDescent="0.25">
      <c r="C87" s="11">
        <v>749</v>
      </c>
      <c r="D87" s="12" t="s">
        <v>180</v>
      </c>
      <c r="E87" s="7" t="s">
        <v>71</v>
      </c>
      <c r="F87" s="8">
        <v>45901</v>
      </c>
      <c r="G87" s="7" t="s">
        <v>16</v>
      </c>
      <c r="H87" s="9" t="s">
        <v>29</v>
      </c>
      <c r="I87" s="9" t="s">
        <v>29</v>
      </c>
      <c r="J87" s="6">
        <v>15844</v>
      </c>
      <c r="K87" s="6">
        <v>16376.5</v>
      </c>
      <c r="L87" s="6">
        <v>532.5</v>
      </c>
      <c r="M87" s="12" t="s">
        <v>85</v>
      </c>
      <c r="N87" s="12" t="s">
        <v>89</v>
      </c>
      <c r="O87" s="17">
        <v>5856.5</v>
      </c>
      <c r="P87" s="17">
        <v>600</v>
      </c>
      <c r="Q87" s="17">
        <v>3220</v>
      </c>
      <c r="R87" s="17">
        <v>0</v>
      </c>
      <c r="S87" s="17">
        <v>2400</v>
      </c>
      <c r="T87" s="17">
        <v>600</v>
      </c>
      <c r="U87" s="17">
        <v>2000</v>
      </c>
      <c r="V87" s="17">
        <v>1700</v>
      </c>
      <c r="W87" s="17">
        <v>16376.5</v>
      </c>
      <c r="X87" s="15">
        <v>0</v>
      </c>
      <c r="Y87" s="17">
        <v>0</v>
      </c>
      <c r="Z87" s="17">
        <v>-633.82000000000005</v>
      </c>
      <c r="AA87" s="17">
        <v>-607.20000000000005</v>
      </c>
    </row>
    <row r="88" spans="3:27" ht="21.75" customHeight="1" x14ac:dyDescent="0.25">
      <c r="C88" s="11">
        <v>965</v>
      </c>
      <c r="D88" s="12" t="s">
        <v>181</v>
      </c>
      <c r="E88" s="7" t="s">
        <v>71</v>
      </c>
      <c r="F88" s="8">
        <v>45901</v>
      </c>
      <c r="G88" s="7" t="s">
        <v>16</v>
      </c>
      <c r="H88" s="9" t="s">
        <v>18</v>
      </c>
      <c r="I88" s="9" t="s">
        <v>18</v>
      </c>
      <c r="J88" s="6">
        <v>59079.199999999997</v>
      </c>
      <c r="K88" s="6">
        <v>62167</v>
      </c>
      <c r="L88" s="6">
        <v>3087.8000000000029</v>
      </c>
      <c r="M88" s="12" t="s">
        <v>85</v>
      </c>
      <c r="N88" s="12" t="s">
        <v>89</v>
      </c>
      <c r="O88" s="17">
        <v>33967</v>
      </c>
      <c r="P88" s="17">
        <v>1500</v>
      </c>
      <c r="Q88" s="17">
        <v>6400</v>
      </c>
      <c r="R88" s="17">
        <v>0</v>
      </c>
      <c r="S88" s="17">
        <v>5300</v>
      </c>
      <c r="T88" s="17">
        <v>1500</v>
      </c>
      <c r="U88" s="17">
        <v>7500</v>
      </c>
      <c r="V88" s="17">
        <v>6000</v>
      </c>
      <c r="W88" s="17">
        <v>62167</v>
      </c>
      <c r="X88" s="15">
        <v>0</v>
      </c>
      <c r="Y88" s="17">
        <v>3600</v>
      </c>
      <c r="Z88" s="17">
        <v>-2613.35</v>
      </c>
      <c r="AA88" s="17">
        <v>-2458.96</v>
      </c>
    </row>
    <row r="89" spans="3:27" ht="21.75" customHeight="1" x14ac:dyDescent="0.25">
      <c r="C89" s="11">
        <v>977</v>
      </c>
      <c r="D89" s="12" t="s">
        <v>182</v>
      </c>
      <c r="E89" s="7" t="s">
        <v>15</v>
      </c>
      <c r="F89" s="8">
        <v>45901</v>
      </c>
      <c r="G89" s="7" t="s">
        <v>16</v>
      </c>
      <c r="H89" s="9" t="s">
        <v>13</v>
      </c>
      <c r="I89" s="9" t="s">
        <v>38</v>
      </c>
      <c r="J89" s="6">
        <v>37873.5</v>
      </c>
      <c r="K89" s="6">
        <v>39767.25</v>
      </c>
      <c r="L89" s="6">
        <v>1893.75</v>
      </c>
      <c r="M89" s="12" t="s">
        <v>85</v>
      </c>
      <c r="N89" s="12" t="s">
        <v>89</v>
      </c>
      <c r="O89" s="17">
        <v>23093.75</v>
      </c>
      <c r="P89" s="17">
        <v>1500</v>
      </c>
      <c r="Q89" s="17">
        <v>0</v>
      </c>
      <c r="R89" s="17">
        <v>0</v>
      </c>
      <c r="S89" s="17">
        <v>5300</v>
      </c>
      <c r="T89" s="17">
        <v>1500</v>
      </c>
      <c r="U89" s="17">
        <v>7500</v>
      </c>
      <c r="V89" s="17">
        <v>873.5</v>
      </c>
      <c r="W89" s="17">
        <v>39767.25</v>
      </c>
      <c r="X89" s="15">
        <v>0</v>
      </c>
      <c r="Y89" s="17">
        <v>1800</v>
      </c>
      <c r="Z89" s="17">
        <v>-1659.69</v>
      </c>
      <c r="AA89" s="17">
        <v>-1530.18</v>
      </c>
    </row>
    <row r="90" spans="3:27" ht="21.75" customHeight="1" x14ac:dyDescent="0.25">
      <c r="C90" s="11">
        <v>990</v>
      </c>
      <c r="D90" s="12" t="s">
        <v>183</v>
      </c>
      <c r="E90" s="7" t="s">
        <v>72</v>
      </c>
      <c r="F90" s="8">
        <v>45901</v>
      </c>
      <c r="G90" s="7" t="s">
        <v>16</v>
      </c>
      <c r="H90" s="9" t="s">
        <v>12</v>
      </c>
      <c r="I90" s="9" t="s">
        <v>9</v>
      </c>
      <c r="J90" s="6">
        <v>27562.5</v>
      </c>
      <c r="K90" s="6">
        <v>28940.75</v>
      </c>
      <c r="L90" s="6">
        <v>1378.25</v>
      </c>
      <c r="M90" s="12" t="s">
        <v>85</v>
      </c>
      <c r="N90" s="12" t="s">
        <v>89</v>
      </c>
      <c r="O90" s="17">
        <v>14278.25</v>
      </c>
      <c r="P90" s="17">
        <v>1200</v>
      </c>
      <c r="Q90" s="17">
        <v>1012.5</v>
      </c>
      <c r="R90" s="17">
        <v>0</v>
      </c>
      <c r="S90" s="17">
        <v>4300</v>
      </c>
      <c r="T90" s="17">
        <v>1200</v>
      </c>
      <c r="U90" s="17">
        <v>4600</v>
      </c>
      <c r="V90" s="17">
        <v>2350</v>
      </c>
      <c r="W90" s="17">
        <v>28940.75</v>
      </c>
      <c r="X90" s="15">
        <v>0</v>
      </c>
      <c r="Y90" s="17">
        <v>0</v>
      </c>
      <c r="Z90" s="17">
        <v>-1099.54</v>
      </c>
      <c r="AA90" s="17">
        <v>-1030.6199999999999</v>
      </c>
    </row>
    <row r="91" spans="3:27" ht="21.75" customHeight="1" x14ac:dyDescent="0.25">
      <c r="C91" s="11">
        <v>1013</v>
      </c>
      <c r="D91" s="12" t="s">
        <v>184</v>
      </c>
      <c r="E91" s="7" t="s">
        <v>71</v>
      </c>
      <c r="F91" s="8">
        <v>45901</v>
      </c>
      <c r="G91" s="7" t="s">
        <v>16</v>
      </c>
      <c r="H91" s="9" t="s">
        <v>18</v>
      </c>
      <c r="I91" s="9" t="s">
        <v>18</v>
      </c>
      <c r="J91" s="6">
        <v>46840</v>
      </c>
      <c r="K91" s="6">
        <v>49392</v>
      </c>
      <c r="L91" s="6">
        <v>2552</v>
      </c>
      <c r="M91" s="12" t="s">
        <v>85</v>
      </c>
      <c r="N91" s="12" t="s">
        <v>89</v>
      </c>
      <c r="O91" s="17">
        <v>28072</v>
      </c>
      <c r="P91" s="17">
        <v>1500</v>
      </c>
      <c r="Q91" s="17">
        <v>1920</v>
      </c>
      <c r="R91" s="17">
        <v>0</v>
      </c>
      <c r="S91" s="17">
        <v>5300</v>
      </c>
      <c r="T91" s="17">
        <v>1500</v>
      </c>
      <c r="U91" s="17">
        <v>7500</v>
      </c>
      <c r="V91" s="17">
        <v>3600</v>
      </c>
      <c r="W91" s="17">
        <v>49392</v>
      </c>
      <c r="X91" s="15">
        <v>0</v>
      </c>
      <c r="Y91" s="17">
        <v>0</v>
      </c>
      <c r="Z91" s="17">
        <v>-1914.6</v>
      </c>
      <c r="AA91" s="17">
        <v>-1787</v>
      </c>
    </row>
    <row r="92" spans="3:27" ht="21.75" customHeight="1" x14ac:dyDescent="0.25">
      <c r="C92" s="11">
        <v>1046</v>
      </c>
      <c r="D92" s="12" t="s">
        <v>185</v>
      </c>
      <c r="E92" s="7" t="s">
        <v>72</v>
      </c>
      <c r="F92" s="8">
        <v>45901</v>
      </c>
      <c r="G92" s="7" t="s">
        <v>16</v>
      </c>
      <c r="H92" s="9" t="s">
        <v>75</v>
      </c>
      <c r="I92" s="9" t="s">
        <v>40</v>
      </c>
      <c r="J92" s="6">
        <v>32143.13</v>
      </c>
      <c r="K92" s="6">
        <v>33750.25</v>
      </c>
      <c r="L92" s="6">
        <v>1607.119999999999</v>
      </c>
      <c r="M92" s="12" t="s">
        <v>85</v>
      </c>
      <c r="N92" s="12" t="s">
        <v>89</v>
      </c>
      <c r="O92" s="17">
        <v>16750.25</v>
      </c>
      <c r="P92" s="17">
        <v>1000</v>
      </c>
      <c r="Q92" s="17">
        <v>5000</v>
      </c>
      <c r="R92" s="17">
        <v>0</v>
      </c>
      <c r="S92" s="17">
        <v>3500</v>
      </c>
      <c r="T92" s="17">
        <v>1000</v>
      </c>
      <c r="U92" s="17">
        <v>3200</v>
      </c>
      <c r="V92" s="17">
        <v>3300</v>
      </c>
      <c r="W92" s="17">
        <v>33750.25</v>
      </c>
      <c r="X92" s="15">
        <v>0</v>
      </c>
      <c r="Y92" s="17">
        <v>0</v>
      </c>
      <c r="Z92" s="17">
        <v>-1362.51</v>
      </c>
      <c r="AA92" s="17">
        <v>-1282.1600000000001</v>
      </c>
    </row>
    <row r="93" spans="3:27" ht="21.75" customHeight="1" x14ac:dyDescent="0.25">
      <c r="C93" s="11">
        <v>1136</v>
      </c>
      <c r="D93" s="12" t="s">
        <v>186</v>
      </c>
      <c r="E93" s="7" t="s">
        <v>72</v>
      </c>
      <c r="F93" s="8">
        <v>45901</v>
      </c>
      <c r="G93" s="7" t="s">
        <v>16</v>
      </c>
      <c r="H93" s="9" t="s">
        <v>38</v>
      </c>
      <c r="I93" s="9" t="s">
        <v>18</v>
      </c>
      <c r="J93" s="6">
        <v>37000</v>
      </c>
      <c r="K93" s="6">
        <v>39000</v>
      </c>
      <c r="L93" s="6">
        <v>2000</v>
      </c>
      <c r="M93" s="12" t="s">
        <v>85</v>
      </c>
      <c r="N93" s="12" t="s">
        <v>89</v>
      </c>
      <c r="O93" s="17">
        <v>23200</v>
      </c>
      <c r="P93" s="17">
        <v>1500</v>
      </c>
      <c r="Q93" s="17">
        <v>0</v>
      </c>
      <c r="R93" s="17">
        <v>0</v>
      </c>
      <c r="S93" s="17">
        <v>5300</v>
      </c>
      <c r="T93" s="17">
        <v>1500</v>
      </c>
      <c r="U93" s="17">
        <v>7500</v>
      </c>
      <c r="V93" s="17">
        <v>0</v>
      </c>
      <c r="W93" s="17">
        <v>39000</v>
      </c>
      <c r="X93" s="15">
        <v>0</v>
      </c>
      <c r="Y93" s="17">
        <v>0</v>
      </c>
      <c r="Z93" s="17">
        <v>-1575</v>
      </c>
      <c r="AA93" s="17">
        <v>-1475</v>
      </c>
    </row>
    <row r="94" spans="3:27" ht="21.75" customHeight="1" x14ac:dyDescent="0.25">
      <c r="C94" s="11">
        <v>1160</v>
      </c>
      <c r="D94" s="12" t="s">
        <v>187</v>
      </c>
      <c r="E94" s="7" t="s">
        <v>71</v>
      </c>
      <c r="F94" s="8">
        <v>45901</v>
      </c>
      <c r="G94" s="7" t="s">
        <v>16</v>
      </c>
      <c r="H94" s="9" t="s">
        <v>18</v>
      </c>
      <c r="I94" s="9" t="s">
        <v>18</v>
      </c>
      <c r="J94" s="6">
        <v>57201.1</v>
      </c>
      <c r="K94" s="6">
        <v>60039.25</v>
      </c>
      <c r="L94" s="6">
        <v>2838.1500000000015</v>
      </c>
      <c r="M94" s="12" t="s">
        <v>85</v>
      </c>
      <c r="N94" s="12" t="s">
        <v>89</v>
      </c>
      <c r="O94" s="17">
        <v>31219.25</v>
      </c>
      <c r="P94" s="17">
        <v>1500</v>
      </c>
      <c r="Q94" s="17">
        <v>9420</v>
      </c>
      <c r="R94" s="17">
        <v>0</v>
      </c>
      <c r="S94" s="17">
        <v>5300</v>
      </c>
      <c r="T94" s="17">
        <v>1500</v>
      </c>
      <c r="U94" s="17">
        <v>7500</v>
      </c>
      <c r="V94" s="17">
        <v>3600</v>
      </c>
      <c r="W94" s="17">
        <v>60039.25</v>
      </c>
      <c r="X94" s="15">
        <v>0</v>
      </c>
      <c r="Y94" s="17">
        <v>3600</v>
      </c>
      <c r="Z94" s="17">
        <v>-2626.96</v>
      </c>
      <c r="AA94" s="17">
        <v>-2485.06</v>
      </c>
    </row>
    <row r="95" spans="3:27" ht="21.75" customHeight="1" x14ac:dyDescent="0.25">
      <c r="C95" s="11">
        <v>1168</v>
      </c>
      <c r="D95" s="12" t="s">
        <v>188</v>
      </c>
      <c r="E95" s="7" t="s">
        <v>15</v>
      </c>
      <c r="F95" s="8">
        <v>45901</v>
      </c>
      <c r="G95" s="7" t="s">
        <v>16</v>
      </c>
      <c r="H95" s="9" t="s">
        <v>13</v>
      </c>
      <c r="I95" s="9" t="s">
        <v>18</v>
      </c>
      <c r="J95" s="6">
        <v>37074.449999999997</v>
      </c>
      <c r="K95" s="6">
        <v>39000</v>
      </c>
      <c r="L95" s="6">
        <v>1925.5500000000029</v>
      </c>
      <c r="M95" s="12" t="s">
        <v>85</v>
      </c>
      <c r="N95" s="12" t="s">
        <v>89</v>
      </c>
      <c r="O95" s="17">
        <v>23200</v>
      </c>
      <c r="P95" s="17">
        <v>1500</v>
      </c>
      <c r="Q95" s="17">
        <v>0</v>
      </c>
      <c r="R95" s="17">
        <v>0</v>
      </c>
      <c r="S95" s="17">
        <v>5300</v>
      </c>
      <c r="T95" s="17">
        <v>1500</v>
      </c>
      <c r="U95" s="17">
        <v>7500</v>
      </c>
      <c r="V95" s="17">
        <v>0</v>
      </c>
      <c r="W95" s="17">
        <v>39000</v>
      </c>
      <c r="X95" s="15">
        <v>0</v>
      </c>
      <c r="Y95" s="17">
        <v>0</v>
      </c>
      <c r="Z95" s="17">
        <v>-1575</v>
      </c>
      <c r="AA95" s="17">
        <v>-1438.28</v>
      </c>
    </row>
    <row r="96" spans="3:27" ht="21.75" customHeight="1" x14ac:dyDescent="0.25">
      <c r="C96" s="11">
        <v>1222</v>
      </c>
      <c r="D96" s="12" t="s">
        <v>189</v>
      </c>
      <c r="E96" s="7" t="s">
        <v>15</v>
      </c>
      <c r="F96" s="8">
        <v>45901</v>
      </c>
      <c r="G96" s="7" t="s">
        <v>16</v>
      </c>
      <c r="H96" s="9" t="s">
        <v>38</v>
      </c>
      <c r="I96" s="9" t="s">
        <v>18</v>
      </c>
      <c r="J96" s="6">
        <v>37000</v>
      </c>
      <c r="K96" s="6">
        <v>39000</v>
      </c>
      <c r="L96" s="6">
        <v>2000</v>
      </c>
      <c r="M96" s="12" t="s">
        <v>85</v>
      </c>
      <c r="N96" s="12" t="s">
        <v>89</v>
      </c>
      <c r="O96" s="17">
        <v>23200</v>
      </c>
      <c r="P96" s="17">
        <v>1500</v>
      </c>
      <c r="Q96" s="17">
        <v>0</v>
      </c>
      <c r="R96" s="17">
        <v>0</v>
      </c>
      <c r="S96" s="17">
        <v>5300</v>
      </c>
      <c r="T96" s="17">
        <v>1500</v>
      </c>
      <c r="U96" s="17">
        <v>7500</v>
      </c>
      <c r="V96" s="17">
        <v>0</v>
      </c>
      <c r="W96" s="17">
        <v>39000</v>
      </c>
      <c r="X96" s="15">
        <v>0</v>
      </c>
      <c r="Y96" s="17">
        <v>0</v>
      </c>
      <c r="Z96" s="17">
        <v>-1575</v>
      </c>
      <c r="AA96" s="17">
        <v>-1475</v>
      </c>
    </row>
    <row r="97" spans="3:27" ht="21.75" customHeight="1" x14ac:dyDescent="0.25">
      <c r="C97" s="11">
        <v>1235</v>
      </c>
      <c r="D97" s="12" t="s">
        <v>190</v>
      </c>
      <c r="E97" s="7" t="s">
        <v>15</v>
      </c>
      <c r="F97" s="8">
        <v>45901</v>
      </c>
      <c r="G97" s="7" t="s">
        <v>16</v>
      </c>
      <c r="H97" s="9" t="s">
        <v>38</v>
      </c>
      <c r="I97" s="9" t="s">
        <v>18</v>
      </c>
      <c r="J97" s="6">
        <v>37000</v>
      </c>
      <c r="K97" s="6">
        <v>39000</v>
      </c>
      <c r="L97" s="6">
        <v>2000</v>
      </c>
      <c r="M97" s="12" t="s">
        <v>85</v>
      </c>
      <c r="N97" s="12" t="s">
        <v>89</v>
      </c>
      <c r="O97" s="17">
        <v>23200</v>
      </c>
      <c r="P97" s="17">
        <v>1500</v>
      </c>
      <c r="Q97" s="17">
        <v>0</v>
      </c>
      <c r="R97" s="17">
        <v>0</v>
      </c>
      <c r="S97" s="17">
        <v>5300</v>
      </c>
      <c r="T97" s="17">
        <v>1500</v>
      </c>
      <c r="U97" s="17">
        <v>7500</v>
      </c>
      <c r="V97" s="17">
        <v>0</v>
      </c>
      <c r="W97" s="17">
        <v>39000</v>
      </c>
      <c r="X97" s="15">
        <v>0</v>
      </c>
      <c r="Y97" s="17">
        <v>0</v>
      </c>
      <c r="Z97" s="17">
        <v>-1575</v>
      </c>
      <c r="AA97" s="17">
        <v>-1475</v>
      </c>
    </row>
    <row r="98" spans="3:27" ht="21.75" customHeight="1" x14ac:dyDescent="0.25">
      <c r="C98" s="11">
        <v>1266</v>
      </c>
      <c r="D98" s="12" t="s">
        <v>191</v>
      </c>
      <c r="E98" s="7" t="s">
        <v>72</v>
      </c>
      <c r="F98" s="8">
        <v>45901</v>
      </c>
      <c r="G98" s="7" t="s">
        <v>16</v>
      </c>
      <c r="H98" s="9" t="s">
        <v>38</v>
      </c>
      <c r="I98" s="9" t="s">
        <v>18</v>
      </c>
      <c r="J98" s="6">
        <v>37000</v>
      </c>
      <c r="K98" s="6">
        <v>39000</v>
      </c>
      <c r="L98" s="6">
        <v>2000</v>
      </c>
      <c r="M98" s="12" t="s">
        <v>85</v>
      </c>
      <c r="N98" s="12" t="s">
        <v>89</v>
      </c>
      <c r="O98" s="17">
        <v>23200</v>
      </c>
      <c r="P98" s="17">
        <v>1500</v>
      </c>
      <c r="Q98" s="17">
        <v>0</v>
      </c>
      <c r="R98" s="17">
        <v>0</v>
      </c>
      <c r="S98" s="17">
        <v>5300</v>
      </c>
      <c r="T98" s="17">
        <v>1500</v>
      </c>
      <c r="U98" s="17">
        <v>7500</v>
      </c>
      <c r="V98" s="17">
        <v>0</v>
      </c>
      <c r="W98" s="17">
        <v>39000</v>
      </c>
      <c r="X98" s="15">
        <v>0</v>
      </c>
      <c r="Y98" s="17">
        <v>0</v>
      </c>
      <c r="Z98" s="17">
        <v>-1575</v>
      </c>
      <c r="AA98" s="17">
        <v>-1475</v>
      </c>
    </row>
    <row r="99" spans="3:27" ht="21.75" customHeight="1" x14ac:dyDescent="0.25">
      <c r="C99" s="11">
        <v>1307</v>
      </c>
      <c r="D99" s="12" t="s">
        <v>192</v>
      </c>
      <c r="E99" s="7" t="s">
        <v>15</v>
      </c>
      <c r="F99" s="8">
        <v>45901</v>
      </c>
      <c r="G99" s="7" t="s">
        <v>16</v>
      </c>
      <c r="H99" s="9" t="s">
        <v>38</v>
      </c>
      <c r="I99" s="9" t="s">
        <v>18</v>
      </c>
      <c r="J99" s="6">
        <v>42190.58</v>
      </c>
      <c r="K99" s="6">
        <v>44300</v>
      </c>
      <c r="L99" s="6">
        <v>2109.4199999999983</v>
      </c>
      <c r="M99" s="12" t="s">
        <v>85</v>
      </c>
      <c r="N99" s="12" t="s">
        <v>89</v>
      </c>
      <c r="O99" s="17">
        <v>25318.5</v>
      </c>
      <c r="P99" s="17">
        <v>1500</v>
      </c>
      <c r="Q99" s="17">
        <v>1414</v>
      </c>
      <c r="R99" s="17">
        <v>0</v>
      </c>
      <c r="S99" s="17">
        <v>5300</v>
      </c>
      <c r="T99" s="17">
        <v>1500</v>
      </c>
      <c r="U99" s="17">
        <v>7500</v>
      </c>
      <c r="V99" s="17">
        <v>1767.5</v>
      </c>
      <c r="W99" s="17">
        <v>44300</v>
      </c>
      <c r="X99" s="15">
        <v>0</v>
      </c>
      <c r="Y99" s="17">
        <v>2400</v>
      </c>
      <c r="Z99" s="17">
        <v>-1871.62</v>
      </c>
      <c r="AA99" s="17">
        <v>-1766.15</v>
      </c>
    </row>
    <row r="100" spans="3:27" ht="21.75" customHeight="1" x14ac:dyDescent="0.25">
      <c r="C100" s="11">
        <v>1329</v>
      </c>
      <c r="D100" s="12" t="s">
        <v>193</v>
      </c>
      <c r="E100" s="7" t="s">
        <v>71</v>
      </c>
      <c r="F100" s="8">
        <v>45901</v>
      </c>
      <c r="G100" s="7" t="s">
        <v>16</v>
      </c>
      <c r="H100" s="9" t="s">
        <v>18</v>
      </c>
      <c r="I100" s="9" t="s">
        <v>18</v>
      </c>
      <c r="J100" s="6">
        <v>75301</v>
      </c>
      <c r="K100" s="6">
        <v>79251</v>
      </c>
      <c r="L100" s="6">
        <v>3950</v>
      </c>
      <c r="M100" s="12" t="s">
        <v>85</v>
      </c>
      <c r="N100" s="12" t="s">
        <v>89</v>
      </c>
      <c r="O100" s="17">
        <v>43451</v>
      </c>
      <c r="P100" s="17">
        <v>1500</v>
      </c>
      <c r="Q100" s="17">
        <v>14000</v>
      </c>
      <c r="R100" s="17">
        <v>0</v>
      </c>
      <c r="S100" s="17">
        <v>5300</v>
      </c>
      <c r="T100" s="17">
        <v>1500</v>
      </c>
      <c r="U100" s="17">
        <v>7500</v>
      </c>
      <c r="V100" s="17">
        <v>6000</v>
      </c>
      <c r="W100" s="17">
        <v>79251</v>
      </c>
      <c r="X100" s="15">
        <v>0</v>
      </c>
      <c r="Y100" s="17">
        <v>4800</v>
      </c>
      <c r="Z100" s="17">
        <v>-3527.55</v>
      </c>
      <c r="AA100" s="17">
        <v>-3300.05</v>
      </c>
    </row>
    <row r="101" spans="3:27" ht="21.75" customHeight="1" x14ac:dyDescent="0.25">
      <c r="C101" s="11">
        <v>1364</v>
      </c>
      <c r="D101" s="12" t="s">
        <v>194</v>
      </c>
      <c r="E101" s="7" t="s">
        <v>72</v>
      </c>
      <c r="F101" s="8">
        <v>45901</v>
      </c>
      <c r="G101" s="7" t="s">
        <v>16</v>
      </c>
      <c r="H101" s="9" t="s">
        <v>12</v>
      </c>
      <c r="I101" s="9" t="s">
        <v>9</v>
      </c>
      <c r="J101" s="6">
        <v>27562.5</v>
      </c>
      <c r="K101" s="6">
        <v>28940.75</v>
      </c>
      <c r="L101" s="6">
        <v>1378.25</v>
      </c>
      <c r="M101" s="12" t="s">
        <v>85</v>
      </c>
      <c r="N101" s="12" t="s">
        <v>89</v>
      </c>
      <c r="O101" s="17">
        <v>14278.25</v>
      </c>
      <c r="P101" s="17">
        <v>1200</v>
      </c>
      <c r="Q101" s="17">
        <v>2162.5</v>
      </c>
      <c r="R101" s="17">
        <v>0</v>
      </c>
      <c r="S101" s="17">
        <v>4300</v>
      </c>
      <c r="T101" s="17">
        <v>1200</v>
      </c>
      <c r="U101" s="17">
        <v>4600</v>
      </c>
      <c r="V101" s="17">
        <v>1200</v>
      </c>
      <c r="W101" s="17">
        <v>28940.75</v>
      </c>
      <c r="X101" s="15">
        <v>0</v>
      </c>
      <c r="Y101" s="17">
        <v>1800</v>
      </c>
      <c r="Z101" s="17">
        <v>-1247.04</v>
      </c>
      <c r="AA101" s="17">
        <v>-1178.1199999999999</v>
      </c>
    </row>
    <row r="102" spans="3:27" ht="21.75" customHeight="1" x14ac:dyDescent="0.25">
      <c r="C102" s="11">
        <v>1423</v>
      </c>
      <c r="D102" s="12" t="s">
        <v>195</v>
      </c>
      <c r="E102" s="7" t="s">
        <v>72</v>
      </c>
      <c r="F102" s="8">
        <v>45901</v>
      </c>
      <c r="G102" s="7" t="s">
        <v>16</v>
      </c>
      <c r="H102" s="9" t="s">
        <v>38</v>
      </c>
      <c r="I102" s="9" t="s">
        <v>18</v>
      </c>
      <c r="J102" s="6">
        <v>25791.15</v>
      </c>
      <c r="K102" s="6">
        <v>28500</v>
      </c>
      <c r="L102" s="6">
        <v>2708.8499999999985</v>
      </c>
      <c r="M102" s="12" t="s">
        <v>85</v>
      </c>
      <c r="N102" s="12" t="s">
        <v>89</v>
      </c>
      <c r="O102" s="17">
        <v>13228.15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15271.85</v>
      </c>
      <c r="V102" s="17">
        <v>0</v>
      </c>
      <c r="W102" s="17">
        <v>28500</v>
      </c>
      <c r="X102" s="15">
        <v>0</v>
      </c>
      <c r="Y102" s="17">
        <v>0</v>
      </c>
      <c r="Z102" s="17">
        <v>0</v>
      </c>
      <c r="AA102" s="17">
        <v>0</v>
      </c>
    </row>
    <row r="103" spans="3:27" ht="21.75" customHeight="1" x14ac:dyDescent="0.25">
      <c r="C103" s="11">
        <v>1434</v>
      </c>
      <c r="D103" s="12" t="s">
        <v>196</v>
      </c>
      <c r="E103" s="7" t="s">
        <v>71</v>
      </c>
      <c r="F103" s="8">
        <v>45901</v>
      </c>
      <c r="G103" s="7" t="s">
        <v>16</v>
      </c>
      <c r="H103" s="9" t="s">
        <v>18</v>
      </c>
      <c r="I103" s="9" t="s">
        <v>18</v>
      </c>
      <c r="J103" s="6">
        <v>32063</v>
      </c>
      <c r="K103" s="6">
        <v>34063</v>
      </c>
      <c r="L103" s="6">
        <v>2000</v>
      </c>
      <c r="M103" s="12" t="s">
        <v>85</v>
      </c>
      <c r="N103" s="12" t="s">
        <v>89</v>
      </c>
      <c r="O103" s="17">
        <v>22000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8500</v>
      </c>
      <c r="V103" s="17">
        <v>3563</v>
      </c>
      <c r="W103" s="17">
        <v>34063</v>
      </c>
      <c r="X103" s="15">
        <v>0</v>
      </c>
      <c r="Y103" s="17">
        <v>0</v>
      </c>
      <c r="Z103" s="17">
        <v>0</v>
      </c>
      <c r="AA103" s="17">
        <v>0</v>
      </c>
    </row>
    <row r="104" spans="3:27" ht="21.75" customHeight="1" x14ac:dyDescent="0.25">
      <c r="C104" s="13">
        <v>1447</v>
      </c>
      <c r="D104" s="12" t="s">
        <v>197</v>
      </c>
      <c r="E104" s="9" t="s">
        <v>72</v>
      </c>
      <c r="F104" s="8">
        <v>45901</v>
      </c>
      <c r="G104" s="9" t="s">
        <v>16</v>
      </c>
      <c r="H104" s="9" t="s">
        <v>12</v>
      </c>
      <c r="I104" s="9" t="s">
        <v>9</v>
      </c>
      <c r="J104" s="6">
        <v>21170.63</v>
      </c>
      <c r="K104" s="6">
        <v>22229.25</v>
      </c>
      <c r="L104" s="6">
        <v>1058.619999999999</v>
      </c>
      <c r="M104" s="12" t="s">
        <v>85</v>
      </c>
      <c r="N104" s="12" t="s">
        <v>89</v>
      </c>
      <c r="O104" s="17">
        <v>16479.25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5750</v>
      </c>
      <c r="V104" s="17">
        <v>0</v>
      </c>
      <c r="W104" s="17">
        <v>22229.25</v>
      </c>
      <c r="X104" s="15">
        <v>0</v>
      </c>
      <c r="Y104" s="17">
        <v>0</v>
      </c>
      <c r="Z104" s="17">
        <v>0</v>
      </c>
      <c r="AA104" s="17">
        <v>0</v>
      </c>
    </row>
    <row r="105" spans="3:27" ht="21.75" customHeight="1" x14ac:dyDescent="0.25">
      <c r="C105" s="11">
        <v>1496</v>
      </c>
      <c r="D105" s="12" t="s">
        <v>198</v>
      </c>
      <c r="E105" s="7" t="s">
        <v>15</v>
      </c>
      <c r="F105" s="8">
        <v>45901</v>
      </c>
      <c r="G105" s="7" t="s">
        <v>16</v>
      </c>
      <c r="H105" s="9" t="s">
        <v>38</v>
      </c>
      <c r="I105" s="9" t="s">
        <v>18</v>
      </c>
      <c r="J105" s="6">
        <v>37000</v>
      </c>
      <c r="K105" s="6">
        <v>39000</v>
      </c>
      <c r="L105" s="6">
        <v>2000</v>
      </c>
      <c r="M105" s="12" t="s">
        <v>85</v>
      </c>
      <c r="N105" s="12" t="s">
        <v>89</v>
      </c>
      <c r="O105" s="17">
        <v>23200</v>
      </c>
      <c r="P105" s="17">
        <v>1500</v>
      </c>
      <c r="Q105" s="17">
        <v>0</v>
      </c>
      <c r="R105" s="17">
        <v>0</v>
      </c>
      <c r="S105" s="17">
        <v>5300</v>
      </c>
      <c r="T105" s="17">
        <v>1500</v>
      </c>
      <c r="U105" s="17">
        <v>7500</v>
      </c>
      <c r="V105" s="17">
        <v>0</v>
      </c>
      <c r="W105" s="17">
        <v>39000</v>
      </c>
      <c r="X105" s="15">
        <v>0</v>
      </c>
      <c r="Y105" s="17">
        <v>0</v>
      </c>
      <c r="Z105" s="17">
        <v>-1575</v>
      </c>
      <c r="AA105" s="17">
        <v>-1475</v>
      </c>
    </row>
    <row r="106" spans="3:27" ht="21.75" customHeight="1" x14ac:dyDescent="0.25">
      <c r="C106" s="11">
        <v>1497</v>
      </c>
      <c r="D106" s="12" t="s">
        <v>199</v>
      </c>
      <c r="E106" s="7" t="s">
        <v>72</v>
      </c>
      <c r="F106" s="8">
        <v>45901</v>
      </c>
      <c r="G106" s="7" t="s">
        <v>16</v>
      </c>
      <c r="H106" s="9" t="s">
        <v>13</v>
      </c>
      <c r="I106" s="9" t="s">
        <v>18</v>
      </c>
      <c r="J106" s="6">
        <v>36414</v>
      </c>
      <c r="K106" s="6">
        <v>39000</v>
      </c>
      <c r="L106" s="6">
        <v>2586</v>
      </c>
      <c r="M106" s="12" t="s">
        <v>85</v>
      </c>
      <c r="N106" s="12" t="s">
        <v>89</v>
      </c>
      <c r="O106" s="17">
        <v>23200</v>
      </c>
      <c r="P106" s="17">
        <v>1500</v>
      </c>
      <c r="Q106" s="17">
        <v>0</v>
      </c>
      <c r="R106" s="17">
        <v>0</v>
      </c>
      <c r="S106" s="17">
        <v>5300</v>
      </c>
      <c r="T106" s="17">
        <v>1500</v>
      </c>
      <c r="U106" s="17">
        <v>7500</v>
      </c>
      <c r="V106" s="17">
        <v>0</v>
      </c>
      <c r="W106" s="17">
        <v>39000</v>
      </c>
      <c r="X106" s="15">
        <v>0</v>
      </c>
      <c r="Y106" s="17">
        <v>0</v>
      </c>
      <c r="Z106" s="17">
        <v>-1575</v>
      </c>
      <c r="AA106" s="17">
        <v>-1436.7</v>
      </c>
    </row>
    <row r="107" spans="3:27" ht="21.75" customHeight="1" x14ac:dyDescent="0.25">
      <c r="C107" s="11">
        <v>1531</v>
      </c>
      <c r="D107" s="12" t="s">
        <v>200</v>
      </c>
      <c r="E107" s="7" t="s">
        <v>15</v>
      </c>
      <c r="F107" s="8">
        <v>45901</v>
      </c>
      <c r="G107" s="7" t="s">
        <v>16</v>
      </c>
      <c r="H107" s="9" t="s">
        <v>13</v>
      </c>
      <c r="I107" s="9" t="s">
        <v>38</v>
      </c>
      <c r="J107" s="6">
        <v>38535</v>
      </c>
      <c r="K107" s="6">
        <v>40461.75</v>
      </c>
      <c r="L107" s="6">
        <v>1926.75</v>
      </c>
      <c r="M107" s="12" t="s">
        <v>85</v>
      </c>
      <c r="N107" s="12" t="s">
        <v>89</v>
      </c>
      <c r="O107" s="17">
        <v>23126.75</v>
      </c>
      <c r="P107" s="17">
        <v>1500</v>
      </c>
      <c r="Q107" s="17">
        <v>0</v>
      </c>
      <c r="R107" s="17">
        <v>0</v>
      </c>
      <c r="S107" s="17">
        <v>5300</v>
      </c>
      <c r="T107" s="17">
        <v>1500</v>
      </c>
      <c r="U107" s="17">
        <v>7500</v>
      </c>
      <c r="V107" s="17">
        <v>1535</v>
      </c>
      <c r="W107" s="17">
        <v>40461.75</v>
      </c>
      <c r="X107" s="15">
        <v>0</v>
      </c>
      <c r="Y107" s="17">
        <v>0</v>
      </c>
      <c r="Z107" s="17">
        <v>-1571.34</v>
      </c>
      <c r="AA107" s="17">
        <v>-1455</v>
      </c>
    </row>
    <row r="108" spans="3:27" ht="21.75" customHeight="1" x14ac:dyDescent="0.25">
      <c r="C108" s="11">
        <v>1607</v>
      </c>
      <c r="D108" s="12" t="s">
        <v>201</v>
      </c>
      <c r="E108" s="7" t="s">
        <v>72</v>
      </c>
      <c r="F108" s="8">
        <v>45901</v>
      </c>
      <c r="G108" s="7" t="s">
        <v>16</v>
      </c>
      <c r="H108" s="9" t="s">
        <v>12</v>
      </c>
      <c r="I108" s="9" t="s">
        <v>9</v>
      </c>
      <c r="J108" s="6">
        <v>21900</v>
      </c>
      <c r="K108" s="6">
        <v>24200</v>
      </c>
      <c r="L108" s="6">
        <v>2300</v>
      </c>
      <c r="M108" s="12" t="s">
        <v>85</v>
      </c>
      <c r="N108" s="12" t="s">
        <v>89</v>
      </c>
      <c r="O108" s="17">
        <v>12900</v>
      </c>
      <c r="P108" s="17">
        <v>1200</v>
      </c>
      <c r="Q108" s="17">
        <v>0</v>
      </c>
      <c r="R108" s="17">
        <v>0</v>
      </c>
      <c r="S108" s="17">
        <v>4300</v>
      </c>
      <c r="T108" s="17">
        <v>1200</v>
      </c>
      <c r="U108" s="17">
        <v>4600</v>
      </c>
      <c r="V108" s="17">
        <v>0</v>
      </c>
      <c r="W108" s="17">
        <v>24200</v>
      </c>
      <c r="X108" s="15">
        <v>0</v>
      </c>
      <c r="Y108" s="17">
        <v>0</v>
      </c>
      <c r="Z108" s="17">
        <v>-980</v>
      </c>
      <c r="AA108" s="17">
        <v>-865</v>
      </c>
    </row>
    <row r="109" spans="3:27" ht="21.75" customHeight="1" x14ac:dyDescent="0.25">
      <c r="C109" s="11">
        <v>1646</v>
      </c>
      <c r="D109" s="12" t="s">
        <v>202</v>
      </c>
      <c r="E109" s="7" t="s">
        <v>15</v>
      </c>
      <c r="F109" s="8">
        <v>45901</v>
      </c>
      <c r="G109" s="7" t="s">
        <v>16</v>
      </c>
      <c r="H109" s="9" t="s">
        <v>13</v>
      </c>
      <c r="I109" s="9" t="s">
        <v>18</v>
      </c>
      <c r="J109" s="6">
        <v>23750</v>
      </c>
      <c r="K109" s="6">
        <v>28500</v>
      </c>
      <c r="L109" s="6">
        <v>4750</v>
      </c>
      <c r="M109" s="12" t="s">
        <v>85</v>
      </c>
      <c r="N109" s="12" t="s">
        <v>89</v>
      </c>
      <c r="O109" s="17">
        <v>12500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16000</v>
      </c>
      <c r="V109" s="17">
        <v>0</v>
      </c>
      <c r="W109" s="17">
        <v>28500</v>
      </c>
      <c r="X109" s="15">
        <v>0</v>
      </c>
      <c r="Y109" s="17">
        <v>0</v>
      </c>
      <c r="Z109" s="17">
        <v>0</v>
      </c>
      <c r="AA109" s="17">
        <v>0</v>
      </c>
    </row>
    <row r="110" spans="3:27" ht="21.75" customHeight="1" x14ac:dyDescent="0.25">
      <c r="C110" s="11">
        <v>1721</v>
      </c>
      <c r="D110" s="12" t="s">
        <v>203</v>
      </c>
      <c r="E110" s="7" t="s">
        <v>72</v>
      </c>
      <c r="F110" s="8">
        <v>45901</v>
      </c>
      <c r="G110" s="7" t="s">
        <v>16</v>
      </c>
      <c r="H110" s="9" t="s">
        <v>38</v>
      </c>
      <c r="I110" s="9" t="s">
        <v>18</v>
      </c>
      <c r="J110" s="6">
        <v>37000</v>
      </c>
      <c r="K110" s="6">
        <v>39000</v>
      </c>
      <c r="L110" s="6">
        <v>2000</v>
      </c>
      <c r="M110" s="12" t="s">
        <v>85</v>
      </c>
      <c r="N110" s="12" t="s">
        <v>89</v>
      </c>
      <c r="O110" s="17">
        <v>23200</v>
      </c>
      <c r="P110" s="17">
        <v>1500</v>
      </c>
      <c r="Q110" s="17">
        <v>0</v>
      </c>
      <c r="R110" s="17">
        <v>0</v>
      </c>
      <c r="S110" s="17">
        <v>5300</v>
      </c>
      <c r="T110" s="17">
        <v>1500</v>
      </c>
      <c r="U110" s="17">
        <v>7500</v>
      </c>
      <c r="V110" s="17">
        <v>0</v>
      </c>
      <c r="W110" s="17">
        <v>39000</v>
      </c>
      <c r="X110" s="15">
        <v>0</v>
      </c>
      <c r="Y110" s="17">
        <v>0</v>
      </c>
      <c r="Z110" s="17">
        <v>-1575</v>
      </c>
      <c r="AA110" s="17">
        <v>-1475</v>
      </c>
    </row>
    <row r="111" spans="3:27" ht="21.75" customHeight="1" x14ac:dyDescent="0.25">
      <c r="C111" s="11">
        <v>1767</v>
      </c>
      <c r="D111" s="12" t="s">
        <v>204</v>
      </c>
      <c r="E111" s="7" t="s">
        <v>72</v>
      </c>
      <c r="F111" s="8">
        <v>45901</v>
      </c>
      <c r="G111" s="7" t="s">
        <v>16</v>
      </c>
      <c r="H111" s="9" t="s">
        <v>38</v>
      </c>
      <c r="I111" s="9" t="s">
        <v>18</v>
      </c>
      <c r="J111" s="6">
        <v>66701.25</v>
      </c>
      <c r="K111" s="6">
        <v>70036.25</v>
      </c>
      <c r="L111" s="6">
        <v>3335</v>
      </c>
      <c r="M111" s="12" t="s">
        <v>85</v>
      </c>
      <c r="N111" s="12" t="s">
        <v>89</v>
      </c>
      <c r="O111" s="17">
        <v>54236.25</v>
      </c>
      <c r="P111" s="17">
        <v>1500</v>
      </c>
      <c r="Q111" s="17">
        <v>0</v>
      </c>
      <c r="R111" s="17">
        <v>0</v>
      </c>
      <c r="S111" s="17">
        <v>5300</v>
      </c>
      <c r="T111" s="17">
        <v>1500</v>
      </c>
      <c r="U111" s="17">
        <v>7500</v>
      </c>
      <c r="V111" s="17">
        <v>0</v>
      </c>
      <c r="W111" s="17">
        <v>70036.25</v>
      </c>
      <c r="X111" s="15">
        <v>0</v>
      </c>
      <c r="Y111" s="17">
        <v>2400</v>
      </c>
      <c r="Z111" s="17">
        <v>-3246.81</v>
      </c>
      <c r="AA111" s="17">
        <v>-3080.06</v>
      </c>
    </row>
    <row r="112" spans="3:27" ht="21.75" customHeight="1" x14ac:dyDescent="0.25">
      <c r="C112" s="11">
        <v>1644</v>
      </c>
      <c r="D112" s="12" t="s">
        <v>205</v>
      </c>
      <c r="E112" s="7" t="s">
        <v>72</v>
      </c>
      <c r="F112" s="8">
        <v>45901</v>
      </c>
      <c r="G112" s="7" t="s">
        <v>16</v>
      </c>
      <c r="H112" s="9" t="s">
        <v>12</v>
      </c>
      <c r="I112" s="9" t="s">
        <v>9</v>
      </c>
      <c r="J112" s="6">
        <v>21900</v>
      </c>
      <c r="K112" s="6">
        <v>24200</v>
      </c>
      <c r="L112" s="6">
        <v>2300</v>
      </c>
      <c r="M112" s="12" t="s">
        <v>85</v>
      </c>
      <c r="N112" s="12" t="s">
        <v>89</v>
      </c>
      <c r="O112" s="17">
        <v>12900</v>
      </c>
      <c r="P112" s="17">
        <v>1200</v>
      </c>
      <c r="Q112" s="17">
        <v>0</v>
      </c>
      <c r="R112" s="17">
        <v>0</v>
      </c>
      <c r="S112" s="17">
        <v>4300</v>
      </c>
      <c r="T112" s="17">
        <v>1200</v>
      </c>
      <c r="U112" s="17">
        <v>4600</v>
      </c>
      <c r="V112" s="17">
        <v>0</v>
      </c>
      <c r="W112" s="17">
        <v>24200</v>
      </c>
      <c r="X112" s="15">
        <v>0</v>
      </c>
      <c r="Y112" s="17">
        <v>0</v>
      </c>
      <c r="Z112" s="17">
        <v>-980</v>
      </c>
      <c r="AA112" s="17">
        <v>-865</v>
      </c>
    </row>
    <row r="113" spans="3:27" ht="21.75" customHeight="1" x14ac:dyDescent="0.25">
      <c r="C113" s="11">
        <v>1798</v>
      </c>
      <c r="D113" s="12" t="s">
        <v>206</v>
      </c>
      <c r="E113" s="7" t="s">
        <v>72</v>
      </c>
      <c r="F113" s="8">
        <v>45901</v>
      </c>
      <c r="G113" s="7" t="s">
        <v>16</v>
      </c>
      <c r="H113" s="9" t="s">
        <v>76</v>
      </c>
      <c r="I113" s="9" t="s">
        <v>12</v>
      </c>
      <c r="J113" s="6">
        <v>20800</v>
      </c>
      <c r="K113" s="6">
        <v>21900</v>
      </c>
      <c r="L113" s="6">
        <v>1100</v>
      </c>
      <c r="M113" s="12" t="s">
        <v>85</v>
      </c>
      <c r="N113" s="12" t="s">
        <v>89</v>
      </c>
      <c r="O113" s="17">
        <v>10600</v>
      </c>
      <c r="P113" s="17">
        <v>1200</v>
      </c>
      <c r="Q113" s="17">
        <v>0</v>
      </c>
      <c r="R113" s="17">
        <v>0</v>
      </c>
      <c r="S113" s="17">
        <v>4300</v>
      </c>
      <c r="T113" s="17">
        <v>1200</v>
      </c>
      <c r="U113" s="17">
        <v>4600</v>
      </c>
      <c r="V113" s="17">
        <v>0</v>
      </c>
      <c r="W113" s="17">
        <v>21900</v>
      </c>
      <c r="X113" s="15">
        <v>0</v>
      </c>
      <c r="Y113" s="17">
        <v>0</v>
      </c>
      <c r="Z113" s="17">
        <v>-865</v>
      </c>
      <c r="AA113" s="17">
        <v>-810</v>
      </c>
    </row>
    <row r="114" spans="3:27" ht="21.75" customHeight="1" x14ac:dyDescent="0.25">
      <c r="C114" s="11">
        <v>357</v>
      </c>
      <c r="D114" s="12" t="s">
        <v>207</v>
      </c>
      <c r="E114" s="7" t="s">
        <v>71</v>
      </c>
      <c r="F114" s="8">
        <v>45901</v>
      </c>
      <c r="G114" s="7" t="s">
        <v>16</v>
      </c>
      <c r="H114" s="9" t="s">
        <v>22</v>
      </c>
      <c r="I114" s="9" t="s">
        <v>22</v>
      </c>
      <c r="J114" s="6">
        <v>49662.5</v>
      </c>
      <c r="K114" s="6">
        <v>51628.75</v>
      </c>
      <c r="L114" s="6">
        <v>1966.25</v>
      </c>
      <c r="M114" s="12" t="s">
        <v>85</v>
      </c>
      <c r="N114" s="12" t="s">
        <v>208</v>
      </c>
      <c r="O114" s="17">
        <v>21628.75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22750</v>
      </c>
      <c r="V114" s="17">
        <v>7250</v>
      </c>
      <c r="W114" s="17">
        <v>51628.75</v>
      </c>
      <c r="X114" s="15">
        <v>0</v>
      </c>
      <c r="Y114" s="17">
        <v>0</v>
      </c>
      <c r="Z114" s="17">
        <v>0</v>
      </c>
      <c r="AA114" s="17">
        <v>0</v>
      </c>
    </row>
    <row r="115" spans="3:27" ht="21.75" customHeight="1" x14ac:dyDescent="0.25">
      <c r="C115" s="11">
        <v>499</v>
      </c>
      <c r="D115" s="12" t="s">
        <v>209</v>
      </c>
      <c r="E115" s="7" t="s">
        <v>72</v>
      </c>
      <c r="F115" s="8">
        <v>45901</v>
      </c>
      <c r="G115" s="7" t="s">
        <v>16</v>
      </c>
      <c r="H115" s="9" t="s">
        <v>49</v>
      </c>
      <c r="I115" s="9" t="s">
        <v>22</v>
      </c>
      <c r="J115" s="6">
        <v>42163.28</v>
      </c>
      <c r="K115" s="6">
        <v>44271.5</v>
      </c>
      <c r="L115" s="6">
        <v>2108.2200000000012</v>
      </c>
      <c r="M115" s="12" t="s">
        <v>85</v>
      </c>
      <c r="N115" s="12" t="s">
        <v>208</v>
      </c>
      <c r="O115" s="17">
        <v>21333.5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22750</v>
      </c>
      <c r="V115" s="17">
        <v>188</v>
      </c>
      <c r="W115" s="17">
        <v>44271.5</v>
      </c>
      <c r="X115" s="15">
        <v>0</v>
      </c>
      <c r="Y115" s="17">
        <v>0</v>
      </c>
      <c r="Z115" s="17">
        <v>0</v>
      </c>
      <c r="AA115" s="17">
        <v>0</v>
      </c>
    </row>
    <row r="116" spans="3:27" ht="21.75" customHeight="1" x14ac:dyDescent="0.25">
      <c r="C116" s="11">
        <v>706</v>
      </c>
      <c r="D116" s="12" t="s">
        <v>210</v>
      </c>
      <c r="E116" s="7" t="s">
        <v>71</v>
      </c>
      <c r="F116" s="8">
        <v>45901</v>
      </c>
      <c r="G116" s="7" t="s">
        <v>16</v>
      </c>
      <c r="H116" s="9" t="s">
        <v>18</v>
      </c>
      <c r="I116" s="9" t="s">
        <v>18</v>
      </c>
      <c r="J116" s="6">
        <v>57339.199999999997</v>
      </c>
      <c r="K116" s="6">
        <v>60427</v>
      </c>
      <c r="L116" s="6">
        <v>3087.8000000000029</v>
      </c>
      <c r="M116" s="12" t="s">
        <v>85</v>
      </c>
      <c r="N116" s="12" t="s">
        <v>208</v>
      </c>
      <c r="O116" s="17">
        <v>33967</v>
      </c>
      <c r="P116" s="17">
        <v>1500</v>
      </c>
      <c r="Q116" s="17">
        <v>4660</v>
      </c>
      <c r="R116" s="17">
        <v>0</v>
      </c>
      <c r="S116" s="17">
        <v>5300</v>
      </c>
      <c r="T116" s="17">
        <v>1500</v>
      </c>
      <c r="U116" s="17">
        <v>7500</v>
      </c>
      <c r="V116" s="17">
        <v>6000</v>
      </c>
      <c r="W116" s="17">
        <v>60427</v>
      </c>
      <c r="X116" s="15">
        <v>0</v>
      </c>
      <c r="Y116" s="17">
        <v>0</v>
      </c>
      <c r="Z116" s="17">
        <v>-2346.35</v>
      </c>
      <c r="AA116" s="17">
        <v>-2191.96</v>
      </c>
    </row>
    <row r="117" spans="3:27" ht="21.75" customHeight="1" x14ac:dyDescent="0.25">
      <c r="C117" s="11">
        <v>1005</v>
      </c>
      <c r="D117" s="12" t="s">
        <v>211</v>
      </c>
      <c r="E117" s="7" t="s">
        <v>72</v>
      </c>
      <c r="F117" s="8">
        <v>45901</v>
      </c>
      <c r="G117" s="7" t="s">
        <v>16</v>
      </c>
      <c r="H117" s="9" t="s">
        <v>40</v>
      </c>
      <c r="I117" s="9" t="s">
        <v>19</v>
      </c>
      <c r="J117" s="6">
        <v>26052.079999999998</v>
      </c>
      <c r="K117" s="6">
        <v>27354.75</v>
      </c>
      <c r="L117" s="6">
        <v>1302.6700000000019</v>
      </c>
      <c r="M117" s="12" t="s">
        <v>85</v>
      </c>
      <c r="N117" s="12" t="s">
        <v>208</v>
      </c>
      <c r="O117" s="17">
        <v>10654.75</v>
      </c>
      <c r="P117" s="17">
        <v>1000</v>
      </c>
      <c r="Q117" s="17">
        <v>4700</v>
      </c>
      <c r="R117" s="17">
        <v>0</v>
      </c>
      <c r="S117" s="17">
        <v>3500</v>
      </c>
      <c r="T117" s="17">
        <v>1000</v>
      </c>
      <c r="U117" s="17">
        <v>3200</v>
      </c>
      <c r="V117" s="17">
        <v>3300</v>
      </c>
      <c r="W117" s="17">
        <v>27354.75</v>
      </c>
      <c r="X117" s="15">
        <v>0</v>
      </c>
      <c r="Y117" s="17">
        <v>0</v>
      </c>
      <c r="Z117" s="17">
        <v>-1042.74</v>
      </c>
      <c r="AA117" s="17">
        <v>-977.6</v>
      </c>
    </row>
    <row r="118" spans="3:27" ht="21.75" customHeight="1" x14ac:dyDescent="0.25">
      <c r="C118" s="11">
        <v>1095</v>
      </c>
      <c r="D118" s="12" t="s">
        <v>212</v>
      </c>
      <c r="E118" s="7" t="s">
        <v>71</v>
      </c>
      <c r="F118" s="8">
        <v>45901</v>
      </c>
      <c r="G118" s="7" t="s">
        <v>16</v>
      </c>
      <c r="H118" s="9" t="s">
        <v>22</v>
      </c>
      <c r="I118" s="9" t="s">
        <v>22</v>
      </c>
      <c r="J118" s="6">
        <v>69400</v>
      </c>
      <c r="K118" s="6">
        <v>73635</v>
      </c>
      <c r="L118" s="6">
        <v>4235</v>
      </c>
      <c r="M118" s="12" t="s">
        <v>85</v>
      </c>
      <c r="N118" s="12" t="s">
        <v>208</v>
      </c>
      <c r="O118" s="17">
        <v>46585</v>
      </c>
      <c r="P118" s="17">
        <v>2000</v>
      </c>
      <c r="Q118" s="17">
        <v>0</v>
      </c>
      <c r="R118" s="17">
        <v>0</v>
      </c>
      <c r="S118" s="17">
        <v>6500</v>
      </c>
      <c r="T118" s="17">
        <v>2000</v>
      </c>
      <c r="U118" s="17">
        <v>10500</v>
      </c>
      <c r="V118" s="17">
        <v>6050</v>
      </c>
      <c r="W118" s="17">
        <v>73635</v>
      </c>
      <c r="X118" s="15">
        <v>0</v>
      </c>
      <c r="Y118" s="17">
        <v>0</v>
      </c>
      <c r="Z118" s="17">
        <v>-2854.25</v>
      </c>
      <c r="AA118" s="17">
        <v>-2642.5</v>
      </c>
    </row>
    <row r="119" spans="3:27" ht="21.75" customHeight="1" x14ac:dyDescent="0.25">
      <c r="C119" s="11">
        <v>1146</v>
      </c>
      <c r="D119" s="12" t="s">
        <v>213</v>
      </c>
      <c r="E119" s="7" t="s">
        <v>72</v>
      </c>
      <c r="F119" s="8">
        <v>45901</v>
      </c>
      <c r="G119" s="7" t="s">
        <v>16</v>
      </c>
      <c r="H119" s="9" t="s">
        <v>13</v>
      </c>
      <c r="I119" s="9" t="s">
        <v>18</v>
      </c>
      <c r="J119" s="6">
        <v>26872.649999999998</v>
      </c>
      <c r="K119" s="6">
        <v>28500</v>
      </c>
      <c r="L119" s="6">
        <v>1627.3500000000022</v>
      </c>
      <c r="M119" s="12" t="s">
        <v>85</v>
      </c>
      <c r="N119" s="12" t="s">
        <v>208</v>
      </c>
      <c r="O119" s="17">
        <v>14809.65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13690.35</v>
      </c>
      <c r="V119" s="17">
        <v>0</v>
      </c>
      <c r="W119" s="17">
        <v>28500</v>
      </c>
      <c r="X119" s="15">
        <v>0</v>
      </c>
      <c r="Y119" s="17">
        <v>0</v>
      </c>
      <c r="Z119" s="17">
        <v>-1332.87</v>
      </c>
      <c r="AA119" s="17">
        <v>-1332.87</v>
      </c>
    </row>
    <row r="120" spans="3:27" ht="21.75" customHeight="1" x14ac:dyDescent="0.25">
      <c r="C120" s="11">
        <v>1185</v>
      </c>
      <c r="D120" s="12" t="s">
        <v>214</v>
      </c>
      <c r="E120" s="7" t="s">
        <v>72</v>
      </c>
      <c r="F120" s="8">
        <v>45901</v>
      </c>
      <c r="G120" s="7" t="s">
        <v>16</v>
      </c>
      <c r="H120" s="9" t="s">
        <v>38</v>
      </c>
      <c r="I120" s="9" t="s">
        <v>18</v>
      </c>
      <c r="J120" s="6">
        <v>37000</v>
      </c>
      <c r="K120" s="6">
        <v>39000</v>
      </c>
      <c r="L120" s="6">
        <v>2000</v>
      </c>
      <c r="M120" s="12" t="s">
        <v>85</v>
      </c>
      <c r="N120" s="12" t="s">
        <v>208</v>
      </c>
      <c r="O120" s="17">
        <v>23200</v>
      </c>
      <c r="P120" s="17">
        <v>1500</v>
      </c>
      <c r="Q120" s="17">
        <v>0</v>
      </c>
      <c r="R120" s="17">
        <v>0</v>
      </c>
      <c r="S120" s="17">
        <v>5300</v>
      </c>
      <c r="T120" s="17">
        <v>1500</v>
      </c>
      <c r="U120" s="17">
        <v>7500</v>
      </c>
      <c r="V120" s="17">
        <v>0</v>
      </c>
      <c r="W120" s="17">
        <v>39000</v>
      </c>
      <c r="X120" s="15">
        <v>0</v>
      </c>
      <c r="Y120" s="17">
        <v>0</v>
      </c>
      <c r="Z120" s="17">
        <v>-1575</v>
      </c>
      <c r="AA120" s="17">
        <v>-1475</v>
      </c>
    </row>
    <row r="121" spans="3:27" ht="21.75" customHeight="1" x14ac:dyDescent="0.25">
      <c r="C121" s="11">
        <v>42</v>
      </c>
      <c r="D121" s="12" t="s">
        <v>215</v>
      </c>
      <c r="E121" s="7" t="s">
        <v>71</v>
      </c>
      <c r="F121" s="8">
        <v>45901</v>
      </c>
      <c r="G121" s="7" t="s">
        <v>16</v>
      </c>
      <c r="H121" s="9" t="s">
        <v>18</v>
      </c>
      <c r="I121" s="9" t="s">
        <v>18</v>
      </c>
      <c r="J121" s="6">
        <v>61349.2</v>
      </c>
      <c r="K121" s="6">
        <v>64437</v>
      </c>
      <c r="L121" s="6">
        <v>3087.8000000000029</v>
      </c>
      <c r="M121" s="12" t="s">
        <v>85</v>
      </c>
      <c r="N121" s="12" t="s">
        <v>208</v>
      </c>
      <c r="O121" s="17">
        <v>33967</v>
      </c>
      <c r="P121" s="17">
        <v>1500</v>
      </c>
      <c r="Q121" s="17">
        <v>8670</v>
      </c>
      <c r="R121" s="17">
        <v>0</v>
      </c>
      <c r="S121" s="17">
        <v>5300</v>
      </c>
      <c r="T121" s="17">
        <v>1500</v>
      </c>
      <c r="U121" s="17">
        <v>7500</v>
      </c>
      <c r="V121" s="17">
        <v>6000</v>
      </c>
      <c r="W121" s="17">
        <v>64437</v>
      </c>
      <c r="X121" s="15">
        <v>0</v>
      </c>
      <c r="Y121" s="17">
        <v>0</v>
      </c>
      <c r="Z121" s="17">
        <v>-2546.85</v>
      </c>
      <c r="AA121" s="17">
        <v>-2392.46</v>
      </c>
    </row>
    <row r="122" spans="3:27" ht="21.75" customHeight="1" x14ac:dyDescent="0.25">
      <c r="C122" s="11">
        <v>7176</v>
      </c>
      <c r="D122" s="12" t="s">
        <v>216</v>
      </c>
      <c r="E122" s="7" t="s">
        <v>72</v>
      </c>
      <c r="F122" s="8">
        <v>45901</v>
      </c>
      <c r="G122" s="7" t="s">
        <v>16</v>
      </c>
      <c r="H122" s="9" t="s">
        <v>12</v>
      </c>
      <c r="I122" s="9" t="s">
        <v>9</v>
      </c>
      <c r="J122" s="6">
        <v>21900</v>
      </c>
      <c r="K122" s="6">
        <v>24200</v>
      </c>
      <c r="L122" s="6">
        <v>2300</v>
      </c>
      <c r="M122" s="12" t="s">
        <v>85</v>
      </c>
      <c r="N122" s="12" t="s">
        <v>208</v>
      </c>
      <c r="O122" s="17">
        <v>12900</v>
      </c>
      <c r="P122" s="17">
        <v>1200</v>
      </c>
      <c r="Q122" s="17">
        <v>0</v>
      </c>
      <c r="R122" s="17">
        <v>0</v>
      </c>
      <c r="S122" s="17">
        <v>4300</v>
      </c>
      <c r="T122" s="17">
        <v>1200</v>
      </c>
      <c r="U122" s="17">
        <v>4600</v>
      </c>
      <c r="V122" s="17">
        <v>0</v>
      </c>
      <c r="W122" s="17">
        <v>24200</v>
      </c>
      <c r="X122" s="15">
        <v>0</v>
      </c>
      <c r="Y122" s="17">
        <v>0</v>
      </c>
      <c r="Z122" s="17">
        <v>-980</v>
      </c>
      <c r="AA122" s="17">
        <v>-865</v>
      </c>
    </row>
    <row r="123" spans="3:27" ht="21.75" customHeight="1" x14ac:dyDescent="0.25">
      <c r="C123" s="11">
        <v>52</v>
      </c>
      <c r="D123" s="12" t="s">
        <v>217</v>
      </c>
      <c r="E123" s="7" t="s">
        <v>71</v>
      </c>
      <c r="F123" s="8">
        <v>45901</v>
      </c>
      <c r="G123" s="7" t="s">
        <v>16</v>
      </c>
      <c r="H123" s="9" t="s">
        <v>18</v>
      </c>
      <c r="I123" s="9" t="s">
        <v>18</v>
      </c>
      <c r="J123" s="6">
        <v>41027.5</v>
      </c>
      <c r="K123" s="6">
        <v>42836.5</v>
      </c>
      <c r="L123" s="6">
        <v>1809</v>
      </c>
      <c r="M123" s="12" t="s">
        <v>85</v>
      </c>
      <c r="N123" s="12" t="s">
        <v>102</v>
      </c>
      <c r="O123" s="17">
        <v>19898.5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16750</v>
      </c>
      <c r="V123" s="17">
        <v>6188</v>
      </c>
      <c r="W123" s="17">
        <v>42836.5</v>
      </c>
      <c r="X123" s="15">
        <v>0</v>
      </c>
      <c r="Y123" s="17">
        <v>0</v>
      </c>
      <c r="Z123" s="17">
        <v>0</v>
      </c>
      <c r="AA123" s="17">
        <v>0</v>
      </c>
    </row>
    <row r="124" spans="3:27" ht="21.75" customHeight="1" x14ac:dyDescent="0.25">
      <c r="C124" s="11">
        <v>55</v>
      </c>
      <c r="D124" s="12" t="s">
        <v>218</v>
      </c>
      <c r="E124" s="7" t="s">
        <v>71</v>
      </c>
      <c r="F124" s="8">
        <v>45901</v>
      </c>
      <c r="G124" s="7" t="s">
        <v>16</v>
      </c>
      <c r="H124" s="9" t="s">
        <v>18</v>
      </c>
      <c r="I124" s="9" t="s">
        <v>18</v>
      </c>
      <c r="J124" s="6">
        <v>60729</v>
      </c>
      <c r="K124" s="6">
        <v>63536.25</v>
      </c>
      <c r="L124" s="6">
        <v>2807.25</v>
      </c>
      <c r="M124" s="12" t="s">
        <v>85</v>
      </c>
      <c r="N124" s="12" t="s">
        <v>102</v>
      </c>
      <c r="O124" s="17">
        <v>30879.25</v>
      </c>
      <c r="P124" s="17">
        <v>1500</v>
      </c>
      <c r="Q124" s="17">
        <v>10857</v>
      </c>
      <c r="R124" s="17">
        <v>0</v>
      </c>
      <c r="S124" s="17">
        <v>5300</v>
      </c>
      <c r="T124" s="17">
        <v>1500</v>
      </c>
      <c r="U124" s="17">
        <v>7500</v>
      </c>
      <c r="V124" s="17">
        <v>6000</v>
      </c>
      <c r="W124" s="17">
        <v>63536.25</v>
      </c>
      <c r="X124" s="15">
        <v>0</v>
      </c>
      <c r="Y124" s="17">
        <v>3600</v>
      </c>
      <c r="Z124" s="17">
        <v>-2681.81</v>
      </c>
      <c r="AA124" s="17">
        <v>-2541.4499999999998</v>
      </c>
    </row>
    <row r="125" spans="3:27" ht="21.75" customHeight="1" x14ac:dyDescent="0.25">
      <c r="C125" s="11">
        <v>143</v>
      </c>
      <c r="D125" s="12" t="s">
        <v>219</v>
      </c>
      <c r="E125" s="7" t="s">
        <v>71</v>
      </c>
      <c r="F125" s="8">
        <v>45901</v>
      </c>
      <c r="G125" s="7" t="s">
        <v>16</v>
      </c>
      <c r="H125" s="9" t="s">
        <v>35</v>
      </c>
      <c r="I125" s="9" t="s">
        <v>35</v>
      </c>
      <c r="J125" s="6">
        <v>102012</v>
      </c>
      <c r="K125" s="6">
        <v>108933.25</v>
      </c>
      <c r="L125" s="6">
        <v>6921.25</v>
      </c>
      <c r="M125" s="12" t="s">
        <v>85</v>
      </c>
      <c r="N125" s="12" t="s">
        <v>102</v>
      </c>
      <c r="O125" s="17">
        <v>76133.25</v>
      </c>
      <c r="P125" s="17">
        <v>2500</v>
      </c>
      <c r="Q125" s="17">
        <v>0</v>
      </c>
      <c r="R125" s="17">
        <v>0</v>
      </c>
      <c r="S125" s="17">
        <v>8000</v>
      </c>
      <c r="T125" s="17">
        <v>2500</v>
      </c>
      <c r="U125" s="17">
        <v>15000</v>
      </c>
      <c r="V125" s="17">
        <v>4800</v>
      </c>
      <c r="W125" s="17">
        <v>108933.25</v>
      </c>
      <c r="X125" s="15">
        <v>0</v>
      </c>
      <c r="Y125" s="17">
        <v>3000</v>
      </c>
      <c r="Z125" s="17">
        <v>-4606.66</v>
      </c>
      <c r="AA125" s="17">
        <v>-4260.6000000000004</v>
      </c>
    </row>
    <row r="126" spans="3:27" ht="21.75" customHeight="1" x14ac:dyDescent="0.25">
      <c r="C126" s="11">
        <v>159</v>
      </c>
      <c r="D126" s="12" t="s">
        <v>220</v>
      </c>
      <c r="E126" s="7" t="s">
        <v>71</v>
      </c>
      <c r="F126" s="8">
        <v>45901</v>
      </c>
      <c r="G126" s="7" t="s">
        <v>16</v>
      </c>
      <c r="H126" s="9" t="s">
        <v>29</v>
      </c>
      <c r="I126" s="9" t="s">
        <v>29</v>
      </c>
      <c r="J126" s="6">
        <v>18414.599999999999</v>
      </c>
      <c r="K126" s="6">
        <v>19106</v>
      </c>
      <c r="L126" s="6">
        <v>691.40000000000146</v>
      </c>
      <c r="M126" s="12" t="s">
        <v>85</v>
      </c>
      <c r="N126" s="12" t="s">
        <v>102</v>
      </c>
      <c r="O126" s="17">
        <v>7606</v>
      </c>
      <c r="P126" s="17">
        <v>600</v>
      </c>
      <c r="Q126" s="17">
        <v>4200</v>
      </c>
      <c r="R126" s="17">
        <v>0</v>
      </c>
      <c r="S126" s="17">
        <v>2400</v>
      </c>
      <c r="T126" s="17">
        <v>600</v>
      </c>
      <c r="U126" s="17">
        <v>2000</v>
      </c>
      <c r="V126" s="17">
        <v>1700</v>
      </c>
      <c r="W126" s="17">
        <v>19106</v>
      </c>
      <c r="X126" s="15">
        <v>0</v>
      </c>
      <c r="Y126" s="17">
        <v>2400</v>
      </c>
      <c r="Z126" s="17">
        <v>-890.3</v>
      </c>
      <c r="AA126" s="17">
        <v>-855.73</v>
      </c>
    </row>
    <row r="127" spans="3:27" ht="21.75" customHeight="1" x14ac:dyDescent="0.25">
      <c r="C127" s="11">
        <v>228</v>
      </c>
      <c r="D127" s="12" t="s">
        <v>221</v>
      </c>
      <c r="E127" s="7" t="s">
        <v>71</v>
      </c>
      <c r="F127" s="8">
        <v>45901</v>
      </c>
      <c r="G127" s="7" t="s">
        <v>16</v>
      </c>
      <c r="H127" s="9" t="s">
        <v>18</v>
      </c>
      <c r="I127" s="9" t="s">
        <v>18</v>
      </c>
      <c r="J127" s="6">
        <v>53672</v>
      </c>
      <c r="K127" s="6">
        <v>56479.25</v>
      </c>
      <c r="L127" s="6">
        <v>2807.25</v>
      </c>
      <c r="M127" s="12" t="s">
        <v>85</v>
      </c>
      <c r="N127" s="12" t="s">
        <v>102</v>
      </c>
      <c r="O127" s="17">
        <v>30879.25</v>
      </c>
      <c r="P127" s="17">
        <v>1500</v>
      </c>
      <c r="Q127" s="17">
        <v>3800</v>
      </c>
      <c r="R127" s="17">
        <v>0</v>
      </c>
      <c r="S127" s="17">
        <v>5300</v>
      </c>
      <c r="T127" s="17">
        <v>1500</v>
      </c>
      <c r="U127" s="17">
        <v>7500</v>
      </c>
      <c r="V127" s="17">
        <v>6000</v>
      </c>
      <c r="W127" s="17">
        <v>56479.25</v>
      </c>
      <c r="X127" s="15">
        <v>0</v>
      </c>
      <c r="Y127" s="17">
        <v>3600</v>
      </c>
      <c r="Z127" s="17">
        <v>-2328.96</v>
      </c>
      <c r="AA127" s="17">
        <v>-2188.6</v>
      </c>
    </row>
    <row r="128" spans="3:27" ht="21.75" customHeight="1" x14ac:dyDescent="0.25">
      <c r="C128" s="11">
        <v>302</v>
      </c>
      <c r="D128" s="12" t="s">
        <v>222</v>
      </c>
      <c r="E128" s="7" t="s">
        <v>71</v>
      </c>
      <c r="F128" s="8">
        <v>45901</v>
      </c>
      <c r="G128" s="7" t="s">
        <v>16</v>
      </c>
      <c r="H128" s="9" t="s">
        <v>22</v>
      </c>
      <c r="I128" s="9" t="s">
        <v>22</v>
      </c>
      <c r="J128" s="6">
        <v>73635</v>
      </c>
      <c r="K128" s="6">
        <v>78293.5</v>
      </c>
      <c r="L128" s="6">
        <v>4658.5</v>
      </c>
      <c r="M128" s="12" t="s">
        <v>85</v>
      </c>
      <c r="N128" s="12" t="s">
        <v>102</v>
      </c>
      <c r="O128" s="17">
        <v>51243.5</v>
      </c>
      <c r="P128" s="17">
        <v>2000</v>
      </c>
      <c r="Q128" s="17">
        <v>0</v>
      </c>
      <c r="R128" s="17">
        <v>0</v>
      </c>
      <c r="S128" s="17">
        <v>6500</v>
      </c>
      <c r="T128" s="17">
        <v>2000</v>
      </c>
      <c r="U128" s="17">
        <v>10500</v>
      </c>
      <c r="V128" s="17">
        <v>6050</v>
      </c>
      <c r="W128" s="17">
        <v>78293.5</v>
      </c>
      <c r="X128" s="15">
        <v>0</v>
      </c>
      <c r="Y128" s="17">
        <v>3600</v>
      </c>
      <c r="Z128" s="17">
        <v>-3267.18</v>
      </c>
      <c r="AA128" s="17">
        <v>-3004.25</v>
      </c>
    </row>
    <row r="129" spans="3:27" ht="21.75" customHeight="1" x14ac:dyDescent="0.25">
      <c r="C129" s="11">
        <v>313</v>
      </c>
      <c r="D129" s="12" t="s">
        <v>223</v>
      </c>
      <c r="E129" s="7" t="s">
        <v>71</v>
      </c>
      <c r="F129" s="8">
        <v>45901</v>
      </c>
      <c r="G129" s="7" t="s">
        <v>16</v>
      </c>
      <c r="H129" s="9" t="s">
        <v>20</v>
      </c>
      <c r="I129" s="9" t="s">
        <v>20</v>
      </c>
      <c r="J129" s="6">
        <v>26636</v>
      </c>
      <c r="K129" s="6">
        <v>27599.5</v>
      </c>
      <c r="L129" s="6">
        <v>963.5</v>
      </c>
      <c r="M129" s="12" t="s">
        <v>85</v>
      </c>
      <c r="N129" s="12" t="s">
        <v>102</v>
      </c>
      <c r="O129" s="17">
        <v>10599.5</v>
      </c>
      <c r="P129" s="17">
        <v>800</v>
      </c>
      <c r="Q129" s="17">
        <v>6600</v>
      </c>
      <c r="R129" s="17">
        <v>0</v>
      </c>
      <c r="S129" s="17">
        <v>2900</v>
      </c>
      <c r="T129" s="17">
        <v>800</v>
      </c>
      <c r="U129" s="17">
        <v>2600</v>
      </c>
      <c r="V129" s="17">
        <v>3300</v>
      </c>
      <c r="W129" s="17">
        <v>27599.5</v>
      </c>
      <c r="X129" s="15">
        <v>0</v>
      </c>
      <c r="Y129" s="17">
        <v>1200</v>
      </c>
      <c r="Z129" s="17">
        <v>-1144.98</v>
      </c>
      <c r="AA129" s="17">
        <v>-1096.8</v>
      </c>
    </row>
    <row r="130" spans="3:27" ht="21.75" customHeight="1" x14ac:dyDescent="0.25">
      <c r="C130" s="11">
        <v>340</v>
      </c>
      <c r="D130" s="12" t="s">
        <v>224</v>
      </c>
      <c r="E130" s="7" t="s">
        <v>71</v>
      </c>
      <c r="F130" s="8">
        <v>45901</v>
      </c>
      <c r="G130" s="7" t="s">
        <v>16</v>
      </c>
      <c r="H130" s="9" t="s">
        <v>18</v>
      </c>
      <c r="I130" s="9" t="s">
        <v>18</v>
      </c>
      <c r="J130" s="6">
        <v>54972</v>
      </c>
      <c r="K130" s="6">
        <v>57779.25</v>
      </c>
      <c r="L130" s="6">
        <v>2807.25</v>
      </c>
      <c r="M130" s="12" t="s">
        <v>85</v>
      </c>
      <c r="N130" s="12" t="s">
        <v>102</v>
      </c>
      <c r="O130" s="17">
        <v>30879.25</v>
      </c>
      <c r="P130" s="17">
        <v>1500</v>
      </c>
      <c r="Q130" s="17">
        <v>5100</v>
      </c>
      <c r="R130" s="17">
        <v>0</v>
      </c>
      <c r="S130" s="17">
        <v>5300</v>
      </c>
      <c r="T130" s="17">
        <v>1500</v>
      </c>
      <c r="U130" s="17">
        <v>7500</v>
      </c>
      <c r="V130" s="17">
        <v>6000</v>
      </c>
      <c r="W130" s="17">
        <v>57779.25</v>
      </c>
      <c r="X130" s="15">
        <v>0</v>
      </c>
      <c r="Y130" s="17">
        <v>2400</v>
      </c>
      <c r="Z130" s="17">
        <v>-2333.96</v>
      </c>
      <c r="AA130" s="17">
        <v>-2193.6</v>
      </c>
    </row>
    <row r="131" spans="3:27" ht="21.75" customHeight="1" x14ac:dyDescent="0.25">
      <c r="C131" s="11">
        <v>435</v>
      </c>
      <c r="D131" s="12" t="s">
        <v>225</v>
      </c>
      <c r="E131" s="7" t="s">
        <v>71</v>
      </c>
      <c r="F131" s="8">
        <v>45901</v>
      </c>
      <c r="G131" s="7" t="s">
        <v>16</v>
      </c>
      <c r="H131" s="9" t="s">
        <v>20</v>
      </c>
      <c r="I131" s="9" t="s">
        <v>20</v>
      </c>
      <c r="J131" s="6">
        <v>26636</v>
      </c>
      <c r="K131" s="6">
        <v>27599.5</v>
      </c>
      <c r="L131" s="6">
        <v>963.5</v>
      </c>
      <c r="M131" s="12" t="s">
        <v>85</v>
      </c>
      <c r="N131" s="12" t="s">
        <v>102</v>
      </c>
      <c r="O131" s="17">
        <v>10599.5</v>
      </c>
      <c r="P131" s="17">
        <v>800</v>
      </c>
      <c r="Q131" s="17">
        <v>6600</v>
      </c>
      <c r="R131" s="17">
        <v>0</v>
      </c>
      <c r="S131" s="17">
        <v>2900</v>
      </c>
      <c r="T131" s="17">
        <v>800</v>
      </c>
      <c r="U131" s="17">
        <v>2600</v>
      </c>
      <c r="V131" s="17">
        <v>3300</v>
      </c>
      <c r="W131" s="17">
        <v>27599.5</v>
      </c>
      <c r="X131" s="15">
        <v>0</v>
      </c>
      <c r="Y131" s="17">
        <v>0</v>
      </c>
      <c r="Z131" s="17">
        <v>-1084.98</v>
      </c>
      <c r="AA131" s="17">
        <v>-1036.8</v>
      </c>
    </row>
    <row r="132" spans="3:27" ht="21.75" customHeight="1" x14ac:dyDescent="0.25">
      <c r="C132" s="11">
        <v>1387</v>
      </c>
      <c r="D132" s="12" t="s">
        <v>226</v>
      </c>
      <c r="E132" s="7" t="s">
        <v>72</v>
      </c>
      <c r="F132" s="8">
        <v>45901</v>
      </c>
      <c r="G132" s="7" t="s">
        <v>16</v>
      </c>
      <c r="H132" s="9" t="s">
        <v>38</v>
      </c>
      <c r="I132" s="9" t="s">
        <v>18</v>
      </c>
      <c r="J132" s="6">
        <v>37000</v>
      </c>
      <c r="K132" s="6">
        <v>39000</v>
      </c>
      <c r="L132" s="6">
        <v>2000</v>
      </c>
      <c r="M132" s="12" t="s">
        <v>85</v>
      </c>
      <c r="N132" s="12" t="s">
        <v>102</v>
      </c>
      <c r="O132" s="17">
        <v>23200</v>
      </c>
      <c r="P132" s="17">
        <v>1500</v>
      </c>
      <c r="Q132" s="17">
        <v>0</v>
      </c>
      <c r="R132" s="17">
        <v>0</v>
      </c>
      <c r="S132" s="17">
        <v>5300</v>
      </c>
      <c r="T132" s="17">
        <v>1500</v>
      </c>
      <c r="U132" s="17">
        <v>7500</v>
      </c>
      <c r="V132" s="17">
        <v>0</v>
      </c>
      <c r="W132" s="17">
        <v>39000</v>
      </c>
      <c r="X132" s="15">
        <v>0</v>
      </c>
      <c r="Y132" s="17">
        <v>0</v>
      </c>
      <c r="Z132" s="17">
        <v>-1575</v>
      </c>
      <c r="AA132" s="17">
        <v>-1475</v>
      </c>
    </row>
    <row r="133" spans="3:27" ht="21.75" customHeight="1" x14ac:dyDescent="0.25">
      <c r="C133" s="11">
        <v>1691</v>
      </c>
      <c r="D133" s="12" t="s">
        <v>227</v>
      </c>
      <c r="E133" s="7" t="s">
        <v>72</v>
      </c>
      <c r="F133" s="8">
        <v>45901</v>
      </c>
      <c r="G133" s="7" t="s">
        <v>16</v>
      </c>
      <c r="H133" s="9" t="s">
        <v>12</v>
      </c>
      <c r="I133" s="9" t="s">
        <v>9</v>
      </c>
      <c r="J133" s="6">
        <v>21900</v>
      </c>
      <c r="K133" s="6">
        <v>24200</v>
      </c>
      <c r="L133" s="6">
        <v>2300</v>
      </c>
      <c r="M133" s="12" t="s">
        <v>85</v>
      </c>
      <c r="N133" s="12" t="s">
        <v>102</v>
      </c>
      <c r="O133" s="17">
        <v>12900</v>
      </c>
      <c r="P133" s="17">
        <v>1200</v>
      </c>
      <c r="Q133" s="17">
        <v>0</v>
      </c>
      <c r="R133" s="17">
        <v>0</v>
      </c>
      <c r="S133" s="17">
        <v>4300</v>
      </c>
      <c r="T133" s="17">
        <v>1200</v>
      </c>
      <c r="U133" s="17">
        <v>4600</v>
      </c>
      <c r="V133" s="17">
        <v>0</v>
      </c>
      <c r="W133" s="17">
        <v>24200</v>
      </c>
      <c r="X133" s="15">
        <v>0</v>
      </c>
      <c r="Y133" s="17">
        <v>0</v>
      </c>
      <c r="Z133" s="17">
        <v>-980</v>
      </c>
      <c r="AA133" s="17">
        <v>-865</v>
      </c>
    </row>
    <row r="134" spans="3:27" ht="21.75" customHeight="1" x14ac:dyDescent="0.25">
      <c r="C134" s="11">
        <v>1752</v>
      </c>
      <c r="D134" s="12" t="s">
        <v>228</v>
      </c>
      <c r="E134" s="7" t="s">
        <v>72</v>
      </c>
      <c r="F134" s="8">
        <v>45901</v>
      </c>
      <c r="G134" s="7" t="s">
        <v>16</v>
      </c>
      <c r="H134" s="9" t="s">
        <v>76</v>
      </c>
      <c r="I134" s="9" t="s">
        <v>9</v>
      </c>
      <c r="J134" s="6">
        <v>20800</v>
      </c>
      <c r="K134" s="6">
        <v>24200</v>
      </c>
      <c r="L134" s="6">
        <v>3400</v>
      </c>
      <c r="M134" s="12" t="s">
        <v>85</v>
      </c>
      <c r="N134" s="12" t="s">
        <v>229</v>
      </c>
      <c r="O134" s="17">
        <v>12900</v>
      </c>
      <c r="P134" s="17">
        <v>1200</v>
      </c>
      <c r="Q134" s="17">
        <v>0</v>
      </c>
      <c r="R134" s="17">
        <v>0</v>
      </c>
      <c r="S134" s="17">
        <v>4300</v>
      </c>
      <c r="T134" s="17">
        <v>1200</v>
      </c>
      <c r="U134" s="17">
        <v>4600</v>
      </c>
      <c r="V134" s="17">
        <v>0</v>
      </c>
      <c r="W134" s="17">
        <v>24200</v>
      </c>
      <c r="X134" s="15">
        <v>0</v>
      </c>
      <c r="Y134" s="17">
        <v>0</v>
      </c>
      <c r="Z134" s="17">
        <v>-980</v>
      </c>
      <c r="AA134" s="17">
        <v>-810</v>
      </c>
    </row>
    <row r="135" spans="3:27" ht="21.75" customHeight="1" x14ac:dyDescent="0.25">
      <c r="C135" s="11">
        <v>284</v>
      </c>
      <c r="D135" s="12" t="s">
        <v>230</v>
      </c>
      <c r="E135" s="7" t="s">
        <v>71</v>
      </c>
      <c r="F135" s="8">
        <v>45901</v>
      </c>
      <c r="G135" s="7" t="s">
        <v>16</v>
      </c>
      <c r="H135" s="9" t="s">
        <v>18</v>
      </c>
      <c r="I135" s="9" t="s">
        <v>18</v>
      </c>
      <c r="J135" s="6">
        <v>45205.58</v>
      </c>
      <c r="K135" s="6">
        <v>47432.25</v>
      </c>
      <c r="L135" s="6">
        <v>2226.6699999999983</v>
      </c>
      <c r="M135" s="12" t="s">
        <v>85</v>
      </c>
      <c r="N135" s="12" t="s">
        <v>229</v>
      </c>
      <c r="O135" s="17">
        <v>24494.25</v>
      </c>
      <c r="P135" s="17">
        <v>0</v>
      </c>
      <c r="Q135" s="17">
        <v>0</v>
      </c>
      <c r="R135" s="17">
        <v>0</v>
      </c>
      <c r="S135" s="17">
        <v>0</v>
      </c>
      <c r="T135" s="17">
        <v>0</v>
      </c>
      <c r="U135" s="17">
        <v>16750</v>
      </c>
      <c r="V135" s="17">
        <v>6188</v>
      </c>
      <c r="W135" s="17">
        <v>47432.25</v>
      </c>
      <c r="X135" s="15">
        <v>0</v>
      </c>
      <c r="Y135" s="17">
        <v>0</v>
      </c>
      <c r="Z135" s="17">
        <v>0</v>
      </c>
      <c r="AA135" s="17">
        <v>0</v>
      </c>
    </row>
    <row r="136" spans="3:27" ht="21.75" customHeight="1" x14ac:dyDescent="0.25">
      <c r="C136" s="11">
        <v>487</v>
      </c>
      <c r="D136" s="12" t="s">
        <v>231</v>
      </c>
      <c r="E136" s="7" t="s">
        <v>15</v>
      </c>
      <c r="F136" s="8">
        <v>45901</v>
      </c>
      <c r="G136" s="7" t="s">
        <v>16</v>
      </c>
      <c r="H136" s="9" t="s">
        <v>18</v>
      </c>
      <c r="I136" s="9" t="s">
        <v>39</v>
      </c>
      <c r="J136" s="6">
        <v>41643</v>
      </c>
      <c r="K136" s="6">
        <v>43725.25</v>
      </c>
      <c r="L136" s="6">
        <v>2082.25</v>
      </c>
      <c r="M136" s="12" t="s">
        <v>85</v>
      </c>
      <c r="N136" s="12" t="s">
        <v>229</v>
      </c>
      <c r="O136" s="17">
        <v>27350.25</v>
      </c>
      <c r="P136" s="17">
        <v>0</v>
      </c>
      <c r="Q136" s="17">
        <v>0</v>
      </c>
      <c r="R136" s="17">
        <v>0</v>
      </c>
      <c r="S136" s="17">
        <v>0</v>
      </c>
      <c r="T136" s="17">
        <v>0</v>
      </c>
      <c r="U136" s="17">
        <v>16375</v>
      </c>
      <c r="V136" s="17">
        <v>0</v>
      </c>
      <c r="W136" s="17">
        <v>43725.25</v>
      </c>
      <c r="X136" s="15">
        <v>0</v>
      </c>
      <c r="Y136" s="17">
        <v>0</v>
      </c>
      <c r="Z136" s="17">
        <v>0</v>
      </c>
      <c r="AA136" s="17">
        <v>0</v>
      </c>
    </row>
    <row r="137" spans="3:27" ht="21.75" customHeight="1" x14ac:dyDescent="0.25">
      <c r="C137" s="11">
        <v>578</v>
      </c>
      <c r="D137" s="12" t="s">
        <v>232</v>
      </c>
      <c r="E137" s="7" t="s">
        <v>71</v>
      </c>
      <c r="F137" s="8">
        <v>45901</v>
      </c>
      <c r="G137" s="7" t="s">
        <v>16</v>
      </c>
      <c r="H137" s="9" t="s">
        <v>20</v>
      </c>
      <c r="I137" s="9" t="s">
        <v>20</v>
      </c>
      <c r="J137" s="6">
        <v>22000</v>
      </c>
      <c r="K137" s="6">
        <v>22630</v>
      </c>
      <c r="L137" s="6">
        <v>630</v>
      </c>
      <c r="M137" s="12" t="s">
        <v>85</v>
      </c>
      <c r="N137" s="12" t="s">
        <v>229</v>
      </c>
      <c r="O137" s="17">
        <v>6930</v>
      </c>
      <c r="P137" s="17">
        <v>800</v>
      </c>
      <c r="Q137" s="17">
        <v>5300</v>
      </c>
      <c r="R137" s="17">
        <v>0</v>
      </c>
      <c r="S137" s="17">
        <v>2900</v>
      </c>
      <c r="T137" s="17">
        <v>800</v>
      </c>
      <c r="U137" s="17">
        <v>2600</v>
      </c>
      <c r="V137" s="17">
        <v>3300</v>
      </c>
      <c r="W137" s="17">
        <v>22630</v>
      </c>
      <c r="X137" s="15">
        <v>0</v>
      </c>
      <c r="Y137" s="17">
        <v>1800</v>
      </c>
      <c r="Z137" s="17">
        <v>-926.5</v>
      </c>
      <c r="AA137" s="17">
        <v>-895</v>
      </c>
    </row>
    <row r="138" spans="3:27" ht="21.75" customHeight="1" x14ac:dyDescent="0.25">
      <c r="C138" s="11">
        <v>743</v>
      </c>
      <c r="D138" s="12" t="s">
        <v>233</v>
      </c>
      <c r="E138" s="7" t="s">
        <v>71</v>
      </c>
      <c r="F138" s="8">
        <v>45901</v>
      </c>
      <c r="G138" s="7" t="s">
        <v>16</v>
      </c>
      <c r="H138" s="9" t="s">
        <v>29</v>
      </c>
      <c r="I138" s="9" t="s">
        <v>29</v>
      </c>
      <c r="J138" s="6">
        <v>15844</v>
      </c>
      <c r="K138" s="6">
        <v>16376.5</v>
      </c>
      <c r="L138" s="6">
        <v>532.5</v>
      </c>
      <c r="M138" s="12" t="s">
        <v>85</v>
      </c>
      <c r="N138" s="12" t="s">
        <v>229</v>
      </c>
      <c r="O138" s="17">
        <v>5856.5</v>
      </c>
      <c r="P138" s="17">
        <v>600</v>
      </c>
      <c r="Q138" s="17">
        <v>3220</v>
      </c>
      <c r="R138" s="17">
        <v>0</v>
      </c>
      <c r="S138" s="17">
        <v>2400</v>
      </c>
      <c r="T138" s="17">
        <v>600</v>
      </c>
      <c r="U138" s="17">
        <v>2000</v>
      </c>
      <c r="V138" s="17">
        <v>1700</v>
      </c>
      <c r="W138" s="17">
        <v>16376.5</v>
      </c>
      <c r="X138" s="15">
        <v>0</v>
      </c>
      <c r="Y138" s="17">
        <v>0</v>
      </c>
      <c r="Z138" s="17">
        <v>-633.82000000000005</v>
      </c>
      <c r="AA138" s="17">
        <v>-607.20000000000005</v>
      </c>
    </row>
    <row r="139" spans="3:27" ht="21.75" customHeight="1" x14ac:dyDescent="0.25">
      <c r="C139" s="11">
        <v>751</v>
      </c>
      <c r="D139" s="12" t="s">
        <v>234</v>
      </c>
      <c r="E139" s="7" t="s">
        <v>71</v>
      </c>
      <c r="F139" s="8">
        <v>45901</v>
      </c>
      <c r="G139" s="7" t="s">
        <v>16</v>
      </c>
      <c r="H139" s="9" t="s">
        <v>29</v>
      </c>
      <c r="I139" s="9" t="s">
        <v>29</v>
      </c>
      <c r="J139" s="6">
        <v>15844</v>
      </c>
      <c r="K139" s="6">
        <v>16376.5</v>
      </c>
      <c r="L139" s="6">
        <v>532.5</v>
      </c>
      <c r="M139" s="12" t="s">
        <v>85</v>
      </c>
      <c r="N139" s="12" t="s">
        <v>229</v>
      </c>
      <c r="O139" s="17">
        <v>5856.5</v>
      </c>
      <c r="P139" s="17">
        <v>600</v>
      </c>
      <c r="Q139" s="17">
        <v>3220</v>
      </c>
      <c r="R139" s="17">
        <v>0</v>
      </c>
      <c r="S139" s="17">
        <v>2400</v>
      </c>
      <c r="T139" s="17">
        <v>600</v>
      </c>
      <c r="U139" s="17">
        <v>2000</v>
      </c>
      <c r="V139" s="17">
        <v>1700</v>
      </c>
      <c r="W139" s="17">
        <v>16376.5</v>
      </c>
      <c r="X139" s="15">
        <v>0</v>
      </c>
      <c r="Y139" s="17">
        <v>0</v>
      </c>
      <c r="Z139" s="17">
        <v>-633.82000000000005</v>
      </c>
      <c r="AA139" s="17">
        <v>-607.20000000000005</v>
      </c>
    </row>
    <row r="140" spans="3:27" ht="21.75" customHeight="1" x14ac:dyDescent="0.25">
      <c r="C140" s="11">
        <v>756</v>
      </c>
      <c r="D140" s="12" t="s">
        <v>235</v>
      </c>
      <c r="E140" s="7" t="s">
        <v>71</v>
      </c>
      <c r="F140" s="8">
        <v>45901</v>
      </c>
      <c r="G140" s="7" t="s">
        <v>16</v>
      </c>
      <c r="H140" s="9" t="s">
        <v>29</v>
      </c>
      <c r="I140" s="9" t="s">
        <v>29</v>
      </c>
      <c r="J140" s="6">
        <v>15844</v>
      </c>
      <c r="K140" s="6">
        <v>16376.5</v>
      </c>
      <c r="L140" s="6">
        <v>532.5</v>
      </c>
      <c r="M140" s="12" t="s">
        <v>85</v>
      </c>
      <c r="N140" s="12" t="s">
        <v>229</v>
      </c>
      <c r="O140" s="17">
        <v>5856.5</v>
      </c>
      <c r="P140" s="17">
        <v>600</v>
      </c>
      <c r="Q140" s="17">
        <v>3220</v>
      </c>
      <c r="R140" s="17">
        <v>0</v>
      </c>
      <c r="S140" s="17">
        <v>2400</v>
      </c>
      <c r="T140" s="17">
        <v>600</v>
      </c>
      <c r="U140" s="17">
        <v>2000</v>
      </c>
      <c r="V140" s="17">
        <v>1700</v>
      </c>
      <c r="W140" s="17">
        <v>16376.5</v>
      </c>
      <c r="X140" s="15">
        <v>0</v>
      </c>
      <c r="Y140" s="17">
        <v>0</v>
      </c>
      <c r="Z140" s="17">
        <v>-633.82000000000005</v>
      </c>
      <c r="AA140" s="17">
        <v>-607.20000000000005</v>
      </c>
    </row>
    <row r="141" spans="3:27" ht="21.75" customHeight="1" x14ac:dyDescent="0.25">
      <c r="C141" s="11">
        <v>1003</v>
      </c>
      <c r="D141" s="12" t="s">
        <v>236</v>
      </c>
      <c r="E141" s="7" t="s">
        <v>71</v>
      </c>
      <c r="F141" s="8">
        <v>45901</v>
      </c>
      <c r="G141" s="7" t="s">
        <v>16</v>
      </c>
      <c r="H141" s="9" t="s">
        <v>20</v>
      </c>
      <c r="I141" s="9" t="s">
        <v>20</v>
      </c>
      <c r="J141" s="6">
        <v>20979</v>
      </c>
      <c r="K141" s="6">
        <v>21709</v>
      </c>
      <c r="L141" s="6">
        <v>730</v>
      </c>
      <c r="M141" s="12" t="s">
        <v>85</v>
      </c>
      <c r="N141" s="12" t="s">
        <v>229</v>
      </c>
      <c r="O141" s="17">
        <v>8029</v>
      </c>
      <c r="P141" s="17">
        <v>800</v>
      </c>
      <c r="Q141" s="17">
        <v>4080</v>
      </c>
      <c r="R141" s="17">
        <v>0</v>
      </c>
      <c r="S141" s="17">
        <v>2900</v>
      </c>
      <c r="T141" s="17">
        <v>800</v>
      </c>
      <c r="U141" s="17">
        <v>2600</v>
      </c>
      <c r="V141" s="17">
        <v>2500</v>
      </c>
      <c r="W141" s="17">
        <v>21709</v>
      </c>
      <c r="X141" s="15">
        <v>0</v>
      </c>
      <c r="Y141" s="17">
        <v>0</v>
      </c>
      <c r="Z141" s="17">
        <v>-830.45</v>
      </c>
      <c r="AA141" s="17">
        <v>-793.95</v>
      </c>
    </row>
    <row r="142" spans="3:27" ht="21.75" customHeight="1" x14ac:dyDescent="0.25">
      <c r="C142" s="11">
        <v>1088</v>
      </c>
      <c r="D142" s="12" t="s">
        <v>237</v>
      </c>
      <c r="E142" s="7" t="s">
        <v>71</v>
      </c>
      <c r="F142" s="8">
        <v>45901</v>
      </c>
      <c r="G142" s="7" t="s">
        <v>16</v>
      </c>
      <c r="H142" s="9" t="s">
        <v>29</v>
      </c>
      <c r="I142" s="9" t="s">
        <v>29</v>
      </c>
      <c r="J142" s="6">
        <v>15844</v>
      </c>
      <c r="K142" s="6">
        <v>16376.5</v>
      </c>
      <c r="L142" s="6">
        <v>532.5</v>
      </c>
      <c r="M142" s="12" t="s">
        <v>85</v>
      </c>
      <c r="N142" s="12" t="s">
        <v>229</v>
      </c>
      <c r="O142" s="17">
        <v>5856.5</v>
      </c>
      <c r="P142" s="17">
        <v>600</v>
      </c>
      <c r="Q142" s="17">
        <v>3220</v>
      </c>
      <c r="R142" s="17">
        <v>0</v>
      </c>
      <c r="S142" s="17">
        <v>2400</v>
      </c>
      <c r="T142" s="17">
        <v>600</v>
      </c>
      <c r="U142" s="17">
        <v>2000</v>
      </c>
      <c r="V142" s="17">
        <v>1700</v>
      </c>
      <c r="W142" s="17">
        <v>16376.5</v>
      </c>
      <c r="X142" s="15">
        <v>0</v>
      </c>
      <c r="Y142" s="17">
        <v>0</v>
      </c>
      <c r="Z142" s="17">
        <v>-633.82000000000005</v>
      </c>
      <c r="AA142" s="17">
        <v>-607.20000000000005</v>
      </c>
    </row>
    <row r="143" spans="3:27" ht="21.75" customHeight="1" x14ac:dyDescent="0.25">
      <c r="C143" s="11">
        <v>1090</v>
      </c>
      <c r="D143" s="12" t="s">
        <v>238</v>
      </c>
      <c r="E143" s="7" t="s">
        <v>71</v>
      </c>
      <c r="F143" s="8">
        <v>45901</v>
      </c>
      <c r="G143" s="7" t="s">
        <v>16</v>
      </c>
      <c r="H143" s="9" t="s">
        <v>29</v>
      </c>
      <c r="I143" s="9" t="s">
        <v>29</v>
      </c>
      <c r="J143" s="6">
        <v>15844</v>
      </c>
      <c r="K143" s="6">
        <v>16376.5</v>
      </c>
      <c r="L143" s="6">
        <v>532.5</v>
      </c>
      <c r="M143" s="12" t="s">
        <v>85</v>
      </c>
      <c r="N143" s="12" t="s">
        <v>229</v>
      </c>
      <c r="O143" s="17">
        <v>5856.5</v>
      </c>
      <c r="P143" s="17">
        <v>600</v>
      </c>
      <c r="Q143" s="17">
        <v>3220</v>
      </c>
      <c r="R143" s="17">
        <v>0</v>
      </c>
      <c r="S143" s="17">
        <v>2400</v>
      </c>
      <c r="T143" s="17">
        <v>600</v>
      </c>
      <c r="U143" s="17">
        <v>2000</v>
      </c>
      <c r="V143" s="17">
        <v>1700</v>
      </c>
      <c r="W143" s="17">
        <v>16376.5</v>
      </c>
      <c r="X143" s="15">
        <v>0</v>
      </c>
      <c r="Y143" s="17">
        <v>0</v>
      </c>
      <c r="Z143" s="17">
        <v>-633.82000000000005</v>
      </c>
      <c r="AA143" s="17">
        <v>-607.20000000000005</v>
      </c>
    </row>
    <row r="144" spans="3:27" ht="21.75" customHeight="1" x14ac:dyDescent="0.25">
      <c r="C144" s="11">
        <v>1096</v>
      </c>
      <c r="D144" s="12" t="s">
        <v>239</v>
      </c>
      <c r="E144" s="7" t="s">
        <v>71</v>
      </c>
      <c r="F144" s="8">
        <v>45901</v>
      </c>
      <c r="G144" s="7" t="s">
        <v>16</v>
      </c>
      <c r="H144" s="9" t="s">
        <v>29</v>
      </c>
      <c r="I144" s="9" t="s">
        <v>29</v>
      </c>
      <c r="J144" s="6">
        <v>15844</v>
      </c>
      <c r="K144" s="6">
        <v>16376.5</v>
      </c>
      <c r="L144" s="6">
        <v>532.5</v>
      </c>
      <c r="M144" s="12" t="s">
        <v>85</v>
      </c>
      <c r="N144" s="12" t="s">
        <v>229</v>
      </c>
      <c r="O144" s="17">
        <v>5856.5</v>
      </c>
      <c r="P144" s="17">
        <v>600</v>
      </c>
      <c r="Q144" s="17">
        <v>3220</v>
      </c>
      <c r="R144" s="17">
        <v>0</v>
      </c>
      <c r="S144" s="17">
        <v>2400</v>
      </c>
      <c r="T144" s="17">
        <v>600</v>
      </c>
      <c r="U144" s="17">
        <v>2000</v>
      </c>
      <c r="V144" s="17">
        <v>1700</v>
      </c>
      <c r="W144" s="17">
        <v>16376.5</v>
      </c>
      <c r="X144" s="15">
        <v>0</v>
      </c>
      <c r="Y144" s="17">
        <v>0</v>
      </c>
      <c r="Z144" s="17">
        <v>-633.82000000000005</v>
      </c>
      <c r="AA144" s="17">
        <v>-607.20000000000005</v>
      </c>
    </row>
    <row r="145" spans="3:27" ht="21.75" customHeight="1" x14ac:dyDescent="0.25">
      <c r="C145" s="11">
        <v>1600</v>
      </c>
      <c r="D145" s="12" t="s">
        <v>240</v>
      </c>
      <c r="E145" s="7" t="s">
        <v>72</v>
      </c>
      <c r="F145" s="8">
        <v>45901</v>
      </c>
      <c r="G145" s="7" t="s">
        <v>16</v>
      </c>
      <c r="H145" s="9" t="s">
        <v>12</v>
      </c>
      <c r="I145" s="9" t="s">
        <v>9</v>
      </c>
      <c r="J145" s="6">
        <v>21900</v>
      </c>
      <c r="K145" s="6">
        <v>24200</v>
      </c>
      <c r="L145" s="6">
        <v>2300</v>
      </c>
      <c r="M145" s="12" t="s">
        <v>85</v>
      </c>
      <c r="N145" s="12" t="s">
        <v>229</v>
      </c>
      <c r="O145" s="17">
        <v>12900</v>
      </c>
      <c r="P145" s="17">
        <v>1200</v>
      </c>
      <c r="Q145" s="17">
        <v>0</v>
      </c>
      <c r="R145" s="17">
        <v>0</v>
      </c>
      <c r="S145" s="17">
        <v>4300</v>
      </c>
      <c r="T145" s="17">
        <v>1200</v>
      </c>
      <c r="U145" s="17">
        <v>4600</v>
      </c>
      <c r="V145" s="17">
        <v>0</v>
      </c>
      <c r="W145" s="17">
        <v>24200</v>
      </c>
      <c r="X145" s="15">
        <v>0</v>
      </c>
      <c r="Y145" s="17">
        <v>0</v>
      </c>
      <c r="Z145" s="17">
        <v>-980</v>
      </c>
      <c r="AA145" s="17">
        <v>-865</v>
      </c>
    </row>
    <row r="146" spans="3:27" ht="21.75" customHeight="1" x14ac:dyDescent="0.25">
      <c r="C146" s="11">
        <v>1632</v>
      </c>
      <c r="D146" s="12" t="s">
        <v>241</v>
      </c>
      <c r="E146" s="7" t="s">
        <v>72</v>
      </c>
      <c r="F146" s="8">
        <v>45901</v>
      </c>
      <c r="G146" s="7" t="s">
        <v>16</v>
      </c>
      <c r="H146" s="9" t="s">
        <v>49</v>
      </c>
      <c r="I146" s="9" t="s">
        <v>22</v>
      </c>
      <c r="J146" s="6">
        <v>63750</v>
      </c>
      <c r="K146" s="6">
        <v>66937.5</v>
      </c>
      <c r="L146" s="6">
        <v>3187.5</v>
      </c>
      <c r="M146" s="12" t="s">
        <v>85</v>
      </c>
      <c r="N146" s="12" t="s">
        <v>229</v>
      </c>
      <c r="O146" s="17">
        <v>44187.5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22750</v>
      </c>
      <c r="V146" s="17">
        <v>0</v>
      </c>
      <c r="W146" s="17">
        <v>66937.5</v>
      </c>
      <c r="X146" s="15">
        <v>0</v>
      </c>
      <c r="Y146" s="17">
        <v>0</v>
      </c>
      <c r="Z146" s="17">
        <v>0</v>
      </c>
      <c r="AA146" s="17">
        <v>0</v>
      </c>
    </row>
    <row r="147" spans="3:27" ht="21.75" customHeight="1" x14ac:dyDescent="0.25">
      <c r="C147" s="11">
        <v>214</v>
      </c>
      <c r="D147" s="12" t="s">
        <v>242</v>
      </c>
      <c r="E147" s="7" t="s">
        <v>72</v>
      </c>
      <c r="F147" s="8">
        <v>45901</v>
      </c>
      <c r="G147" s="7" t="s">
        <v>16</v>
      </c>
      <c r="H147" s="9" t="s">
        <v>13</v>
      </c>
      <c r="I147" s="9" t="s">
        <v>18</v>
      </c>
      <c r="J147" s="6">
        <v>34500</v>
      </c>
      <c r="K147" s="6">
        <v>39000</v>
      </c>
      <c r="L147" s="6">
        <v>4500</v>
      </c>
      <c r="M147" s="12" t="s">
        <v>85</v>
      </c>
      <c r="N147" s="12" t="s">
        <v>105</v>
      </c>
      <c r="O147" s="17">
        <v>23200</v>
      </c>
      <c r="P147" s="17">
        <v>1500</v>
      </c>
      <c r="Q147" s="17">
        <v>0</v>
      </c>
      <c r="R147" s="17">
        <v>0</v>
      </c>
      <c r="S147" s="17">
        <v>5300</v>
      </c>
      <c r="T147" s="17">
        <v>1500</v>
      </c>
      <c r="U147" s="17">
        <v>7500</v>
      </c>
      <c r="V147" s="17">
        <v>0</v>
      </c>
      <c r="W147" s="17">
        <v>39000</v>
      </c>
      <c r="X147" s="15">
        <v>0</v>
      </c>
      <c r="Y147" s="17">
        <v>0</v>
      </c>
      <c r="Z147" s="17">
        <v>-1575</v>
      </c>
      <c r="AA147" s="17">
        <v>-1350</v>
      </c>
    </row>
    <row r="148" spans="3:27" ht="21.75" customHeight="1" x14ac:dyDescent="0.25">
      <c r="C148" s="11">
        <v>359</v>
      </c>
      <c r="D148" s="12" t="s">
        <v>243</v>
      </c>
      <c r="E148" s="7" t="s">
        <v>72</v>
      </c>
      <c r="F148" s="8">
        <v>45901</v>
      </c>
      <c r="G148" s="7" t="s">
        <v>16</v>
      </c>
      <c r="H148" s="9" t="s">
        <v>12</v>
      </c>
      <c r="I148" s="9" t="s">
        <v>9</v>
      </c>
      <c r="J148" s="6">
        <v>31571.4</v>
      </c>
      <c r="K148" s="6">
        <v>33150</v>
      </c>
      <c r="L148" s="6">
        <v>1578.5999999999985</v>
      </c>
      <c r="M148" s="12" t="s">
        <v>85</v>
      </c>
      <c r="N148" s="12" t="s">
        <v>105</v>
      </c>
      <c r="O148" s="17">
        <v>14478.5</v>
      </c>
      <c r="P148" s="17">
        <v>1200</v>
      </c>
      <c r="Q148" s="17">
        <v>4831.5</v>
      </c>
      <c r="R148" s="17">
        <v>0</v>
      </c>
      <c r="S148" s="17">
        <v>4300</v>
      </c>
      <c r="T148" s="17">
        <v>1200</v>
      </c>
      <c r="U148" s="17">
        <v>4600</v>
      </c>
      <c r="V148" s="17">
        <v>2540</v>
      </c>
      <c r="W148" s="17">
        <v>33150</v>
      </c>
      <c r="X148" s="15">
        <v>0</v>
      </c>
      <c r="Y148" s="17">
        <v>3000</v>
      </c>
      <c r="Z148" s="17">
        <v>-1450.5</v>
      </c>
      <c r="AA148" s="17">
        <v>-1371.57</v>
      </c>
    </row>
    <row r="149" spans="3:27" ht="21.75" customHeight="1" x14ac:dyDescent="0.25">
      <c r="C149" s="11">
        <v>611</v>
      </c>
      <c r="D149" s="12" t="s">
        <v>244</v>
      </c>
      <c r="E149" s="7" t="s">
        <v>72</v>
      </c>
      <c r="F149" s="8">
        <v>45901</v>
      </c>
      <c r="G149" s="7" t="s">
        <v>16</v>
      </c>
      <c r="H149" s="9" t="s">
        <v>12</v>
      </c>
      <c r="I149" s="9" t="s">
        <v>9</v>
      </c>
      <c r="J149" s="6">
        <v>23147.25</v>
      </c>
      <c r="K149" s="6">
        <v>24200</v>
      </c>
      <c r="L149" s="6">
        <v>1052.75</v>
      </c>
      <c r="M149" s="12" t="s">
        <v>85</v>
      </c>
      <c r="N149" s="12" t="s">
        <v>105</v>
      </c>
      <c r="O149" s="17">
        <v>12900</v>
      </c>
      <c r="P149" s="17">
        <v>1200</v>
      </c>
      <c r="Q149" s="17">
        <v>0</v>
      </c>
      <c r="R149" s="17">
        <v>0</v>
      </c>
      <c r="S149" s="17">
        <v>4300</v>
      </c>
      <c r="T149" s="17">
        <v>1200</v>
      </c>
      <c r="U149" s="17">
        <v>4600</v>
      </c>
      <c r="V149" s="17">
        <v>0</v>
      </c>
      <c r="W149" s="17">
        <v>24200</v>
      </c>
      <c r="X149" s="15">
        <v>0</v>
      </c>
      <c r="Y149" s="17">
        <v>1200</v>
      </c>
      <c r="Z149" s="17">
        <v>-1040</v>
      </c>
      <c r="AA149" s="17">
        <v>-980.11</v>
      </c>
    </row>
    <row r="150" spans="3:27" ht="21.75" customHeight="1" x14ac:dyDescent="0.25">
      <c r="C150" s="11">
        <v>614</v>
      </c>
      <c r="D150" s="12" t="s">
        <v>245</v>
      </c>
      <c r="E150" s="7" t="s">
        <v>71</v>
      </c>
      <c r="F150" s="8">
        <v>45901</v>
      </c>
      <c r="G150" s="7" t="s">
        <v>16</v>
      </c>
      <c r="H150" s="9" t="s">
        <v>18</v>
      </c>
      <c r="I150" s="9" t="s">
        <v>18</v>
      </c>
      <c r="J150" s="6">
        <v>49379</v>
      </c>
      <c r="K150" s="6">
        <v>52176.25</v>
      </c>
      <c r="L150" s="6">
        <v>2797.25</v>
      </c>
      <c r="M150" s="12" t="s">
        <v>85</v>
      </c>
      <c r="N150" s="12" t="s">
        <v>105</v>
      </c>
      <c r="O150" s="17">
        <v>30770.25</v>
      </c>
      <c r="P150" s="17">
        <v>1500</v>
      </c>
      <c r="Q150" s="17">
        <v>2006</v>
      </c>
      <c r="R150" s="17">
        <v>0</v>
      </c>
      <c r="S150" s="17">
        <v>5300</v>
      </c>
      <c r="T150" s="17">
        <v>1500</v>
      </c>
      <c r="U150" s="17">
        <v>7500</v>
      </c>
      <c r="V150" s="17">
        <v>3600</v>
      </c>
      <c r="W150" s="17">
        <v>52176.25</v>
      </c>
      <c r="X150" s="15">
        <v>0</v>
      </c>
      <c r="Y150" s="17">
        <v>0</v>
      </c>
      <c r="Z150" s="17">
        <v>-2053.81</v>
      </c>
      <c r="AA150" s="17">
        <v>-1913.95</v>
      </c>
    </row>
    <row r="151" spans="3:27" ht="21.75" customHeight="1" x14ac:dyDescent="0.25">
      <c r="C151" s="11">
        <v>697</v>
      </c>
      <c r="D151" s="12" t="s">
        <v>246</v>
      </c>
      <c r="E151" s="7" t="s">
        <v>71</v>
      </c>
      <c r="F151" s="8">
        <v>45901</v>
      </c>
      <c r="G151" s="7" t="s">
        <v>16</v>
      </c>
      <c r="H151" s="9" t="s">
        <v>18</v>
      </c>
      <c r="I151" s="9" t="s">
        <v>18</v>
      </c>
      <c r="J151" s="6">
        <v>54244</v>
      </c>
      <c r="K151" s="6">
        <v>57051.25</v>
      </c>
      <c r="L151" s="6">
        <v>2807.25</v>
      </c>
      <c r="M151" s="12" t="s">
        <v>85</v>
      </c>
      <c r="N151" s="12" t="s">
        <v>105</v>
      </c>
      <c r="O151" s="17">
        <v>30879.25</v>
      </c>
      <c r="P151" s="17">
        <v>1500</v>
      </c>
      <c r="Q151" s="17">
        <v>4372</v>
      </c>
      <c r="R151" s="17">
        <v>0</v>
      </c>
      <c r="S151" s="17">
        <v>5300</v>
      </c>
      <c r="T151" s="17">
        <v>1500</v>
      </c>
      <c r="U151" s="17">
        <v>7500</v>
      </c>
      <c r="V151" s="17">
        <v>6000</v>
      </c>
      <c r="W151" s="17">
        <v>57051.25</v>
      </c>
      <c r="X151" s="15">
        <v>0</v>
      </c>
      <c r="Y151" s="17">
        <v>0</v>
      </c>
      <c r="Z151" s="17">
        <v>-2177.56</v>
      </c>
      <c r="AA151" s="17">
        <v>-2037.2</v>
      </c>
    </row>
    <row r="152" spans="3:27" ht="21.75" customHeight="1" x14ac:dyDescent="0.25">
      <c r="C152" s="11">
        <v>766</v>
      </c>
      <c r="D152" s="12" t="s">
        <v>247</v>
      </c>
      <c r="E152" s="7" t="s">
        <v>71</v>
      </c>
      <c r="F152" s="8">
        <v>45901</v>
      </c>
      <c r="G152" s="7" t="s">
        <v>16</v>
      </c>
      <c r="H152" s="9" t="s">
        <v>18</v>
      </c>
      <c r="I152" s="9" t="s">
        <v>18</v>
      </c>
      <c r="J152" s="6">
        <v>56479.199999999997</v>
      </c>
      <c r="K152" s="6">
        <v>59567</v>
      </c>
      <c r="L152" s="6">
        <v>3087.8000000000029</v>
      </c>
      <c r="M152" s="12" t="s">
        <v>85</v>
      </c>
      <c r="N152" s="12" t="s">
        <v>105</v>
      </c>
      <c r="O152" s="17">
        <v>33967</v>
      </c>
      <c r="P152" s="17">
        <v>1500</v>
      </c>
      <c r="Q152" s="17">
        <v>3800</v>
      </c>
      <c r="R152" s="17">
        <v>0</v>
      </c>
      <c r="S152" s="17">
        <v>5300</v>
      </c>
      <c r="T152" s="17">
        <v>1500</v>
      </c>
      <c r="U152" s="17">
        <v>7500</v>
      </c>
      <c r="V152" s="17">
        <v>6000</v>
      </c>
      <c r="W152" s="17">
        <v>59567</v>
      </c>
      <c r="X152" s="15">
        <v>0</v>
      </c>
      <c r="Y152" s="17">
        <v>0</v>
      </c>
      <c r="Z152" s="17">
        <v>-2303.35</v>
      </c>
      <c r="AA152" s="17">
        <v>-2148.96</v>
      </c>
    </row>
    <row r="153" spans="3:27" ht="21.75" customHeight="1" x14ac:dyDescent="0.25">
      <c r="C153" s="11">
        <v>797</v>
      </c>
      <c r="D153" s="12" t="s">
        <v>248</v>
      </c>
      <c r="E153" s="7" t="s">
        <v>71</v>
      </c>
      <c r="F153" s="8">
        <v>45901</v>
      </c>
      <c r="G153" s="7" t="s">
        <v>16</v>
      </c>
      <c r="H153" s="9" t="s">
        <v>18</v>
      </c>
      <c r="I153" s="9" t="s">
        <v>18</v>
      </c>
      <c r="J153" s="6">
        <v>53672</v>
      </c>
      <c r="K153" s="6">
        <v>56479.25</v>
      </c>
      <c r="L153" s="6">
        <v>2807.25</v>
      </c>
      <c r="M153" s="12" t="s">
        <v>85</v>
      </c>
      <c r="N153" s="12" t="s">
        <v>105</v>
      </c>
      <c r="O153" s="17">
        <v>30879.25</v>
      </c>
      <c r="P153" s="17">
        <v>1500</v>
      </c>
      <c r="Q153" s="17">
        <v>3800</v>
      </c>
      <c r="R153" s="17">
        <v>0</v>
      </c>
      <c r="S153" s="17">
        <v>5300</v>
      </c>
      <c r="T153" s="17">
        <v>1500</v>
      </c>
      <c r="U153" s="17">
        <v>7500</v>
      </c>
      <c r="V153" s="17">
        <v>6000</v>
      </c>
      <c r="W153" s="17">
        <v>56479.25</v>
      </c>
      <c r="X153" s="15">
        <v>0</v>
      </c>
      <c r="Y153" s="17">
        <v>0</v>
      </c>
      <c r="Z153" s="17">
        <v>-2148.96</v>
      </c>
      <c r="AA153" s="17">
        <v>-2008.6</v>
      </c>
    </row>
    <row r="154" spans="3:27" ht="21.75" customHeight="1" x14ac:dyDescent="0.25">
      <c r="C154" s="11">
        <v>841</v>
      </c>
      <c r="D154" s="12" t="s">
        <v>249</v>
      </c>
      <c r="E154" s="7" t="s">
        <v>71</v>
      </c>
      <c r="F154" s="8">
        <v>45901</v>
      </c>
      <c r="G154" s="7" t="s">
        <v>16</v>
      </c>
      <c r="H154" s="9" t="s">
        <v>18</v>
      </c>
      <c r="I154" s="9" t="s">
        <v>18</v>
      </c>
      <c r="J154" s="6">
        <v>49194.5</v>
      </c>
      <c r="K154" s="6">
        <v>51994</v>
      </c>
      <c r="L154" s="6">
        <v>2799.5</v>
      </c>
      <c r="M154" s="12" t="s">
        <v>85</v>
      </c>
      <c r="N154" s="12" t="s">
        <v>105</v>
      </c>
      <c r="O154" s="17">
        <v>30794</v>
      </c>
      <c r="P154" s="17">
        <v>1500</v>
      </c>
      <c r="Q154" s="17">
        <v>1800</v>
      </c>
      <c r="R154" s="17">
        <v>0</v>
      </c>
      <c r="S154" s="17">
        <v>5300</v>
      </c>
      <c r="T154" s="17">
        <v>1500</v>
      </c>
      <c r="U154" s="17">
        <v>7500</v>
      </c>
      <c r="V154" s="17">
        <v>3600</v>
      </c>
      <c r="W154" s="17">
        <v>51994</v>
      </c>
      <c r="X154" s="15">
        <v>0</v>
      </c>
      <c r="Y154" s="17">
        <v>0</v>
      </c>
      <c r="Z154" s="17">
        <v>-2044.7</v>
      </c>
      <c r="AA154" s="17">
        <v>-1904.72</v>
      </c>
    </row>
    <row r="155" spans="3:27" ht="21.75" customHeight="1" x14ac:dyDescent="0.25">
      <c r="C155" s="11">
        <v>940</v>
      </c>
      <c r="D155" s="12" t="s">
        <v>250</v>
      </c>
      <c r="E155" s="7" t="s">
        <v>72</v>
      </c>
      <c r="F155" s="8">
        <v>45901</v>
      </c>
      <c r="G155" s="7" t="s">
        <v>16</v>
      </c>
      <c r="H155" s="9" t="s">
        <v>38</v>
      </c>
      <c r="I155" s="9" t="s">
        <v>18</v>
      </c>
      <c r="J155" s="6">
        <v>37000</v>
      </c>
      <c r="K155" s="6">
        <v>39000</v>
      </c>
      <c r="L155" s="6">
        <v>2000</v>
      </c>
      <c r="M155" s="12" t="s">
        <v>85</v>
      </c>
      <c r="N155" s="12" t="s">
        <v>105</v>
      </c>
      <c r="O155" s="17">
        <v>23200</v>
      </c>
      <c r="P155" s="17">
        <v>1500</v>
      </c>
      <c r="Q155" s="17">
        <v>0</v>
      </c>
      <c r="R155" s="17">
        <v>0</v>
      </c>
      <c r="S155" s="17">
        <v>5300</v>
      </c>
      <c r="T155" s="17">
        <v>1500</v>
      </c>
      <c r="U155" s="17">
        <v>7500</v>
      </c>
      <c r="V155" s="17">
        <v>0</v>
      </c>
      <c r="W155" s="17">
        <v>39000</v>
      </c>
      <c r="X155" s="15">
        <v>0</v>
      </c>
      <c r="Y155" s="17">
        <v>0</v>
      </c>
      <c r="Z155" s="17">
        <v>-1575</v>
      </c>
      <c r="AA155" s="17">
        <v>-1475</v>
      </c>
    </row>
    <row r="156" spans="3:27" ht="21.75" customHeight="1" x14ac:dyDescent="0.25">
      <c r="C156" s="11">
        <v>1060</v>
      </c>
      <c r="D156" s="12" t="s">
        <v>251</v>
      </c>
      <c r="E156" s="7" t="s">
        <v>71</v>
      </c>
      <c r="F156" s="8">
        <v>45901</v>
      </c>
      <c r="G156" s="7" t="s">
        <v>16</v>
      </c>
      <c r="H156" s="9" t="s">
        <v>18</v>
      </c>
      <c r="I156" s="9" t="s">
        <v>18</v>
      </c>
      <c r="J156" s="6">
        <v>53672</v>
      </c>
      <c r="K156" s="6">
        <v>56479.25</v>
      </c>
      <c r="L156" s="6">
        <v>2807.25</v>
      </c>
      <c r="M156" s="12" t="s">
        <v>85</v>
      </c>
      <c r="N156" s="12" t="s">
        <v>105</v>
      </c>
      <c r="O156" s="17">
        <v>30879.25</v>
      </c>
      <c r="P156" s="17">
        <v>1500</v>
      </c>
      <c r="Q156" s="17">
        <v>3800</v>
      </c>
      <c r="R156" s="17">
        <v>0</v>
      </c>
      <c r="S156" s="17">
        <v>5300</v>
      </c>
      <c r="T156" s="17">
        <v>1500</v>
      </c>
      <c r="U156" s="17">
        <v>7500</v>
      </c>
      <c r="V156" s="17">
        <v>6000</v>
      </c>
      <c r="W156" s="17">
        <v>56479.25</v>
      </c>
      <c r="X156" s="15">
        <v>0</v>
      </c>
      <c r="Y156" s="17">
        <v>2400</v>
      </c>
      <c r="Z156" s="17">
        <v>-2268.96</v>
      </c>
      <c r="AA156" s="17">
        <v>-2128.6</v>
      </c>
    </row>
    <row r="157" spans="3:27" ht="21.75" customHeight="1" x14ac:dyDescent="0.25">
      <c r="C157" s="11">
        <v>1231</v>
      </c>
      <c r="D157" s="12" t="s">
        <v>252</v>
      </c>
      <c r="E157" s="7" t="s">
        <v>72</v>
      </c>
      <c r="F157" s="8">
        <v>45901</v>
      </c>
      <c r="G157" s="7" t="s">
        <v>16</v>
      </c>
      <c r="H157" s="9" t="s">
        <v>38</v>
      </c>
      <c r="I157" s="9" t="s">
        <v>18</v>
      </c>
      <c r="J157" s="6">
        <v>37000</v>
      </c>
      <c r="K157" s="6">
        <v>39000</v>
      </c>
      <c r="L157" s="6">
        <v>2000</v>
      </c>
      <c r="M157" s="12" t="s">
        <v>85</v>
      </c>
      <c r="N157" s="12" t="s">
        <v>105</v>
      </c>
      <c r="O157" s="17">
        <v>23200</v>
      </c>
      <c r="P157" s="17">
        <v>1500</v>
      </c>
      <c r="Q157" s="17">
        <v>0</v>
      </c>
      <c r="R157" s="17">
        <v>0</v>
      </c>
      <c r="S157" s="17">
        <v>5300</v>
      </c>
      <c r="T157" s="17">
        <v>1500</v>
      </c>
      <c r="U157" s="17">
        <v>7500</v>
      </c>
      <c r="V157" s="17">
        <v>0</v>
      </c>
      <c r="W157" s="17">
        <v>39000</v>
      </c>
      <c r="X157" s="15">
        <v>0</v>
      </c>
      <c r="Y157" s="17">
        <v>0</v>
      </c>
      <c r="Z157" s="17">
        <v>-1575</v>
      </c>
      <c r="AA157" s="17">
        <v>-1475</v>
      </c>
    </row>
    <row r="158" spans="3:27" ht="21.75" customHeight="1" x14ac:dyDescent="0.25">
      <c r="C158" s="11">
        <v>1373</v>
      </c>
      <c r="D158" s="12" t="s">
        <v>253</v>
      </c>
      <c r="E158" s="7" t="s">
        <v>72</v>
      </c>
      <c r="F158" s="8">
        <v>45901</v>
      </c>
      <c r="G158" s="7" t="s">
        <v>16</v>
      </c>
      <c r="H158" s="9" t="s">
        <v>38</v>
      </c>
      <c r="I158" s="9" t="s">
        <v>18</v>
      </c>
      <c r="J158" s="6">
        <v>40801.950000000004</v>
      </c>
      <c r="K158" s="6">
        <v>42842</v>
      </c>
      <c r="L158" s="6">
        <v>2040.0499999999956</v>
      </c>
      <c r="M158" s="12" t="s">
        <v>85</v>
      </c>
      <c r="N158" s="12" t="s">
        <v>105</v>
      </c>
      <c r="O158" s="17">
        <v>25240</v>
      </c>
      <c r="P158" s="17">
        <v>1500</v>
      </c>
      <c r="Q158" s="17">
        <v>0</v>
      </c>
      <c r="R158" s="17">
        <v>0</v>
      </c>
      <c r="S158" s="17">
        <v>5300</v>
      </c>
      <c r="T158" s="17">
        <v>1500</v>
      </c>
      <c r="U158" s="17">
        <v>7500</v>
      </c>
      <c r="V158" s="17">
        <v>1802</v>
      </c>
      <c r="W158" s="17">
        <v>42842</v>
      </c>
      <c r="X158" s="15">
        <v>0</v>
      </c>
      <c r="Y158" s="17">
        <v>0</v>
      </c>
      <c r="Z158" s="17">
        <v>-1677</v>
      </c>
      <c r="AA158" s="17">
        <v>-1572.15</v>
      </c>
    </row>
    <row r="159" spans="3:27" ht="21.75" customHeight="1" x14ac:dyDescent="0.25">
      <c r="C159" s="11">
        <v>229</v>
      </c>
      <c r="D159" s="12" t="s">
        <v>254</v>
      </c>
      <c r="E159" s="7" t="s">
        <v>71</v>
      </c>
      <c r="F159" s="8">
        <v>45901</v>
      </c>
      <c r="G159" s="7" t="s">
        <v>16</v>
      </c>
      <c r="H159" s="9" t="s">
        <v>35</v>
      </c>
      <c r="I159" s="9" t="s">
        <v>35</v>
      </c>
      <c r="J159" s="6">
        <v>137520</v>
      </c>
      <c r="K159" s="6">
        <v>148047</v>
      </c>
      <c r="L159" s="6">
        <v>10527</v>
      </c>
      <c r="M159" s="12" t="s">
        <v>85</v>
      </c>
      <c r="N159" s="12" t="s">
        <v>255</v>
      </c>
      <c r="O159" s="17">
        <v>115797</v>
      </c>
      <c r="P159" s="17">
        <v>0</v>
      </c>
      <c r="Q159" s="17">
        <v>0</v>
      </c>
      <c r="R159" s="17">
        <v>0</v>
      </c>
      <c r="S159" s="17">
        <v>0</v>
      </c>
      <c r="T159" s="17">
        <v>0</v>
      </c>
      <c r="U159" s="17">
        <v>30000</v>
      </c>
      <c r="V159" s="17">
        <v>2250</v>
      </c>
      <c r="W159" s="17">
        <v>148047</v>
      </c>
      <c r="X159" s="15">
        <v>0</v>
      </c>
      <c r="Y159" s="17">
        <v>0</v>
      </c>
      <c r="Z159" s="17">
        <v>0</v>
      </c>
      <c r="AA159" s="17">
        <v>0</v>
      </c>
    </row>
    <row r="160" spans="3:27" ht="21.75" customHeight="1" x14ac:dyDescent="0.25">
      <c r="C160" s="11">
        <v>688</v>
      </c>
      <c r="D160" s="12" t="s">
        <v>256</v>
      </c>
      <c r="E160" s="7" t="s">
        <v>72</v>
      </c>
      <c r="F160" s="8">
        <v>45901</v>
      </c>
      <c r="G160" s="7" t="s">
        <v>16</v>
      </c>
      <c r="H160" s="9" t="s">
        <v>38</v>
      </c>
      <c r="I160" s="9" t="s">
        <v>18</v>
      </c>
      <c r="J160" s="6">
        <v>25791.15</v>
      </c>
      <c r="K160" s="6">
        <v>28500</v>
      </c>
      <c r="L160" s="6">
        <v>2708.8499999999985</v>
      </c>
      <c r="M160" s="12" t="s">
        <v>85</v>
      </c>
      <c r="N160" s="12" t="s">
        <v>257</v>
      </c>
      <c r="O160" s="17">
        <v>11750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16750</v>
      </c>
      <c r="V160" s="17">
        <v>0</v>
      </c>
      <c r="W160" s="17">
        <v>28500</v>
      </c>
      <c r="X160" s="15">
        <v>0</v>
      </c>
      <c r="Y160" s="17">
        <v>0</v>
      </c>
      <c r="Z160" s="17">
        <v>0</v>
      </c>
      <c r="AA160" s="17">
        <v>0</v>
      </c>
    </row>
    <row r="161" spans="3:27" ht="21.75" customHeight="1" x14ac:dyDescent="0.25">
      <c r="C161" s="11">
        <v>804</v>
      </c>
      <c r="D161" s="12" t="s">
        <v>258</v>
      </c>
      <c r="E161" s="7" t="s">
        <v>72</v>
      </c>
      <c r="F161" s="8">
        <v>45901</v>
      </c>
      <c r="G161" s="7" t="s">
        <v>16</v>
      </c>
      <c r="H161" s="9" t="s">
        <v>38</v>
      </c>
      <c r="I161" s="9" t="s">
        <v>18</v>
      </c>
      <c r="J161" s="6">
        <v>37000</v>
      </c>
      <c r="K161" s="6">
        <v>39000</v>
      </c>
      <c r="L161" s="6">
        <v>2000</v>
      </c>
      <c r="M161" s="12" t="s">
        <v>85</v>
      </c>
      <c r="N161" s="12" t="s">
        <v>257</v>
      </c>
      <c r="O161" s="17">
        <v>23200</v>
      </c>
      <c r="P161" s="17">
        <v>1500</v>
      </c>
      <c r="Q161" s="17">
        <v>0</v>
      </c>
      <c r="R161" s="17">
        <v>0</v>
      </c>
      <c r="S161" s="17">
        <v>5300</v>
      </c>
      <c r="T161" s="17">
        <v>1500</v>
      </c>
      <c r="U161" s="17">
        <v>7500</v>
      </c>
      <c r="V161" s="17">
        <v>0</v>
      </c>
      <c r="W161" s="17">
        <v>39000</v>
      </c>
      <c r="X161" s="15">
        <v>0</v>
      </c>
      <c r="Y161" s="17">
        <v>0</v>
      </c>
      <c r="Z161" s="17">
        <v>-3465</v>
      </c>
      <c r="AA161" s="17">
        <v>-3245</v>
      </c>
    </row>
    <row r="162" spans="3:27" ht="21.75" customHeight="1" x14ac:dyDescent="0.25">
      <c r="C162" s="11">
        <v>1318</v>
      </c>
      <c r="D162" s="12" t="s">
        <v>259</v>
      </c>
      <c r="E162" s="7" t="s">
        <v>72</v>
      </c>
      <c r="F162" s="8">
        <v>45901</v>
      </c>
      <c r="G162" s="7" t="s">
        <v>16</v>
      </c>
      <c r="H162" s="9" t="s">
        <v>13</v>
      </c>
      <c r="I162" s="9" t="s">
        <v>18</v>
      </c>
      <c r="J162" s="6">
        <v>24793.65</v>
      </c>
      <c r="K162" s="6">
        <v>28500</v>
      </c>
      <c r="L162" s="6">
        <v>3706.3499999999985</v>
      </c>
      <c r="M162" s="12" t="s">
        <v>85</v>
      </c>
      <c r="N162" s="12" t="s">
        <v>257</v>
      </c>
      <c r="O162" s="17">
        <v>12730.65</v>
      </c>
      <c r="P162" s="17">
        <v>0</v>
      </c>
      <c r="Q162" s="17">
        <v>0</v>
      </c>
      <c r="R162" s="17">
        <v>0</v>
      </c>
      <c r="S162" s="17">
        <v>0</v>
      </c>
      <c r="T162" s="17">
        <v>0</v>
      </c>
      <c r="U162" s="17">
        <v>15769.35</v>
      </c>
      <c r="V162" s="17">
        <v>0</v>
      </c>
      <c r="W162" s="17">
        <v>28500</v>
      </c>
      <c r="X162" s="15">
        <v>0</v>
      </c>
      <c r="Y162" s="17">
        <v>0</v>
      </c>
      <c r="Z162" s="17">
        <v>0</v>
      </c>
      <c r="AA162" s="17">
        <v>0</v>
      </c>
    </row>
    <row r="163" spans="3:27" ht="21.75" customHeight="1" x14ac:dyDescent="0.25">
      <c r="C163" s="11">
        <v>1461</v>
      </c>
      <c r="D163" s="12" t="s">
        <v>260</v>
      </c>
      <c r="E163" s="7" t="s">
        <v>71</v>
      </c>
      <c r="F163" s="8">
        <v>45901</v>
      </c>
      <c r="G163" s="7" t="s">
        <v>16</v>
      </c>
      <c r="H163" s="9" t="s">
        <v>18</v>
      </c>
      <c r="I163" s="9" t="s">
        <v>18</v>
      </c>
      <c r="J163" s="6">
        <v>33125</v>
      </c>
      <c r="K163" s="6">
        <v>34850</v>
      </c>
      <c r="L163" s="6">
        <v>1725</v>
      </c>
      <c r="M163" s="12" t="s">
        <v>85</v>
      </c>
      <c r="N163" s="12" t="s">
        <v>257</v>
      </c>
      <c r="O163" s="17">
        <v>18975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11250</v>
      </c>
      <c r="V163" s="17">
        <v>4625</v>
      </c>
      <c r="W163" s="17">
        <v>34850</v>
      </c>
      <c r="X163" s="15">
        <v>0</v>
      </c>
      <c r="Y163" s="17">
        <v>0</v>
      </c>
      <c r="Z163" s="17">
        <v>0</v>
      </c>
      <c r="AA163" s="17">
        <v>0</v>
      </c>
    </row>
    <row r="164" spans="3:27" ht="21.75" customHeight="1" x14ac:dyDescent="0.25">
      <c r="C164" s="11">
        <v>1548</v>
      </c>
      <c r="D164" s="12" t="s">
        <v>261</v>
      </c>
      <c r="E164" s="7" t="s">
        <v>71</v>
      </c>
      <c r="F164" s="8">
        <v>45901</v>
      </c>
      <c r="G164" s="7" t="s">
        <v>16</v>
      </c>
      <c r="H164" s="9" t="s">
        <v>18</v>
      </c>
      <c r="I164" s="9" t="s">
        <v>18</v>
      </c>
      <c r="J164" s="6">
        <v>43773</v>
      </c>
      <c r="K164" s="6">
        <v>45956.5</v>
      </c>
      <c r="L164" s="6">
        <v>2183.5</v>
      </c>
      <c r="M164" s="12" t="s">
        <v>85</v>
      </c>
      <c r="N164" s="12" t="s">
        <v>257</v>
      </c>
      <c r="O164" s="17">
        <v>24018.5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16750</v>
      </c>
      <c r="V164" s="17">
        <v>5188</v>
      </c>
      <c r="W164" s="17">
        <v>45956.5</v>
      </c>
      <c r="X164" s="15">
        <v>0</v>
      </c>
      <c r="Y164" s="17">
        <v>0</v>
      </c>
      <c r="Z164" s="17">
        <v>0</v>
      </c>
      <c r="AA164" s="17">
        <v>0</v>
      </c>
    </row>
    <row r="165" spans="3:27" ht="21.75" customHeight="1" x14ac:dyDescent="0.25">
      <c r="C165" s="11">
        <v>1647</v>
      </c>
      <c r="D165" s="12" t="s">
        <v>262</v>
      </c>
      <c r="E165" s="7" t="s">
        <v>72</v>
      </c>
      <c r="F165" s="8">
        <v>45901</v>
      </c>
      <c r="G165" s="7" t="s">
        <v>16</v>
      </c>
      <c r="H165" s="9" t="s">
        <v>49</v>
      </c>
      <c r="I165" s="9" t="s">
        <v>22</v>
      </c>
      <c r="J165" s="6">
        <v>51000</v>
      </c>
      <c r="K165" s="6">
        <v>56000</v>
      </c>
      <c r="L165" s="6">
        <v>5000</v>
      </c>
      <c r="M165" s="12" t="s">
        <v>85</v>
      </c>
      <c r="N165" s="12" t="s">
        <v>257</v>
      </c>
      <c r="O165" s="17">
        <v>35000</v>
      </c>
      <c r="P165" s="17">
        <v>2000</v>
      </c>
      <c r="Q165" s="17">
        <v>0</v>
      </c>
      <c r="R165" s="17">
        <v>0</v>
      </c>
      <c r="S165" s="17">
        <v>6500</v>
      </c>
      <c r="T165" s="17">
        <v>2000</v>
      </c>
      <c r="U165" s="17">
        <v>10500</v>
      </c>
      <c r="V165" s="17">
        <v>0</v>
      </c>
      <c r="W165" s="17">
        <v>56000</v>
      </c>
      <c r="X165" s="15">
        <v>0</v>
      </c>
      <c r="Y165" s="17">
        <v>0</v>
      </c>
      <c r="Z165" s="17">
        <v>-2275</v>
      </c>
      <c r="AA165" s="17">
        <v>-2025</v>
      </c>
    </row>
    <row r="166" spans="3:27" ht="21.75" customHeight="1" x14ac:dyDescent="0.25">
      <c r="C166" s="13">
        <v>1121</v>
      </c>
      <c r="D166" s="3" t="s">
        <v>263</v>
      </c>
      <c r="E166" s="9" t="s">
        <v>8</v>
      </c>
      <c r="F166" s="8">
        <v>45901</v>
      </c>
      <c r="G166" s="7" t="s">
        <v>16</v>
      </c>
      <c r="H166" s="9" t="s">
        <v>9</v>
      </c>
      <c r="I166" s="7" t="s">
        <v>13</v>
      </c>
      <c r="J166" s="6">
        <v>36869.9</v>
      </c>
      <c r="K166" s="6">
        <v>38713.5</v>
      </c>
      <c r="L166" s="6">
        <v>1843.5999999999985</v>
      </c>
      <c r="M166" s="3" t="s">
        <v>85</v>
      </c>
      <c r="N166" s="3" t="s">
        <v>257</v>
      </c>
      <c r="O166" s="17">
        <v>20543.5</v>
      </c>
      <c r="P166" s="17">
        <v>1500</v>
      </c>
      <c r="Q166" s="17">
        <v>0</v>
      </c>
      <c r="R166" s="17">
        <v>0</v>
      </c>
      <c r="S166" s="17">
        <v>5300</v>
      </c>
      <c r="T166" s="17">
        <v>1500</v>
      </c>
      <c r="U166" s="17">
        <v>7500</v>
      </c>
      <c r="V166" s="17">
        <v>2370</v>
      </c>
      <c r="W166" s="17">
        <v>38713.5</v>
      </c>
      <c r="X166" s="15">
        <v>0</v>
      </c>
      <c r="Y166" s="17">
        <v>0</v>
      </c>
      <c r="Z166" s="17">
        <v>-1442.18</v>
      </c>
      <c r="AA166" s="17">
        <v>-1408.5</v>
      </c>
    </row>
    <row r="167" spans="3:27" ht="21.75" customHeight="1" x14ac:dyDescent="0.25">
      <c r="C167" s="11">
        <v>1074</v>
      </c>
      <c r="D167" s="12" t="s">
        <v>264</v>
      </c>
      <c r="E167" s="7" t="s">
        <v>72</v>
      </c>
      <c r="F167" s="8">
        <v>45901</v>
      </c>
      <c r="G167" s="7" t="s">
        <v>16</v>
      </c>
      <c r="H167" s="9" t="s">
        <v>13</v>
      </c>
      <c r="I167" s="9" t="s">
        <v>38</v>
      </c>
      <c r="J167" s="6">
        <v>39338.25</v>
      </c>
      <c r="K167" s="6">
        <v>41305.25</v>
      </c>
      <c r="L167" s="6">
        <v>1967</v>
      </c>
      <c r="M167" s="12" t="s">
        <v>265</v>
      </c>
      <c r="N167" s="12" t="s">
        <v>266</v>
      </c>
      <c r="O167" s="17">
        <v>23167</v>
      </c>
      <c r="P167" s="17">
        <v>1500</v>
      </c>
      <c r="Q167" s="17">
        <v>373.25</v>
      </c>
      <c r="R167" s="17">
        <v>0</v>
      </c>
      <c r="S167" s="17">
        <v>5300</v>
      </c>
      <c r="T167" s="17">
        <v>1500</v>
      </c>
      <c r="U167" s="17">
        <v>7500</v>
      </c>
      <c r="V167" s="17">
        <v>1965</v>
      </c>
      <c r="W167" s="17">
        <v>41305.25</v>
      </c>
      <c r="X167" s="15">
        <v>0</v>
      </c>
      <c r="Y167" s="17">
        <v>0</v>
      </c>
      <c r="Z167" s="17">
        <v>-1592.01</v>
      </c>
      <c r="AA167" s="17">
        <v>-1493.66</v>
      </c>
    </row>
    <row r="168" spans="3:27" ht="21.75" customHeight="1" x14ac:dyDescent="0.25">
      <c r="C168" s="11">
        <v>1828</v>
      </c>
      <c r="D168" s="12" t="s">
        <v>267</v>
      </c>
      <c r="E168" s="7" t="s">
        <v>72</v>
      </c>
      <c r="F168" s="8">
        <v>45901</v>
      </c>
      <c r="G168" s="7" t="s">
        <v>16</v>
      </c>
      <c r="H168" s="9" t="s">
        <v>13</v>
      </c>
      <c r="I168" s="9" t="s">
        <v>18</v>
      </c>
      <c r="J168" s="6">
        <v>34874</v>
      </c>
      <c r="K168" s="6">
        <v>39000</v>
      </c>
      <c r="L168" s="6">
        <v>4126</v>
      </c>
      <c r="M168" s="12" t="s">
        <v>123</v>
      </c>
      <c r="N168" s="12" t="s">
        <v>268</v>
      </c>
      <c r="O168" s="17">
        <v>23200</v>
      </c>
      <c r="P168" s="17">
        <v>1500</v>
      </c>
      <c r="Q168" s="17">
        <v>0</v>
      </c>
      <c r="R168" s="17">
        <v>0</v>
      </c>
      <c r="S168" s="17">
        <v>5300</v>
      </c>
      <c r="T168" s="17">
        <v>1500</v>
      </c>
      <c r="U168" s="17">
        <v>7500</v>
      </c>
      <c r="V168" s="17">
        <v>0</v>
      </c>
      <c r="W168" s="17">
        <v>39000</v>
      </c>
      <c r="X168" s="15">
        <v>0</v>
      </c>
      <c r="Y168" s="17">
        <v>0</v>
      </c>
      <c r="Z168" s="17">
        <v>-1575</v>
      </c>
      <c r="AA168" s="17">
        <v>-1368.7</v>
      </c>
    </row>
    <row r="169" spans="3:27" ht="21.75" customHeight="1" x14ac:dyDescent="0.25">
      <c r="C169" s="11">
        <v>1657</v>
      </c>
      <c r="D169" s="12" t="s">
        <v>269</v>
      </c>
      <c r="E169" s="7" t="s">
        <v>72</v>
      </c>
      <c r="F169" s="8">
        <v>45901</v>
      </c>
      <c r="G169" s="7" t="s">
        <v>16</v>
      </c>
      <c r="H169" s="9" t="s">
        <v>12</v>
      </c>
      <c r="I169" s="9" t="s">
        <v>9</v>
      </c>
      <c r="J169" s="6">
        <v>21900</v>
      </c>
      <c r="K169" s="6">
        <v>24200</v>
      </c>
      <c r="L169" s="6">
        <v>2300</v>
      </c>
      <c r="M169" s="12" t="s">
        <v>111</v>
      </c>
      <c r="N169" s="12" t="s">
        <v>270</v>
      </c>
      <c r="O169" s="17">
        <v>12900</v>
      </c>
      <c r="P169" s="17">
        <v>1200</v>
      </c>
      <c r="Q169" s="17">
        <v>0</v>
      </c>
      <c r="R169" s="17">
        <v>0</v>
      </c>
      <c r="S169" s="17">
        <v>4300</v>
      </c>
      <c r="T169" s="17">
        <v>1200</v>
      </c>
      <c r="U169" s="17">
        <v>4600</v>
      </c>
      <c r="V169" s="17">
        <v>0</v>
      </c>
      <c r="W169" s="17">
        <v>24200</v>
      </c>
      <c r="X169" s="15">
        <v>0</v>
      </c>
      <c r="Y169" s="17">
        <v>0</v>
      </c>
      <c r="Z169" s="17">
        <v>-980</v>
      </c>
      <c r="AA169" s="17">
        <v>-865</v>
      </c>
    </row>
    <row r="170" spans="3:27" ht="21.75" customHeight="1" x14ac:dyDescent="0.25">
      <c r="C170" s="11">
        <v>792</v>
      </c>
      <c r="D170" s="12" t="s">
        <v>271</v>
      </c>
      <c r="E170" s="7" t="s">
        <v>71</v>
      </c>
      <c r="F170" s="8">
        <v>45901</v>
      </c>
      <c r="G170" s="7" t="s">
        <v>16</v>
      </c>
      <c r="H170" s="9" t="s">
        <v>18</v>
      </c>
      <c r="I170" s="9" t="s">
        <v>18</v>
      </c>
      <c r="J170" s="6">
        <v>60736</v>
      </c>
      <c r="K170" s="6">
        <v>63543.25</v>
      </c>
      <c r="L170" s="6">
        <v>2807.25</v>
      </c>
      <c r="M170" s="12" t="s">
        <v>111</v>
      </c>
      <c r="N170" s="12" t="s">
        <v>112</v>
      </c>
      <c r="O170" s="17">
        <v>30879.25</v>
      </c>
      <c r="P170" s="17">
        <v>1500</v>
      </c>
      <c r="Q170" s="17">
        <v>10864</v>
      </c>
      <c r="R170" s="17">
        <v>0</v>
      </c>
      <c r="S170" s="17">
        <v>5300</v>
      </c>
      <c r="T170" s="17">
        <v>1500</v>
      </c>
      <c r="U170" s="17">
        <v>7500</v>
      </c>
      <c r="V170" s="17">
        <v>6000</v>
      </c>
      <c r="W170" s="17">
        <v>63543.25</v>
      </c>
      <c r="X170" s="15">
        <v>0</v>
      </c>
      <c r="Y170" s="17">
        <v>0</v>
      </c>
      <c r="Z170" s="17">
        <v>-2502.16</v>
      </c>
      <c r="AA170" s="17">
        <v>-2361.8000000000002</v>
      </c>
    </row>
    <row r="171" spans="3:27" ht="21.75" customHeight="1" x14ac:dyDescent="0.25">
      <c r="C171" s="11">
        <v>845</v>
      </c>
      <c r="D171" s="12" t="s">
        <v>272</v>
      </c>
      <c r="E171" s="7" t="s">
        <v>71</v>
      </c>
      <c r="F171" s="8">
        <v>45901</v>
      </c>
      <c r="G171" s="7" t="s">
        <v>16</v>
      </c>
      <c r="H171" s="9" t="s">
        <v>22</v>
      </c>
      <c r="I171" s="9" t="s">
        <v>22</v>
      </c>
      <c r="J171" s="6">
        <v>91891.5</v>
      </c>
      <c r="K171" s="6">
        <v>98080.75</v>
      </c>
      <c r="L171" s="6">
        <v>6189.25</v>
      </c>
      <c r="M171" s="12" t="s">
        <v>111</v>
      </c>
      <c r="N171" s="12" t="s">
        <v>112</v>
      </c>
      <c r="O171" s="17">
        <v>68080.75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22750</v>
      </c>
      <c r="V171" s="17">
        <v>7250</v>
      </c>
      <c r="W171" s="17">
        <v>98080.75</v>
      </c>
      <c r="X171" s="15">
        <v>0</v>
      </c>
      <c r="Y171" s="17">
        <v>0</v>
      </c>
      <c r="Z171" s="17">
        <v>0</v>
      </c>
      <c r="AA171" s="17">
        <v>0</v>
      </c>
    </row>
    <row r="172" spans="3:27" ht="21.75" customHeight="1" x14ac:dyDescent="0.25">
      <c r="C172" s="11">
        <v>1736</v>
      </c>
      <c r="D172" s="12" t="s">
        <v>273</v>
      </c>
      <c r="E172" s="7" t="s">
        <v>72</v>
      </c>
      <c r="F172" s="8">
        <v>45901</v>
      </c>
      <c r="G172" s="7" t="s">
        <v>16</v>
      </c>
      <c r="H172" s="9" t="s">
        <v>13</v>
      </c>
      <c r="I172" s="9" t="s">
        <v>38</v>
      </c>
      <c r="J172" s="6">
        <v>40255</v>
      </c>
      <c r="K172" s="6">
        <v>42267.75</v>
      </c>
      <c r="L172" s="6">
        <v>2012.75</v>
      </c>
      <c r="M172" s="12" t="s">
        <v>111</v>
      </c>
      <c r="N172" s="12" t="s">
        <v>112</v>
      </c>
      <c r="O172" s="17">
        <v>26467.75</v>
      </c>
      <c r="P172" s="17">
        <v>1500</v>
      </c>
      <c r="Q172" s="17">
        <v>0</v>
      </c>
      <c r="R172" s="17">
        <v>0</v>
      </c>
      <c r="S172" s="17">
        <v>5300</v>
      </c>
      <c r="T172" s="17">
        <v>1500</v>
      </c>
      <c r="U172" s="17">
        <v>7500</v>
      </c>
      <c r="V172" s="17">
        <v>0</v>
      </c>
      <c r="W172" s="17">
        <v>42267.75</v>
      </c>
      <c r="X172" s="15">
        <v>0</v>
      </c>
      <c r="Y172" s="17">
        <v>3000</v>
      </c>
      <c r="Z172" s="17">
        <v>-1888.39</v>
      </c>
      <c r="AA172" s="17">
        <v>-1787.75</v>
      </c>
    </row>
    <row r="173" spans="3:27" ht="21.75" customHeight="1" x14ac:dyDescent="0.25">
      <c r="C173" s="11">
        <v>1263</v>
      </c>
      <c r="D173" s="12" t="s">
        <v>274</v>
      </c>
      <c r="E173" s="7" t="s">
        <v>71</v>
      </c>
      <c r="F173" s="8">
        <v>45901</v>
      </c>
      <c r="G173" s="7" t="s">
        <v>16</v>
      </c>
      <c r="H173" s="9" t="s">
        <v>35</v>
      </c>
      <c r="I173" s="9" t="s">
        <v>35</v>
      </c>
      <c r="J173" s="6">
        <v>95170</v>
      </c>
      <c r="K173" s="6">
        <v>101462</v>
      </c>
      <c r="L173" s="6">
        <v>6292</v>
      </c>
      <c r="M173" s="12" t="s">
        <v>111</v>
      </c>
      <c r="N173" s="12" t="s">
        <v>111</v>
      </c>
      <c r="O173" s="17">
        <v>69212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30000</v>
      </c>
      <c r="V173" s="17">
        <v>2250</v>
      </c>
      <c r="W173" s="17">
        <v>101462</v>
      </c>
      <c r="X173" s="15">
        <v>0</v>
      </c>
      <c r="Y173" s="17">
        <v>0</v>
      </c>
      <c r="Z173" s="17">
        <v>0</v>
      </c>
      <c r="AA173" s="17">
        <v>0</v>
      </c>
    </row>
    <row r="174" spans="3:27" ht="21.75" customHeight="1" x14ac:dyDescent="0.25">
      <c r="C174" s="11">
        <v>776</v>
      </c>
      <c r="D174" s="12" t="s">
        <v>275</v>
      </c>
      <c r="E174" s="7" t="s">
        <v>71</v>
      </c>
      <c r="F174" s="8">
        <v>45901</v>
      </c>
      <c r="G174" s="7" t="s">
        <v>16</v>
      </c>
      <c r="H174" s="9" t="s">
        <v>35</v>
      </c>
      <c r="I174" s="9" t="s">
        <v>35</v>
      </c>
      <c r="J174" s="6">
        <v>124501</v>
      </c>
      <c r="K174" s="6">
        <v>130671</v>
      </c>
      <c r="L174" s="6">
        <v>6170</v>
      </c>
      <c r="M174" s="12" t="s">
        <v>111</v>
      </c>
      <c r="N174" s="12" t="s">
        <v>111</v>
      </c>
      <c r="O174" s="17">
        <v>67871</v>
      </c>
      <c r="P174" s="17">
        <v>2500</v>
      </c>
      <c r="Q174" s="17">
        <v>25500</v>
      </c>
      <c r="R174" s="17">
        <v>0</v>
      </c>
      <c r="S174" s="17">
        <v>8000</v>
      </c>
      <c r="T174" s="17">
        <v>2500</v>
      </c>
      <c r="U174" s="17">
        <v>15000</v>
      </c>
      <c r="V174" s="17">
        <v>9300</v>
      </c>
      <c r="W174" s="17">
        <v>130671</v>
      </c>
      <c r="X174" s="15">
        <v>0</v>
      </c>
      <c r="Y174" s="17">
        <v>4200</v>
      </c>
      <c r="Z174" s="17">
        <v>-5528.55</v>
      </c>
      <c r="AA174" s="17">
        <v>-5220.05</v>
      </c>
    </row>
    <row r="175" spans="3:27" ht="21.75" customHeight="1" x14ac:dyDescent="0.25">
      <c r="C175" s="11">
        <v>1769</v>
      </c>
      <c r="D175" s="12" t="s">
        <v>276</v>
      </c>
      <c r="E175" s="7" t="s">
        <v>71</v>
      </c>
      <c r="F175" s="8">
        <v>45901</v>
      </c>
      <c r="G175" s="7" t="s">
        <v>16</v>
      </c>
      <c r="H175" s="9" t="s">
        <v>9</v>
      </c>
      <c r="I175" s="9" t="s">
        <v>9</v>
      </c>
      <c r="J175" s="6">
        <v>42000</v>
      </c>
      <c r="K175" s="6">
        <v>45070</v>
      </c>
      <c r="L175" s="6">
        <v>3070</v>
      </c>
      <c r="M175" s="12" t="s">
        <v>111</v>
      </c>
      <c r="N175" s="12" t="s">
        <v>111</v>
      </c>
      <c r="O175" s="17">
        <v>33770</v>
      </c>
      <c r="P175" s="17">
        <v>1200</v>
      </c>
      <c r="Q175" s="17">
        <v>0</v>
      </c>
      <c r="R175" s="17">
        <v>0</v>
      </c>
      <c r="S175" s="17">
        <v>4300</v>
      </c>
      <c r="T175" s="17">
        <v>1200</v>
      </c>
      <c r="U175" s="17">
        <v>4600</v>
      </c>
      <c r="V175" s="17">
        <v>0</v>
      </c>
      <c r="W175" s="17">
        <v>45070</v>
      </c>
      <c r="X175" s="15">
        <v>0</v>
      </c>
      <c r="Y175" s="17">
        <v>0</v>
      </c>
      <c r="Z175" s="17">
        <v>-2023.5</v>
      </c>
      <c r="AA175" s="17">
        <v>-1870</v>
      </c>
    </row>
    <row r="176" spans="3:27" ht="21.75" customHeight="1" x14ac:dyDescent="0.25">
      <c r="C176" s="11">
        <v>846</v>
      </c>
      <c r="D176" s="12" t="s">
        <v>277</v>
      </c>
      <c r="E176" s="7" t="s">
        <v>71</v>
      </c>
      <c r="F176" s="8">
        <v>45901</v>
      </c>
      <c r="G176" s="7" t="s">
        <v>16</v>
      </c>
      <c r="H176" s="9" t="s">
        <v>22</v>
      </c>
      <c r="I176" s="9" t="s">
        <v>22</v>
      </c>
      <c r="J176" s="6">
        <v>89662.63</v>
      </c>
      <c r="K176" s="6">
        <v>95629</v>
      </c>
      <c r="L176" s="6">
        <v>5966.3699999999953</v>
      </c>
      <c r="M176" s="12" t="s">
        <v>111</v>
      </c>
      <c r="N176" s="12" t="s">
        <v>278</v>
      </c>
      <c r="O176" s="17">
        <v>65629</v>
      </c>
      <c r="P176" s="17">
        <v>0</v>
      </c>
      <c r="Q176" s="17">
        <v>0</v>
      </c>
      <c r="R176" s="17">
        <v>0</v>
      </c>
      <c r="S176" s="17">
        <v>0</v>
      </c>
      <c r="T176" s="17">
        <v>0</v>
      </c>
      <c r="U176" s="17">
        <v>22750</v>
      </c>
      <c r="V176" s="17">
        <v>7250</v>
      </c>
      <c r="W176" s="17">
        <v>95629</v>
      </c>
      <c r="X176" s="15">
        <v>0</v>
      </c>
      <c r="Y176" s="17">
        <v>0</v>
      </c>
      <c r="Z176" s="17">
        <v>0</v>
      </c>
      <c r="AA176" s="17">
        <v>0</v>
      </c>
    </row>
    <row r="177" spans="3:27" ht="21.75" customHeight="1" x14ac:dyDescent="0.25">
      <c r="C177" s="11">
        <v>1208</v>
      </c>
      <c r="D177" s="12" t="s">
        <v>279</v>
      </c>
      <c r="E177" s="7" t="s">
        <v>71</v>
      </c>
      <c r="F177" s="8">
        <v>45901</v>
      </c>
      <c r="G177" s="7" t="s">
        <v>16</v>
      </c>
      <c r="H177" s="9" t="s">
        <v>18</v>
      </c>
      <c r="I177" s="9" t="s">
        <v>18</v>
      </c>
      <c r="J177" s="6">
        <v>74541.73</v>
      </c>
      <c r="K177" s="6">
        <v>78416</v>
      </c>
      <c r="L177" s="6">
        <v>3874.2700000000041</v>
      </c>
      <c r="M177" s="12" t="s">
        <v>111</v>
      </c>
      <c r="N177" s="12" t="s">
        <v>278</v>
      </c>
      <c r="O177" s="17">
        <v>42616</v>
      </c>
      <c r="P177" s="17">
        <v>1500</v>
      </c>
      <c r="Q177" s="17">
        <v>14000</v>
      </c>
      <c r="R177" s="17">
        <v>0</v>
      </c>
      <c r="S177" s="17">
        <v>5300</v>
      </c>
      <c r="T177" s="17">
        <v>1500</v>
      </c>
      <c r="U177" s="17">
        <v>7500</v>
      </c>
      <c r="V177" s="17">
        <v>6000</v>
      </c>
      <c r="W177" s="17">
        <v>78416</v>
      </c>
      <c r="X177" s="15">
        <v>0</v>
      </c>
      <c r="Y177" s="17">
        <v>0</v>
      </c>
      <c r="Z177" s="17">
        <v>-3245.8</v>
      </c>
      <c r="AA177" s="17">
        <v>-3052.09</v>
      </c>
    </row>
    <row r="178" spans="3:27" ht="21.75" customHeight="1" x14ac:dyDescent="0.25">
      <c r="C178" s="11">
        <v>1289</v>
      </c>
      <c r="D178" s="12" t="s">
        <v>280</v>
      </c>
      <c r="E178" s="7" t="s">
        <v>72</v>
      </c>
      <c r="F178" s="8">
        <v>45901</v>
      </c>
      <c r="G178" s="7" t="s">
        <v>16</v>
      </c>
      <c r="H178" s="9" t="s">
        <v>39</v>
      </c>
      <c r="I178" s="9" t="s">
        <v>49</v>
      </c>
      <c r="J178" s="6">
        <v>48000</v>
      </c>
      <c r="K178" s="6">
        <v>51000</v>
      </c>
      <c r="L178" s="6">
        <v>3000</v>
      </c>
      <c r="M178" s="12" t="s">
        <v>111</v>
      </c>
      <c r="N178" s="12" t="s">
        <v>278</v>
      </c>
      <c r="O178" s="17">
        <v>30000</v>
      </c>
      <c r="P178" s="17">
        <v>2000</v>
      </c>
      <c r="Q178" s="17">
        <v>0</v>
      </c>
      <c r="R178" s="17">
        <v>0</v>
      </c>
      <c r="S178" s="17">
        <v>6500</v>
      </c>
      <c r="T178" s="17">
        <v>2000</v>
      </c>
      <c r="U178" s="17">
        <v>10500</v>
      </c>
      <c r="V178" s="17">
        <v>0</v>
      </c>
      <c r="W178" s="17">
        <v>51000</v>
      </c>
      <c r="X178" s="15">
        <v>0</v>
      </c>
      <c r="Y178" s="17">
        <v>0</v>
      </c>
      <c r="Z178" s="17">
        <v>-2025</v>
      </c>
      <c r="AA178" s="17">
        <v>-1875</v>
      </c>
    </row>
    <row r="179" spans="3:27" ht="21.75" customHeight="1" x14ac:dyDescent="0.25">
      <c r="C179" s="11">
        <v>1291</v>
      </c>
      <c r="D179" s="12" t="s">
        <v>281</v>
      </c>
      <c r="E179" s="7" t="s">
        <v>72</v>
      </c>
      <c r="F179" s="8">
        <v>45901</v>
      </c>
      <c r="G179" s="7" t="s">
        <v>16</v>
      </c>
      <c r="H179" s="9" t="s">
        <v>39</v>
      </c>
      <c r="I179" s="9" t="s">
        <v>49</v>
      </c>
      <c r="J179" s="6">
        <v>68841.149999999994</v>
      </c>
      <c r="K179" s="6">
        <v>72283.25</v>
      </c>
      <c r="L179" s="6">
        <v>3442.1000000000058</v>
      </c>
      <c r="M179" s="12" t="s">
        <v>111</v>
      </c>
      <c r="N179" s="12" t="s">
        <v>278</v>
      </c>
      <c r="O179" s="17">
        <v>49345.25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22750</v>
      </c>
      <c r="V179" s="17">
        <v>188</v>
      </c>
      <c r="W179" s="17">
        <v>72283.25</v>
      </c>
      <c r="X179" s="15">
        <v>0</v>
      </c>
      <c r="Y179" s="17">
        <v>0</v>
      </c>
      <c r="Z179" s="17">
        <v>0</v>
      </c>
      <c r="AA179" s="17">
        <v>0</v>
      </c>
    </row>
    <row r="180" spans="3:27" ht="21.75" customHeight="1" x14ac:dyDescent="0.25">
      <c r="C180" s="11">
        <v>1198</v>
      </c>
      <c r="D180" s="12" t="s">
        <v>282</v>
      </c>
      <c r="E180" s="7" t="s">
        <v>71</v>
      </c>
      <c r="F180" s="8">
        <v>45901</v>
      </c>
      <c r="G180" s="7" t="s">
        <v>16</v>
      </c>
      <c r="H180" s="9" t="s">
        <v>22</v>
      </c>
      <c r="I180" s="9" t="s">
        <v>22</v>
      </c>
      <c r="J180" s="6">
        <v>81576.25</v>
      </c>
      <c r="K180" s="6">
        <v>86734</v>
      </c>
      <c r="L180" s="6">
        <v>5157.75</v>
      </c>
      <c r="M180" s="12" t="s">
        <v>111</v>
      </c>
      <c r="N180" s="12" t="s">
        <v>283</v>
      </c>
      <c r="O180" s="17">
        <v>56734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22750</v>
      </c>
      <c r="V180" s="17">
        <v>7250</v>
      </c>
      <c r="W180" s="17">
        <v>86734</v>
      </c>
      <c r="X180" s="15">
        <v>0</v>
      </c>
      <c r="Y180" s="17">
        <v>0</v>
      </c>
      <c r="Z180" s="17">
        <v>0</v>
      </c>
      <c r="AA180" s="17">
        <v>0</v>
      </c>
    </row>
    <row r="181" spans="3:27" ht="21.75" customHeight="1" x14ac:dyDescent="0.25">
      <c r="C181" s="11">
        <v>1206</v>
      </c>
      <c r="D181" s="12" t="s">
        <v>284</v>
      </c>
      <c r="E181" s="7" t="s">
        <v>71</v>
      </c>
      <c r="F181" s="8">
        <v>45901</v>
      </c>
      <c r="G181" s="7" t="s">
        <v>16</v>
      </c>
      <c r="H181" s="9" t="s">
        <v>22</v>
      </c>
      <c r="I181" s="9" t="s">
        <v>22</v>
      </c>
      <c r="J181" s="6">
        <v>57147.45</v>
      </c>
      <c r="K181" s="6">
        <v>59862.25</v>
      </c>
      <c r="L181" s="6">
        <v>2714.8000000000029</v>
      </c>
      <c r="M181" s="12" t="s">
        <v>111</v>
      </c>
      <c r="N181" s="12" t="s">
        <v>283</v>
      </c>
      <c r="O181" s="17">
        <v>29862.25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22750</v>
      </c>
      <c r="V181" s="17">
        <v>7250</v>
      </c>
      <c r="W181" s="17">
        <v>59862.25</v>
      </c>
      <c r="X181" s="15">
        <v>0</v>
      </c>
      <c r="Y181" s="17">
        <v>0</v>
      </c>
      <c r="Z181" s="17">
        <v>0</v>
      </c>
      <c r="AA181" s="17">
        <v>0</v>
      </c>
    </row>
    <row r="182" spans="3:27" ht="21.75" customHeight="1" x14ac:dyDescent="0.25">
      <c r="C182" s="11">
        <v>1207</v>
      </c>
      <c r="D182" s="12" t="s">
        <v>285</v>
      </c>
      <c r="E182" s="7" t="s">
        <v>72</v>
      </c>
      <c r="F182" s="8">
        <v>45901</v>
      </c>
      <c r="G182" s="7" t="s">
        <v>16</v>
      </c>
      <c r="H182" s="9" t="s">
        <v>76</v>
      </c>
      <c r="I182" s="9" t="s">
        <v>12</v>
      </c>
      <c r="J182" s="6">
        <v>24255</v>
      </c>
      <c r="K182" s="6">
        <v>25467.75</v>
      </c>
      <c r="L182" s="6">
        <v>1212.75</v>
      </c>
      <c r="M182" s="12" t="s">
        <v>111</v>
      </c>
      <c r="N182" s="12" t="s">
        <v>283</v>
      </c>
      <c r="O182" s="17">
        <v>11867.75</v>
      </c>
      <c r="P182" s="17">
        <v>1200</v>
      </c>
      <c r="Q182" s="17">
        <v>1000</v>
      </c>
      <c r="R182" s="17">
        <v>0</v>
      </c>
      <c r="S182" s="17">
        <v>4300</v>
      </c>
      <c r="T182" s="17">
        <v>1200</v>
      </c>
      <c r="U182" s="17">
        <v>4600</v>
      </c>
      <c r="V182" s="17">
        <v>1300</v>
      </c>
      <c r="W182" s="17">
        <v>25467.75</v>
      </c>
      <c r="X182" s="15">
        <v>0</v>
      </c>
      <c r="Y182" s="17">
        <v>0</v>
      </c>
      <c r="Z182" s="17">
        <v>-978.39</v>
      </c>
      <c r="AA182" s="17">
        <v>-917.75</v>
      </c>
    </row>
    <row r="183" spans="3:27" ht="21.75" customHeight="1" x14ac:dyDescent="0.25">
      <c r="C183" s="11">
        <v>1216</v>
      </c>
      <c r="D183" s="12" t="s">
        <v>286</v>
      </c>
      <c r="E183" s="7" t="s">
        <v>71</v>
      </c>
      <c r="F183" s="8">
        <v>45901</v>
      </c>
      <c r="G183" s="7" t="s">
        <v>16</v>
      </c>
      <c r="H183" s="9" t="s">
        <v>22</v>
      </c>
      <c r="I183" s="9" t="s">
        <v>22</v>
      </c>
      <c r="J183" s="6">
        <v>62972.5</v>
      </c>
      <c r="K183" s="6">
        <v>66269.75</v>
      </c>
      <c r="L183" s="6">
        <v>3297.25</v>
      </c>
      <c r="M183" s="12" t="s">
        <v>111</v>
      </c>
      <c r="N183" s="12" t="s">
        <v>283</v>
      </c>
      <c r="O183" s="17">
        <v>36269.75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22750</v>
      </c>
      <c r="V183" s="17">
        <v>7250</v>
      </c>
      <c r="W183" s="17">
        <v>66269.75</v>
      </c>
      <c r="X183" s="15">
        <v>0</v>
      </c>
      <c r="Y183" s="17">
        <v>0</v>
      </c>
      <c r="Z183" s="17">
        <v>0</v>
      </c>
      <c r="AA183" s="17">
        <v>0</v>
      </c>
    </row>
    <row r="184" spans="3:27" ht="21.75" customHeight="1" x14ac:dyDescent="0.25">
      <c r="C184" s="11">
        <v>1250</v>
      </c>
      <c r="D184" s="12" t="s">
        <v>287</v>
      </c>
      <c r="E184" s="7" t="s">
        <v>71</v>
      </c>
      <c r="F184" s="8">
        <v>45901</v>
      </c>
      <c r="G184" s="7" t="s">
        <v>16</v>
      </c>
      <c r="H184" s="9" t="s">
        <v>18</v>
      </c>
      <c r="I184" s="9" t="s">
        <v>18</v>
      </c>
      <c r="J184" s="6">
        <v>41693</v>
      </c>
      <c r="K184" s="6">
        <v>43568.5</v>
      </c>
      <c r="L184" s="6">
        <v>1875.5</v>
      </c>
      <c r="M184" s="12" t="s">
        <v>111</v>
      </c>
      <c r="N184" s="12" t="s">
        <v>283</v>
      </c>
      <c r="O184" s="17">
        <v>20630.5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16750</v>
      </c>
      <c r="V184" s="17">
        <v>6188</v>
      </c>
      <c r="W184" s="17">
        <v>43568.5</v>
      </c>
      <c r="X184" s="15">
        <v>0</v>
      </c>
      <c r="Y184" s="17">
        <v>0</v>
      </c>
      <c r="Z184" s="17">
        <v>0</v>
      </c>
      <c r="AA184" s="17">
        <v>0</v>
      </c>
    </row>
    <row r="185" spans="3:27" ht="21.75" customHeight="1" x14ac:dyDescent="0.25">
      <c r="C185" s="11">
        <v>1763</v>
      </c>
      <c r="D185" s="12" t="s">
        <v>288</v>
      </c>
      <c r="E185" s="7" t="s">
        <v>72</v>
      </c>
      <c r="F185" s="8">
        <v>45901</v>
      </c>
      <c r="G185" s="7" t="s">
        <v>16</v>
      </c>
      <c r="H185" s="9" t="s">
        <v>12</v>
      </c>
      <c r="I185" s="9" t="s">
        <v>9</v>
      </c>
      <c r="J185" s="6">
        <v>21900</v>
      </c>
      <c r="K185" s="6">
        <v>24200</v>
      </c>
      <c r="L185" s="6">
        <v>2300</v>
      </c>
      <c r="M185" s="12" t="s">
        <v>111</v>
      </c>
      <c r="N185" s="12" t="s">
        <v>283</v>
      </c>
      <c r="O185" s="17">
        <v>12900</v>
      </c>
      <c r="P185" s="17">
        <v>1200</v>
      </c>
      <c r="Q185" s="17">
        <v>0</v>
      </c>
      <c r="R185" s="17">
        <v>0</v>
      </c>
      <c r="S185" s="17">
        <v>4300</v>
      </c>
      <c r="T185" s="17">
        <v>1200</v>
      </c>
      <c r="U185" s="17">
        <v>4600</v>
      </c>
      <c r="V185" s="17">
        <v>0</v>
      </c>
      <c r="W185" s="17">
        <v>24200</v>
      </c>
      <c r="X185" s="15">
        <v>0</v>
      </c>
      <c r="Y185" s="17">
        <v>0</v>
      </c>
      <c r="Z185" s="17">
        <v>-980</v>
      </c>
      <c r="AA185" s="17">
        <v>-865</v>
      </c>
    </row>
    <row r="186" spans="3:27" ht="21.75" customHeight="1" x14ac:dyDescent="0.25">
      <c r="C186" s="11">
        <v>36</v>
      </c>
      <c r="D186" s="12" t="s">
        <v>289</v>
      </c>
      <c r="E186" s="7" t="s">
        <v>71</v>
      </c>
      <c r="F186" s="8">
        <v>45901</v>
      </c>
      <c r="G186" s="7" t="s">
        <v>16</v>
      </c>
      <c r="H186" s="9" t="s">
        <v>22</v>
      </c>
      <c r="I186" s="9" t="s">
        <v>22</v>
      </c>
      <c r="J186" s="6">
        <v>85528</v>
      </c>
      <c r="K186" s="6">
        <v>91080.75</v>
      </c>
      <c r="L186" s="6">
        <v>5552.75</v>
      </c>
      <c r="M186" s="12" t="s">
        <v>290</v>
      </c>
      <c r="N186" s="12" t="s">
        <v>291</v>
      </c>
      <c r="O186" s="17">
        <v>61080.75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22750</v>
      </c>
      <c r="V186" s="17">
        <v>7250</v>
      </c>
      <c r="W186" s="17">
        <v>91080.75</v>
      </c>
      <c r="X186" s="15">
        <v>0</v>
      </c>
      <c r="Y186" s="17">
        <v>0</v>
      </c>
      <c r="Z186" s="17">
        <v>0</v>
      </c>
      <c r="AA186" s="17">
        <v>0</v>
      </c>
    </row>
    <row r="187" spans="3:27" ht="21.75" customHeight="1" x14ac:dyDescent="0.25">
      <c r="C187" s="11">
        <v>863</v>
      </c>
      <c r="D187" s="12" t="s">
        <v>292</v>
      </c>
      <c r="E187" s="7" t="s">
        <v>71</v>
      </c>
      <c r="F187" s="8">
        <v>45901</v>
      </c>
      <c r="G187" s="7" t="s">
        <v>16</v>
      </c>
      <c r="H187" s="9" t="s">
        <v>18</v>
      </c>
      <c r="I187" s="9" t="s">
        <v>18</v>
      </c>
      <c r="J187" s="6">
        <v>53672</v>
      </c>
      <c r="K187" s="6">
        <v>56479.25</v>
      </c>
      <c r="L187" s="6">
        <v>2807.25</v>
      </c>
      <c r="M187" s="12" t="s">
        <v>290</v>
      </c>
      <c r="N187" s="12" t="s">
        <v>291</v>
      </c>
      <c r="O187" s="17">
        <v>30879.25</v>
      </c>
      <c r="P187" s="17">
        <v>1500</v>
      </c>
      <c r="Q187" s="17">
        <v>3800</v>
      </c>
      <c r="R187" s="17">
        <v>0</v>
      </c>
      <c r="S187" s="17">
        <v>5300</v>
      </c>
      <c r="T187" s="17">
        <v>1500</v>
      </c>
      <c r="U187" s="17">
        <v>7500</v>
      </c>
      <c r="V187" s="17">
        <v>6000</v>
      </c>
      <c r="W187" s="17">
        <v>56479.25</v>
      </c>
      <c r="X187" s="15">
        <v>0</v>
      </c>
      <c r="Y187" s="17">
        <v>0</v>
      </c>
      <c r="Z187" s="17">
        <v>-2148.96</v>
      </c>
      <c r="AA187" s="17">
        <v>-2008.6</v>
      </c>
    </row>
    <row r="188" spans="3:27" ht="21.75" customHeight="1" x14ac:dyDescent="0.25">
      <c r="C188" s="11">
        <v>1456</v>
      </c>
      <c r="D188" s="12" t="s">
        <v>293</v>
      </c>
      <c r="E188" s="7" t="s">
        <v>71</v>
      </c>
      <c r="F188" s="8">
        <v>45901</v>
      </c>
      <c r="G188" s="7" t="s">
        <v>16</v>
      </c>
      <c r="H188" s="9" t="s">
        <v>18</v>
      </c>
      <c r="I188" s="9" t="s">
        <v>18</v>
      </c>
      <c r="J188" s="6">
        <v>57120.5</v>
      </c>
      <c r="K188" s="6">
        <v>60538.75</v>
      </c>
      <c r="L188" s="6">
        <v>3418.25</v>
      </c>
      <c r="M188" s="12" t="s">
        <v>290</v>
      </c>
      <c r="N188" s="12" t="s">
        <v>291</v>
      </c>
      <c r="O188" s="17">
        <v>37600.75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16750</v>
      </c>
      <c r="V188" s="17">
        <v>6188</v>
      </c>
      <c r="W188" s="17">
        <v>60538.75</v>
      </c>
      <c r="X188" s="15">
        <v>0</v>
      </c>
      <c r="Y188" s="17">
        <v>0</v>
      </c>
      <c r="Z188" s="17">
        <v>0</v>
      </c>
      <c r="AA188" s="17">
        <v>0</v>
      </c>
    </row>
    <row r="189" spans="3:27" ht="21.75" customHeight="1" x14ac:dyDescent="0.25">
      <c r="C189" s="11">
        <v>43</v>
      </c>
      <c r="D189" s="12" t="s">
        <v>294</v>
      </c>
      <c r="E189" s="7" t="s">
        <v>71</v>
      </c>
      <c r="F189" s="8">
        <v>45901</v>
      </c>
      <c r="G189" s="7" t="s">
        <v>16</v>
      </c>
      <c r="H189" s="9" t="s">
        <v>18</v>
      </c>
      <c r="I189" s="9" t="s">
        <v>18</v>
      </c>
      <c r="J189" s="6">
        <v>33625</v>
      </c>
      <c r="K189" s="6">
        <v>35350</v>
      </c>
      <c r="L189" s="6">
        <v>1725</v>
      </c>
      <c r="M189" s="12" t="s">
        <v>290</v>
      </c>
      <c r="N189" s="12" t="s">
        <v>295</v>
      </c>
      <c r="O189" s="17">
        <v>18975</v>
      </c>
      <c r="P189" s="17">
        <v>0</v>
      </c>
      <c r="Q189" s="17">
        <v>0</v>
      </c>
      <c r="R189" s="17">
        <v>0</v>
      </c>
      <c r="S189" s="17">
        <v>0</v>
      </c>
      <c r="T189" s="17">
        <v>0</v>
      </c>
      <c r="U189" s="17">
        <v>11250</v>
      </c>
      <c r="V189" s="17">
        <v>5125</v>
      </c>
      <c r="W189" s="17">
        <v>35350</v>
      </c>
      <c r="X189" s="15">
        <v>0</v>
      </c>
      <c r="Y189" s="17">
        <v>0</v>
      </c>
      <c r="Z189" s="17">
        <v>0</v>
      </c>
      <c r="AA189" s="17">
        <v>0</v>
      </c>
    </row>
    <row r="190" spans="3:27" ht="21.75" customHeight="1" x14ac:dyDescent="0.25">
      <c r="C190" s="7">
        <v>1284</v>
      </c>
      <c r="D190" s="12" t="s">
        <v>296</v>
      </c>
      <c r="E190" s="7" t="s">
        <v>71</v>
      </c>
      <c r="F190" s="8">
        <v>45901</v>
      </c>
      <c r="G190" s="7" t="s">
        <v>16</v>
      </c>
      <c r="H190" s="9" t="s">
        <v>9</v>
      </c>
      <c r="I190" s="9" t="s">
        <v>9</v>
      </c>
      <c r="J190" s="6">
        <v>34509</v>
      </c>
      <c r="K190" s="6">
        <v>36070</v>
      </c>
      <c r="L190" s="6">
        <v>1561</v>
      </c>
      <c r="M190" s="12" t="s">
        <v>290</v>
      </c>
      <c r="N190" s="12" t="s">
        <v>297</v>
      </c>
      <c r="O190" s="17">
        <v>17170</v>
      </c>
      <c r="P190" s="17">
        <v>1200</v>
      </c>
      <c r="Q190" s="17">
        <v>3500</v>
      </c>
      <c r="R190" s="17">
        <v>0</v>
      </c>
      <c r="S190" s="17">
        <v>4300</v>
      </c>
      <c r="T190" s="17">
        <v>1200</v>
      </c>
      <c r="U190" s="17">
        <v>4600</v>
      </c>
      <c r="V190" s="17">
        <v>4100</v>
      </c>
      <c r="W190" s="17">
        <v>36070</v>
      </c>
      <c r="X190" s="15">
        <v>0</v>
      </c>
      <c r="Y190" s="17">
        <v>0</v>
      </c>
      <c r="Z190" s="17">
        <v>-1368.5</v>
      </c>
      <c r="AA190" s="17">
        <v>-1290.45</v>
      </c>
    </row>
    <row r="191" spans="3:27" ht="21.75" customHeight="1" x14ac:dyDescent="0.25">
      <c r="C191" s="11">
        <v>1285</v>
      </c>
      <c r="D191" s="12" t="s">
        <v>298</v>
      </c>
      <c r="E191" s="7" t="s">
        <v>72</v>
      </c>
      <c r="F191" s="8">
        <v>45901</v>
      </c>
      <c r="G191" s="7" t="s">
        <v>16</v>
      </c>
      <c r="H191" s="9" t="s">
        <v>38</v>
      </c>
      <c r="I191" s="9" t="s">
        <v>18</v>
      </c>
      <c r="J191" s="6">
        <v>37000</v>
      </c>
      <c r="K191" s="6">
        <v>39000</v>
      </c>
      <c r="L191" s="6">
        <v>2000</v>
      </c>
      <c r="M191" s="12" t="s">
        <v>290</v>
      </c>
      <c r="N191" s="12" t="s">
        <v>299</v>
      </c>
      <c r="O191" s="17">
        <v>23200</v>
      </c>
      <c r="P191" s="17">
        <v>1500</v>
      </c>
      <c r="Q191" s="17">
        <v>0</v>
      </c>
      <c r="R191" s="17">
        <v>0</v>
      </c>
      <c r="S191" s="17">
        <v>5300</v>
      </c>
      <c r="T191" s="17">
        <v>1500</v>
      </c>
      <c r="U191" s="17">
        <v>7500</v>
      </c>
      <c r="V191" s="17">
        <v>0</v>
      </c>
      <c r="W191" s="17">
        <v>39000</v>
      </c>
      <c r="X191" s="15">
        <v>0</v>
      </c>
      <c r="Y191" s="17">
        <v>0</v>
      </c>
      <c r="Z191" s="17">
        <v>-1575</v>
      </c>
      <c r="AA191" s="17">
        <v>-1475</v>
      </c>
    </row>
    <row r="192" spans="3:27" ht="21.75" customHeight="1" x14ac:dyDescent="0.25">
      <c r="C192" s="11">
        <v>951</v>
      </c>
      <c r="D192" s="12" t="s">
        <v>300</v>
      </c>
      <c r="E192" s="7" t="s">
        <v>72</v>
      </c>
      <c r="F192" s="8">
        <v>45901</v>
      </c>
      <c r="G192" s="7" t="s">
        <v>16</v>
      </c>
      <c r="H192" s="9" t="s">
        <v>38</v>
      </c>
      <c r="I192" s="9" t="s">
        <v>18</v>
      </c>
      <c r="J192" s="6">
        <v>37000</v>
      </c>
      <c r="K192" s="6">
        <v>39000</v>
      </c>
      <c r="L192" s="6">
        <v>2000</v>
      </c>
      <c r="M192" s="12" t="s">
        <v>114</v>
      </c>
      <c r="N192" s="12" t="s">
        <v>301</v>
      </c>
      <c r="O192" s="17">
        <v>23200</v>
      </c>
      <c r="P192" s="17">
        <v>1500</v>
      </c>
      <c r="Q192" s="17">
        <v>0</v>
      </c>
      <c r="R192" s="17">
        <v>0</v>
      </c>
      <c r="S192" s="17">
        <v>5300</v>
      </c>
      <c r="T192" s="17">
        <v>1500</v>
      </c>
      <c r="U192" s="17">
        <v>7500</v>
      </c>
      <c r="V192" s="17">
        <v>0</v>
      </c>
      <c r="W192" s="17">
        <v>39000</v>
      </c>
      <c r="X192" s="15">
        <v>0</v>
      </c>
      <c r="Y192" s="17">
        <v>2400</v>
      </c>
      <c r="Z192" s="17">
        <v>-1695</v>
      </c>
      <c r="AA192" s="17">
        <v>-1595</v>
      </c>
    </row>
    <row r="193" spans="3:27" ht="21.75" customHeight="1" x14ac:dyDescent="0.25">
      <c r="C193" s="11">
        <v>1022</v>
      </c>
      <c r="D193" s="12" t="s">
        <v>302</v>
      </c>
      <c r="E193" s="7" t="s">
        <v>71</v>
      </c>
      <c r="F193" s="8" t="s">
        <v>303</v>
      </c>
      <c r="G193" s="7" t="s">
        <v>16</v>
      </c>
      <c r="H193" s="9" t="s">
        <v>18</v>
      </c>
      <c r="I193" s="9" t="s">
        <v>18</v>
      </c>
      <c r="J193" s="6">
        <v>42315</v>
      </c>
      <c r="K193" s="6">
        <v>44836.5</v>
      </c>
      <c r="L193" s="6">
        <v>2521.5</v>
      </c>
      <c r="M193" s="12" t="s">
        <v>114</v>
      </c>
      <c r="N193" s="12" t="s">
        <v>301</v>
      </c>
      <c r="O193" s="17">
        <v>27736.5</v>
      </c>
      <c r="P193" s="17">
        <v>1500</v>
      </c>
      <c r="Q193" s="17">
        <v>0</v>
      </c>
      <c r="R193" s="17">
        <v>0</v>
      </c>
      <c r="S193" s="17">
        <v>5300</v>
      </c>
      <c r="T193" s="17">
        <v>1500</v>
      </c>
      <c r="U193" s="17">
        <v>7500</v>
      </c>
      <c r="V193" s="17">
        <v>1300</v>
      </c>
      <c r="W193" s="17">
        <v>44836.5</v>
      </c>
      <c r="X193" s="15">
        <v>0</v>
      </c>
      <c r="Y193" s="17">
        <v>0</v>
      </c>
      <c r="Z193" s="17">
        <v>-1801.82</v>
      </c>
      <c r="AA193" s="17">
        <v>-1675.75</v>
      </c>
    </row>
    <row r="194" spans="3:27" ht="21.75" customHeight="1" x14ac:dyDescent="0.25">
      <c r="C194" s="11">
        <v>1186</v>
      </c>
      <c r="D194" s="12" t="s">
        <v>304</v>
      </c>
      <c r="E194" s="7" t="s">
        <v>72</v>
      </c>
      <c r="F194" s="8">
        <v>45901</v>
      </c>
      <c r="G194" s="7" t="s">
        <v>16</v>
      </c>
      <c r="H194" s="9" t="s">
        <v>38</v>
      </c>
      <c r="I194" s="9" t="s">
        <v>18</v>
      </c>
      <c r="J194" s="6">
        <v>37000</v>
      </c>
      <c r="K194" s="6">
        <v>39000</v>
      </c>
      <c r="L194" s="6">
        <v>2000</v>
      </c>
      <c r="M194" s="12" t="s">
        <v>114</v>
      </c>
      <c r="N194" s="12" t="s">
        <v>301</v>
      </c>
      <c r="O194" s="17">
        <v>23200</v>
      </c>
      <c r="P194" s="17">
        <v>1500</v>
      </c>
      <c r="Q194" s="17">
        <v>0</v>
      </c>
      <c r="R194" s="17">
        <v>0</v>
      </c>
      <c r="S194" s="17">
        <v>5300</v>
      </c>
      <c r="T194" s="17">
        <v>1500</v>
      </c>
      <c r="U194" s="17">
        <v>7500</v>
      </c>
      <c r="V194" s="17">
        <v>0</v>
      </c>
      <c r="W194" s="17">
        <v>39000</v>
      </c>
      <c r="X194" s="15">
        <v>0</v>
      </c>
      <c r="Y194" s="17">
        <v>0</v>
      </c>
      <c r="Z194" s="17">
        <v>-1575</v>
      </c>
      <c r="AA194" s="17">
        <v>-1475</v>
      </c>
    </row>
    <row r="195" spans="3:27" ht="21.75" customHeight="1" x14ac:dyDescent="0.25">
      <c r="C195" s="11">
        <v>1756</v>
      </c>
      <c r="D195" s="12" t="s">
        <v>305</v>
      </c>
      <c r="E195" s="7" t="s">
        <v>72</v>
      </c>
      <c r="F195" s="8">
        <v>45901</v>
      </c>
      <c r="G195" s="7" t="s">
        <v>16</v>
      </c>
      <c r="H195" s="9" t="s">
        <v>38</v>
      </c>
      <c r="I195" s="9" t="s">
        <v>18</v>
      </c>
      <c r="J195" s="6">
        <v>37000</v>
      </c>
      <c r="K195" s="6">
        <v>39000</v>
      </c>
      <c r="L195" s="6">
        <v>2000</v>
      </c>
      <c r="M195" s="12" t="s">
        <v>114</v>
      </c>
      <c r="N195" s="12" t="s">
        <v>301</v>
      </c>
      <c r="O195" s="17">
        <v>23200</v>
      </c>
      <c r="P195" s="17">
        <v>1500</v>
      </c>
      <c r="Q195" s="17">
        <v>0</v>
      </c>
      <c r="R195" s="17">
        <v>0</v>
      </c>
      <c r="S195" s="17">
        <v>5300</v>
      </c>
      <c r="T195" s="17">
        <v>1500</v>
      </c>
      <c r="U195" s="17">
        <v>7500</v>
      </c>
      <c r="V195" s="17">
        <v>0</v>
      </c>
      <c r="W195" s="17">
        <v>39000</v>
      </c>
      <c r="X195" s="15">
        <v>0</v>
      </c>
      <c r="Y195" s="17">
        <v>0</v>
      </c>
      <c r="Z195" s="17">
        <v>-1575</v>
      </c>
      <c r="AA195" s="17">
        <v>-1475</v>
      </c>
    </row>
    <row r="196" spans="3:27" ht="21.75" customHeight="1" x14ac:dyDescent="0.25">
      <c r="C196" s="11">
        <v>125</v>
      </c>
      <c r="D196" s="12" t="s">
        <v>306</v>
      </c>
      <c r="E196" s="7" t="s">
        <v>71</v>
      </c>
      <c r="F196" s="8">
        <v>45901</v>
      </c>
      <c r="G196" s="7" t="s">
        <v>16</v>
      </c>
      <c r="H196" s="9" t="s">
        <v>18</v>
      </c>
      <c r="I196" s="9" t="s">
        <v>18</v>
      </c>
      <c r="J196" s="6">
        <v>59079.199999999997</v>
      </c>
      <c r="K196" s="6">
        <v>62167</v>
      </c>
      <c r="L196" s="6">
        <v>3087.8000000000029</v>
      </c>
      <c r="M196" s="12" t="s">
        <v>117</v>
      </c>
      <c r="N196" s="12" t="s">
        <v>118</v>
      </c>
      <c r="O196" s="17">
        <v>33967</v>
      </c>
      <c r="P196" s="17">
        <v>1500</v>
      </c>
      <c r="Q196" s="17">
        <v>6400</v>
      </c>
      <c r="R196" s="17">
        <v>0</v>
      </c>
      <c r="S196" s="17">
        <v>5300</v>
      </c>
      <c r="T196" s="17">
        <v>1500</v>
      </c>
      <c r="U196" s="17">
        <v>7500</v>
      </c>
      <c r="V196" s="17">
        <v>6000</v>
      </c>
      <c r="W196" s="17">
        <v>62167</v>
      </c>
      <c r="X196" s="15">
        <v>0</v>
      </c>
      <c r="Y196" s="17">
        <v>0</v>
      </c>
      <c r="Z196" s="17">
        <v>-2433.35</v>
      </c>
      <c r="AA196" s="17">
        <v>-2278.96</v>
      </c>
    </row>
    <row r="197" spans="3:27" ht="21.75" customHeight="1" x14ac:dyDescent="0.25">
      <c r="C197" s="11">
        <v>189</v>
      </c>
      <c r="D197" s="12" t="s">
        <v>307</v>
      </c>
      <c r="E197" s="7" t="s">
        <v>71</v>
      </c>
      <c r="F197" s="8">
        <v>45901</v>
      </c>
      <c r="G197" s="7" t="s">
        <v>16</v>
      </c>
      <c r="H197" s="9" t="s">
        <v>18</v>
      </c>
      <c r="I197" s="9" t="s">
        <v>18</v>
      </c>
      <c r="J197" s="6">
        <v>54906</v>
      </c>
      <c r="K197" s="6">
        <v>57713.25</v>
      </c>
      <c r="L197" s="6">
        <v>2807.25</v>
      </c>
      <c r="M197" s="12" t="s">
        <v>117</v>
      </c>
      <c r="N197" s="12" t="s">
        <v>118</v>
      </c>
      <c r="O197" s="17">
        <v>30879.25</v>
      </c>
      <c r="P197" s="17">
        <v>1500</v>
      </c>
      <c r="Q197" s="17">
        <v>5034</v>
      </c>
      <c r="R197" s="17">
        <v>0</v>
      </c>
      <c r="S197" s="17">
        <v>5300</v>
      </c>
      <c r="T197" s="17">
        <v>1500</v>
      </c>
      <c r="U197" s="17">
        <v>7500</v>
      </c>
      <c r="V197" s="17">
        <v>6000</v>
      </c>
      <c r="W197" s="17">
        <v>57713.25</v>
      </c>
      <c r="X197" s="15">
        <v>0</v>
      </c>
      <c r="Y197" s="17">
        <v>0</v>
      </c>
      <c r="Z197" s="17">
        <v>-2210.66</v>
      </c>
      <c r="AA197" s="17">
        <v>-2070.3000000000002</v>
      </c>
    </row>
    <row r="198" spans="3:27" ht="21.75" customHeight="1" x14ac:dyDescent="0.25">
      <c r="C198" s="11">
        <v>1745</v>
      </c>
      <c r="D198" s="12" t="s">
        <v>308</v>
      </c>
      <c r="E198" s="7" t="s">
        <v>72</v>
      </c>
      <c r="F198" s="8">
        <v>45901</v>
      </c>
      <c r="G198" s="7" t="s">
        <v>16</v>
      </c>
      <c r="H198" s="9" t="s">
        <v>12</v>
      </c>
      <c r="I198" s="9" t="s">
        <v>9</v>
      </c>
      <c r="J198" s="6">
        <v>21900</v>
      </c>
      <c r="K198" s="6">
        <v>24200</v>
      </c>
      <c r="L198" s="6">
        <v>2300</v>
      </c>
      <c r="M198" s="12" t="s">
        <v>117</v>
      </c>
      <c r="N198" s="12" t="s">
        <v>118</v>
      </c>
      <c r="O198" s="17">
        <v>12900</v>
      </c>
      <c r="P198" s="17">
        <v>1200</v>
      </c>
      <c r="Q198" s="17">
        <v>0</v>
      </c>
      <c r="R198" s="17">
        <v>0</v>
      </c>
      <c r="S198" s="17">
        <v>4300</v>
      </c>
      <c r="T198" s="17">
        <v>1200</v>
      </c>
      <c r="U198" s="17">
        <v>4600</v>
      </c>
      <c r="V198" s="17">
        <v>0</v>
      </c>
      <c r="W198" s="17">
        <v>24200</v>
      </c>
      <c r="X198" s="15">
        <v>0</v>
      </c>
      <c r="Y198" s="17">
        <v>0</v>
      </c>
      <c r="Z198" s="17">
        <v>-980</v>
      </c>
      <c r="AA198" s="17">
        <v>-865</v>
      </c>
    </row>
    <row r="199" spans="3:27" ht="21.75" customHeight="1" x14ac:dyDescent="0.25">
      <c r="C199" s="13">
        <v>1396</v>
      </c>
      <c r="D199" s="3" t="s">
        <v>309</v>
      </c>
      <c r="E199" s="9" t="s">
        <v>71</v>
      </c>
      <c r="F199" s="8">
        <v>45901</v>
      </c>
      <c r="G199" s="7" t="s">
        <v>16</v>
      </c>
      <c r="H199" s="9" t="s">
        <v>22</v>
      </c>
      <c r="I199" s="7" t="s">
        <v>22</v>
      </c>
      <c r="J199" s="6">
        <v>103070</v>
      </c>
      <c r="K199" s="6">
        <v>108797</v>
      </c>
      <c r="L199" s="6">
        <v>5727</v>
      </c>
      <c r="M199" s="3" t="s">
        <v>117</v>
      </c>
      <c r="N199" s="3" t="s">
        <v>118</v>
      </c>
      <c r="O199" s="17">
        <v>62997</v>
      </c>
      <c r="P199" s="17">
        <v>2000</v>
      </c>
      <c r="Q199" s="17">
        <v>17800</v>
      </c>
      <c r="R199" s="17">
        <v>0</v>
      </c>
      <c r="S199" s="17">
        <v>6500</v>
      </c>
      <c r="T199" s="17">
        <v>2000</v>
      </c>
      <c r="U199" s="17">
        <v>10500</v>
      </c>
      <c r="V199" s="17">
        <v>7000</v>
      </c>
      <c r="W199" s="17">
        <v>108797</v>
      </c>
      <c r="X199" s="15">
        <v>0</v>
      </c>
      <c r="Y199" s="17">
        <v>4800</v>
      </c>
      <c r="Z199" s="17">
        <v>-4804.8500000000004</v>
      </c>
      <c r="AA199" s="17">
        <v>-4518.5</v>
      </c>
    </row>
    <row r="200" spans="3:27" ht="21.75" customHeight="1" x14ac:dyDescent="0.25">
      <c r="C200" s="13">
        <v>1067</v>
      </c>
      <c r="D200" s="3" t="s">
        <v>310</v>
      </c>
      <c r="E200" s="9" t="s">
        <v>72</v>
      </c>
      <c r="F200" s="8">
        <v>45901</v>
      </c>
      <c r="G200" s="7" t="s">
        <v>16</v>
      </c>
      <c r="H200" s="9" t="s">
        <v>38</v>
      </c>
      <c r="I200" s="7" t="s">
        <v>18</v>
      </c>
      <c r="J200" s="6">
        <v>37000</v>
      </c>
      <c r="K200" s="6">
        <v>39000</v>
      </c>
      <c r="L200" s="6">
        <v>2000</v>
      </c>
      <c r="M200" s="3" t="s">
        <v>117</v>
      </c>
      <c r="N200" s="3" t="s">
        <v>118</v>
      </c>
      <c r="O200" s="17">
        <v>23200</v>
      </c>
      <c r="P200" s="17">
        <v>1500</v>
      </c>
      <c r="Q200" s="17">
        <v>0</v>
      </c>
      <c r="R200" s="17">
        <v>0</v>
      </c>
      <c r="S200" s="17">
        <v>5300</v>
      </c>
      <c r="T200" s="17">
        <v>1500</v>
      </c>
      <c r="U200" s="17">
        <v>7500</v>
      </c>
      <c r="V200" s="17">
        <v>0</v>
      </c>
      <c r="W200" s="17">
        <v>39000</v>
      </c>
      <c r="X200" s="15">
        <v>0</v>
      </c>
      <c r="Y200" s="17">
        <v>1200</v>
      </c>
      <c r="Z200" s="17">
        <v>-1635</v>
      </c>
      <c r="AA200" s="17">
        <v>-1535</v>
      </c>
    </row>
    <row r="201" spans="3:27" ht="21.75" customHeight="1" x14ac:dyDescent="0.25">
      <c r="C201" s="11">
        <v>2</v>
      </c>
      <c r="D201" s="12" t="s">
        <v>311</v>
      </c>
      <c r="E201" s="7" t="s">
        <v>71</v>
      </c>
      <c r="F201" s="8">
        <v>45901</v>
      </c>
      <c r="G201" s="7" t="s">
        <v>16</v>
      </c>
      <c r="H201" s="9" t="s">
        <v>18</v>
      </c>
      <c r="I201" s="9" t="s">
        <v>18</v>
      </c>
      <c r="J201" s="6">
        <v>58544.2</v>
      </c>
      <c r="K201" s="6">
        <v>61632</v>
      </c>
      <c r="L201" s="6">
        <v>3087.8000000000029</v>
      </c>
      <c r="M201" s="12" t="s">
        <v>117</v>
      </c>
      <c r="N201" s="12" t="s">
        <v>120</v>
      </c>
      <c r="O201" s="17">
        <v>33967</v>
      </c>
      <c r="P201" s="17">
        <v>1500</v>
      </c>
      <c r="Q201" s="17">
        <v>5865</v>
      </c>
      <c r="R201" s="17">
        <v>0</v>
      </c>
      <c r="S201" s="17">
        <v>5300</v>
      </c>
      <c r="T201" s="17">
        <v>1500</v>
      </c>
      <c r="U201" s="17">
        <v>7500</v>
      </c>
      <c r="V201" s="17">
        <v>6000</v>
      </c>
      <c r="W201" s="17">
        <v>61632</v>
      </c>
      <c r="X201" s="15">
        <v>0</v>
      </c>
      <c r="Y201" s="17">
        <v>0</v>
      </c>
      <c r="Z201" s="17">
        <v>-2406.6</v>
      </c>
      <c r="AA201" s="17">
        <v>-2252.21</v>
      </c>
    </row>
    <row r="202" spans="3:27" ht="21.75" customHeight="1" x14ac:dyDescent="0.25">
      <c r="C202" s="11">
        <v>24</v>
      </c>
      <c r="D202" s="12" t="s">
        <v>312</v>
      </c>
      <c r="E202" s="7" t="s">
        <v>71</v>
      </c>
      <c r="F202" s="8">
        <v>45901</v>
      </c>
      <c r="G202" s="7" t="s">
        <v>16</v>
      </c>
      <c r="H202" s="9" t="s">
        <v>18</v>
      </c>
      <c r="I202" s="9" t="s">
        <v>18</v>
      </c>
      <c r="J202" s="6">
        <v>49126.35</v>
      </c>
      <c r="K202" s="6">
        <v>51692.25</v>
      </c>
      <c r="L202" s="6">
        <v>2565.9000000000015</v>
      </c>
      <c r="M202" s="12" t="s">
        <v>117</v>
      </c>
      <c r="N202" s="12" t="s">
        <v>120</v>
      </c>
      <c r="O202" s="17">
        <v>28225.25</v>
      </c>
      <c r="P202" s="17">
        <v>1500</v>
      </c>
      <c r="Q202" s="17">
        <v>4067</v>
      </c>
      <c r="R202" s="17">
        <v>0</v>
      </c>
      <c r="S202" s="17">
        <v>5300</v>
      </c>
      <c r="T202" s="17">
        <v>1500</v>
      </c>
      <c r="U202" s="17">
        <v>7500</v>
      </c>
      <c r="V202" s="17">
        <v>3600</v>
      </c>
      <c r="W202" s="17">
        <v>51692.25</v>
      </c>
      <c r="X202" s="15">
        <v>0</v>
      </c>
      <c r="Y202" s="17">
        <v>0</v>
      </c>
      <c r="Z202" s="17">
        <v>-2029.61</v>
      </c>
      <c r="AA202" s="17">
        <v>-1901.32</v>
      </c>
    </row>
    <row r="203" spans="3:27" ht="21.75" customHeight="1" x14ac:dyDescent="0.25">
      <c r="C203" s="11">
        <v>205</v>
      </c>
      <c r="D203" s="12" t="s">
        <v>313</v>
      </c>
      <c r="E203" s="7" t="s">
        <v>71</v>
      </c>
      <c r="F203" s="8">
        <v>45901</v>
      </c>
      <c r="G203" s="7" t="s">
        <v>16</v>
      </c>
      <c r="H203" s="9" t="s">
        <v>22</v>
      </c>
      <c r="I203" s="9" t="s">
        <v>22</v>
      </c>
      <c r="J203" s="6">
        <v>82349.5</v>
      </c>
      <c r="K203" s="6">
        <v>87473.75</v>
      </c>
      <c r="L203" s="6">
        <v>5124.25</v>
      </c>
      <c r="M203" s="12" t="s">
        <v>117</v>
      </c>
      <c r="N203" s="12" t="s">
        <v>120</v>
      </c>
      <c r="O203" s="17">
        <v>56367.75</v>
      </c>
      <c r="P203" s="17">
        <v>2000</v>
      </c>
      <c r="Q203" s="17">
        <v>3106</v>
      </c>
      <c r="R203" s="17">
        <v>0</v>
      </c>
      <c r="S203" s="17">
        <v>6500</v>
      </c>
      <c r="T203" s="17">
        <v>2000</v>
      </c>
      <c r="U203" s="17">
        <v>10500</v>
      </c>
      <c r="V203" s="17">
        <v>7000</v>
      </c>
      <c r="W203" s="17">
        <v>87473.75</v>
      </c>
      <c r="X203" s="15">
        <v>0</v>
      </c>
      <c r="Y203" s="17">
        <v>0</v>
      </c>
      <c r="Z203" s="17">
        <v>-3498.69</v>
      </c>
      <c r="AA203" s="17">
        <v>-3242.48</v>
      </c>
    </row>
    <row r="204" spans="3:27" ht="21.75" customHeight="1" x14ac:dyDescent="0.25">
      <c r="C204" s="11">
        <v>346</v>
      </c>
      <c r="D204" s="12" t="s">
        <v>314</v>
      </c>
      <c r="E204" s="7" t="s">
        <v>71</v>
      </c>
      <c r="F204" s="8">
        <v>45901</v>
      </c>
      <c r="G204" s="7" t="s">
        <v>16</v>
      </c>
      <c r="H204" s="9" t="s">
        <v>9</v>
      </c>
      <c r="I204" s="9" t="s">
        <v>9</v>
      </c>
      <c r="J204" s="6">
        <v>31417.279999999999</v>
      </c>
      <c r="K204" s="6">
        <v>33302.75</v>
      </c>
      <c r="L204" s="6">
        <v>1885.4700000000012</v>
      </c>
      <c r="M204" s="12" t="s">
        <v>117</v>
      </c>
      <c r="N204" s="12" t="s">
        <v>120</v>
      </c>
      <c r="O204" s="17">
        <v>20739.75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8500</v>
      </c>
      <c r="V204" s="17">
        <v>4063</v>
      </c>
      <c r="W204" s="17">
        <v>33302.75</v>
      </c>
      <c r="X204" s="15">
        <v>0</v>
      </c>
      <c r="Y204" s="17">
        <v>0</v>
      </c>
      <c r="Z204" s="17">
        <v>0</v>
      </c>
      <c r="AA204" s="17">
        <v>0</v>
      </c>
    </row>
    <row r="205" spans="3:27" ht="21.75" customHeight="1" x14ac:dyDescent="0.25">
      <c r="C205" s="11">
        <v>378</v>
      </c>
      <c r="D205" s="12" t="s">
        <v>315</v>
      </c>
      <c r="E205" s="7" t="s">
        <v>71</v>
      </c>
      <c r="F205" s="8">
        <v>45901</v>
      </c>
      <c r="G205" s="7" t="s">
        <v>16</v>
      </c>
      <c r="H205" s="9" t="s">
        <v>18</v>
      </c>
      <c r="I205" s="9" t="s">
        <v>18</v>
      </c>
      <c r="J205" s="6">
        <v>66011.199999999997</v>
      </c>
      <c r="K205" s="6">
        <v>69099</v>
      </c>
      <c r="L205" s="6">
        <v>3087.8000000000029</v>
      </c>
      <c r="M205" s="12" t="s">
        <v>117</v>
      </c>
      <c r="N205" s="12" t="s">
        <v>120</v>
      </c>
      <c r="O205" s="17">
        <v>33967</v>
      </c>
      <c r="P205" s="17">
        <v>1500</v>
      </c>
      <c r="Q205" s="17">
        <v>13332</v>
      </c>
      <c r="R205" s="17">
        <v>0</v>
      </c>
      <c r="S205" s="17">
        <v>5300</v>
      </c>
      <c r="T205" s="17">
        <v>1500</v>
      </c>
      <c r="U205" s="17">
        <v>7500</v>
      </c>
      <c r="V205" s="17">
        <v>6000</v>
      </c>
      <c r="W205" s="17">
        <v>69099</v>
      </c>
      <c r="X205" s="15">
        <v>0</v>
      </c>
      <c r="Y205" s="17">
        <v>0</v>
      </c>
      <c r="Z205" s="17">
        <v>-2779.95</v>
      </c>
      <c r="AA205" s="17">
        <v>-2625.56</v>
      </c>
    </row>
    <row r="206" spans="3:27" ht="21.75" customHeight="1" x14ac:dyDescent="0.25">
      <c r="C206" s="11">
        <v>557</v>
      </c>
      <c r="D206" s="12" t="s">
        <v>316</v>
      </c>
      <c r="E206" s="7" t="s">
        <v>72</v>
      </c>
      <c r="F206" s="8">
        <v>45901</v>
      </c>
      <c r="G206" s="7" t="s">
        <v>16</v>
      </c>
      <c r="H206" s="9" t="s">
        <v>12</v>
      </c>
      <c r="I206" s="9" t="s">
        <v>9</v>
      </c>
      <c r="J206" s="6">
        <v>28218.75</v>
      </c>
      <c r="K206" s="6">
        <v>29629.75</v>
      </c>
      <c r="L206" s="6">
        <v>1411</v>
      </c>
      <c r="M206" s="12" t="s">
        <v>117</v>
      </c>
      <c r="N206" s="12" t="s">
        <v>120</v>
      </c>
      <c r="O206" s="17">
        <v>14311</v>
      </c>
      <c r="P206" s="17">
        <v>1200</v>
      </c>
      <c r="Q206" s="17">
        <v>1633.75</v>
      </c>
      <c r="R206" s="17">
        <v>0</v>
      </c>
      <c r="S206" s="17">
        <v>4300</v>
      </c>
      <c r="T206" s="17">
        <v>1200</v>
      </c>
      <c r="U206" s="17">
        <v>4600</v>
      </c>
      <c r="V206" s="17">
        <v>2385</v>
      </c>
      <c r="W206" s="17">
        <v>29629.75</v>
      </c>
      <c r="X206" s="15">
        <v>0</v>
      </c>
      <c r="Y206" s="17">
        <v>0</v>
      </c>
      <c r="Z206" s="17">
        <v>-1132.24</v>
      </c>
      <c r="AA206" s="17">
        <v>-1061.69</v>
      </c>
    </row>
    <row r="207" spans="3:27" ht="21.75" customHeight="1" x14ac:dyDescent="0.25">
      <c r="C207" s="11">
        <v>598</v>
      </c>
      <c r="D207" s="12" t="s">
        <v>317</v>
      </c>
      <c r="E207" s="7" t="s">
        <v>71</v>
      </c>
      <c r="F207" s="8">
        <v>45901</v>
      </c>
      <c r="G207" s="7" t="s">
        <v>16</v>
      </c>
      <c r="H207" s="9" t="s">
        <v>22</v>
      </c>
      <c r="I207" s="9" t="s">
        <v>22</v>
      </c>
      <c r="J207" s="6">
        <v>78293.5</v>
      </c>
      <c r="K207" s="6">
        <v>83417.75</v>
      </c>
      <c r="L207" s="6">
        <v>5124.25</v>
      </c>
      <c r="M207" s="12" t="s">
        <v>117</v>
      </c>
      <c r="N207" s="12" t="s">
        <v>120</v>
      </c>
      <c r="O207" s="17">
        <v>56367.75</v>
      </c>
      <c r="P207" s="17">
        <v>2000</v>
      </c>
      <c r="Q207" s="17">
        <v>0</v>
      </c>
      <c r="R207" s="17">
        <v>0</v>
      </c>
      <c r="S207" s="17">
        <v>6500</v>
      </c>
      <c r="T207" s="17">
        <v>2000</v>
      </c>
      <c r="U207" s="17">
        <v>10500</v>
      </c>
      <c r="V207" s="17">
        <v>6050</v>
      </c>
      <c r="W207" s="17">
        <v>83417.75</v>
      </c>
      <c r="X207" s="15">
        <v>0</v>
      </c>
      <c r="Y207" s="17">
        <v>0</v>
      </c>
      <c r="Z207" s="17">
        <v>-3343.39</v>
      </c>
      <c r="AA207" s="17">
        <v>-3087.18</v>
      </c>
    </row>
    <row r="208" spans="3:27" ht="21.75" customHeight="1" x14ac:dyDescent="0.25">
      <c r="C208" s="11">
        <v>603</v>
      </c>
      <c r="D208" s="12" t="s">
        <v>318</v>
      </c>
      <c r="E208" s="7" t="s">
        <v>72</v>
      </c>
      <c r="F208" s="8">
        <v>45901</v>
      </c>
      <c r="G208" s="7" t="s">
        <v>16</v>
      </c>
      <c r="H208" s="9" t="s">
        <v>12</v>
      </c>
      <c r="I208" s="9" t="s">
        <v>9</v>
      </c>
      <c r="J208" s="6">
        <v>25692.449999999997</v>
      </c>
      <c r="K208" s="6">
        <v>26977</v>
      </c>
      <c r="L208" s="6">
        <v>1284.5500000000029</v>
      </c>
      <c r="M208" s="12" t="s">
        <v>117</v>
      </c>
      <c r="N208" s="12" t="s">
        <v>120</v>
      </c>
      <c r="O208" s="17">
        <v>14184.5</v>
      </c>
      <c r="P208" s="17">
        <v>1200</v>
      </c>
      <c r="Q208" s="17">
        <v>18.5</v>
      </c>
      <c r="R208" s="17">
        <v>0</v>
      </c>
      <c r="S208" s="17">
        <v>4300</v>
      </c>
      <c r="T208" s="17">
        <v>1200</v>
      </c>
      <c r="U208" s="17">
        <v>4600</v>
      </c>
      <c r="V208" s="17">
        <v>1474</v>
      </c>
      <c r="W208" s="17">
        <v>26977</v>
      </c>
      <c r="X208" s="15">
        <v>0</v>
      </c>
      <c r="Y208" s="17">
        <v>0</v>
      </c>
      <c r="Z208" s="17">
        <v>-1045.1500000000001</v>
      </c>
      <c r="AA208" s="17">
        <v>-980.92</v>
      </c>
    </row>
    <row r="209" spans="3:27" ht="21.75" customHeight="1" x14ac:dyDescent="0.25">
      <c r="C209" s="11">
        <v>652</v>
      </c>
      <c r="D209" s="12" t="s">
        <v>319</v>
      </c>
      <c r="E209" s="7" t="s">
        <v>72</v>
      </c>
      <c r="F209" s="8">
        <v>45901</v>
      </c>
      <c r="G209" s="7" t="s">
        <v>16</v>
      </c>
      <c r="H209" s="9" t="s">
        <v>12</v>
      </c>
      <c r="I209" s="9" t="s">
        <v>9</v>
      </c>
      <c r="J209" s="6">
        <v>28885.5</v>
      </c>
      <c r="K209" s="6">
        <v>30329.75</v>
      </c>
      <c r="L209" s="6">
        <v>1444.25</v>
      </c>
      <c r="M209" s="12" t="s">
        <v>117</v>
      </c>
      <c r="N209" s="12" t="s">
        <v>120</v>
      </c>
      <c r="O209" s="17">
        <v>14344.25</v>
      </c>
      <c r="P209" s="17">
        <v>1200</v>
      </c>
      <c r="Q209" s="17">
        <v>2285.5</v>
      </c>
      <c r="R209" s="17">
        <v>0</v>
      </c>
      <c r="S209" s="17">
        <v>4300</v>
      </c>
      <c r="T209" s="17">
        <v>1200</v>
      </c>
      <c r="U209" s="17">
        <v>4600</v>
      </c>
      <c r="V209" s="17">
        <v>2400</v>
      </c>
      <c r="W209" s="17">
        <v>30329.75</v>
      </c>
      <c r="X209" s="15">
        <v>0</v>
      </c>
      <c r="Y209" s="17">
        <v>1800</v>
      </c>
      <c r="Z209" s="17">
        <v>-1256.49</v>
      </c>
      <c r="AA209" s="17">
        <v>-1184.28</v>
      </c>
    </row>
    <row r="210" spans="3:27" ht="21.75" customHeight="1" x14ac:dyDescent="0.25">
      <c r="C210" s="11">
        <v>801</v>
      </c>
      <c r="D210" s="12" t="s">
        <v>320</v>
      </c>
      <c r="E210" s="7" t="s">
        <v>72</v>
      </c>
      <c r="F210" s="8">
        <v>45901</v>
      </c>
      <c r="G210" s="7" t="s">
        <v>16</v>
      </c>
      <c r="H210" s="9" t="s">
        <v>38</v>
      </c>
      <c r="I210" s="9" t="s">
        <v>18</v>
      </c>
      <c r="J210" s="6">
        <v>37000</v>
      </c>
      <c r="K210" s="6">
        <v>39000</v>
      </c>
      <c r="L210" s="6">
        <v>2000</v>
      </c>
      <c r="M210" s="12" t="s">
        <v>117</v>
      </c>
      <c r="N210" s="12" t="s">
        <v>120</v>
      </c>
      <c r="O210" s="17">
        <v>23200</v>
      </c>
      <c r="P210" s="17">
        <v>1500</v>
      </c>
      <c r="Q210" s="17">
        <v>0</v>
      </c>
      <c r="R210" s="17">
        <v>0</v>
      </c>
      <c r="S210" s="17">
        <v>5300</v>
      </c>
      <c r="T210" s="17">
        <v>1500</v>
      </c>
      <c r="U210" s="17">
        <v>7500</v>
      </c>
      <c r="V210" s="17">
        <v>0</v>
      </c>
      <c r="W210" s="17">
        <v>39000</v>
      </c>
      <c r="X210" s="15">
        <v>0</v>
      </c>
      <c r="Y210" s="17">
        <v>0</v>
      </c>
      <c r="Z210" s="17">
        <v>-1575</v>
      </c>
      <c r="AA210" s="17">
        <v>-1475</v>
      </c>
    </row>
    <row r="211" spans="3:27" ht="21.75" customHeight="1" x14ac:dyDescent="0.25">
      <c r="C211" s="11">
        <v>929</v>
      </c>
      <c r="D211" s="12" t="s">
        <v>321</v>
      </c>
      <c r="E211" s="7" t="s">
        <v>71</v>
      </c>
      <c r="F211" s="8">
        <v>45901</v>
      </c>
      <c r="G211" s="7" t="s">
        <v>16</v>
      </c>
      <c r="H211" s="9" t="s">
        <v>22</v>
      </c>
      <c r="I211" s="9" t="s">
        <v>22</v>
      </c>
      <c r="J211" s="6">
        <v>59500</v>
      </c>
      <c r="K211" s="6">
        <v>63350</v>
      </c>
      <c r="L211" s="6">
        <v>3850</v>
      </c>
      <c r="M211" s="12" t="s">
        <v>117</v>
      </c>
      <c r="N211" s="12" t="s">
        <v>120</v>
      </c>
      <c r="O211" s="17">
        <v>42350</v>
      </c>
      <c r="P211" s="17">
        <v>2000</v>
      </c>
      <c r="Q211" s="17">
        <v>0</v>
      </c>
      <c r="R211" s="17">
        <v>0</v>
      </c>
      <c r="S211" s="17">
        <v>6500</v>
      </c>
      <c r="T211" s="17">
        <v>2000</v>
      </c>
      <c r="U211" s="17">
        <v>10500</v>
      </c>
      <c r="V211" s="17">
        <v>0</v>
      </c>
      <c r="W211" s="17">
        <v>63350</v>
      </c>
      <c r="X211" s="15">
        <v>0</v>
      </c>
      <c r="Y211" s="17">
        <v>2400</v>
      </c>
      <c r="Z211" s="17">
        <v>-2762.5</v>
      </c>
      <c r="AA211" s="17">
        <v>-2510</v>
      </c>
    </row>
    <row r="212" spans="3:27" ht="21.75" customHeight="1" x14ac:dyDescent="0.25">
      <c r="C212" s="11">
        <v>982</v>
      </c>
      <c r="D212" s="12" t="s">
        <v>322</v>
      </c>
      <c r="E212" s="7" t="s">
        <v>71</v>
      </c>
      <c r="F212" s="8">
        <v>45901</v>
      </c>
      <c r="G212" s="7" t="s">
        <v>16</v>
      </c>
      <c r="H212" s="9" t="s">
        <v>18</v>
      </c>
      <c r="I212" s="9" t="s">
        <v>18</v>
      </c>
      <c r="J212" s="6">
        <v>44899.799999999996</v>
      </c>
      <c r="K212" s="6">
        <v>47673.75</v>
      </c>
      <c r="L212" s="6">
        <v>2773.9500000000044</v>
      </c>
      <c r="M212" s="12" t="s">
        <v>117</v>
      </c>
      <c r="N212" s="12" t="s">
        <v>120</v>
      </c>
      <c r="O212" s="17">
        <v>30513.75</v>
      </c>
      <c r="P212" s="17">
        <v>1500</v>
      </c>
      <c r="Q212" s="17">
        <v>0</v>
      </c>
      <c r="R212" s="17">
        <v>0</v>
      </c>
      <c r="S212" s="17">
        <v>5300</v>
      </c>
      <c r="T212" s="17">
        <v>1500</v>
      </c>
      <c r="U212" s="17">
        <v>7500</v>
      </c>
      <c r="V212" s="17">
        <v>1360</v>
      </c>
      <c r="W212" s="17">
        <v>47673.75</v>
      </c>
      <c r="X212" s="15">
        <v>0</v>
      </c>
      <c r="Y212" s="17">
        <v>0</v>
      </c>
      <c r="Z212" s="17">
        <v>-1940.69</v>
      </c>
      <c r="AA212" s="17">
        <v>-1801.99</v>
      </c>
    </row>
    <row r="213" spans="3:27" ht="21.75" customHeight="1" x14ac:dyDescent="0.25">
      <c r="C213" s="11">
        <v>983</v>
      </c>
      <c r="D213" s="12" t="s">
        <v>323</v>
      </c>
      <c r="E213" s="7" t="s">
        <v>71</v>
      </c>
      <c r="F213" s="8">
        <v>45901</v>
      </c>
      <c r="G213" s="7" t="s">
        <v>16</v>
      </c>
      <c r="H213" s="9" t="s">
        <v>22</v>
      </c>
      <c r="I213" s="9" t="s">
        <v>22</v>
      </c>
      <c r="J213" s="6">
        <v>59500</v>
      </c>
      <c r="K213" s="6">
        <v>63350</v>
      </c>
      <c r="L213" s="6">
        <v>3850</v>
      </c>
      <c r="M213" s="12" t="s">
        <v>117</v>
      </c>
      <c r="N213" s="12" t="s">
        <v>120</v>
      </c>
      <c r="O213" s="17">
        <v>42350</v>
      </c>
      <c r="P213" s="17">
        <v>2000</v>
      </c>
      <c r="Q213" s="17">
        <v>0</v>
      </c>
      <c r="R213" s="17">
        <v>0</v>
      </c>
      <c r="S213" s="17">
        <v>6500</v>
      </c>
      <c r="T213" s="17">
        <v>2000</v>
      </c>
      <c r="U213" s="17">
        <v>10500</v>
      </c>
      <c r="V213" s="17">
        <v>0</v>
      </c>
      <c r="W213" s="17">
        <v>63350</v>
      </c>
      <c r="X213" s="15">
        <v>0</v>
      </c>
      <c r="Y213" s="17">
        <v>3600</v>
      </c>
      <c r="Z213" s="17">
        <v>-2822.5</v>
      </c>
      <c r="AA213" s="17">
        <v>-2600</v>
      </c>
    </row>
    <row r="214" spans="3:27" ht="21.75" customHeight="1" x14ac:dyDescent="0.25">
      <c r="C214" s="11">
        <v>1047</v>
      </c>
      <c r="D214" s="12" t="s">
        <v>324</v>
      </c>
      <c r="E214" s="7" t="s">
        <v>72</v>
      </c>
      <c r="F214" s="8">
        <v>45901</v>
      </c>
      <c r="G214" s="7" t="s">
        <v>16</v>
      </c>
      <c r="H214" s="9" t="s">
        <v>12</v>
      </c>
      <c r="I214" s="9" t="s">
        <v>9</v>
      </c>
      <c r="J214" s="6">
        <v>21900</v>
      </c>
      <c r="K214" s="6">
        <v>24200</v>
      </c>
      <c r="L214" s="6">
        <v>2300</v>
      </c>
      <c r="M214" s="12" t="s">
        <v>117</v>
      </c>
      <c r="N214" s="12" t="s">
        <v>120</v>
      </c>
      <c r="O214" s="17">
        <v>12900</v>
      </c>
      <c r="P214" s="17">
        <v>1200</v>
      </c>
      <c r="Q214" s="17">
        <v>0</v>
      </c>
      <c r="R214" s="17">
        <v>0</v>
      </c>
      <c r="S214" s="17">
        <v>4300</v>
      </c>
      <c r="T214" s="17">
        <v>1200</v>
      </c>
      <c r="U214" s="17">
        <v>4600</v>
      </c>
      <c r="V214" s="17">
        <v>0</v>
      </c>
      <c r="W214" s="17">
        <v>24200</v>
      </c>
      <c r="X214" s="15">
        <v>0</v>
      </c>
      <c r="Y214" s="17">
        <v>0</v>
      </c>
      <c r="Z214" s="17">
        <v>-980</v>
      </c>
      <c r="AA214" s="17">
        <v>-865</v>
      </c>
    </row>
    <row r="215" spans="3:27" ht="21.75" customHeight="1" x14ac:dyDescent="0.25">
      <c r="C215" s="11">
        <v>1240</v>
      </c>
      <c r="D215" s="12" t="s">
        <v>325</v>
      </c>
      <c r="E215" s="7" t="s">
        <v>71</v>
      </c>
      <c r="F215" s="8">
        <v>45901</v>
      </c>
      <c r="G215" s="7" t="s">
        <v>16</v>
      </c>
      <c r="H215" s="9" t="s">
        <v>18</v>
      </c>
      <c r="I215" s="9" t="s">
        <v>18</v>
      </c>
      <c r="J215" s="6">
        <v>56479.199999999997</v>
      </c>
      <c r="K215" s="6">
        <v>59567</v>
      </c>
      <c r="L215" s="6">
        <v>3087.8000000000029</v>
      </c>
      <c r="M215" s="12" t="s">
        <v>117</v>
      </c>
      <c r="N215" s="12" t="s">
        <v>120</v>
      </c>
      <c r="O215" s="17">
        <v>33967</v>
      </c>
      <c r="P215" s="17">
        <v>1500</v>
      </c>
      <c r="Q215" s="17">
        <v>3800</v>
      </c>
      <c r="R215" s="17">
        <v>0</v>
      </c>
      <c r="S215" s="17">
        <v>5300</v>
      </c>
      <c r="T215" s="17">
        <v>1500</v>
      </c>
      <c r="U215" s="17">
        <v>7500</v>
      </c>
      <c r="V215" s="17">
        <v>6000</v>
      </c>
      <c r="W215" s="17">
        <v>59567</v>
      </c>
      <c r="X215" s="15">
        <v>0</v>
      </c>
      <c r="Y215" s="17">
        <v>0</v>
      </c>
      <c r="Z215" s="17">
        <v>-2303.35</v>
      </c>
      <c r="AA215" s="17">
        <v>-2148.96</v>
      </c>
    </row>
    <row r="216" spans="3:27" ht="21.75" customHeight="1" x14ac:dyDescent="0.25">
      <c r="C216" s="11">
        <v>1584</v>
      </c>
      <c r="D216" s="12" t="s">
        <v>326</v>
      </c>
      <c r="E216" s="7" t="s">
        <v>72</v>
      </c>
      <c r="F216" s="8">
        <v>45901</v>
      </c>
      <c r="G216" s="7" t="s">
        <v>16</v>
      </c>
      <c r="H216" s="9" t="s">
        <v>12</v>
      </c>
      <c r="I216" s="9" t="s">
        <v>9</v>
      </c>
      <c r="J216" s="6">
        <v>23835</v>
      </c>
      <c r="K216" s="6">
        <v>24200</v>
      </c>
      <c r="L216" s="6">
        <v>365</v>
      </c>
      <c r="M216" s="12" t="s">
        <v>117</v>
      </c>
      <c r="N216" s="12" t="s">
        <v>120</v>
      </c>
      <c r="O216" s="17">
        <v>12900</v>
      </c>
      <c r="P216" s="17">
        <v>1200</v>
      </c>
      <c r="Q216" s="17">
        <v>0</v>
      </c>
      <c r="R216" s="17">
        <v>0</v>
      </c>
      <c r="S216" s="17">
        <v>4300</v>
      </c>
      <c r="T216" s="17">
        <v>1200</v>
      </c>
      <c r="U216" s="17">
        <v>4600</v>
      </c>
      <c r="V216" s="17">
        <v>0</v>
      </c>
      <c r="W216" s="17">
        <v>24200</v>
      </c>
      <c r="X216" s="15">
        <v>0</v>
      </c>
      <c r="Y216" s="17">
        <v>0</v>
      </c>
      <c r="Z216" s="17">
        <v>-980</v>
      </c>
      <c r="AA216" s="17">
        <v>-961.75</v>
      </c>
    </row>
    <row r="217" spans="3:27" ht="21.75" customHeight="1" x14ac:dyDescent="0.25">
      <c r="C217" s="11">
        <v>1677</v>
      </c>
      <c r="D217" s="12" t="s">
        <v>327</v>
      </c>
      <c r="E217" s="7" t="s">
        <v>72</v>
      </c>
      <c r="F217" s="8">
        <v>45901</v>
      </c>
      <c r="G217" s="7" t="s">
        <v>16</v>
      </c>
      <c r="H217" s="9" t="s">
        <v>12</v>
      </c>
      <c r="I217" s="9" t="s">
        <v>9</v>
      </c>
      <c r="J217" s="6">
        <v>21900</v>
      </c>
      <c r="K217" s="6">
        <v>24200</v>
      </c>
      <c r="L217" s="6">
        <v>2300</v>
      </c>
      <c r="M217" s="12" t="s">
        <v>117</v>
      </c>
      <c r="N217" s="12" t="s">
        <v>120</v>
      </c>
      <c r="O217" s="17">
        <v>12900</v>
      </c>
      <c r="P217" s="17">
        <v>1200</v>
      </c>
      <c r="Q217" s="17">
        <v>0</v>
      </c>
      <c r="R217" s="17">
        <v>0</v>
      </c>
      <c r="S217" s="17">
        <v>4300</v>
      </c>
      <c r="T217" s="17">
        <v>1200</v>
      </c>
      <c r="U217" s="17">
        <v>4600</v>
      </c>
      <c r="V217" s="17">
        <v>0</v>
      </c>
      <c r="W217" s="17">
        <v>24200</v>
      </c>
      <c r="X217" s="15">
        <v>0</v>
      </c>
      <c r="Y217" s="17">
        <v>0</v>
      </c>
      <c r="Z217" s="17">
        <v>-980</v>
      </c>
      <c r="AA217" s="17">
        <v>-865</v>
      </c>
    </row>
    <row r="218" spans="3:27" ht="21.75" customHeight="1" x14ac:dyDescent="0.25">
      <c r="C218" s="11">
        <v>1751</v>
      </c>
      <c r="D218" s="12" t="s">
        <v>328</v>
      </c>
      <c r="E218" s="7" t="s">
        <v>72</v>
      </c>
      <c r="F218" s="8">
        <v>45901</v>
      </c>
      <c r="G218" s="7" t="s">
        <v>16</v>
      </c>
      <c r="H218" s="9" t="s">
        <v>38</v>
      </c>
      <c r="I218" s="9" t="s">
        <v>18</v>
      </c>
      <c r="J218" s="6">
        <v>45390.45</v>
      </c>
      <c r="K218" s="6">
        <v>47660</v>
      </c>
      <c r="L218" s="6">
        <v>2269.5500000000029</v>
      </c>
      <c r="M218" s="12" t="s">
        <v>117</v>
      </c>
      <c r="N218" s="12" t="s">
        <v>120</v>
      </c>
      <c r="O218" s="17">
        <v>31860</v>
      </c>
      <c r="P218" s="17">
        <v>1500</v>
      </c>
      <c r="Q218" s="17">
        <v>0</v>
      </c>
      <c r="R218" s="17">
        <v>0</v>
      </c>
      <c r="S218" s="17">
        <v>5300</v>
      </c>
      <c r="T218" s="17">
        <v>1500</v>
      </c>
      <c r="U218" s="17">
        <v>7500</v>
      </c>
      <c r="V218" s="17">
        <v>0</v>
      </c>
      <c r="W218" s="17">
        <v>47660</v>
      </c>
      <c r="X218" s="15">
        <v>0</v>
      </c>
      <c r="Y218" s="17">
        <v>0</v>
      </c>
      <c r="Z218" s="17">
        <v>-2008</v>
      </c>
      <c r="AA218" s="17">
        <v>-1894.52</v>
      </c>
    </row>
    <row r="219" spans="3:27" ht="21.75" customHeight="1" x14ac:dyDescent="0.25">
      <c r="C219" s="11">
        <v>113</v>
      </c>
      <c r="D219" s="12" t="s">
        <v>329</v>
      </c>
      <c r="E219" s="7" t="s">
        <v>71</v>
      </c>
      <c r="F219" s="8">
        <v>45901</v>
      </c>
      <c r="G219" s="7" t="s">
        <v>16</v>
      </c>
      <c r="H219" s="9" t="s">
        <v>22</v>
      </c>
      <c r="I219" s="9" t="s">
        <v>22</v>
      </c>
      <c r="J219" s="6">
        <v>81892</v>
      </c>
      <c r="K219" s="6">
        <v>85742</v>
      </c>
      <c r="L219" s="6">
        <v>3850</v>
      </c>
      <c r="M219" s="12" t="s">
        <v>117</v>
      </c>
      <c r="N219" s="12" t="s">
        <v>122</v>
      </c>
      <c r="O219" s="17">
        <v>42350</v>
      </c>
      <c r="P219" s="17">
        <v>2000</v>
      </c>
      <c r="Q219" s="17">
        <v>15392</v>
      </c>
      <c r="R219" s="17">
        <v>0</v>
      </c>
      <c r="S219" s="17">
        <v>6500</v>
      </c>
      <c r="T219" s="17">
        <v>2000</v>
      </c>
      <c r="U219" s="17">
        <v>10500</v>
      </c>
      <c r="V219" s="17">
        <v>7000</v>
      </c>
      <c r="W219" s="17">
        <v>85742</v>
      </c>
      <c r="X219" s="15">
        <v>0</v>
      </c>
      <c r="Y219" s="17">
        <v>1800</v>
      </c>
      <c r="Z219" s="17">
        <v>-3502.1</v>
      </c>
      <c r="AA219" s="17">
        <v>-3309.6</v>
      </c>
    </row>
    <row r="220" spans="3:27" ht="21.75" customHeight="1" x14ac:dyDescent="0.25">
      <c r="C220" s="11">
        <v>197</v>
      </c>
      <c r="D220" s="12" t="s">
        <v>330</v>
      </c>
      <c r="E220" s="7" t="s">
        <v>71</v>
      </c>
      <c r="F220" s="8">
        <v>45901</v>
      </c>
      <c r="G220" s="7" t="s">
        <v>16</v>
      </c>
      <c r="H220" s="9" t="s">
        <v>18</v>
      </c>
      <c r="I220" s="9" t="s">
        <v>18</v>
      </c>
      <c r="J220" s="6">
        <v>45179.1</v>
      </c>
      <c r="K220" s="6">
        <v>47954.5</v>
      </c>
      <c r="L220" s="6">
        <v>2775.4000000000015</v>
      </c>
      <c r="M220" s="12" t="s">
        <v>117</v>
      </c>
      <c r="N220" s="12" t="s">
        <v>122</v>
      </c>
      <c r="O220" s="17">
        <v>30529.5</v>
      </c>
      <c r="P220" s="17">
        <v>1500</v>
      </c>
      <c r="Q220" s="17">
        <v>0</v>
      </c>
      <c r="R220" s="17">
        <v>0</v>
      </c>
      <c r="S220" s="17">
        <v>5300</v>
      </c>
      <c r="T220" s="17">
        <v>1500</v>
      </c>
      <c r="U220" s="17">
        <v>7500</v>
      </c>
      <c r="V220" s="17">
        <v>1625</v>
      </c>
      <c r="W220" s="17">
        <v>47954.5</v>
      </c>
      <c r="X220" s="15">
        <v>0</v>
      </c>
      <c r="Y220" s="17">
        <v>2400</v>
      </c>
      <c r="Z220" s="17">
        <v>-2061.48</v>
      </c>
      <c r="AA220" s="17">
        <v>-1922.7</v>
      </c>
    </row>
    <row r="221" spans="3:27" ht="21.75" customHeight="1" x14ac:dyDescent="0.25">
      <c r="C221" s="11">
        <v>703</v>
      </c>
      <c r="D221" s="12" t="s">
        <v>331</v>
      </c>
      <c r="E221" s="7" t="s">
        <v>71</v>
      </c>
      <c r="F221" s="8">
        <v>45901</v>
      </c>
      <c r="G221" s="7" t="s">
        <v>16</v>
      </c>
      <c r="H221" s="9" t="s">
        <v>18</v>
      </c>
      <c r="I221" s="9" t="s">
        <v>18</v>
      </c>
      <c r="J221" s="6">
        <v>56512</v>
      </c>
      <c r="K221" s="6">
        <v>59319.25</v>
      </c>
      <c r="L221" s="6">
        <v>2807.25</v>
      </c>
      <c r="M221" s="12" t="s">
        <v>117</v>
      </c>
      <c r="N221" s="12" t="s">
        <v>122</v>
      </c>
      <c r="O221" s="17">
        <v>30879.25</v>
      </c>
      <c r="P221" s="17">
        <v>1500</v>
      </c>
      <c r="Q221" s="17">
        <v>6640</v>
      </c>
      <c r="R221" s="17">
        <v>0</v>
      </c>
      <c r="S221" s="17">
        <v>5300</v>
      </c>
      <c r="T221" s="17">
        <v>1500</v>
      </c>
      <c r="U221" s="17">
        <v>7500</v>
      </c>
      <c r="V221" s="17">
        <v>6000</v>
      </c>
      <c r="W221" s="17">
        <v>59319.25</v>
      </c>
      <c r="X221" s="15">
        <v>0</v>
      </c>
      <c r="Y221" s="17">
        <v>1800</v>
      </c>
      <c r="Z221" s="17">
        <v>-2380.96</v>
      </c>
      <c r="AA221" s="17">
        <v>-2240.6</v>
      </c>
    </row>
    <row r="222" spans="3:27" ht="21.75" customHeight="1" x14ac:dyDescent="0.25">
      <c r="C222" s="11">
        <v>1446</v>
      </c>
      <c r="D222" s="12" t="s">
        <v>332</v>
      </c>
      <c r="E222" s="7" t="s">
        <v>71</v>
      </c>
      <c r="F222" s="8">
        <v>45901</v>
      </c>
      <c r="G222" s="7" t="s">
        <v>16</v>
      </c>
      <c r="H222" s="9" t="s">
        <v>18</v>
      </c>
      <c r="I222" s="9" t="s">
        <v>18</v>
      </c>
      <c r="J222" s="6">
        <v>38668</v>
      </c>
      <c r="K222" s="6">
        <v>40241</v>
      </c>
      <c r="L222" s="6">
        <v>1573</v>
      </c>
      <c r="M222" s="12" t="s">
        <v>117</v>
      </c>
      <c r="N222" s="12" t="s">
        <v>122</v>
      </c>
      <c r="O222" s="17">
        <v>17303</v>
      </c>
      <c r="P222" s="17">
        <v>0</v>
      </c>
      <c r="Q222" s="17">
        <v>0</v>
      </c>
      <c r="R222" s="17">
        <v>0</v>
      </c>
      <c r="S222" s="17">
        <v>0</v>
      </c>
      <c r="T222" s="17">
        <v>0</v>
      </c>
      <c r="U222" s="17">
        <v>16750</v>
      </c>
      <c r="V222" s="17">
        <v>6188</v>
      </c>
      <c r="W222" s="17">
        <v>40241</v>
      </c>
      <c r="X222" s="15">
        <v>0</v>
      </c>
      <c r="Y222" s="17">
        <v>0</v>
      </c>
      <c r="Z222" s="17">
        <v>0</v>
      </c>
      <c r="AA222" s="17">
        <v>0</v>
      </c>
    </row>
    <row r="223" spans="3:27" ht="21.75" customHeight="1" x14ac:dyDescent="0.25">
      <c r="C223" s="11">
        <v>1645</v>
      </c>
      <c r="D223" s="12" t="s">
        <v>333</v>
      </c>
      <c r="E223" s="7" t="s">
        <v>73</v>
      </c>
      <c r="F223" s="8">
        <v>45901</v>
      </c>
      <c r="G223" s="7" t="s">
        <v>16</v>
      </c>
      <c r="H223" s="9" t="s">
        <v>12</v>
      </c>
      <c r="I223" s="9" t="s">
        <v>9</v>
      </c>
      <c r="J223" s="6">
        <v>21900</v>
      </c>
      <c r="K223" s="6">
        <v>24200</v>
      </c>
      <c r="L223" s="6">
        <v>2300</v>
      </c>
      <c r="M223" s="12" t="s">
        <v>117</v>
      </c>
      <c r="N223" s="12" t="s">
        <v>122</v>
      </c>
      <c r="O223" s="17">
        <v>12900</v>
      </c>
      <c r="P223" s="17">
        <v>1200</v>
      </c>
      <c r="Q223" s="17">
        <v>0</v>
      </c>
      <c r="R223" s="17">
        <v>0</v>
      </c>
      <c r="S223" s="17">
        <v>4300</v>
      </c>
      <c r="T223" s="17">
        <v>1200</v>
      </c>
      <c r="U223" s="17">
        <v>4600</v>
      </c>
      <c r="V223" s="17">
        <v>0</v>
      </c>
      <c r="W223" s="17">
        <v>24200</v>
      </c>
      <c r="X223" s="15">
        <v>0</v>
      </c>
      <c r="Y223" s="17">
        <v>0</v>
      </c>
      <c r="Z223" s="17">
        <v>-980</v>
      </c>
      <c r="AA223" s="17">
        <v>-865</v>
      </c>
    </row>
    <row r="224" spans="3:27" ht="21.75" customHeight="1" x14ac:dyDescent="0.25">
      <c r="C224" s="11">
        <v>1775</v>
      </c>
      <c r="D224" s="12" t="s">
        <v>334</v>
      </c>
      <c r="E224" s="7" t="s">
        <v>73</v>
      </c>
      <c r="F224" s="8">
        <v>45901</v>
      </c>
      <c r="G224" s="7" t="s">
        <v>16</v>
      </c>
      <c r="H224" s="9" t="s">
        <v>12</v>
      </c>
      <c r="I224" s="9" t="s">
        <v>9</v>
      </c>
      <c r="J224" s="6">
        <v>37537.5</v>
      </c>
      <c r="K224" s="6">
        <v>39414.5</v>
      </c>
      <c r="L224" s="6">
        <v>1877</v>
      </c>
      <c r="M224" s="12" t="s">
        <v>117</v>
      </c>
      <c r="N224" s="12" t="s">
        <v>122</v>
      </c>
      <c r="O224" s="17">
        <v>28114.5</v>
      </c>
      <c r="P224" s="17">
        <v>1200</v>
      </c>
      <c r="Q224" s="17">
        <v>0</v>
      </c>
      <c r="R224" s="17">
        <v>0</v>
      </c>
      <c r="S224" s="17">
        <v>4300</v>
      </c>
      <c r="T224" s="17">
        <v>1200</v>
      </c>
      <c r="U224" s="17">
        <v>4600</v>
      </c>
      <c r="V224" s="17">
        <v>0</v>
      </c>
      <c r="W224" s="17">
        <v>39414.5</v>
      </c>
      <c r="X224" s="15">
        <v>0</v>
      </c>
      <c r="Y224" s="17">
        <v>0</v>
      </c>
      <c r="Z224" s="17">
        <v>-1740.72</v>
      </c>
      <c r="AA224" s="17">
        <v>-1646.88</v>
      </c>
    </row>
    <row r="225" spans="3:27" ht="21.75" customHeight="1" x14ac:dyDescent="0.25">
      <c r="C225" s="11">
        <v>7135</v>
      </c>
      <c r="D225" s="12" t="s">
        <v>335</v>
      </c>
      <c r="E225" s="7" t="s">
        <v>72</v>
      </c>
      <c r="F225" s="8">
        <v>45901</v>
      </c>
      <c r="G225" s="7" t="s">
        <v>16</v>
      </c>
      <c r="H225" s="9" t="s">
        <v>74</v>
      </c>
      <c r="I225" s="9" t="s">
        <v>35</v>
      </c>
      <c r="J225" s="6">
        <v>89853.75</v>
      </c>
      <c r="K225" s="6">
        <v>94346.5</v>
      </c>
      <c r="L225" s="6">
        <v>4492.75</v>
      </c>
      <c r="M225" s="12" t="s">
        <v>117</v>
      </c>
      <c r="N225" s="12" t="s">
        <v>122</v>
      </c>
      <c r="O225" s="17">
        <v>56492.75</v>
      </c>
      <c r="P225" s="17">
        <v>2500</v>
      </c>
      <c r="Q225" s="17">
        <v>4278.75</v>
      </c>
      <c r="R225" s="17">
        <v>0</v>
      </c>
      <c r="S225" s="17">
        <v>8000</v>
      </c>
      <c r="T225" s="17">
        <v>2500</v>
      </c>
      <c r="U225" s="17">
        <v>15000</v>
      </c>
      <c r="V225" s="17">
        <v>5575</v>
      </c>
      <c r="W225" s="17">
        <v>94346.5</v>
      </c>
      <c r="X225" s="15">
        <v>0</v>
      </c>
      <c r="Y225" s="17">
        <v>1800</v>
      </c>
      <c r="Z225" s="17">
        <v>-3778.58</v>
      </c>
      <c r="AA225" s="17">
        <v>-3553.94</v>
      </c>
    </row>
    <row r="226" spans="3:27" ht="21.75" customHeight="1" x14ac:dyDescent="0.25">
      <c r="C226" s="11">
        <v>9</v>
      </c>
      <c r="D226" s="12" t="s">
        <v>336</v>
      </c>
      <c r="E226" s="7" t="s">
        <v>71</v>
      </c>
      <c r="F226" s="8">
        <v>45901</v>
      </c>
      <c r="G226" s="7" t="s">
        <v>16</v>
      </c>
      <c r="H226" s="9" t="s">
        <v>18</v>
      </c>
      <c r="I226" s="9" t="s">
        <v>18</v>
      </c>
      <c r="J226" s="6">
        <v>70684.3</v>
      </c>
      <c r="K226" s="6">
        <v>74172.75</v>
      </c>
      <c r="L226" s="6">
        <v>3488.4499999999971</v>
      </c>
      <c r="M226" s="12" t="s">
        <v>117</v>
      </c>
      <c r="N226" s="12" t="s">
        <v>337</v>
      </c>
      <c r="O226" s="17">
        <v>38372.75</v>
      </c>
      <c r="P226" s="17">
        <v>1500</v>
      </c>
      <c r="Q226" s="17">
        <v>14000</v>
      </c>
      <c r="R226" s="17">
        <v>0</v>
      </c>
      <c r="S226" s="17">
        <v>5300</v>
      </c>
      <c r="T226" s="17">
        <v>1500</v>
      </c>
      <c r="U226" s="17">
        <v>7500</v>
      </c>
      <c r="V226" s="17">
        <v>6000</v>
      </c>
      <c r="W226" s="17">
        <v>74172.75</v>
      </c>
      <c r="X226" s="15">
        <v>0</v>
      </c>
      <c r="Y226" s="17">
        <v>0</v>
      </c>
      <c r="Z226" s="17">
        <v>-3033.64</v>
      </c>
      <c r="AA226" s="17">
        <v>-2859.22</v>
      </c>
    </row>
    <row r="227" spans="3:27" ht="21.75" customHeight="1" x14ac:dyDescent="0.25">
      <c r="C227" s="11">
        <v>874</v>
      </c>
      <c r="D227" s="12" t="s">
        <v>338</v>
      </c>
      <c r="E227" s="7" t="s">
        <v>71</v>
      </c>
      <c r="F227" s="8">
        <v>45901</v>
      </c>
      <c r="G227" s="7" t="s">
        <v>16</v>
      </c>
      <c r="H227" s="9" t="s">
        <v>18</v>
      </c>
      <c r="I227" s="9" t="s">
        <v>18</v>
      </c>
      <c r="J227" s="6">
        <v>49779</v>
      </c>
      <c r="K227" s="6">
        <v>52847</v>
      </c>
      <c r="L227" s="6">
        <v>3068</v>
      </c>
      <c r="M227" s="12" t="s">
        <v>117</v>
      </c>
      <c r="N227" s="12" t="s">
        <v>337</v>
      </c>
      <c r="O227" s="17">
        <v>33747</v>
      </c>
      <c r="P227" s="17">
        <v>1500</v>
      </c>
      <c r="Q227" s="17">
        <v>0</v>
      </c>
      <c r="R227" s="17">
        <v>0</v>
      </c>
      <c r="S227" s="17">
        <v>5300</v>
      </c>
      <c r="T227" s="17">
        <v>1500</v>
      </c>
      <c r="U227" s="17">
        <v>7500</v>
      </c>
      <c r="V227" s="17">
        <v>3300</v>
      </c>
      <c r="W227" s="17">
        <v>52847</v>
      </c>
      <c r="X227" s="15">
        <v>0</v>
      </c>
      <c r="Y227" s="17">
        <v>0</v>
      </c>
      <c r="Z227" s="17">
        <v>-2102.35</v>
      </c>
      <c r="AA227" s="17">
        <v>-1948.95</v>
      </c>
    </row>
    <row r="228" spans="3:27" ht="21.75" customHeight="1" x14ac:dyDescent="0.25">
      <c r="C228" s="11">
        <v>890</v>
      </c>
      <c r="D228" s="12" t="s">
        <v>339</v>
      </c>
      <c r="E228" s="7" t="s">
        <v>71</v>
      </c>
      <c r="F228" s="8">
        <v>45901</v>
      </c>
      <c r="G228" s="7" t="s">
        <v>16</v>
      </c>
      <c r="H228" s="9" t="s">
        <v>18</v>
      </c>
      <c r="I228" s="9" t="s">
        <v>18</v>
      </c>
      <c r="J228" s="6">
        <v>56272</v>
      </c>
      <c r="K228" s="6">
        <v>59079.25</v>
      </c>
      <c r="L228" s="6">
        <v>2807.25</v>
      </c>
      <c r="M228" s="12" t="s">
        <v>117</v>
      </c>
      <c r="N228" s="12" t="s">
        <v>337</v>
      </c>
      <c r="O228" s="17">
        <v>30879.25</v>
      </c>
      <c r="P228" s="17">
        <v>1500</v>
      </c>
      <c r="Q228" s="17">
        <v>6400</v>
      </c>
      <c r="R228" s="17">
        <v>0</v>
      </c>
      <c r="S228" s="17">
        <v>5300</v>
      </c>
      <c r="T228" s="17">
        <v>1500</v>
      </c>
      <c r="U228" s="17">
        <v>7500</v>
      </c>
      <c r="V228" s="17">
        <v>6000</v>
      </c>
      <c r="W228" s="17">
        <v>59079.25</v>
      </c>
      <c r="X228" s="15">
        <v>0</v>
      </c>
      <c r="Y228" s="17">
        <v>0</v>
      </c>
      <c r="Z228" s="17">
        <v>-2278.96</v>
      </c>
      <c r="AA228" s="17">
        <v>-2138.6</v>
      </c>
    </row>
    <row r="229" spans="3:27" ht="21.75" customHeight="1" x14ac:dyDescent="0.25">
      <c r="C229" s="11">
        <v>1280</v>
      </c>
      <c r="D229" s="12" t="s">
        <v>340</v>
      </c>
      <c r="E229" s="7" t="s">
        <v>72</v>
      </c>
      <c r="F229" s="8">
        <v>45901</v>
      </c>
      <c r="G229" s="7" t="s">
        <v>16</v>
      </c>
      <c r="H229" s="9" t="s">
        <v>76</v>
      </c>
      <c r="I229" s="9" t="s">
        <v>12</v>
      </c>
      <c r="J229" s="6">
        <v>31006.5</v>
      </c>
      <c r="K229" s="6">
        <v>32556.75</v>
      </c>
      <c r="L229" s="6">
        <v>1550.25</v>
      </c>
      <c r="M229" s="12" t="s">
        <v>117</v>
      </c>
      <c r="N229" s="12" t="s">
        <v>337</v>
      </c>
      <c r="O229" s="17">
        <v>15556.75</v>
      </c>
      <c r="P229" s="17">
        <v>1200</v>
      </c>
      <c r="Q229" s="17">
        <v>3523.5</v>
      </c>
      <c r="R229" s="17">
        <v>0</v>
      </c>
      <c r="S229" s="17">
        <v>4300</v>
      </c>
      <c r="T229" s="17">
        <v>1200</v>
      </c>
      <c r="U229" s="17">
        <v>4600</v>
      </c>
      <c r="V229" s="17">
        <v>2176.5</v>
      </c>
      <c r="W229" s="17">
        <v>32556.75</v>
      </c>
      <c r="X229" s="15">
        <v>0</v>
      </c>
      <c r="Y229" s="17">
        <v>0</v>
      </c>
      <c r="Z229" s="17">
        <v>-1289.01</v>
      </c>
      <c r="AA229" s="17">
        <v>-1211.5</v>
      </c>
    </row>
    <row r="230" spans="3:27" ht="21.75" customHeight="1" x14ac:dyDescent="0.25">
      <c r="C230" s="11">
        <v>858</v>
      </c>
      <c r="D230" s="12" t="s">
        <v>341</v>
      </c>
      <c r="E230" s="7" t="s">
        <v>71</v>
      </c>
      <c r="F230" s="8">
        <v>45901</v>
      </c>
      <c r="G230" s="7" t="s">
        <v>16</v>
      </c>
      <c r="H230" s="9" t="s">
        <v>18</v>
      </c>
      <c r="I230" s="9" t="s">
        <v>18</v>
      </c>
      <c r="J230" s="6">
        <v>42315</v>
      </c>
      <c r="K230" s="6">
        <v>44836.5</v>
      </c>
      <c r="L230" s="6">
        <v>2521.5</v>
      </c>
      <c r="M230" s="12" t="s">
        <v>123</v>
      </c>
      <c r="N230" s="12" t="s">
        <v>342</v>
      </c>
      <c r="O230" s="17">
        <v>27736.5</v>
      </c>
      <c r="P230" s="17">
        <v>1500</v>
      </c>
      <c r="Q230" s="17">
        <v>0</v>
      </c>
      <c r="R230" s="17">
        <v>0</v>
      </c>
      <c r="S230" s="17">
        <v>5300</v>
      </c>
      <c r="T230" s="17">
        <v>1500</v>
      </c>
      <c r="U230" s="17">
        <v>7500</v>
      </c>
      <c r="V230" s="17">
        <v>1300</v>
      </c>
      <c r="W230" s="17">
        <v>44836.5</v>
      </c>
      <c r="X230" s="15">
        <v>0</v>
      </c>
      <c r="Y230" s="17">
        <v>1800</v>
      </c>
      <c r="Z230" s="17">
        <v>-1891.82</v>
      </c>
      <c r="AA230" s="17">
        <v>-1765.75</v>
      </c>
    </row>
    <row r="231" spans="3:27" ht="21.75" customHeight="1" x14ac:dyDescent="0.25">
      <c r="C231" s="11">
        <v>1200</v>
      </c>
      <c r="D231" s="12" t="s">
        <v>343</v>
      </c>
      <c r="E231" s="7" t="s">
        <v>71</v>
      </c>
      <c r="F231" s="8">
        <v>45901</v>
      </c>
      <c r="G231" s="7" t="s">
        <v>16</v>
      </c>
      <c r="H231" s="9" t="s">
        <v>18</v>
      </c>
      <c r="I231" s="9" t="s">
        <v>18</v>
      </c>
      <c r="J231" s="6">
        <v>33625</v>
      </c>
      <c r="K231" s="6">
        <v>35350</v>
      </c>
      <c r="L231" s="6">
        <v>1725</v>
      </c>
      <c r="M231" s="12" t="s">
        <v>123</v>
      </c>
      <c r="N231" s="12" t="s">
        <v>342</v>
      </c>
      <c r="O231" s="17">
        <v>18975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11250</v>
      </c>
      <c r="V231" s="17">
        <v>5125</v>
      </c>
      <c r="W231" s="17">
        <v>35350</v>
      </c>
      <c r="X231" s="15">
        <v>0</v>
      </c>
      <c r="Y231" s="17">
        <v>0</v>
      </c>
      <c r="Z231" s="17">
        <v>0</v>
      </c>
      <c r="AA231" s="17">
        <v>0</v>
      </c>
    </row>
    <row r="232" spans="3:27" ht="21.75" customHeight="1" x14ac:dyDescent="0.25">
      <c r="C232" s="13">
        <v>1068</v>
      </c>
      <c r="D232" s="3" t="s">
        <v>344</v>
      </c>
      <c r="E232" s="9" t="s">
        <v>72</v>
      </c>
      <c r="F232" s="8">
        <v>45901</v>
      </c>
      <c r="G232" s="7" t="s">
        <v>16</v>
      </c>
      <c r="H232" s="9" t="s">
        <v>49</v>
      </c>
      <c r="I232" s="7" t="s">
        <v>22</v>
      </c>
      <c r="J232" s="6">
        <v>51000</v>
      </c>
      <c r="K232" s="6">
        <v>56000</v>
      </c>
      <c r="L232" s="6">
        <v>5000</v>
      </c>
      <c r="M232" s="3" t="s">
        <v>123</v>
      </c>
      <c r="N232" s="3" t="s">
        <v>342</v>
      </c>
      <c r="O232" s="17">
        <v>35000</v>
      </c>
      <c r="P232" s="17">
        <v>2000</v>
      </c>
      <c r="Q232" s="17">
        <v>0</v>
      </c>
      <c r="R232" s="17">
        <v>0</v>
      </c>
      <c r="S232" s="17">
        <v>6500</v>
      </c>
      <c r="T232" s="17">
        <v>2000</v>
      </c>
      <c r="U232" s="17">
        <v>10500</v>
      </c>
      <c r="V232" s="17">
        <v>0</v>
      </c>
      <c r="W232" s="17">
        <v>56000</v>
      </c>
      <c r="X232" s="15">
        <v>0</v>
      </c>
      <c r="Y232" s="17">
        <v>0</v>
      </c>
      <c r="Z232" s="17">
        <v>-2275</v>
      </c>
      <c r="AA232" s="17">
        <v>-2025</v>
      </c>
    </row>
    <row r="233" spans="3:27" ht="21.75" customHeight="1" x14ac:dyDescent="0.25">
      <c r="C233" s="11">
        <v>978</v>
      </c>
      <c r="D233" s="12" t="s">
        <v>345</v>
      </c>
      <c r="E233" s="7" t="s">
        <v>71</v>
      </c>
      <c r="F233" s="8">
        <v>45901</v>
      </c>
      <c r="G233" s="7" t="s">
        <v>16</v>
      </c>
      <c r="H233" s="9" t="s">
        <v>22</v>
      </c>
      <c r="I233" s="9" t="s">
        <v>22</v>
      </c>
      <c r="J233" s="6">
        <v>56000</v>
      </c>
      <c r="K233" s="6">
        <v>59500</v>
      </c>
      <c r="L233" s="6">
        <v>3500</v>
      </c>
      <c r="M233" s="12" t="s">
        <v>123</v>
      </c>
      <c r="N233" s="12" t="s">
        <v>346</v>
      </c>
      <c r="O233" s="17">
        <v>38500</v>
      </c>
      <c r="P233" s="17">
        <v>2000</v>
      </c>
      <c r="Q233" s="17">
        <v>0</v>
      </c>
      <c r="R233" s="17">
        <v>0</v>
      </c>
      <c r="S233" s="17">
        <v>6500</v>
      </c>
      <c r="T233" s="17">
        <v>2000</v>
      </c>
      <c r="U233" s="17">
        <v>10500</v>
      </c>
      <c r="V233" s="17">
        <v>0</v>
      </c>
      <c r="W233" s="17">
        <v>59500</v>
      </c>
      <c r="X233" s="15">
        <v>0</v>
      </c>
      <c r="Y233" s="17">
        <v>0</v>
      </c>
      <c r="Z233" s="17">
        <v>-2450</v>
      </c>
      <c r="AA233" s="17">
        <v>-2275</v>
      </c>
    </row>
    <row r="234" spans="3:27" ht="21.75" customHeight="1" x14ac:dyDescent="0.25">
      <c r="C234" s="11">
        <v>1128</v>
      </c>
      <c r="D234" s="12" t="s">
        <v>347</v>
      </c>
      <c r="E234" s="7" t="s">
        <v>72</v>
      </c>
      <c r="F234" s="8">
        <v>45901</v>
      </c>
      <c r="G234" s="7" t="s">
        <v>16</v>
      </c>
      <c r="H234" s="9" t="s">
        <v>38</v>
      </c>
      <c r="I234" s="9" t="s">
        <v>18</v>
      </c>
      <c r="J234" s="6">
        <v>37000</v>
      </c>
      <c r="K234" s="6">
        <v>39000</v>
      </c>
      <c r="L234" s="6">
        <v>2000</v>
      </c>
      <c r="M234" s="12" t="s">
        <v>123</v>
      </c>
      <c r="N234" s="12" t="s">
        <v>346</v>
      </c>
      <c r="O234" s="17">
        <v>23200</v>
      </c>
      <c r="P234" s="17">
        <v>1500</v>
      </c>
      <c r="Q234" s="17">
        <v>0</v>
      </c>
      <c r="R234" s="17">
        <v>0</v>
      </c>
      <c r="S234" s="17">
        <v>5300</v>
      </c>
      <c r="T234" s="17">
        <v>1500</v>
      </c>
      <c r="U234" s="17">
        <v>7500</v>
      </c>
      <c r="V234" s="17">
        <v>0</v>
      </c>
      <c r="W234" s="17">
        <v>39000</v>
      </c>
      <c r="X234" s="15">
        <v>0</v>
      </c>
      <c r="Y234" s="17">
        <v>0</v>
      </c>
      <c r="Z234" s="17">
        <v>-1575</v>
      </c>
      <c r="AA234" s="17">
        <v>-1475</v>
      </c>
    </row>
    <row r="235" spans="3:27" ht="21.75" customHeight="1" x14ac:dyDescent="0.25">
      <c r="C235" s="11">
        <v>1286</v>
      </c>
      <c r="D235" s="12" t="s">
        <v>348</v>
      </c>
      <c r="E235" s="7" t="s">
        <v>71</v>
      </c>
      <c r="F235" s="8">
        <v>45901</v>
      </c>
      <c r="G235" s="7" t="s">
        <v>16</v>
      </c>
      <c r="H235" s="9" t="s">
        <v>18</v>
      </c>
      <c r="I235" s="9" t="s">
        <v>18</v>
      </c>
      <c r="J235" s="6">
        <v>47085.1</v>
      </c>
      <c r="K235" s="6">
        <v>49883.5</v>
      </c>
      <c r="L235" s="6">
        <v>2798.4000000000015</v>
      </c>
      <c r="M235" s="12" t="s">
        <v>123</v>
      </c>
      <c r="N235" s="12" t="s">
        <v>346</v>
      </c>
      <c r="O235" s="17">
        <v>30783.5</v>
      </c>
      <c r="P235" s="17">
        <v>1500</v>
      </c>
      <c r="Q235" s="17">
        <v>0</v>
      </c>
      <c r="R235" s="17">
        <v>0</v>
      </c>
      <c r="S235" s="17">
        <v>5300</v>
      </c>
      <c r="T235" s="17">
        <v>1500</v>
      </c>
      <c r="U235" s="17">
        <v>7500</v>
      </c>
      <c r="V235" s="17">
        <v>3300</v>
      </c>
      <c r="W235" s="17">
        <v>49883.5</v>
      </c>
      <c r="X235" s="15">
        <v>0</v>
      </c>
      <c r="Y235" s="17">
        <v>0</v>
      </c>
      <c r="Z235" s="17">
        <v>-1954.18</v>
      </c>
      <c r="AA235" s="17">
        <v>-1814.26</v>
      </c>
    </row>
    <row r="236" spans="3:27" ht="21.75" customHeight="1" x14ac:dyDescent="0.25">
      <c r="C236" s="11">
        <v>1407</v>
      </c>
      <c r="D236" s="12" t="s">
        <v>349</v>
      </c>
      <c r="E236" s="7" t="s">
        <v>72</v>
      </c>
      <c r="F236" s="8">
        <v>45901</v>
      </c>
      <c r="G236" s="7" t="s">
        <v>16</v>
      </c>
      <c r="H236" s="9" t="s">
        <v>38</v>
      </c>
      <c r="I236" s="9" t="s">
        <v>18</v>
      </c>
      <c r="J236" s="6">
        <v>37000</v>
      </c>
      <c r="K236" s="6">
        <v>39000</v>
      </c>
      <c r="L236" s="6">
        <v>2000</v>
      </c>
      <c r="M236" s="12" t="s">
        <v>123</v>
      </c>
      <c r="N236" s="12" t="s">
        <v>346</v>
      </c>
      <c r="O236" s="17">
        <v>23200</v>
      </c>
      <c r="P236" s="17">
        <v>1500</v>
      </c>
      <c r="Q236" s="17">
        <v>0</v>
      </c>
      <c r="R236" s="17">
        <v>0</v>
      </c>
      <c r="S236" s="17">
        <v>5300</v>
      </c>
      <c r="T236" s="17">
        <v>1500</v>
      </c>
      <c r="U236" s="17">
        <v>7500</v>
      </c>
      <c r="V236" s="17">
        <v>0</v>
      </c>
      <c r="W236" s="17">
        <v>39000</v>
      </c>
      <c r="X236" s="15">
        <v>0</v>
      </c>
      <c r="Y236" s="17">
        <v>0</v>
      </c>
      <c r="Z236" s="17">
        <v>-1575</v>
      </c>
      <c r="AA236" s="17">
        <v>-1475</v>
      </c>
    </row>
    <row r="237" spans="3:27" ht="21.75" customHeight="1" x14ac:dyDescent="0.25">
      <c r="C237" s="11">
        <v>1487</v>
      </c>
      <c r="D237" s="12" t="s">
        <v>350</v>
      </c>
      <c r="E237" s="7" t="s">
        <v>72</v>
      </c>
      <c r="F237" s="8">
        <v>45901</v>
      </c>
      <c r="G237" s="7" t="s">
        <v>16</v>
      </c>
      <c r="H237" s="9" t="s">
        <v>38</v>
      </c>
      <c r="I237" s="9" t="s">
        <v>18</v>
      </c>
      <c r="J237" s="6">
        <v>37000</v>
      </c>
      <c r="K237" s="6">
        <v>39000</v>
      </c>
      <c r="L237" s="6">
        <v>2000</v>
      </c>
      <c r="M237" s="12" t="s">
        <v>123</v>
      </c>
      <c r="N237" s="12" t="s">
        <v>346</v>
      </c>
      <c r="O237" s="17">
        <v>23200</v>
      </c>
      <c r="P237" s="17">
        <v>1500</v>
      </c>
      <c r="Q237" s="17">
        <v>0</v>
      </c>
      <c r="R237" s="17">
        <v>0</v>
      </c>
      <c r="S237" s="17">
        <v>5300</v>
      </c>
      <c r="T237" s="17">
        <v>1500</v>
      </c>
      <c r="U237" s="17">
        <v>7500</v>
      </c>
      <c r="V237" s="17">
        <v>0</v>
      </c>
      <c r="W237" s="17">
        <v>39000</v>
      </c>
      <c r="X237" s="15">
        <v>0</v>
      </c>
      <c r="Y237" s="17">
        <v>0</v>
      </c>
      <c r="Z237" s="17">
        <v>-1575</v>
      </c>
      <c r="AA237" s="17">
        <v>-1475</v>
      </c>
    </row>
    <row r="238" spans="3:27" ht="21.75" customHeight="1" x14ac:dyDescent="0.25">
      <c r="C238" s="11">
        <v>1537</v>
      </c>
      <c r="D238" s="12" t="s">
        <v>351</v>
      </c>
      <c r="E238" s="7" t="s">
        <v>72</v>
      </c>
      <c r="F238" s="8">
        <v>45901</v>
      </c>
      <c r="G238" s="7" t="s">
        <v>16</v>
      </c>
      <c r="H238" s="9" t="s">
        <v>38</v>
      </c>
      <c r="I238" s="9" t="s">
        <v>18</v>
      </c>
      <c r="J238" s="6">
        <v>37000</v>
      </c>
      <c r="K238" s="6">
        <v>39000</v>
      </c>
      <c r="L238" s="6">
        <v>2000</v>
      </c>
      <c r="M238" s="12" t="s">
        <v>123</v>
      </c>
      <c r="N238" s="12" t="s">
        <v>346</v>
      </c>
      <c r="O238" s="17">
        <v>23200</v>
      </c>
      <c r="P238" s="17">
        <v>1500</v>
      </c>
      <c r="Q238" s="17">
        <v>0</v>
      </c>
      <c r="R238" s="17">
        <v>0</v>
      </c>
      <c r="S238" s="17">
        <v>5300</v>
      </c>
      <c r="T238" s="17">
        <v>1500</v>
      </c>
      <c r="U238" s="17">
        <v>7500</v>
      </c>
      <c r="V238" s="17">
        <v>0</v>
      </c>
      <c r="W238" s="17">
        <v>39000</v>
      </c>
      <c r="X238" s="15">
        <v>0</v>
      </c>
      <c r="Y238" s="17">
        <v>0</v>
      </c>
      <c r="Z238" s="17">
        <v>-1575</v>
      </c>
      <c r="AA238" s="17">
        <v>-1475</v>
      </c>
    </row>
    <row r="239" spans="3:27" ht="21.75" customHeight="1" x14ac:dyDescent="0.25">
      <c r="C239" s="11">
        <v>222</v>
      </c>
      <c r="D239" s="12" t="s">
        <v>352</v>
      </c>
      <c r="E239" s="7" t="s">
        <v>71</v>
      </c>
      <c r="F239" s="8">
        <v>45901</v>
      </c>
      <c r="G239" s="7" t="s">
        <v>16</v>
      </c>
      <c r="H239" s="9" t="s">
        <v>18</v>
      </c>
      <c r="I239" s="9" t="s">
        <v>18</v>
      </c>
      <c r="J239" s="6">
        <v>55556.03</v>
      </c>
      <c r="K239" s="6">
        <v>58817.75</v>
      </c>
      <c r="L239" s="6">
        <v>3261.7200000000012</v>
      </c>
      <c r="M239" s="12" t="s">
        <v>123</v>
      </c>
      <c r="N239" s="12" t="s">
        <v>124</v>
      </c>
      <c r="O239" s="17">
        <v>35879.75</v>
      </c>
      <c r="P239" s="17">
        <v>0</v>
      </c>
      <c r="Q239" s="17">
        <v>0</v>
      </c>
      <c r="R239" s="17">
        <v>0</v>
      </c>
      <c r="S239" s="17">
        <v>0</v>
      </c>
      <c r="T239" s="17">
        <v>0</v>
      </c>
      <c r="U239" s="17">
        <v>16750</v>
      </c>
      <c r="V239" s="17">
        <v>6188</v>
      </c>
      <c r="W239" s="17">
        <v>58817.75</v>
      </c>
      <c r="X239" s="15">
        <v>0</v>
      </c>
      <c r="Y239" s="17">
        <v>0</v>
      </c>
      <c r="Z239" s="17">
        <v>0</v>
      </c>
      <c r="AA239" s="17">
        <v>0</v>
      </c>
    </row>
    <row r="240" spans="3:27" ht="21.75" customHeight="1" x14ac:dyDescent="0.25">
      <c r="C240" s="11">
        <v>1694</v>
      </c>
      <c r="D240" s="12" t="s">
        <v>353</v>
      </c>
      <c r="E240" s="7" t="s">
        <v>72</v>
      </c>
      <c r="F240" s="8">
        <v>45901</v>
      </c>
      <c r="G240" s="7" t="s">
        <v>16</v>
      </c>
      <c r="H240" s="9" t="s">
        <v>49</v>
      </c>
      <c r="I240" s="9" t="s">
        <v>22</v>
      </c>
      <c r="J240" s="6">
        <v>53802</v>
      </c>
      <c r="K240" s="6">
        <v>56000</v>
      </c>
      <c r="L240" s="6">
        <v>2198</v>
      </c>
      <c r="M240" s="12" t="s">
        <v>123</v>
      </c>
      <c r="N240" s="12" t="s">
        <v>354</v>
      </c>
      <c r="O240" s="17">
        <v>35000</v>
      </c>
      <c r="P240" s="17">
        <v>2000</v>
      </c>
      <c r="Q240" s="17">
        <v>0</v>
      </c>
      <c r="R240" s="17">
        <v>0</v>
      </c>
      <c r="S240" s="17">
        <v>6500</v>
      </c>
      <c r="T240" s="17">
        <v>2000</v>
      </c>
      <c r="U240" s="17">
        <v>10500</v>
      </c>
      <c r="V240" s="17">
        <v>0</v>
      </c>
      <c r="W240" s="17">
        <v>56000</v>
      </c>
      <c r="X240" s="15">
        <v>0</v>
      </c>
      <c r="Y240" s="17">
        <v>0</v>
      </c>
      <c r="Z240" s="17">
        <v>-2275</v>
      </c>
      <c r="AA240" s="17">
        <v>-2165.1</v>
      </c>
    </row>
    <row r="241" spans="3:27" ht="21.75" customHeight="1" x14ac:dyDescent="0.25">
      <c r="C241" s="11">
        <v>20</v>
      </c>
      <c r="D241" s="12" t="s">
        <v>355</v>
      </c>
      <c r="E241" s="7" t="s">
        <v>72</v>
      </c>
      <c r="F241" s="8">
        <v>45901</v>
      </c>
      <c r="G241" s="7" t="s">
        <v>16</v>
      </c>
      <c r="H241" s="9" t="s">
        <v>39</v>
      </c>
      <c r="I241" s="9" t="s">
        <v>49</v>
      </c>
      <c r="J241" s="6">
        <v>72692.759999999995</v>
      </c>
      <c r="K241" s="6">
        <v>76327.5</v>
      </c>
      <c r="L241" s="6">
        <v>3634.7400000000052</v>
      </c>
      <c r="M241" s="12" t="s">
        <v>123</v>
      </c>
      <c r="N241" s="12" t="s">
        <v>356</v>
      </c>
      <c r="O241" s="17">
        <v>40527.5</v>
      </c>
      <c r="P241" s="17">
        <v>2000</v>
      </c>
      <c r="Q241" s="17">
        <v>9500</v>
      </c>
      <c r="R241" s="17">
        <v>0</v>
      </c>
      <c r="S241" s="17">
        <v>6500</v>
      </c>
      <c r="T241" s="17">
        <v>2000</v>
      </c>
      <c r="U241" s="17">
        <v>10500</v>
      </c>
      <c r="V241" s="17">
        <v>5300</v>
      </c>
      <c r="W241" s="17">
        <v>76327.5</v>
      </c>
      <c r="X241" s="15">
        <v>0</v>
      </c>
      <c r="Y241" s="17">
        <v>1800</v>
      </c>
      <c r="Z241" s="17">
        <v>-3116.38</v>
      </c>
      <c r="AA241" s="17">
        <v>-2934.64</v>
      </c>
    </row>
    <row r="242" spans="3:27" ht="21.75" customHeight="1" x14ac:dyDescent="0.25">
      <c r="C242" s="11">
        <v>278</v>
      </c>
      <c r="D242" s="12" t="s">
        <v>357</v>
      </c>
      <c r="E242" s="7" t="s">
        <v>72</v>
      </c>
      <c r="F242" s="8">
        <v>45901</v>
      </c>
      <c r="G242" s="7" t="s">
        <v>16</v>
      </c>
      <c r="H242" s="9" t="s">
        <v>39</v>
      </c>
      <c r="I242" s="9" t="s">
        <v>49</v>
      </c>
      <c r="J242" s="6">
        <v>57736.35</v>
      </c>
      <c r="K242" s="6">
        <v>60623.25</v>
      </c>
      <c r="L242" s="6">
        <v>2886.9000000000015</v>
      </c>
      <c r="M242" s="12" t="s">
        <v>123</v>
      </c>
      <c r="N242" s="12" t="s">
        <v>356</v>
      </c>
      <c r="O242" s="17">
        <v>32887</v>
      </c>
      <c r="P242" s="17">
        <v>2000</v>
      </c>
      <c r="Q242" s="17">
        <v>2049.25</v>
      </c>
      <c r="R242" s="17">
        <v>0</v>
      </c>
      <c r="S242" s="17">
        <v>6500</v>
      </c>
      <c r="T242" s="17">
        <v>2000</v>
      </c>
      <c r="U242" s="17">
        <v>10500</v>
      </c>
      <c r="V242" s="17">
        <v>4687</v>
      </c>
      <c r="W242" s="17">
        <v>60623.25</v>
      </c>
      <c r="X242" s="15">
        <v>0</v>
      </c>
      <c r="Y242" s="17">
        <v>2400</v>
      </c>
      <c r="Z242" s="17">
        <v>-2391.81</v>
      </c>
      <c r="AA242" s="17">
        <v>-2247.4699999999998</v>
      </c>
    </row>
    <row r="243" spans="3:27" ht="21.75" customHeight="1" x14ac:dyDescent="0.25">
      <c r="C243" s="11">
        <v>1346</v>
      </c>
      <c r="D243" s="12" t="s">
        <v>358</v>
      </c>
      <c r="E243" s="7" t="s">
        <v>71</v>
      </c>
      <c r="F243" s="8">
        <v>45901</v>
      </c>
      <c r="G243" s="7" t="s">
        <v>16</v>
      </c>
      <c r="H243" s="9" t="s">
        <v>22</v>
      </c>
      <c r="I243" s="9" t="s">
        <v>22</v>
      </c>
      <c r="J243" s="6">
        <v>56000</v>
      </c>
      <c r="K243" s="6">
        <v>59500</v>
      </c>
      <c r="L243" s="6">
        <v>3500</v>
      </c>
      <c r="M243" s="12" t="s">
        <v>123</v>
      </c>
      <c r="N243" s="12" t="s">
        <v>356</v>
      </c>
      <c r="O243" s="17">
        <v>38500</v>
      </c>
      <c r="P243" s="17">
        <v>2000</v>
      </c>
      <c r="Q243" s="17">
        <v>0</v>
      </c>
      <c r="R243" s="17">
        <v>0</v>
      </c>
      <c r="S243" s="17">
        <v>6500</v>
      </c>
      <c r="T243" s="17">
        <v>2000</v>
      </c>
      <c r="U243" s="17">
        <v>10500</v>
      </c>
      <c r="V243" s="17">
        <v>0</v>
      </c>
      <c r="W243" s="17">
        <v>59500</v>
      </c>
      <c r="X243" s="15">
        <v>0</v>
      </c>
      <c r="Y243" s="17">
        <v>0</v>
      </c>
      <c r="Z243" s="17">
        <v>-2450</v>
      </c>
      <c r="AA243" s="17">
        <v>-2275</v>
      </c>
    </row>
    <row r="244" spans="3:27" ht="21.75" customHeight="1" x14ac:dyDescent="0.25">
      <c r="C244" s="11">
        <v>1484</v>
      </c>
      <c r="D244" s="12" t="s">
        <v>359</v>
      </c>
      <c r="E244" s="7" t="s">
        <v>15</v>
      </c>
      <c r="F244" s="8">
        <v>45901</v>
      </c>
      <c r="G244" s="7" t="s">
        <v>16</v>
      </c>
      <c r="H244" s="9" t="s">
        <v>38</v>
      </c>
      <c r="I244" s="9" t="s">
        <v>18</v>
      </c>
      <c r="J244" s="6">
        <v>48300</v>
      </c>
      <c r="K244" s="6">
        <v>50715</v>
      </c>
      <c r="L244" s="6">
        <v>2415</v>
      </c>
      <c r="M244" s="12" t="s">
        <v>123</v>
      </c>
      <c r="N244" s="12" t="s">
        <v>356</v>
      </c>
      <c r="O244" s="17">
        <v>25915</v>
      </c>
      <c r="P244" s="17">
        <v>1500</v>
      </c>
      <c r="Q244" s="17">
        <v>5400</v>
      </c>
      <c r="R244" s="17">
        <v>0</v>
      </c>
      <c r="S244" s="17">
        <v>5300</v>
      </c>
      <c r="T244" s="17">
        <v>1500</v>
      </c>
      <c r="U244" s="17">
        <v>7500</v>
      </c>
      <c r="V244" s="17">
        <v>3600</v>
      </c>
      <c r="W244" s="17">
        <v>50715</v>
      </c>
      <c r="X244" s="15">
        <v>0</v>
      </c>
      <c r="Y244" s="17">
        <v>0</v>
      </c>
      <c r="Z244" s="17">
        <v>-1980.75</v>
      </c>
      <c r="AA244" s="17">
        <v>-1860</v>
      </c>
    </row>
    <row r="245" spans="3:27" ht="21.75" customHeight="1" x14ac:dyDescent="0.25">
      <c r="C245" s="11">
        <v>1557</v>
      </c>
      <c r="D245" s="12" t="s">
        <v>360</v>
      </c>
      <c r="E245" s="7" t="s">
        <v>71</v>
      </c>
      <c r="F245" s="8">
        <v>45901</v>
      </c>
      <c r="G245" s="7" t="s">
        <v>16</v>
      </c>
      <c r="H245" s="9" t="s">
        <v>18</v>
      </c>
      <c r="I245" s="9" t="s">
        <v>18</v>
      </c>
      <c r="J245" s="6">
        <v>36513</v>
      </c>
      <c r="K245" s="6">
        <v>37970.5</v>
      </c>
      <c r="L245" s="6">
        <v>1457.5</v>
      </c>
      <c r="M245" s="12" t="s">
        <v>123</v>
      </c>
      <c r="N245" s="12" t="s">
        <v>356</v>
      </c>
      <c r="O245" s="17">
        <v>16032.5</v>
      </c>
      <c r="P245" s="17">
        <v>0</v>
      </c>
      <c r="Q245" s="17">
        <v>0</v>
      </c>
      <c r="R245" s="17">
        <v>0</v>
      </c>
      <c r="S245" s="17">
        <v>0</v>
      </c>
      <c r="T245" s="17">
        <v>0</v>
      </c>
      <c r="U245" s="17">
        <v>16750</v>
      </c>
      <c r="V245" s="17">
        <v>5188</v>
      </c>
      <c r="W245" s="17">
        <v>37970.5</v>
      </c>
      <c r="X245" s="15">
        <v>0</v>
      </c>
      <c r="Y245" s="17">
        <v>0</v>
      </c>
      <c r="Z245" s="17">
        <v>0</v>
      </c>
      <c r="AA245" s="17">
        <v>0</v>
      </c>
    </row>
    <row r="246" spans="3:27" ht="21.75" customHeight="1" x14ac:dyDescent="0.25">
      <c r="C246" s="11">
        <v>1565</v>
      </c>
      <c r="D246" s="12" t="s">
        <v>361</v>
      </c>
      <c r="E246" s="7" t="s">
        <v>15</v>
      </c>
      <c r="F246" s="8">
        <v>45901</v>
      </c>
      <c r="G246" s="7" t="s">
        <v>16</v>
      </c>
      <c r="H246" s="9" t="s">
        <v>38</v>
      </c>
      <c r="I246" s="9" t="s">
        <v>18</v>
      </c>
      <c r="J246" s="6">
        <v>37000</v>
      </c>
      <c r="K246" s="6">
        <v>39000</v>
      </c>
      <c r="L246" s="6">
        <v>2000</v>
      </c>
      <c r="M246" s="12" t="s">
        <v>123</v>
      </c>
      <c r="N246" s="12" t="s">
        <v>356</v>
      </c>
      <c r="O246" s="17">
        <v>23200</v>
      </c>
      <c r="P246" s="17">
        <v>1500</v>
      </c>
      <c r="Q246" s="17">
        <v>0</v>
      </c>
      <c r="R246" s="17">
        <v>0</v>
      </c>
      <c r="S246" s="17">
        <v>5300</v>
      </c>
      <c r="T246" s="17">
        <v>1500</v>
      </c>
      <c r="U246" s="17">
        <v>7500</v>
      </c>
      <c r="V246" s="17">
        <v>0</v>
      </c>
      <c r="W246" s="17">
        <v>39000</v>
      </c>
      <c r="X246" s="15">
        <v>0</v>
      </c>
      <c r="Y246" s="17">
        <v>0</v>
      </c>
      <c r="Z246" s="17">
        <v>-1575</v>
      </c>
      <c r="AA246" s="17">
        <v>-1475</v>
      </c>
    </row>
    <row r="247" spans="3:27" ht="21.75" customHeight="1" x14ac:dyDescent="0.25">
      <c r="C247" s="11">
        <v>1717</v>
      </c>
      <c r="D247" s="12" t="s">
        <v>362</v>
      </c>
      <c r="E247" s="7" t="s">
        <v>72</v>
      </c>
      <c r="F247" s="8">
        <v>45901</v>
      </c>
      <c r="G247" s="7" t="s">
        <v>16</v>
      </c>
      <c r="H247" s="9" t="s">
        <v>12</v>
      </c>
      <c r="I247" s="9" t="s">
        <v>9</v>
      </c>
      <c r="J247" s="6">
        <v>21900</v>
      </c>
      <c r="K247" s="6">
        <v>24200</v>
      </c>
      <c r="L247" s="6">
        <v>2300</v>
      </c>
      <c r="M247" s="12" t="s">
        <v>123</v>
      </c>
      <c r="N247" s="12" t="s">
        <v>356</v>
      </c>
      <c r="O247" s="17">
        <v>12900</v>
      </c>
      <c r="P247" s="17">
        <v>1200</v>
      </c>
      <c r="Q247" s="17">
        <v>0</v>
      </c>
      <c r="R247" s="17">
        <v>0</v>
      </c>
      <c r="S247" s="17">
        <v>4300</v>
      </c>
      <c r="T247" s="17">
        <v>1200</v>
      </c>
      <c r="U247" s="17">
        <v>4600</v>
      </c>
      <c r="V247" s="17">
        <v>0</v>
      </c>
      <c r="W247" s="17">
        <v>24200</v>
      </c>
      <c r="X247" s="15">
        <v>0</v>
      </c>
      <c r="Y247" s="17">
        <v>0</v>
      </c>
      <c r="Z247" s="17">
        <v>-980</v>
      </c>
      <c r="AA247" s="17">
        <v>-865</v>
      </c>
    </row>
    <row r="248" spans="3:27" ht="21.75" customHeight="1" x14ac:dyDescent="0.25">
      <c r="C248" s="11">
        <v>1774</v>
      </c>
      <c r="D248" s="12" t="s">
        <v>363</v>
      </c>
      <c r="E248" s="7" t="s">
        <v>71</v>
      </c>
      <c r="F248" s="8">
        <v>45901</v>
      </c>
      <c r="G248" s="7" t="s">
        <v>16</v>
      </c>
      <c r="H248" s="9" t="s">
        <v>18</v>
      </c>
      <c r="I248" s="9" t="s">
        <v>18</v>
      </c>
      <c r="J248" s="6">
        <v>43361.599999999999</v>
      </c>
      <c r="K248" s="6">
        <v>46117.75</v>
      </c>
      <c r="L248" s="6">
        <v>2756.1500000000015</v>
      </c>
      <c r="M248" s="12" t="s">
        <v>123</v>
      </c>
      <c r="N248" s="12" t="s">
        <v>356</v>
      </c>
      <c r="O248" s="17">
        <v>30317.75</v>
      </c>
      <c r="P248" s="17">
        <v>1500</v>
      </c>
      <c r="Q248" s="17">
        <v>0</v>
      </c>
      <c r="R248" s="17">
        <v>0</v>
      </c>
      <c r="S248" s="17">
        <v>5300</v>
      </c>
      <c r="T248" s="17">
        <v>1500</v>
      </c>
      <c r="U248" s="17">
        <v>7500</v>
      </c>
      <c r="V248" s="17">
        <v>0</v>
      </c>
      <c r="W248" s="17">
        <v>46117.75</v>
      </c>
      <c r="X248" s="15">
        <v>0</v>
      </c>
      <c r="Y248" s="17">
        <v>0</v>
      </c>
      <c r="Z248" s="17">
        <v>-1930.89</v>
      </c>
      <c r="AA248" s="17">
        <v>-1793.08</v>
      </c>
    </row>
    <row r="249" spans="3:27" ht="21.75" customHeight="1" x14ac:dyDescent="0.25">
      <c r="C249" s="11">
        <v>1810</v>
      </c>
      <c r="D249" s="12" t="s">
        <v>364</v>
      </c>
      <c r="E249" s="7" t="s">
        <v>71</v>
      </c>
      <c r="F249" s="8">
        <v>45925</v>
      </c>
      <c r="G249" s="7" t="s">
        <v>16</v>
      </c>
      <c r="H249" s="9" t="s">
        <v>18</v>
      </c>
      <c r="I249" s="9" t="s">
        <v>18</v>
      </c>
      <c r="J249" s="6">
        <v>43176</v>
      </c>
      <c r="K249" s="6">
        <v>45913.5</v>
      </c>
      <c r="L249" s="6">
        <v>2737.5</v>
      </c>
      <c r="M249" s="12" t="s">
        <v>123</v>
      </c>
      <c r="N249" s="12" t="s">
        <v>356</v>
      </c>
      <c r="O249" s="17">
        <v>30113.5</v>
      </c>
      <c r="P249" s="17">
        <v>1500</v>
      </c>
      <c r="Q249" s="17">
        <v>0</v>
      </c>
      <c r="R249" s="17">
        <v>0</v>
      </c>
      <c r="S249" s="17">
        <v>5300</v>
      </c>
      <c r="T249" s="17">
        <v>1500</v>
      </c>
      <c r="U249" s="17">
        <v>7500</v>
      </c>
      <c r="V249" s="17">
        <v>0</v>
      </c>
      <c r="W249" s="17">
        <v>45913.5</v>
      </c>
      <c r="X249" s="15">
        <v>0</v>
      </c>
      <c r="Y249" s="17">
        <v>600</v>
      </c>
      <c r="Z249" s="17">
        <v>-1950.68</v>
      </c>
      <c r="AA249" s="17">
        <v>-1813.8</v>
      </c>
    </row>
    <row r="250" spans="3:27" ht="21.75" customHeight="1" x14ac:dyDescent="0.25">
      <c r="C250" s="11">
        <v>7020</v>
      </c>
      <c r="D250" s="12" t="s">
        <v>365</v>
      </c>
      <c r="E250" s="7" t="s">
        <v>71</v>
      </c>
      <c r="F250" s="8">
        <v>45901</v>
      </c>
      <c r="G250" s="7" t="s">
        <v>16</v>
      </c>
      <c r="H250" s="9" t="s">
        <v>18</v>
      </c>
      <c r="I250" s="9" t="s">
        <v>18</v>
      </c>
      <c r="J250" s="6">
        <v>39000</v>
      </c>
      <c r="K250" s="6">
        <v>41320</v>
      </c>
      <c r="L250" s="6">
        <v>2320</v>
      </c>
      <c r="M250" s="12" t="s">
        <v>123</v>
      </c>
      <c r="N250" s="12" t="s">
        <v>356</v>
      </c>
      <c r="O250" s="17">
        <v>25520</v>
      </c>
      <c r="P250" s="17">
        <v>1500</v>
      </c>
      <c r="Q250" s="17">
        <v>0</v>
      </c>
      <c r="R250" s="17">
        <v>0</v>
      </c>
      <c r="S250" s="17">
        <v>5300</v>
      </c>
      <c r="T250" s="17">
        <v>1500</v>
      </c>
      <c r="U250" s="17">
        <v>7500</v>
      </c>
      <c r="V250" s="17">
        <v>0</v>
      </c>
      <c r="W250" s="17">
        <v>41320</v>
      </c>
      <c r="X250" s="15">
        <v>0</v>
      </c>
      <c r="Y250" s="17">
        <v>0</v>
      </c>
      <c r="Z250" s="17">
        <v>-1691</v>
      </c>
      <c r="AA250" s="17">
        <v>-1575</v>
      </c>
    </row>
    <row r="251" spans="3:27" ht="21.75" customHeight="1" x14ac:dyDescent="0.25">
      <c r="C251" s="11">
        <v>69</v>
      </c>
      <c r="D251" s="12" t="s">
        <v>366</v>
      </c>
      <c r="E251" s="7" t="s">
        <v>72</v>
      </c>
      <c r="F251" s="8">
        <v>45901</v>
      </c>
      <c r="G251" s="7" t="s">
        <v>16</v>
      </c>
      <c r="H251" s="9" t="s">
        <v>38</v>
      </c>
      <c r="I251" s="9" t="s">
        <v>18</v>
      </c>
      <c r="J251" s="6">
        <v>39429.599999999999</v>
      </c>
      <c r="K251" s="6">
        <v>41401</v>
      </c>
      <c r="L251" s="6">
        <v>1971.4000000000015</v>
      </c>
      <c r="M251" s="12" t="s">
        <v>123</v>
      </c>
      <c r="N251" s="12" t="s">
        <v>127</v>
      </c>
      <c r="O251" s="17">
        <v>25171.5</v>
      </c>
      <c r="P251" s="17">
        <v>1500</v>
      </c>
      <c r="Q251" s="17">
        <v>0</v>
      </c>
      <c r="R251" s="17">
        <v>0</v>
      </c>
      <c r="S251" s="17">
        <v>5300</v>
      </c>
      <c r="T251" s="17">
        <v>1500</v>
      </c>
      <c r="U251" s="17">
        <v>7500</v>
      </c>
      <c r="V251" s="17">
        <v>429.5</v>
      </c>
      <c r="W251" s="17">
        <v>41401</v>
      </c>
      <c r="X251" s="15">
        <v>0</v>
      </c>
      <c r="Y251" s="17">
        <v>0</v>
      </c>
      <c r="Z251" s="17">
        <v>-1673.58</v>
      </c>
      <c r="AA251" s="17">
        <v>-1533.28</v>
      </c>
    </row>
    <row r="252" spans="3:27" ht="21.75" customHeight="1" x14ac:dyDescent="0.25">
      <c r="C252" s="11">
        <v>80</v>
      </c>
      <c r="D252" s="12" t="s">
        <v>367</v>
      </c>
      <c r="E252" s="7" t="s">
        <v>71</v>
      </c>
      <c r="F252" s="8">
        <v>45901</v>
      </c>
      <c r="G252" s="7" t="s">
        <v>16</v>
      </c>
      <c r="H252" s="9" t="s">
        <v>22</v>
      </c>
      <c r="I252" s="9" t="s">
        <v>22</v>
      </c>
      <c r="J252" s="6">
        <v>72652</v>
      </c>
      <c r="K252" s="6">
        <v>76887</v>
      </c>
      <c r="L252" s="6">
        <v>4235</v>
      </c>
      <c r="M252" s="12" t="s">
        <v>123</v>
      </c>
      <c r="N252" s="12" t="s">
        <v>127</v>
      </c>
      <c r="O252" s="17">
        <v>46585</v>
      </c>
      <c r="P252" s="17">
        <v>2000</v>
      </c>
      <c r="Q252" s="17">
        <v>2302</v>
      </c>
      <c r="R252" s="17">
        <v>0</v>
      </c>
      <c r="S252" s="17">
        <v>6500</v>
      </c>
      <c r="T252" s="17">
        <v>2000</v>
      </c>
      <c r="U252" s="17">
        <v>10500</v>
      </c>
      <c r="V252" s="17">
        <v>7000</v>
      </c>
      <c r="W252" s="17">
        <v>76887</v>
      </c>
      <c r="X252" s="15">
        <v>0</v>
      </c>
      <c r="Y252" s="17">
        <v>3000</v>
      </c>
      <c r="Z252" s="17">
        <v>-3119.35</v>
      </c>
      <c r="AA252" s="17">
        <v>-2907.6</v>
      </c>
    </row>
    <row r="253" spans="3:27" ht="21.75" customHeight="1" x14ac:dyDescent="0.25">
      <c r="C253" s="11">
        <v>321</v>
      </c>
      <c r="D253" s="12" t="s">
        <v>368</v>
      </c>
      <c r="E253" s="7" t="s">
        <v>72</v>
      </c>
      <c r="F253" s="8">
        <v>45901</v>
      </c>
      <c r="G253" s="7" t="s">
        <v>16</v>
      </c>
      <c r="H253" s="9" t="s">
        <v>38</v>
      </c>
      <c r="I253" s="9" t="s">
        <v>18</v>
      </c>
      <c r="J253" s="6">
        <v>25266.15</v>
      </c>
      <c r="K253" s="6">
        <v>28500</v>
      </c>
      <c r="L253" s="6">
        <v>3233.8499999999985</v>
      </c>
      <c r="M253" s="12" t="s">
        <v>123</v>
      </c>
      <c r="N253" s="12" t="s">
        <v>127</v>
      </c>
      <c r="O253" s="17">
        <v>13203.15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15296.85</v>
      </c>
      <c r="V253" s="17">
        <v>0</v>
      </c>
      <c r="W253" s="17">
        <v>28500</v>
      </c>
      <c r="X253" s="15">
        <v>0</v>
      </c>
      <c r="Y253" s="17">
        <v>0</v>
      </c>
      <c r="Z253" s="17">
        <v>0</v>
      </c>
      <c r="AA253" s="17">
        <v>0</v>
      </c>
    </row>
    <row r="254" spans="3:27" ht="21.75" customHeight="1" x14ac:dyDescent="0.25">
      <c r="C254" s="11">
        <v>379</v>
      </c>
      <c r="D254" s="12" t="s">
        <v>369</v>
      </c>
      <c r="E254" s="7" t="s">
        <v>72</v>
      </c>
      <c r="F254" s="8">
        <v>45901</v>
      </c>
      <c r="G254" s="7" t="s">
        <v>16</v>
      </c>
      <c r="H254" s="9" t="s">
        <v>12</v>
      </c>
      <c r="I254" s="9" t="s">
        <v>9</v>
      </c>
      <c r="J254" s="6">
        <v>30482.55</v>
      </c>
      <c r="K254" s="6">
        <v>32006.75</v>
      </c>
      <c r="L254" s="6">
        <v>1524.2000000000007</v>
      </c>
      <c r="M254" s="12" t="s">
        <v>123</v>
      </c>
      <c r="N254" s="12" t="s">
        <v>127</v>
      </c>
      <c r="O254" s="17">
        <v>14424.25</v>
      </c>
      <c r="P254" s="17">
        <v>1200</v>
      </c>
      <c r="Q254" s="17">
        <v>3793.5</v>
      </c>
      <c r="R254" s="17">
        <v>0</v>
      </c>
      <c r="S254" s="17">
        <v>4300</v>
      </c>
      <c r="T254" s="17">
        <v>1200</v>
      </c>
      <c r="U254" s="17">
        <v>4600</v>
      </c>
      <c r="V254" s="17">
        <v>2489</v>
      </c>
      <c r="W254" s="17">
        <v>32006.75</v>
      </c>
      <c r="X254" s="15">
        <v>0</v>
      </c>
      <c r="Y254" s="17">
        <v>1200</v>
      </c>
      <c r="Z254" s="17">
        <v>-1305.8900000000001</v>
      </c>
      <c r="AA254" s="17">
        <v>-1229.68</v>
      </c>
    </row>
    <row r="255" spans="3:27" ht="21.75" customHeight="1" x14ac:dyDescent="0.25">
      <c r="C255" s="11">
        <v>808</v>
      </c>
      <c r="D255" s="12" t="s">
        <v>370</v>
      </c>
      <c r="E255" s="7" t="s">
        <v>72</v>
      </c>
      <c r="F255" s="8">
        <v>45901</v>
      </c>
      <c r="G255" s="7" t="s">
        <v>16</v>
      </c>
      <c r="H255" s="9" t="s">
        <v>76</v>
      </c>
      <c r="I255" s="9" t="s">
        <v>12</v>
      </c>
      <c r="J255" s="6">
        <v>24255</v>
      </c>
      <c r="K255" s="6">
        <v>25467.75</v>
      </c>
      <c r="L255" s="6">
        <v>1212.75</v>
      </c>
      <c r="M255" s="12" t="s">
        <v>123</v>
      </c>
      <c r="N255" s="12" t="s">
        <v>127</v>
      </c>
      <c r="O255" s="17">
        <v>11867.75</v>
      </c>
      <c r="P255" s="17">
        <v>1200</v>
      </c>
      <c r="Q255" s="17">
        <v>1700</v>
      </c>
      <c r="R255" s="17">
        <v>0</v>
      </c>
      <c r="S255" s="17">
        <v>4300</v>
      </c>
      <c r="T255" s="17">
        <v>1200</v>
      </c>
      <c r="U255" s="17">
        <v>4600</v>
      </c>
      <c r="V255" s="17">
        <v>600</v>
      </c>
      <c r="W255" s="17">
        <v>25467.75</v>
      </c>
      <c r="X255" s="15">
        <v>0</v>
      </c>
      <c r="Y255" s="17">
        <v>0</v>
      </c>
      <c r="Z255" s="17">
        <v>-1013.39</v>
      </c>
      <c r="AA255" s="17">
        <v>-952.75</v>
      </c>
    </row>
    <row r="256" spans="3:27" ht="21.75" customHeight="1" x14ac:dyDescent="0.25">
      <c r="C256" s="11">
        <v>837</v>
      </c>
      <c r="D256" s="12" t="s">
        <v>371</v>
      </c>
      <c r="E256" s="7" t="s">
        <v>72</v>
      </c>
      <c r="F256" s="8">
        <v>45901</v>
      </c>
      <c r="G256" s="7" t="s">
        <v>16</v>
      </c>
      <c r="H256" s="9" t="s">
        <v>12</v>
      </c>
      <c r="I256" s="9" t="s">
        <v>9</v>
      </c>
      <c r="J256" s="6">
        <v>27562.5</v>
      </c>
      <c r="K256" s="6">
        <v>28940.75</v>
      </c>
      <c r="L256" s="6">
        <v>1378.25</v>
      </c>
      <c r="M256" s="12" t="s">
        <v>123</v>
      </c>
      <c r="N256" s="12" t="s">
        <v>127</v>
      </c>
      <c r="O256" s="17">
        <v>14278.25</v>
      </c>
      <c r="P256" s="17">
        <v>1200</v>
      </c>
      <c r="Q256" s="17">
        <v>1012.5</v>
      </c>
      <c r="R256" s="17">
        <v>0</v>
      </c>
      <c r="S256" s="17">
        <v>4300</v>
      </c>
      <c r="T256" s="17">
        <v>1200</v>
      </c>
      <c r="U256" s="17">
        <v>4600</v>
      </c>
      <c r="V256" s="17">
        <v>2350</v>
      </c>
      <c r="W256" s="17">
        <v>28940.75</v>
      </c>
      <c r="X256" s="15">
        <v>0</v>
      </c>
      <c r="Y256" s="17">
        <v>0</v>
      </c>
      <c r="Z256" s="17">
        <v>-1099.54</v>
      </c>
      <c r="AA256" s="17">
        <v>-1030.6199999999999</v>
      </c>
    </row>
    <row r="257" spans="3:27" ht="21.75" customHeight="1" x14ac:dyDescent="0.25">
      <c r="C257" s="11">
        <v>979</v>
      </c>
      <c r="D257" s="12" t="s">
        <v>372</v>
      </c>
      <c r="E257" s="7" t="s">
        <v>72</v>
      </c>
      <c r="F257" s="8">
        <v>45901</v>
      </c>
      <c r="G257" s="7" t="s">
        <v>16</v>
      </c>
      <c r="H257" s="9" t="s">
        <v>38</v>
      </c>
      <c r="I257" s="9" t="s">
        <v>18</v>
      </c>
      <c r="J257" s="6">
        <v>37000</v>
      </c>
      <c r="K257" s="6">
        <v>39000</v>
      </c>
      <c r="L257" s="6">
        <v>2000</v>
      </c>
      <c r="M257" s="12" t="s">
        <v>123</v>
      </c>
      <c r="N257" s="12" t="s">
        <v>127</v>
      </c>
      <c r="O257" s="17">
        <v>23200</v>
      </c>
      <c r="P257" s="17">
        <v>1500</v>
      </c>
      <c r="Q257" s="17">
        <v>0</v>
      </c>
      <c r="R257" s="17">
        <v>0</v>
      </c>
      <c r="S257" s="17">
        <v>5300</v>
      </c>
      <c r="T257" s="17">
        <v>1500</v>
      </c>
      <c r="U257" s="17">
        <v>7500</v>
      </c>
      <c r="V257" s="17">
        <v>0</v>
      </c>
      <c r="W257" s="17">
        <v>39000</v>
      </c>
      <c r="X257" s="15">
        <v>0</v>
      </c>
      <c r="Y257" s="17">
        <v>0</v>
      </c>
      <c r="Z257" s="17">
        <v>-1575</v>
      </c>
      <c r="AA257" s="17">
        <v>-1475</v>
      </c>
    </row>
    <row r="258" spans="3:27" ht="21.75" customHeight="1" x14ac:dyDescent="0.25">
      <c r="C258" s="11">
        <v>1134</v>
      </c>
      <c r="D258" s="12" t="s">
        <v>373</v>
      </c>
      <c r="E258" s="7" t="s">
        <v>72</v>
      </c>
      <c r="F258" s="8">
        <v>45901</v>
      </c>
      <c r="G258" s="7" t="s">
        <v>16</v>
      </c>
      <c r="H258" s="9" t="s">
        <v>12</v>
      </c>
      <c r="I258" s="9" t="s">
        <v>9</v>
      </c>
      <c r="J258" s="6">
        <v>27562.5</v>
      </c>
      <c r="K258" s="6">
        <v>28940.75</v>
      </c>
      <c r="L258" s="6">
        <v>1378.25</v>
      </c>
      <c r="M258" s="12" t="s">
        <v>123</v>
      </c>
      <c r="N258" s="12" t="s">
        <v>127</v>
      </c>
      <c r="O258" s="17">
        <v>14278.25</v>
      </c>
      <c r="P258" s="17">
        <v>1200</v>
      </c>
      <c r="Q258" s="17">
        <v>2162.5</v>
      </c>
      <c r="R258" s="17">
        <v>0</v>
      </c>
      <c r="S258" s="17">
        <v>4300</v>
      </c>
      <c r="T258" s="17">
        <v>1200</v>
      </c>
      <c r="U258" s="17">
        <v>4600</v>
      </c>
      <c r="V258" s="17">
        <v>1200</v>
      </c>
      <c r="W258" s="17">
        <v>28940.75</v>
      </c>
      <c r="X258" s="15">
        <v>0</v>
      </c>
      <c r="Y258" s="17">
        <v>1200</v>
      </c>
      <c r="Z258" s="17">
        <v>-1217.04</v>
      </c>
      <c r="AA258" s="17">
        <v>-1148.1199999999999</v>
      </c>
    </row>
    <row r="259" spans="3:27" ht="21.75" customHeight="1" x14ac:dyDescent="0.25">
      <c r="C259" s="11">
        <v>1204</v>
      </c>
      <c r="D259" s="12" t="s">
        <v>374</v>
      </c>
      <c r="E259" s="7" t="s">
        <v>72</v>
      </c>
      <c r="F259" s="8">
        <v>45901</v>
      </c>
      <c r="G259" s="7" t="s">
        <v>16</v>
      </c>
      <c r="H259" s="9" t="s">
        <v>12</v>
      </c>
      <c r="I259" s="9" t="s">
        <v>9</v>
      </c>
      <c r="J259" s="6">
        <v>21900</v>
      </c>
      <c r="K259" s="6">
        <v>24200</v>
      </c>
      <c r="L259" s="6">
        <v>2300</v>
      </c>
      <c r="M259" s="12" t="s">
        <v>123</v>
      </c>
      <c r="N259" s="12" t="s">
        <v>127</v>
      </c>
      <c r="O259" s="17">
        <v>12900</v>
      </c>
      <c r="P259" s="17">
        <v>1200</v>
      </c>
      <c r="Q259" s="17">
        <v>0</v>
      </c>
      <c r="R259" s="17">
        <v>0</v>
      </c>
      <c r="S259" s="17">
        <v>4300</v>
      </c>
      <c r="T259" s="17">
        <v>1200</v>
      </c>
      <c r="U259" s="17">
        <v>4600</v>
      </c>
      <c r="V259" s="17">
        <v>0</v>
      </c>
      <c r="W259" s="17">
        <v>24200</v>
      </c>
      <c r="X259" s="15">
        <v>0</v>
      </c>
      <c r="Y259" s="17">
        <v>600</v>
      </c>
      <c r="Z259" s="17">
        <v>-1010</v>
      </c>
      <c r="AA259" s="17">
        <v>-895</v>
      </c>
    </row>
    <row r="260" spans="3:27" ht="21.75" customHeight="1" x14ac:dyDescent="0.25">
      <c r="C260" s="11">
        <v>1355</v>
      </c>
      <c r="D260" s="12" t="s">
        <v>375</v>
      </c>
      <c r="E260" s="7" t="s">
        <v>72</v>
      </c>
      <c r="F260" s="8">
        <v>45901</v>
      </c>
      <c r="G260" s="7" t="s">
        <v>16</v>
      </c>
      <c r="H260" s="9" t="s">
        <v>76</v>
      </c>
      <c r="I260" s="9" t="s">
        <v>12</v>
      </c>
      <c r="J260" s="6">
        <v>29414.7</v>
      </c>
      <c r="K260" s="6">
        <v>30885.5</v>
      </c>
      <c r="L260" s="6">
        <v>1470.7999999999993</v>
      </c>
      <c r="M260" s="12" t="s">
        <v>123</v>
      </c>
      <c r="N260" s="12" t="s">
        <v>127</v>
      </c>
      <c r="O260" s="17">
        <v>13885.5</v>
      </c>
      <c r="P260" s="17">
        <v>1200</v>
      </c>
      <c r="Q260" s="17">
        <v>3500</v>
      </c>
      <c r="R260" s="17">
        <v>0</v>
      </c>
      <c r="S260" s="17">
        <v>4300</v>
      </c>
      <c r="T260" s="17">
        <v>1200</v>
      </c>
      <c r="U260" s="17">
        <v>4600</v>
      </c>
      <c r="V260" s="17">
        <v>2200</v>
      </c>
      <c r="W260" s="17">
        <v>30885.5</v>
      </c>
      <c r="X260" s="15">
        <v>0</v>
      </c>
      <c r="Y260" s="17">
        <v>0</v>
      </c>
      <c r="Z260" s="17">
        <v>-1204.28</v>
      </c>
      <c r="AA260" s="17">
        <v>-1130.74</v>
      </c>
    </row>
    <row r="261" spans="3:27" ht="21.75" customHeight="1" x14ac:dyDescent="0.25">
      <c r="C261" s="11">
        <v>1701</v>
      </c>
      <c r="D261" s="12" t="s">
        <v>376</v>
      </c>
      <c r="E261" s="7" t="s">
        <v>72</v>
      </c>
      <c r="F261" s="8">
        <v>45901</v>
      </c>
      <c r="G261" s="7" t="s">
        <v>16</v>
      </c>
      <c r="H261" s="9" t="s">
        <v>12</v>
      </c>
      <c r="I261" s="9" t="s">
        <v>9</v>
      </c>
      <c r="J261" s="6">
        <v>21900</v>
      </c>
      <c r="K261" s="6">
        <v>24200</v>
      </c>
      <c r="L261" s="6">
        <v>2300</v>
      </c>
      <c r="M261" s="12" t="s">
        <v>123</v>
      </c>
      <c r="N261" s="12" t="s">
        <v>127</v>
      </c>
      <c r="O261" s="17">
        <v>12900</v>
      </c>
      <c r="P261" s="17">
        <v>1200</v>
      </c>
      <c r="Q261" s="17">
        <v>0</v>
      </c>
      <c r="R261" s="17">
        <v>0</v>
      </c>
      <c r="S261" s="17">
        <v>4300</v>
      </c>
      <c r="T261" s="17">
        <v>1200</v>
      </c>
      <c r="U261" s="17">
        <v>4600</v>
      </c>
      <c r="V261" s="17">
        <v>0</v>
      </c>
      <c r="W261" s="17">
        <v>24200</v>
      </c>
      <c r="X261" s="15">
        <v>0</v>
      </c>
      <c r="Y261" s="17">
        <v>0</v>
      </c>
      <c r="Z261" s="17">
        <v>-980</v>
      </c>
      <c r="AA261" s="17">
        <v>-865</v>
      </c>
    </row>
    <row r="262" spans="3:27" ht="21.75" customHeight="1" x14ac:dyDescent="0.25">
      <c r="C262" s="11">
        <v>1754</v>
      </c>
      <c r="D262" s="12" t="s">
        <v>377</v>
      </c>
      <c r="E262" s="7" t="s">
        <v>72</v>
      </c>
      <c r="F262" s="8">
        <v>45901</v>
      </c>
      <c r="G262" s="7" t="s">
        <v>16</v>
      </c>
      <c r="H262" s="9" t="s">
        <v>12</v>
      </c>
      <c r="I262" s="9" t="s">
        <v>9</v>
      </c>
      <c r="J262" s="6">
        <v>21900</v>
      </c>
      <c r="K262" s="6">
        <v>24200</v>
      </c>
      <c r="L262" s="6">
        <v>2300</v>
      </c>
      <c r="M262" s="12" t="s">
        <v>123</v>
      </c>
      <c r="N262" s="12" t="s">
        <v>127</v>
      </c>
      <c r="O262" s="17">
        <v>12900</v>
      </c>
      <c r="P262" s="17">
        <v>1200</v>
      </c>
      <c r="Q262" s="17">
        <v>0</v>
      </c>
      <c r="R262" s="17">
        <v>0</v>
      </c>
      <c r="S262" s="17">
        <v>4300</v>
      </c>
      <c r="T262" s="17">
        <v>1200</v>
      </c>
      <c r="U262" s="17">
        <v>4600</v>
      </c>
      <c r="V262" s="17">
        <v>0</v>
      </c>
      <c r="W262" s="17">
        <v>24200</v>
      </c>
      <c r="X262" s="15">
        <v>0</v>
      </c>
      <c r="Y262" s="17">
        <v>0</v>
      </c>
      <c r="Z262" s="17">
        <v>-980</v>
      </c>
      <c r="AA262" s="17">
        <v>-865</v>
      </c>
    </row>
    <row r="263" spans="3:27" ht="21.75" customHeight="1" x14ac:dyDescent="0.25">
      <c r="C263" s="11">
        <v>1755</v>
      </c>
      <c r="D263" s="12" t="s">
        <v>378</v>
      </c>
      <c r="E263" s="7" t="s">
        <v>72</v>
      </c>
      <c r="F263" s="8">
        <v>45901</v>
      </c>
      <c r="G263" s="7" t="s">
        <v>16</v>
      </c>
      <c r="H263" s="9" t="s">
        <v>12</v>
      </c>
      <c r="I263" s="9" t="s">
        <v>9</v>
      </c>
      <c r="J263" s="6">
        <v>21900</v>
      </c>
      <c r="K263" s="6">
        <v>24200</v>
      </c>
      <c r="L263" s="6">
        <v>2300</v>
      </c>
      <c r="M263" s="12" t="s">
        <v>123</v>
      </c>
      <c r="N263" s="12" t="s">
        <v>127</v>
      </c>
      <c r="O263" s="17">
        <v>12900</v>
      </c>
      <c r="P263" s="17">
        <v>1200</v>
      </c>
      <c r="Q263" s="17">
        <v>0</v>
      </c>
      <c r="R263" s="17">
        <v>0</v>
      </c>
      <c r="S263" s="17">
        <v>4300</v>
      </c>
      <c r="T263" s="17">
        <v>1200</v>
      </c>
      <c r="U263" s="17">
        <v>4600</v>
      </c>
      <c r="V263" s="17">
        <v>0</v>
      </c>
      <c r="W263" s="17">
        <v>24200</v>
      </c>
      <c r="X263" s="15">
        <v>0</v>
      </c>
      <c r="Y263" s="17">
        <v>600</v>
      </c>
      <c r="Z263" s="17">
        <v>-1010</v>
      </c>
      <c r="AA263" s="17">
        <v>-895</v>
      </c>
    </row>
    <row r="264" spans="3:27" ht="21.75" customHeight="1" x14ac:dyDescent="0.25">
      <c r="C264" s="11">
        <v>1770</v>
      </c>
      <c r="D264" s="12" t="s">
        <v>379</v>
      </c>
      <c r="E264" s="7" t="s">
        <v>72</v>
      </c>
      <c r="F264" s="8">
        <v>45901</v>
      </c>
      <c r="G264" s="7" t="s">
        <v>16</v>
      </c>
      <c r="H264" s="9" t="s">
        <v>12</v>
      </c>
      <c r="I264" s="9" t="s">
        <v>9</v>
      </c>
      <c r="J264" s="6">
        <v>21900</v>
      </c>
      <c r="K264" s="6">
        <v>24200</v>
      </c>
      <c r="L264" s="6">
        <v>2300</v>
      </c>
      <c r="M264" s="12" t="s">
        <v>123</v>
      </c>
      <c r="N264" s="12" t="s">
        <v>127</v>
      </c>
      <c r="O264" s="17">
        <v>12900</v>
      </c>
      <c r="P264" s="17">
        <v>1200</v>
      </c>
      <c r="Q264" s="17">
        <v>0</v>
      </c>
      <c r="R264" s="17">
        <v>0</v>
      </c>
      <c r="S264" s="17">
        <v>4300</v>
      </c>
      <c r="T264" s="17">
        <v>1200</v>
      </c>
      <c r="U264" s="17">
        <v>4600</v>
      </c>
      <c r="V264" s="17">
        <v>0</v>
      </c>
      <c r="W264" s="17">
        <v>24200</v>
      </c>
      <c r="X264" s="15">
        <v>0</v>
      </c>
      <c r="Y264" s="17">
        <v>0</v>
      </c>
      <c r="Z264" s="17">
        <v>-980</v>
      </c>
      <c r="AA264" s="17">
        <v>-865</v>
      </c>
    </row>
    <row r="265" spans="3:27" ht="21.75" customHeight="1" x14ac:dyDescent="0.25">
      <c r="C265" s="11">
        <v>1682</v>
      </c>
      <c r="D265" s="12" t="s">
        <v>380</v>
      </c>
      <c r="E265" s="7" t="s">
        <v>72</v>
      </c>
      <c r="F265" s="8">
        <v>45901</v>
      </c>
      <c r="G265" s="7" t="s">
        <v>16</v>
      </c>
      <c r="H265" s="9" t="s">
        <v>12</v>
      </c>
      <c r="I265" s="9" t="s">
        <v>9</v>
      </c>
      <c r="J265" s="6">
        <v>21900</v>
      </c>
      <c r="K265" s="6">
        <v>24200</v>
      </c>
      <c r="L265" s="6">
        <v>2300</v>
      </c>
      <c r="M265" s="12" t="s">
        <v>123</v>
      </c>
      <c r="N265" s="12" t="s">
        <v>127</v>
      </c>
      <c r="O265" s="17">
        <v>12900</v>
      </c>
      <c r="P265" s="17">
        <v>1200</v>
      </c>
      <c r="Q265" s="17">
        <v>0</v>
      </c>
      <c r="R265" s="17">
        <v>0</v>
      </c>
      <c r="S265" s="17">
        <v>4300</v>
      </c>
      <c r="T265" s="17">
        <v>1200</v>
      </c>
      <c r="U265" s="17">
        <v>4600</v>
      </c>
      <c r="V265" s="17">
        <v>0</v>
      </c>
      <c r="W265" s="17">
        <v>24200</v>
      </c>
      <c r="X265" s="15">
        <v>0</v>
      </c>
      <c r="Y265" s="17">
        <v>0</v>
      </c>
      <c r="Z265" s="17">
        <v>-980</v>
      </c>
      <c r="AA265" s="17">
        <v>-865</v>
      </c>
    </row>
    <row r="266" spans="3:27" ht="21.75" customHeight="1" x14ac:dyDescent="0.25">
      <c r="C266" s="11">
        <v>1790</v>
      </c>
      <c r="D266" s="12" t="s">
        <v>381</v>
      </c>
      <c r="E266" s="7" t="s">
        <v>72</v>
      </c>
      <c r="F266" s="8">
        <v>45901</v>
      </c>
      <c r="G266" s="7" t="s">
        <v>16</v>
      </c>
      <c r="H266" s="9" t="s">
        <v>76</v>
      </c>
      <c r="I266" s="9" t="s">
        <v>12</v>
      </c>
      <c r="J266" s="6">
        <v>20800</v>
      </c>
      <c r="K266" s="6">
        <v>21900</v>
      </c>
      <c r="L266" s="6">
        <v>1100</v>
      </c>
      <c r="M266" s="12" t="s">
        <v>123</v>
      </c>
      <c r="N266" s="12" t="s">
        <v>127</v>
      </c>
      <c r="O266" s="17">
        <v>10600</v>
      </c>
      <c r="P266" s="17">
        <v>1200</v>
      </c>
      <c r="Q266" s="17">
        <v>0</v>
      </c>
      <c r="R266" s="17">
        <v>0</v>
      </c>
      <c r="S266" s="17">
        <v>4300</v>
      </c>
      <c r="T266" s="17">
        <v>1200</v>
      </c>
      <c r="U266" s="17">
        <v>4600</v>
      </c>
      <c r="V266" s="17">
        <v>0</v>
      </c>
      <c r="W266" s="17">
        <v>21900</v>
      </c>
      <c r="X266" s="15">
        <v>0</v>
      </c>
      <c r="Y266" s="17">
        <v>0</v>
      </c>
      <c r="Z266" s="17">
        <v>-865</v>
      </c>
      <c r="AA266" s="17">
        <v>-810</v>
      </c>
    </row>
    <row r="267" spans="3:27" ht="21.75" customHeight="1" x14ac:dyDescent="0.25">
      <c r="C267" s="11">
        <v>824</v>
      </c>
      <c r="D267" s="12" t="s">
        <v>382</v>
      </c>
      <c r="E267" s="7" t="s">
        <v>71</v>
      </c>
      <c r="F267" s="8">
        <v>45901</v>
      </c>
      <c r="G267" s="7" t="s">
        <v>16</v>
      </c>
      <c r="H267" s="9" t="s">
        <v>18</v>
      </c>
      <c r="I267" s="9" t="s">
        <v>18</v>
      </c>
      <c r="J267" s="6">
        <v>43417.5</v>
      </c>
      <c r="K267" s="6">
        <v>45944.25</v>
      </c>
      <c r="L267" s="6">
        <v>2526.75</v>
      </c>
      <c r="M267" s="12" t="s">
        <v>123</v>
      </c>
      <c r="N267" s="12" t="s">
        <v>383</v>
      </c>
      <c r="O267" s="17">
        <v>27794.25</v>
      </c>
      <c r="P267" s="17">
        <v>1500</v>
      </c>
      <c r="Q267" s="17">
        <v>0</v>
      </c>
      <c r="R267" s="17">
        <v>0</v>
      </c>
      <c r="S267" s="17">
        <v>5300</v>
      </c>
      <c r="T267" s="17">
        <v>1500</v>
      </c>
      <c r="U267" s="17">
        <v>7500</v>
      </c>
      <c r="V267" s="17">
        <v>2350</v>
      </c>
      <c r="W267" s="17">
        <v>45944.25</v>
      </c>
      <c r="X267" s="15">
        <v>0</v>
      </c>
      <c r="Y267" s="17">
        <v>0</v>
      </c>
      <c r="Z267" s="17">
        <v>-1804.71</v>
      </c>
      <c r="AA267" s="17">
        <v>-1678.38</v>
      </c>
    </row>
    <row r="268" spans="3:27" ht="21.75" customHeight="1" x14ac:dyDescent="0.25">
      <c r="C268" s="11">
        <v>833</v>
      </c>
      <c r="D268" s="12" t="s">
        <v>384</v>
      </c>
      <c r="E268" s="7" t="s">
        <v>72</v>
      </c>
      <c r="F268" s="8">
        <v>45901</v>
      </c>
      <c r="G268" s="7" t="s">
        <v>16</v>
      </c>
      <c r="H268" s="9" t="s">
        <v>38</v>
      </c>
      <c r="I268" s="9" t="s">
        <v>18</v>
      </c>
      <c r="J268" s="6">
        <v>37000</v>
      </c>
      <c r="K268" s="6">
        <v>39000</v>
      </c>
      <c r="L268" s="6">
        <v>2000</v>
      </c>
      <c r="M268" s="12" t="s">
        <v>123</v>
      </c>
      <c r="N268" s="12" t="s">
        <v>383</v>
      </c>
      <c r="O268" s="17">
        <v>23200</v>
      </c>
      <c r="P268" s="17">
        <v>1500</v>
      </c>
      <c r="Q268" s="17">
        <v>0</v>
      </c>
      <c r="R268" s="17">
        <v>0</v>
      </c>
      <c r="S268" s="17">
        <v>5300</v>
      </c>
      <c r="T268" s="17">
        <v>1500</v>
      </c>
      <c r="U268" s="17">
        <v>7500</v>
      </c>
      <c r="V268" s="17">
        <v>0</v>
      </c>
      <c r="W268" s="17">
        <v>39000</v>
      </c>
      <c r="X268" s="15">
        <v>0</v>
      </c>
      <c r="Y268" s="17">
        <v>1200</v>
      </c>
      <c r="Z268" s="17">
        <v>-1635</v>
      </c>
      <c r="AA268" s="17">
        <v>-1535</v>
      </c>
    </row>
    <row r="269" spans="3:27" ht="21.75" customHeight="1" x14ac:dyDescent="0.25">
      <c r="C269" s="11">
        <v>1814</v>
      </c>
      <c r="D269" s="12" t="s">
        <v>385</v>
      </c>
      <c r="E269" s="7" t="s">
        <v>72</v>
      </c>
      <c r="F269" s="8">
        <v>45901</v>
      </c>
      <c r="G269" s="7" t="s">
        <v>16</v>
      </c>
      <c r="H269" s="9" t="s">
        <v>76</v>
      </c>
      <c r="I269" s="9" t="s">
        <v>12</v>
      </c>
      <c r="J269" s="6">
        <v>20800</v>
      </c>
      <c r="K269" s="6">
        <v>21900</v>
      </c>
      <c r="L269" s="6">
        <v>1100</v>
      </c>
      <c r="M269" s="12" t="s">
        <v>123</v>
      </c>
      <c r="N269" s="12" t="s">
        <v>268</v>
      </c>
      <c r="O269" s="17">
        <v>10600</v>
      </c>
      <c r="P269" s="17">
        <v>1200</v>
      </c>
      <c r="Q269" s="17">
        <v>0</v>
      </c>
      <c r="R269" s="17">
        <v>0</v>
      </c>
      <c r="S269" s="17">
        <v>4300</v>
      </c>
      <c r="T269" s="17">
        <v>1200</v>
      </c>
      <c r="U269" s="17">
        <v>4600</v>
      </c>
      <c r="V269" s="17">
        <v>0</v>
      </c>
      <c r="W269" s="17">
        <v>21900</v>
      </c>
      <c r="X269" s="15">
        <v>0</v>
      </c>
      <c r="Y269" s="17">
        <v>0</v>
      </c>
      <c r="Z269" s="17">
        <v>-865</v>
      </c>
      <c r="AA269" s="17">
        <v>-810</v>
      </c>
    </row>
    <row r="270" spans="3:27" ht="21.75" customHeight="1" x14ac:dyDescent="0.25">
      <c r="C270" s="11">
        <v>41</v>
      </c>
      <c r="D270" s="12" t="s">
        <v>386</v>
      </c>
      <c r="E270" s="7" t="s">
        <v>71</v>
      </c>
      <c r="F270" s="8">
        <v>45901</v>
      </c>
      <c r="G270" s="7" t="s">
        <v>16</v>
      </c>
      <c r="H270" s="9" t="s">
        <v>18</v>
      </c>
      <c r="I270" s="9" t="s">
        <v>18</v>
      </c>
      <c r="J270" s="6">
        <v>59464</v>
      </c>
      <c r="K270" s="6">
        <v>62016</v>
      </c>
      <c r="L270" s="6">
        <v>2552</v>
      </c>
      <c r="M270" s="12" t="s">
        <v>123</v>
      </c>
      <c r="N270" s="12" t="s">
        <v>387</v>
      </c>
      <c r="O270" s="17">
        <v>28072</v>
      </c>
      <c r="P270" s="17">
        <v>1500</v>
      </c>
      <c r="Q270" s="17">
        <v>12144</v>
      </c>
      <c r="R270" s="17">
        <v>0</v>
      </c>
      <c r="S270" s="17">
        <v>5300</v>
      </c>
      <c r="T270" s="17">
        <v>1500</v>
      </c>
      <c r="U270" s="17">
        <v>7500</v>
      </c>
      <c r="V270" s="17">
        <v>6000</v>
      </c>
      <c r="W270" s="17">
        <v>62016</v>
      </c>
      <c r="X270" s="15">
        <v>0</v>
      </c>
      <c r="Y270" s="17">
        <v>0</v>
      </c>
      <c r="Z270" s="17">
        <v>-2425.8000000000002</v>
      </c>
      <c r="AA270" s="17">
        <v>-2298.1999999999998</v>
      </c>
    </row>
    <row r="271" spans="3:27" ht="21.75" customHeight="1" x14ac:dyDescent="0.25">
      <c r="C271" s="11">
        <v>329</v>
      </c>
      <c r="D271" s="12" t="s">
        <v>388</v>
      </c>
      <c r="E271" s="7" t="s">
        <v>72</v>
      </c>
      <c r="F271" s="8">
        <v>45901</v>
      </c>
      <c r="G271" s="7" t="s">
        <v>16</v>
      </c>
      <c r="H271" s="9" t="s">
        <v>49</v>
      </c>
      <c r="I271" s="9" t="s">
        <v>22</v>
      </c>
      <c r="J271" s="6">
        <v>57903.3</v>
      </c>
      <c r="K271" s="6">
        <v>60798.5</v>
      </c>
      <c r="L271" s="6">
        <v>2895.1999999999971</v>
      </c>
      <c r="M271" s="12" t="s">
        <v>123</v>
      </c>
      <c r="N271" s="12" t="s">
        <v>387</v>
      </c>
      <c r="O271" s="17">
        <v>37895.25</v>
      </c>
      <c r="P271" s="17">
        <v>2000</v>
      </c>
      <c r="Q271" s="17">
        <v>0</v>
      </c>
      <c r="R271" s="17">
        <v>0</v>
      </c>
      <c r="S271" s="17">
        <v>6500</v>
      </c>
      <c r="T271" s="17">
        <v>2000</v>
      </c>
      <c r="U271" s="17">
        <v>10500</v>
      </c>
      <c r="V271" s="17">
        <v>1903.25</v>
      </c>
      <c r="W271" s="17">
        <v>60798.5</v>
      </c>
      <c r="X271" s="15">
        <v>0</v>
      </c>
      <c r="Y271" s="17">
        <v>0</v>
      </c>
      <c r="Z271" s="17">
        <v>-2419.7600000000002</v>
      </c>
      <c r="AA271" s="17">
        <v>-2144.16</v>
      </c>
    </row>
    <row r="272" spans="3:27" ht="21.75" customHeight="1" x14ac:dyDescent="0.25">
      <c r="C272" s="11">
        <v>599</v>
      </c>
      <c r="D272" s="12" t="s">
        <v>389</v>
      </c>
      <c r="E272" s="7" t="s">
        <v>72</v>
      </c>
      <c r="F272" s="8">
        <v>45901</v>
      </c>
      <c r="G272" s="7" t="s">
        <v>16</v>
      </c>
      <c r="H272" s="9" t="s">
        <v>38</v>
      </c>
      <c r="I272" s="9" t="s">
        <v>18</v>
      </c>
      <c r="J272" s="6">
        <v>37000</v>
      </c>
      <c r="K272" s="6">
        <v>39000</v>
      </c>
      <c r="L272" s="6">
        <v>2000</v>
      </c>
      <c r="M272" s="12" t="s">
        <v>123</v>
      </c>
      <c r="N272" s="12" t="s">
        <v>387</v>
      </c>
      <c r="O272" s="17">
        <v>23200</v>
      </c>
      <c r="P272" s="17">
        <v>1500</v>
      </c>
      <c r="Q272" s="17">
        <v>0</v>
      </c>
      <c r="R272" s="17">
        <v>0</v>
      </c>
      <c r="S272" s="17">
        <v>5300</v>
      </c>
      <c r="T272" s="17">
        <v>1500</v>
      </c>
      <c r="U272" s="17">
        <v>7500</v>
      </c>
      <c r="V272" s="17">
        <v>0</v>
      </c>
      <c r="W272" s="17">
        <v>39000</v>
      </c>
      <c r="X272" s="15">
        <v>0</v>
      </c>
      <c r="Y272" s="17">
        <v>0</v>
      </c>
      <c r="Z272" s="17">
        <v>-1575</v>
      </c>
      <c r="AA272" s="17">
        <v>-1475</v>
      </c>
    </row>
    <row r="273" spans="3:27" ht="21.75" customHeight="1" x14ac:dyDescent="0.25">
      <c r="C273" s="11">
        <v>604</v>
      </c>
      <c r="D273" s="12" t="s">
        <v>390</v>
      </c>
      <c r="E273" s="7" t="s">
        <v>72</v>
      </c>
      <c r="F273" s="8">
        <v>45901</v>
      </c>
      <c r="G273" s="7" t="s">
        <v>16</v>
      </c>
      <c r="H273" s="9" t="s">
        <v>12</v>
      </c>
      <c r="I273" s="9" t="s">
        <v>9</v>
      </c>
      <c r="J273" s="6">
        <v>29242.5</v>
      </c>
      <c r="K273" s="6">
        <v>30704.75</v>
      </c>
      <c r="L273" s="6">
        <v>1462.25</v>
      </c>
      <c r="M273" s="12" t="s">
        <v>123</v>
      </c>
      <c r="N273" s="12" t="s">
        <v>387</v>
      </c>
      <c r="O273" s="17">
        <v>14362.25</v>
      </c>
      <c r="P273" s="17">
        <v>1200</v>
      </c>
      <c r="Q273" s="17">
        <v>1542.5</v>
      </c>
      <c r="R273" s="17">
        <v>0</v>
      </c>
      <c r="S273" s="17">
        <v>4300</v>
      </c>
      <c r="T273" s="17">
        <v>1200</v>
      </c>
      <c r="U273" s="17">
        <v>4600</v>
      </c>
      <c r="V273" s="17">
        <v>3500</v>
      </c>
      <c r="W273" s="17">
        <v>30704.75</v>
      </c>
      <c r="X273" s="15">
        <v>0</v>
      </c>
      <c r="Y273" s="17">
        <v>4200</v>
      </c>
      <c r="Z273" s="17">
        <v>-1340.24</v>
      </c>
      <c r="AA273" s="17">
        <v>-1267.1199999999999</v>
      </c>
    </row>
    <row r="274" spans="3:27" ht="21.75" customHeight="1" x14ac:dyDescent="0.25">
      <c r="C274" s="11">
        <v>665</v>
      </c>
      <c r="D274" s="12" t="s">
        <v>391</v>
      </c>
      <c r="E274" s="7" t="s">
        <v>72</v>
      </c>
      <c r="F274" s="8">
        <v>45901</v>
      </c>
      <c r="G274" s="7" t="s">
        <v>16</v>
      </c>
      <c r="H274" s="9" t="s">
        <v>12</v>
      </c>
      <c r="I274" s="9" t="s">
        <v>9</v>
      </c>
      <c r="J274" s="6">
        <v>30854.57</v>
      </c>
      <c r="K274" s="6">
        <v>32397.25</v>
      </c>
      <c r="L274" s="6">
        <v>1542.6800000000003</v>
      </c>
      <c r="M274" s="12" t="s">
        <v>123</v>
      </c>
      <c r="N274" s="12" t="s">
        <v>387</v>
      </c>
      <c r="O274" s="17">
        <v>14442.75</v>
      </c>
      <c r="P274" s="17">
        <v>1200</v>
      </c>
      <c r="Q274" s="17">
        <v>4155.5</v>
      </c>
      <c r="R274" s="17">
        <v>0</v>
      </c>
      <c r="S274" s="17">
        <v>4300</v>
      </c>
      <c r="T274" s="17">
        <v>1200</v>
      </c>
      <c r="U274" s="17">
        <v>4600</v>
      </c>
      <c r="V274" s="17">
        <v>2499</v>
      </c>
      <c r="W274" s="17">
        <v>32397.25</v>
      </c>
      <c r="X274" s="15">
        <v>0</v>
      </c>
      <c r="Y274" s="17">
        <v>600</v>
      </c>
      <c r="Z274" s="17">
        <v>-1294.9100000000001</v>
      </c>
      <c r="AA274" s="17">
        <v>-1217.78</v>
      </c>
    </row>
    <row r="275" spans="3:27" ht="21.75" customHeight="1" x14ac:dyDescent="0.25">
      <c r="C275" s="11">
        <v>889</v>
      </c>
      <c r="D275" s="12" t="s">
        <v>392</v>
      </c>
      <c r="E275" s="7" t="s">
        <v>72</v>
      </c>
      <c r="F275" s="8">
        <v>45901</v>
      </c>
      <c r="G275" s="7" t="s">
        <v>16</v>
      </c>
      <c r="H275" s="9" t="s">
        <v>12</v>
      </c>
      <c r="I275" s="9" t="s">
        <v>9</v>
      </c>
      <c r="J275" s="6">
        <v>21900</v>
      </c>
      <c r="K275" s="6">
        <v>24200</v>
      </c>
      <c r="L275" s="6">
        <v>2300</v>
      </c>
      <c r="M275" s="12" t="s">
        <v>123</v>
      </c>
      <c r="N275" s="12" t="s">
        <v>387</v>
      </c>
      <c r="O275" s="17">
        <v>12900</v>
      </c>
      <c r="P275" s="17">
        <v>1200</v>
      </c>
      <c r="Q275" s="17">
        <v>0</v>
      </c>
      <c r="R275" s="17">
        <v>0</v>
      </c>
      <c r="S275" s="17">
        <v>4300</v>
      </c>
      <c r="T275" s="17">
        <v>1200</v>
      </c>
      <c r="U275" s="17">
        <v>4600</v>
      </c>
      <c r="V275" s="17">
        <v>0</v>
      </c>
      <c r="W275" s="17">
        <v>24200</v>
      </c>
      <c r="X275" s="15">
        <v>0</v>
      </c>
      <c r="Y275" s="17">
        <v>0</v>
      </c>
      <c r="Z275" s="17">
        <v>-980</v>
      </c>
      <c r="AA275" s="17">
        <v>-865</v>
      </c>
    </row>
    <row r="276" spans="3:27" ht="21.75" customHeight="1" x14ac:dyDescent="0.25">
      <c r="C276" s="11">
        <v>894</v>
      </c>
      <c r="D276" s="12" t="s">
        <v>393</v>
      </c>
      <c r="E276" s="7" t="s">
        <v>72</v>
      </c>
      <c r="F276" s="8">
        <v>45901</v>
      </c>
      <c r="G276" s="7" t="s">
        <v>16</v>
      </c>
      <c r="H276" s="9" t="s">
        <v>12</v>
      </c>
      <c r="I276" s="9" t="s">
        <v>9</v>
      </c>
      <c r="J276" s="6">
        <v>28885.5</v>
      </c>
      <c r="K276" s="6">
        <v>30329.75</v>
      </c>
      <c r="L276" s="6">
        <v>1444.25</v>
      </c>
      <c r="M276" s="12" t="s">
        <v>123</v>
      </c>
      <c r="N276" s="12" t="s">
        <v>387</v>
      </c>
      <c r="O276" s="17">
        <v>14344.25</v>
      </c>
      <c r="P276" s="17">
        <v>1200</v>
      </c>
      <c r="Q276" s="17">
        <v>2275.5</v>
      </c>
      <c r="R276" s="17">
        <v>0</v>
      </c>
      <c r="S276" s="17">
        <v>4300</v>
      </c>
      <c r="T276" s="17">
        <v>1200</v>
      </c>
      <c r="U276" s="17">
        <v>4600</v>
      </c>
      <c r="V276" s="17">
        <v>2410</v>
      </c>
      <c r="W276" s="17">
        <v>30329.75</v>
      </c>
      <c r="X276" s="15">
        <v>0</v>
      </c>
      <c r="Y276" s="17">
        <v>2400</v>
      </c>
      <c r="Z276" s="17">
        <v>-1285.99</v>
      </c>
      <c r="AA276" s="17">
        <v>-1213.78</v>
      </c>
    </row>
    <row r="277" spans="3:27" ht="21.75" customHeight="1" x14ac:dyDescent="0.25">
      <c r="C277" s="11">
        <v>1015</v>
      </c>
      <c r="D277" s="12" t="s">
        <v>394</v>
      </c>
      <c r="E277" s="7" t="s">
        <v>71</v>
      </c>
      <c r="F277" s="8">
        <v>45901</v>
      </c>
      <c r="G277" s="7" t="s">
        <v>16</v>
      </c>
      <c r="H277" s="9" t="s">
        <v>18</v>
      </c>
      <c r="I277" s="9" t="s">
        <v>18</v>
      </c>
      <c r="J277" s="6">
        <v>51120</v>
      </c>
      <c r="K277" s="6">
        <v>53672</v>
      </c>
      <c r="L277" s="6">
        <v>2552</v>
      </c>
      <c r="M277" s="12" t="s">
        <v>123</v>
      </c>
      <c r="N277" s="12" t="s">
        <v>387</v>
      </c>
      <c r="O277" s="17">
        <v>28072</v>
      </c>
      <c r="P277" s="17">
        <v>1500</v>
      </c>
      <c r="Q277" s="17">
        <v>3800</v>
      </c>
      <c r="R277" s="17">
        <v>0</v>
      </c>
      <c r="S277" s="17">
        <v>5300</v>
      </c>
      <c r="T277" s="17">
        <v>1500</v>
      </c>
      <c r="U277" s="17">
        <v>7500</v>
      </c>
      <c r="V277" s="17">
        <v>6000</v>
      </c>
      <c r="W277" s="17">
        <v>53672</v>
      </c>
      <c r="X277" s="15">
        <v>0</v>
      </c>
      <c r="Y277" s="17">
        <v>600</v>
      </c>
      <c r="Z277" s="17">
        <v>-2038.6</v>
      </c>
      <c r="AA277" s="17">
        <v>-1911</v>
      </c>
    </row>
    <row r="278" spans="3:27" ht="21.75" customHeight="1" x14ac:dyDescent="0.25">
      <c r="C278" s="11">
        <v>1041</v>
      </c>
      <c r="D278" s="12" t="s">
        <v>395</v>
      </c>
      <c r="E278" s="7" t="s">
        <v>72</v>
      </c>
      <c r="F278" s="8">
        <v>45901</v>
      </c>
      <c r="G278" s="7" t="s">
        <v>16</v>
      </c>
      <c r="H278" s="9" t="s">
        <v>12</v>
      </c>
      <c r="I278" s="9" t="s">
        <v>9</v>
      </c>
      <c r="J278" s="6">
        <v>25357.5</v>
      </c>
      <c r="K278" s="6">
        <v>26625.5</v>
      </c>
      <c r="L278" s="6">
        <v>1268</v>
      </c>
      <c r="M278" s="12" t="s">
        <v>123</v>
      </c>
      <c r="N278" s="12" t="s">
        <v>387</v>
      </c>
      <c r="O278" s="17">
        <v>14168</v>
      </c>
      <c r="P278" s="17">
        <v>1200</v>
      </c>
      <c r="Q278" s="17">
        <v>0</v>
      </c>
      <c r="R278" s="17">
        <v>0</v>
      </c>
      <c r="S278" s="17">
        <v>4300</v>
      </c>
      <c r="T278" s="17">
        <v>1200</v>
      </c>
      <c r="U278" s="17">
        <v>4600</v>
      </c>
      <c r="V278" s="17">
        <v>1157.5</v>
      </c>
      <c r="W278" s="17">
        <v>26625.5</v>
      </c>
      <c r="X278" s="15">
        <v>0</v>
      </c>
      <c r="Y278" s="17">
        <v>0</v>
      </c>
      <c r="Z278" s="17">
        <v>-1043.4000000000001</v>
      </c>
      <c r="AA278" s="17">
        <v>-927.88</v>
      </c>
    </row>
    <row r="279" spans="3:27" ht="21.75" customHeight="1" x14ac:dyDescent="0.25">
      <c r="C279" s="11">
        <v>1147</v>
      </c>
      <c r="D279" s="12" t="s">
        <v>396</v>
      </c>
      <c r="E279" s="7" t="s">
        <v>72</v>
      </c>
      <c r="F279" s="8">
        <v>45901</v>
      </c>
      <c r="G279" s="7" t="s">
        <v>16</v>
      </c>
      <c r="H279" s="9" t="s">
        <v>12</v>
      </c>
      <c r="I279" s="9" t="s">
        <v>9</v>
      </c>
      <c r="J279" s="6">
        <v>28224</v>
      </c>
      <c r="K279" s="6">
        <v>29635.25</v>
      </c>
      <c r="L279" s="6">
        <v>1411.25</v>
      </c>
      <c r="M279" s="12" t="s">
        <v>123</v>
      </c>
      <c r="N279" s="12" t="s">
        <v>387</v>
      </c>
      <c r="O279" s="17">
        <v>14311.25</v>
      </c>
      <c r="P279" s="17">
        <v>1200</v>
      </c>
      <c r="Q279" s="17">
        <v>1644</v>
      </c>
      <c r="R279" s="17">
        <v>0</v>
      </c>
      <c r="S279" s="17">
        <v>4300</v>
      </c>
      <c r="T279" s="17">
        <v>1200</v>
      </c>
      <c r="U279" s="17">
        <v>4600</v>
      </c>
      <c r="V279" s="17">
        <v>2380</v>
      </c>
      <c r="W279" s="17">
        <v>29635.25</v>
      </c>
      <c r="X279" s="15">
        <v>0</v>
      </c>
      <c r="Y279" s="17">
        <v>0</v>
      </c>
      <c r="Z279" s="17">
        <v>-1132.76</v>
      </c>
      <c r="AA279" s="17">
        <v>-1062.2</v>
      </c>
    </row>
    <row r="280" spans="3:27" ht="21.75" customHeight="1" x14ac:dyDescent="0.25">
      <c r="C280" s="11">
        <v>1544</v>
      </c>
      <c r="D280" s="12" t="s">
        <v>397</v>
      </c>
      <c r="E280" s="7" t="s">
        <v>72</v>
      </c>
      <c r="F280" s="8">
        <v>45901</v>
      </c>
      <c r="G280" s="7" t="s">
        <v>16</v>
      </c>
      <c r="H280" s="9" t="s">
        <v>38</v>
      </c>
      <c r="I280" s="9" t="s">
        <v>18</v>
      </c>
      <c r="J280" s="6">
        <v>37000</v>
      </c>
      <c r="K280" s="6">
        <v>39000</v>
      </c>
      <c r="L280" s="6">
        <v>2000</v>
      </c>
      <c r="M280" s="12" t="s">
        <v>123</v>
      </c>
      <c r="N280" s="12" t="s">
        <v>387</v>
      </c>
      <c r="O280" s="17">
        <v>23200</v>
      </c>
      <c r="P280" s="17">
        <v>1500</v>
      </c>
      <c r="Q280" s="17">
        <v>0</v>
      </c>
      <c r="R280" s="17">
        <v>0</v>
      </c>
      <c r="S280" s="17">
        <v>5300</v>
      </c>
      <c r="T280" s="17">
        <v>1500</v>
      </c>
      <c r="U280" s="17">
        <v>7500</v>
      </c>
      <c r="V280" s="17">
        <v>0</v>
      </c>
      <c r="W280" s="17">
        <v>39000</v>
      </c>
      <c r="X280" s="15">
        <v>0</v>
      </c>
      <c r="Y280" s="17">
        <v>0</v>
      </c>
      <c r="Z280" s="17">
        <v>-1575</v>
      </c>
      <c r="AA280" s="17">
        <v>-1475</v>
      </c>
    </row>
    <row r="281" spans="3:27" ht="21.75" customHeight="1" x14ac:dyDescent="0.25">
      <c r="C281" s="19">
        <v>7191</v>
      </c>
      <c r="D281" s="12" t="s">
        <v>599</v>
      </c>
      <c r="E281" s="7" t="s">
        <v>72</v>
      </c>
      <c r="F281" s="8">
        <v>45901</v>
      </c>
      <c r="G281" s="7" t="s">
        <v>16</v>
      </c>
      <c r="H281" s="9" t="s">
        <v>12</v>
      </c>
      <c r="I281" s="20" t="s">
        <v>9</v>
      </c>
      <c r="J281" s="6">
        <v>21900</v>
      </c>
      <c r="K281" s="21">
        <v>24200</v>
      </c>
      <c r="L281" s="6">
        <v>2300</v>
      </c>
      <c r="O281" s="17">
        <v>12900</v>
      </c>
      <c r="P281" s="17">
        <v>1200</v>
      </c>
      <c r="Q281" s="17">
        <v>0</v>
      </c>
      <c r="R281" s="17">
        <v>0</v>
      </c>
      <c r="S281" s="17">
        <v>4300</v>
      </c>
      <c r="T281" s="17">
        <v>1200</v>
      </c>
      <c r="U281" s="17">
        <v>4600</v>
      </c>
      <c r="V281" s="17">
        <v>0</v>
      </c>
      <c r="W281" s="17">
        <v>24200</v>
      </c>
      <c r="X281" s="15">
        <v>0</v>
      </c>
      <c r="Y281" s="17">
        <v>0</v>
      </c>
      <c r="Z281" s="17">
        <v>-980</v>
      </c>
      <c r="AA281" s="17">
        <v>-865</v>
      </c>
    </row>
  </sheetData>
  <conditionalFormatting sqref="C1:C42">
    <cfRule type="duplicateValues" dxfId="17" priority="576"/>
  </conditionalFormatting>
  <conditionalFormatting sqref="C1:C1048576">
    <cfRule type="duplicateValues" dxfId="16" priority="6"/>
  </conditionalFormatting>
  <conditionalFormatting sqref="C29:C34">
    <cfRule type="duplicateValues" dxfId="15" priority="572"/>
  </conditionalFormatting>
  <conditionalFormatting sqref="C35:C42">
    <cfRule type="duplicateValues" dxfId="14" priority="570"/>
    <cfRule type="duplicateValues" dxfId="13" priority="571"/>
  </conditionalFormatting>
  <conditionalFormatting sqref="C43:C281">
    <cfRule type="duplicateValues" dxfId="12" priority="565"/>
    <cfRule type="duplicateValues" dxfId="11" priority="566"/>
    <cfRule type="duplicateValues" dxfId="10" priority="567"/>
  </conditionalFormatting>
  <conditionalFormatting sqref="C190">
    <cfRule type="duplicateValues" dxfId="9" priority="24"/>
  </conditionalFormatting>
  <conditionalFormatting sqref="K2:K281">
    <cfRule type="cellIs" dxfId="8" priority="13" operator="equal">
      <formula>J2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C091F-C798-4022-830C-24D18137660E}">
  <dimension ref="C1:P213"/>
  <sheetViews>
    <sheetView tabSelected="1" workbookViewId="0">
      <selection activeCell="M1" sqref="M1:N1048576"/>
    </sheetView>
  </sheetViews>
  <sheetFormatPr defaultRowHeight="21" customHeight="1" x14ac:dyDescent="0.25"/>
  <cols>
    <col min="3" max="3" width="9" bestFit="1" customWidth="1"/>
    <col min="4" max="4" width="37.140625" bestFit="1" customWidth="1"/>
    <col min="5" max="5" width="18.7109375" bestFit="1" customWidth="1"/>
    <col min="6" max="6" width="13.5703125" bestFit="1" customWidth="1"/>
    <col min="7" max="7" width="13.7109375" bestFit="1" customWidth="1"/>
    <col min="8" max="8" width="14" bestFit="1" customWidth="1"/>
    <col min="9" max="9" width="11" bestFit="1" customWidth="1"/>
    <col min="10" max="10" width="14.140625" bestFit="1" customWidth="1"/>
    <col min="11" max="11" width="12.7109375" bestFit="1" customWidth="1"/>
    <col min="12" max="12" width="11.5703125" bestFit="1" customWidth="1"/>
    <col min="13" max="13" width="11.5703125" customWidth="1"/>
    <col min="14" max="14" width="19.42578125" bestFit="1" customWidth="1"/>
    <col min="15" max="15" width="35.42578125" bestFit="1" customWidth="1"/>
    <col min="16" max="16" width="49.42578125" bestFit="1" customWidth="1"/>
  </cols>
  <sheetData>
    <row r="1" spans="3:16" ht="21" customHeight="1" x14ac:dyDescent="0.25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2" t="s">
        <v>5</v>
      </c>
      <c r="I1" s="2" t="s">
        <v>6</v>
      </c>
      <c r="J1" s="5" t="s">
        <v>68</v>
      </c>
      <c r="K1" s="5" t="s">
        <v>69</v>
      </c>
      <c r="L1" s="5" t="s">
        <v>70</v>
      </c>
      <c r="M1" s="22" t="s">
        <v>600</v>
      </c>
      <c r="N1" s="22" t="s">
        <v>601</v>
      </c>
      <c r="O1" s="1" t="s">
        <v>78</v>
      </c>
      <c r="P1" s="1" t="s">
        <v>79</v>
      </c>
    </row>
    <row r="2" spans="3:16" ht="21" customHeight="1" x14ac:dyDescent="0.25">
      <c r="C2" s="7">
        <v>2000146</v>
      </c>
      <c r="D2" s="3" t="s">
        <v>7</v>
      </c>
      <c r="E2" s="7" t="s">
        <v>8</v>
      </c>
      <c r="F2" s="8">
        <v>45953</v>
      </c>
      <c r="G2" s="7" t="s">
        <v>11</v>
      </c>
      <c r="H2" s="9" t="s">
        <v>9</v>
      </c>
      <c r="I2" s="9" t="s">
        <v>13</v>
      </c>
      <c r="J2" s="6">
        <v>20000</v>
      </c>
      <c r="K2" s="6">
        <v>28375</v>
      </c>
      <c r="L2" s="6">
        <v>8375</v>
      </c>
      <c r="M2" s="23">
        <f>+K2*0.4</f>
        <v>11350</v>
      </c>
      <c r="N2" s="23">
        <f>+K2*0.6</f>
        <v>17025</v>
      </c>
      <c r="O2" s="3" t="s">
        <v>81</v>
      </c>
      <c r="P2" s="3" t="s">
        <v>82</v>
      </c>
    </row>
    <row r="3" spans="3:16" ht="21" customHeight="1" x14ac:dyDescent="0.25">
      <c r="C3" s="7">
        <v>2000945</v>
      </c>
      <c r="D3" s="3" t="s">
        <v>10</v>
      </c>
      <c r="E3" s="7" t="s">
        <v>8</v>
      </c>
      <c r="F3" s="8">
        <v>45901</v>
      </c>
      <c r="G3" s="7" t="s">
        <v>11</v>
      </c>
      <c r="H3" s="9" t="s">
        <v>12</v>
      </c>
      <c r="I3" s="9" t="s">
        <v>13</v>
      </c>
      <c r="J3" s="6">
        <v>22050</v>
      </c>
      <c r="K3" s="6">
        <v>28375</v>
      </c>
      <c r="L3" s="6">
        <v>6325</v>
      </c>
      <c r="M3" s="23">
        <f t="shared" ref="M3:M66" si="0">+K3*0.4</f>
        <v>11350</v>
      </c>
      <c r="N3" s="23">
        <f t="shared" ref="N3:N66" si="1">+K3*0.6</f>
        <v>17025</v>
      </c>
      <c r="O3" s="3" t="s">
        <v>81</v>
      </c>
      <c r="P3" s="3" t="s">
        <v>84</v>
      </c>
    </row>
    <row r="4" spans="3:16" ht="21" customHeight="1" x14ac:dyDescent="0.25">
      <c r="C4" s="7">
        <v>2000445</v>
      </c>
      <c r="D4" s="3" t="s">
        <v>28</v>
      </c>
      <c r="E4" s="7" t="s">
        <v>8</v>
      </c>
      <c r="F4" s="8">
        <v>45953</v>
      </c>
      <c r="G4" s="7" t="s">
        <v>11</v>
      </c>
      <c r="H4" s="9" t="s">
        <v>19</v>
      </c>
      <c r="I4" s="9" t="s">
        <v>76</v>
      </c>
      <c r="J4" s="6">
        <v>22680</v>
      </c>
      <c r="K4" s="6">
        <v>24948</v>
      </c>
      <c r="L4" s="6">
        <v>2268</v>
      </c>
      <c r="M4" s="23">
        <f t="shared" si="0"/>
        <v>9979.2000000000007</v>
      </c>
      <c r="N4" s="23">
        <f t="shared" si="1"/>
        <v>14968.8</v>
      </c>
      <c r="O4" s="3" t="s">
        <v>85</v>
      </c>
      <c r="P4" s="3" t="s">
        <v>102</v>
      </c>
    </row>
    <row r="5" spans="3:16" ht="21" customHeight="1" x14ac:dyDescent="0.25">
      <c r="C5" s="7">
        <v>2000372</v>
      </c>
      <c r="D5" s="3" t="s">
        <v>31</v>
      </c>
      <c r="E5" s="7" t="s">
        <v>8</v>
      </c>
      <c r="F5" s="8">
        <v>45953</v>
      </c>
      <c r="G5" s="7" t="s">
        <v>11</v>
      </c>
      <c r="H5" s="9" t="s">
        <v>9</v>
      </c>
      <c r="I5" s="9" t="s">
        <v>13</v>
      </c>
      <c r="J5" s="6">
        <v>20000</v>
      </c>
      <c r="K5" s="6">
        <v>28375</v>
      </c>
      <c r="L5" s="6">
        <v>8375</v>
      </c>
      <c r="M5" s="23">
        <f t="shared" si="0"/>
        <v>11350</v>
      </c>
      <c r="N5" s="23">
        <f t="shared" si="1"/>
        <v>17025</v>
      </c>
      <c r="O5" s="3" t="s">
        <v>85</v>
      </c>
      <c r="P5" s="3" t="s">
        <v>105</v>
      </c>
    </row>
    <row r="6" spans="3:16" ht="21" customHeight="1" x14ac:dyDescent="0.25">
      <c r="C6" s="7">
        <v>2000147</v>
      </c>
      <c r="D6" s="3" t="s">
        <v>32</v>
      </c>
      <c r="E6" s="7" t="s">
        <v>8</v>
      </c>
      <c r="F6" s="8">
        <v>45953</v>
      </c>
      <c r="G6" s="7" t="s">
        <v>11</v>
      </c>
      <c r="H6" s="9" t="s">
        <v>9</v>
      </c>
      <c r="I6" s="9" t="s">
        <v>13</v>
      </c>
      <c r="J6" s="6">
        <v>28350</v>
      </c>
      <c r="K6" s="6">
        <v>31185</v>
      </c>
      <c r="L6" s="6">
        <v>2835</v>
      </c>
      <c r="M6" s="23">
        <f t="shared" si="0"/>
        <v>12474</v>
      </c>
      <c r="N6" s="23">
        <f t="shared" si="1"/>
        <v>18711</v>
      </c>
      <c r="O6" s="3" t="s">
        <v>85</v>
      </c>
      <c r="P6" s="3" t="s">
        <v>105</v>
      </c>
    </row>
    <row r="7" spans="3:16" ht="21" customHeight="1" thickBot="1" x14ac:dyDescent="0.3">
      <c r="C7" s="7">
        <v>5000036</v>
      </c>
      <c r="D7" s="3" t="s">
        <v>36</v>
      </c>
      <c r="E7" s="10" t="s">
        <v>8</v>
      </c>
      <c r="F7" s="8">
        <v>45953</v>
      </c>
      <c r="G7" s="7" t="s">
        <v>11</v>
      </c>
      <c r="H7" s="9" t="s">
        <v>9</v>
      </c>
      <c r="I7" s="9" t="s">
        <v>13</v>
      </c>
      <c r="J7" s="6">
        <v>23408</v>
      </c>
      <c r="K7" s="6">
        <v>28375</v>
      </c>
      <c r="L7" s="6">
        <v>4967</v>
      </c>
      <c r="M7" s="23">
        <f t="shared" si="0"/>
        <v>11350</v>
      </c>
      <c r="N7" s="23">
        <f t="shared" si="1"/>
        <v>17025</v>
      </c>
      <c r="O7" s="3" t="s">
        <v>85</v>
      </c>
      <c r="P7" s="3" t="s">
        <v>257</v>
      </c>
    </row>
    <row r="8" spans="3:16" ht="21" customHeight="1" thickBot="1" x14ac:dyDescent="0.3">
      <c r="C8" s="7">
        <v>2000741</v>
      </c>
      <c r="D8" s="3" t="s">
        <v>37</v>
      </c>
      <c r="E8" s="10" t="s">
        <v>8</v>
      </c>
      <c r="F8" s="8">
        <v>45901</v>
      </c>
      <c r="G8" s="7" t="s">
        <v>11</v>
      </c>
      <c r="H8" s="9" t="s">
        <v>38</v>
      </c>
      <c r="I8" s="9" t="s">
        <v>39</v>
      </c>
      <c r="J8" s="6">
        <v>44000</v>
      </c>
      <c r="K8" s="6">
        <v>48400</v>
      </c>
      <c r="L8" s="6">
        <v>4400</v>
      </c>
      <c r="M8" s="23">
        <f t="shared" si="0"/>
        <v>19360</v>
      </c>
      <c r="N8" s="23">
        <f t="shared" si="1"/>
        <v>29040</v>
      </c>
      <c r="O8" s="3" t="s">
        <v>85</v>
      </c>
      <c r="P8" s="3" t="s">
        <v>257</v>
      </c>
    </row>
    <row r="9" spans="3:16" ht="21" customHeight="1" thickBot="1" x14ac:dyDescent="0.3">
      <c r="C9" s="11">
        <v>2000430</v>
      </c>
      <c r="D9" s="12" t="s">
        <v>42</v>
      </c>
      <c r="E9" s="10" t="s">
        <v>8</v>
      </c>
      <c r="F9" s="8">
        <v>45953</v>
      </c>
      <c r="G9" s="7" t="s">
        <v>11</v>
      </c>
      <c r="H9" s="9" t="s">
        <v>19</v>
      </c>
      <c r="I9" s="9" t="s">
        <v>76</v>
      </c>
      <c r="J9" s="6">
        <v>20240</v>
      </c>
      <c r="K9" s="6">
        <v>21252</v>
      </c>
      <c r="L9" s="6">
        <v>1012</v>
      </c>
      <c r="M9" s="23">
        <f t="shared" si="0"/>
        <v>8500.8000000000011</v>
      </c>
      <c r="N9" s="23">
        <f t="shared" si="1"/>
        <v>12751.199999999999</v>
      </c>
      <c r="O9" s="12" t="s">
        <v>111</v>
      </c>
      <c r="P9" s="12" t="s">
        <v>278</v>
      </c>
    </row>
    <row r="10" spans="3:16" ht="21" customHeight="1" thickBot="1" x14ac:dyDescent="0.3">
      <c r="C10" s="7">
        <v>2000441</v>
      </c>
      <c r="D10" s="3" t="s">
        <v>43</v>
      </c>
      <c r="E10" s="10" t="s">
        <v>8</v>
      </c>
      <c r="F10" s="8">
        <v>45901</v>
      </c>
      <c r="G10" s="7" t="s">
        <v>11</v>
      </c>
      <c r="H10" s="9" t="s">
        <v>12</v>
      </c>
      <c r="I10" s="9" t="s">
        <v>13</v>
      </c>
      <c r="J10" s="6">
        <v>38850</v>
      </c>
      <c r="K10" s="6">
        <v>42735</v>
      </c>
      <c r="L10" s="6">
        <v>3885</v>
      </c>
      <c r="M10" s="23">
        <f t="shared" si="0"/>
        <v>17094</v>
      </c>
      <c r="N10" s="23">
        <f t="shared" si="1"/>
        <v>25641</v>
      </c>
      <c r="O10" s="3" t="s">
        <v>290</v>
      </c>
      <c r="P10" s="3" t="s">
        <v>295</v>
      </c>
    </row>
    <row r="11" spans="3:16" ht="21" customHeight="1" thickBot="1" x14ac:dyDescent="0.3">
      <c r="C11" s="7">
        <v>2000835</v>
      </c>
      <c r="D11" s="3" t="s">
        <v>44</v>
      </c>
      <c r="E11" s="10" t="s">
        <v>15</v>
      </c>
      <c r="F11" s="8">
        <v>45901</v>
      </c>
      <c r="G11" s="7" t="s">
        <v>11</v>
      </c>
      <c r="H11" s="9" t="s">
        <v>12</v>
      </c>
      <c r="I11" s="9" t="s">
        <v>13</v>
      </c>
      <c r="J11" s="6">
        <v>33600</v>
      </c>
      <c r="K11" s="6">
        <v>36960</v>
      </c>
      <c r="L11" s="6">
        <v>3360</v>
      </c>
      <c r="M11" s="23">
        <f t="shared" si="0"/>
        <v>14784</v>
      </c>
      <c r="N11" s="23">
        <f t="shared" si="1"/>
        <v>22176</v>
      </c>
      <c r="O11" s="3" t="s">
        <v>290</v>
      </c>
      <c r="P11" s="3" t="s">
        <v>297</v>
      </c>
    </row>
    <row r="12" spans="3:16" ht="21" customHeight="1" x14ac:dyDescent="0.25">
      <c r="C12" s="7">
        <v>5000009</v>
      </c>
      <c r="D12" s="3" t="s">
        <v>45</v>
      </c>
      <c r="E12" s="7" t="s">
        <v>8</v>
      </c>
      <c r="F12" s="8">
        <v>45953</v>
      </c>
      <c r="G12" s="7" t="s">
        <v>11</v>
      </c>
      <c r="H12" s="9" t="s">
        <v>9</v>
      </c>
      <c r="I12" s="9" t="s">
        <v>13</v>
      </c>
      <c r="J12" s="6">
        <v>35470.5</v>
      </c>
      <c r="K12" s="6">
        <v>39017.5</v>
      </c>
      <c r="L12" s="6">
        <v>3547</v>
      </c>
      <c r="M12" s="23">
        <f t="shared" si="0"/>
        <v>15607</v>
      </c>
      <c r="N12" s="23">
        <f t="shared" si="1"/>
        <v>23410.5</v>
      </c>
      <c r="O12" s="3" t="s">
        <v>114</v>
      </c>
      <c r="P12" s="3" t="s">
        <v>115</v>
      </c>
    </row>
    <row r="13" spans="3:16" ht="21" customHeight="1" x14ac:dyDescent="0.25">
      <c r="C13" s="7">
        <v>2000655</v>
      </c>
      <c r="D13" s="3" t="s">
        <v>48</v>
      </c>
      <c r="E13" s="7" t="s">
        <v>8</v>
      </c>
      <c r="F13" s="8">
        <v>45901</v>
      </c>
      <c r="G13" s="7" t="s">
        <v>11</v>
      </c>
      <c r="H13" s="9" t="s">
        <v>49</v>
      </c>
      <c r="I13" s="9" t="s">
        <v>50</v>
      </c>
      <c r="J13" s="6">
        <v>66550</v>
      </c>
      <c r="K13" s="6">
        <v>73205</v>
      </c>
      <c r="L13" s="6">
        <v>6655</v>
      </c>
      <c r="M13" s="23">
        <f t="shared" si="0"/>
        <v>29282</v>
      </c>
      <c r="N13" s="23">
        <f t="shared" si="1"/>
        <v>43923</v>
      </c>
      <c r="O13" s="3" t="s">
        <v>114</v>
      </c>
      <c r="P13" s="3" t="s">
        <v>115</v>
      </c>
    </row>
    <row r="14" spans="3:16" ht="21" customHeight="1" x14ac:dyDescent="0.25">
      <c r="C14" s="7">
        <v>2000419</v>
      </c>
      <c r="D14" s="3" t="s">
        <v>51</v>
      </c>
      <c r="E14" s="7" t="s">
        <v>8</v>
      </c>
      <c r="F14" s="8">
        <v>45953</v>
      </c>
      <c r="G14" s="7" t="s">
        <v>11</v>
      </c>
      <c r="H14" s="9" t="s">
        <v>9</v>
      </c>
      <c r="I14" s="9" t="s">
        <v>13</v>
      </c>
      <c r="J14" s="6">
        <v>22950</v>
      </c>
      <c r="K14" s="6">
        <v>28375</v>
      </c>
      <c r="L14" s="6">
        <v>5425</v>
      </c>
      <c r="M14" s="23">
        <f t="shared" si="0"/>
        <v>11350</v>
      </c>
      <c r="N14" s="23">
        <f t="shared" si="1"/>
        <v>17025</v>
      </c>
      <c r="O14" s="3" t="s">
        <v>117</v>
      </c>
      <c r="P14" s="3" t="s">
        <v>118</v>
      </c>
    </row>
    <row r="15" spans="3:16" ht="21" customHeight="1" x14ac:dyDescent="0.25">
      <c r="C15" s="11">
        <v>2000237</v>
      </c>
      <c r="D15" s="12" t="s">
        <v>52</v>
      </c>
      <c r="E15" s="7" t="s">
        <v>8</v>
      </c>
      <c r="F15" s="8">
        <v>45953</v>
      </c>
      <c r="G15" s="7" t="s">
        <v>11</v>
      </c>
      <c r="H15" s="9" t="s">
        <v>9</v>
      </c>
      <c r="I15" s="9" t="s">
        <v>13</v>
      </c>
      <c r="J15" s="6">
        <v>21546</v>
      </c>
      <c r="K15" s="6">
        <v>28375</v>
      </c>
      <c r="L15" s="6">
        <v>6829</v>
      </c>
      <c r="M15" s="23">
        <f t="shared" si="0"/>
        <v>11350</v>
      </c>
      <c r="N15" s="23">
        <f t="shared" si="1"/>
        <v>17025</v>
      </c>
      <c r="O15" s="12" t="s">
        <v>117</v>
      </c>
      <c r="P15" s="12" t="s">
        <v>118</v>
      </c>
    </row>
    <row r="16" spans="3:16" ht="21" customHeight="1" x14ac:dyDescent="0.25">
      <c r="C16" s="11">
        <v>2000409</v>
      </c>
      <c r="D16" s="12" t="s">
        <v>53</v>
      </c>
      <c r="E16" s="7" t="s">
        <v>8</v>
      </c>
      <c r="F16" s="8">
        <v>45953</v>
      </c>
      <c r="G16" s="7" t="s">
        <v>11</v>
      </c>
      <c r="H16" s="9" t="s">
        <v>9</v>
      </c>
      <c r="I16" s="9" t="s">
        <v>13</v>
      </c>
      <c r="J16" s="6">
        <v>24948</v>
      </c>
      <c r="K16" s="6">
        <v>28375</v>
      </c>
      <c r="L16" s="6">
        <v>3427</v>
      </c>
      <c r="M16" s="23">
        <f t="shared" si="0"/>
        <v>11350</v>
      </c>
      <c r="N16" s="23">
        <f t="shared" si="1"/>
        <v>17025</v>
      </c>
      <c r="O16" s="12" t="s">
        <v>117</v>
      </c>
      <c r="P16" s="12" t="s">
        <v>120</v>
      </c>
    </row>
    <row r="17" spans="3:16" ht="21" customHeight="1" x14ac:dyDescent="0.25">
      <c r="C17" s="11">
        <v>5000025</v>
      </c>
      <c r="D17" s="12" t="s">
        <v>54</v>
      </c>
      <c r="E17" s="7" t="s">
        <v>8</v>
      </c>
      <c r="F17" s="8">
        <v>45953</v>
      </c>
      <c r="G17" s="7" t="s">
        <v>11</v>
      </c>
      <c r="H17" s="9" t="s">
        <v>9</v>
      </c>
      <c r="I17" s="9" t="s">
        <v>13</v>
      </c>
      <c r="J17" s="6">
        <v>32635</v>
      </c>
      <c r="K17" s="6">
        <v>34266.75</v>
      </c>
      <c r="L17" s="6">
        <v>1631.75</v>
      </c>
      <c r="M17" s="23">
        <f t="shared" si="0"/>
        <v>13706.7</v>
      </c>
      <c r="N17" s="23">
        <f t="shared" si="1"/>
        <v>20560.05</v>
      </c>
      <c r="O17" s="12" t="s">
        <v>117</v>
      </c>
      <c r="P17" s="12" t="s">
        <v>120</v>
      </c>
    </row>
    <row r="18" spans="3:16" ht="21" customHeight="1" x14ac:dyDescent="0.25">
      <c r="C18" s="11">
        <v>2000220</v>
      </c>
      <c r="D18" s="12" t="s">
        <v>55</v>
      </c>
      <c r="E18" s="7" t="s">
        <v>8</v>
      </c>
      <c r="F18" s="8">
        <v>45953</v>
      </c>
      <c r="G18" s="7" t="s">
        <v>11</v>
      </c>
      <c r="H18" s="9" t="s">
        <v>9</v>
      </c>
      <c r="I18" s="9" t="s">
        <v>13</v>
      </c>
      <c r="J18" s="6">
        <v>20000</v>
      </c>
      <c r="K18" s="6">
        <v>28375</v>
      </c>
      <c r="L18" s="6">
        <v>8375</v>
      </c>
      <c r="M18" s="23">
        <f t="shared" si="0"/>
        <v>11350</v>
      </c>
      <c r="N18" s="23">
        <f t="shared" si="1"/>
        <v>17025</v>
      </c>
      <c r="O18" s="12" t="s">
        <v>117</v>
      </c>
      <c r="P18" s="12" t="s">
        <v>122</v>
      </c>
    </row>
    <row r="19" spans="3:16" ht="21" customHeight="1" x14ac:dyDescent="0.25">
      <c r="C19" s="7">
        <v>5000013</v>
      </c>
      <c r="D19" s="3" t="s">
        <v>56</v>
      </c>
      <c r="E19" s="7" t="s">
        <v>8</v>
      </c>
      <c r="F19" s="8">
        <v>45953</v>
      </c>
      <c r="G19" s="7" t="s">
        <v>11</v>
      </c>
      <c r="H19" s="9" t="s">
        <v>29</v>
      </c>
      <c r="I19" s="9" t="s">
        <v>101</v>
      </c>
      <c r="J19" s="6">
        <v>19683.25</v>
      </c>
      <c r="K19" s="6">
        <v>20667.5</v>
      </c>
      <c r="L19" s="6">
        <v>984.25</v>
      </c>
      <c r="M19" s="23">
        <f t="shared" si="0"/>
        <v>8267</v>
      </c>
      <c r="N19" s="23">
        <f t="shared" si="1"/>
        <v>12400.5</v>
      </c>
      <c r="O19" s="3" t="s">
        <v>117</v>
      </c>
      <c r="P19" s="3" t="s">
        <v>122</v>
      </c>
    </row>
    <row r="20" spans="3:16" ht="21" customHeight="1" x14ac:dyDescent="0.25">
      <c r="C20" s="7">
        <v>2000803</v>
      </c>
      <c r="D20" s="3" t="s">
        <v>57</v>
      </c>
      <c r="E20" s="7" t="s">
        <v>15</v>
      </c>
      <c r="F20" s="8">
        <v>45901</v>
      </c>
      <c r="G20" s="7" t="s">
        <v>11</v>
      </c>
      <c r="H20" s="9" t="s">
        <v>38</v>
      </c>
      <c r="I20" s="9" t="s">
        <v>39</v>
      </c>
      <c r="J20" s="6">
        <v>47250</v>
      </c>
      <c r="K20" s="6">
        <v>49612.5</v>
      </c>
      <c r="L20" s="6">
        <v>2362.5</v>
      </c>
      <c r="M20" s="23">
        <f t="shared" si="0"/>
        <v>19845</v>
      </c>
      <c r="N20" s="23">
        <f t="shared" si="1"/>
        <v>29767.5</v>
      </c>
      <c r="O20" s="3" t="s">
        <v>117</v>
      </c>
      <c r="P20" s="3" t="s">
        <v>122</v>
      </c>
    </row>
    <row r="21" spans="3:16" ht="21" customHeight="1" x14ac:dyDescent="0.25">
      <c r="C21" s="7">
        <v>5000215</v>
      </c>
      <c r="D21" s="3" t="s">
        <v>58</v>
      </c>
      <c r="E21" s="7" t="s">
        <v>8</v>
      </c>
      <c r="F21" s="8">
        <v>45953</v>
      </c>
      <c r="G21" s="7" t="s">
        <v>11</v>
      </c>
      <c r="H21" s="9" t="s">
        <v>9</v>
      </c>
      <c r="I21" s="9" t="s">
        <v>13</v>
      </c>
      <c r="J21" s="6">
        <v>30099.5</v>
      </c>
      <c r="K21" s="6">
        <v>31604.5</v>
      </c>
      <c r="L21" s="6">
        <v>1505</v>
      </c>
      <c r="M21" s="23">
        <f t="shared" si="0"/>
        <v>12641.800000000001</v>
      </c>
      <c r="N21" s="23">
        <f t="shared" si="1"/>
        <v>18962.7</v>
      </c>
      <c r="O21" s="3" t="s">
        <v>117</v>
      </c>
      <c r="P21" s="3" t="s">
        <v>337</v>
      </c>
    </row>
    <row r="22" spans="3:16" ht="21" customHeight="1" x14ac:dyDescent="0.25">
      <c r="C22" s="7">
        <v>5000188</v>
      </c>
      <c r="D22" s="3" t="s">
        <v>59</v>
      </c>
      <c r="E22" s="7" t="s">
        <v>8</v>
      </c>
      <c r="F22" s="8">
        <v>45953</v>
      </c>
      <c r="G22" s="7" t="s">
        <v>11</v>
      </c>
      <c r="H22" s="9" t="s">
        <v>9</v>
      </c>
      <c r="I22" s="9" t="s">
        <v>13</v>
      </c>
      <c r="J22" s="6">
        <v>25110</v>
      </c>
      <c r="K22" s="6">
        <v>28375</v>
      </c>
      <c r="L22" s="6">
        <v>3265</v>
      </c>
      <c r="M22" s="23">
        <f t="shared" si="0"/>
        <v>11350</v>
      </c>
      <c r="N22" s="23">
        <f t="shared" si="1"/>
        <v>17025</v>
      </c>
      <c r="O22" s="3" t="s">
        <v>117</v>
      </c>
      <c r="P22" s="3" t="s">
        <v>337</v>
      </c>
    </row>
    <row r="23" spans="3:16" ht="21" customHeight="1" x14ac:dyDescent="0.25">
      <c r="C23" s="7">
        <v>2000278</v>
      </c>
      <c r="D23" s="3" t="s">
        <v>60</v>
      </c>
      <c r="E23" s="7" t="s">
        <v>8</v>
      </c>
      <c r="F23" s="8">
        <v>45953</v>
      </c>
      <c r="G23" s="7" t="s">
        <v>11</v>
      </c>
      <c r="H23" s="9" t="s">
        <v>9</v>
      </c>
      <c r="I23" s="9" t="s">
        <v>13</v>
      </c>
      <c r="J23" s="6">
        <v>20000</v>
      </c>
      <c r="K23" s="6">
        <v>28375</v>
      </c>
      <c r="L23" s="6">
        <v>8375</v>
      </c>
      <c r="M23" s="23">
        <f t="shared" si="0"/>
        <v>11350</v>
      </c>
      <c r="N23" s="23">
        <f t="shared" si="1"/>
        <v>17025</v>
      </c>
      <c r="O23" s="3" t="s">
        <v>117</v>
      </c>
      <c r="P23" s="3" t="s">
        <v>337</v>
      </c>
    </row>
    <row r="24" spans="3:16" ht="21" customHeight="1" x14ac:dyDescent="0.25">
      <c r="C24" s="11">
        <v>2000323</v>
      </c>
      <c r="D24" s="12" t="s">
        <v>61</v>
      </c>
      <c r="E24" s="7" t="s">
        <v>8</v>
      </c>
      <c r="F24" s="8">
        <v>45953</v>
      </c>
      <c r="G24" s="7" t="s">
        <v>11</v>
      </c>
      <c r="H24" s="9" t="s">
        <v>9</v>
      </c>
      <c r="I24" s="9" t="s">
        <v>13</v>
      </c>
      <c r="J24" s="6">
        <v>20000</v>
      </c>
      <c r="K24" s="6">
        <v>28375</v>
      </c>
      <c r="L24" s="6">
        <v>8375</v>
      </c>
      <c r="M24" s="23">
        <f t="shared" si="0"/>
        <v>11350</v>
      </c>
      <c r="N24" s="23">
        <f t="shared" si="1"/>
        <v>17025</v>
      </c>
      <c r="O24" s="12" t="s">
        <v>117</v>
      </c>
      <c r="P24" s="12" t="s">
        <v>337</v>
      </c>
    </row>
    <row r="25" spans="3:16" ht="21" customHeight="1" x14ac:dyDescent="0.25">
      <c r="C25" s="11">
        <v>2000334</v>
      </c>
      <c r="D25" s="12" t="s">
        <v>62</v>
      </c>
      <c r="E25" s="7" t="s">
        <v>8</v>
      </c>
      <c r="F25" s="8">
        <v>45953</v>
      </c>
      <c r="G25" s="7" t="s">
        <v>11</v>
      </c>
      <c r="H25" s="9" t="s">
        <v>9</v>
      </c>
      <c r="I25" s="9" t="s">
        <v>13</v>
      </c>
      <c r="J25" s="6">
        <v>20000</v>
      </c>
      <c r="K25" s="6">
        <v>28375</v>
      </c>
      <c r="L25" s="6">
        <v>8375</v>
      </c>
      <c r="M25" s="23">
        <f t="shared" si="0"/>
        <v>11350</v>
      </c>
      <c r="N25" s="23">
        <f t="shared" si="1"/>
        <v>17025</v>
      </c>
      <c r="O25" s="12" t="s">
        <v>117</v>
      </c>
      <c r="P25" s="12" t="s">
        <v>337</v>
      </c>
    </row>
    <row r="26" spans="3:16" ht="21" customHeight="1" x14ac:dyDescent="0.25">
      <c r="C26" s="11">
        <v>2000407</v>
      </c>
      <c r="D26" s="12" t="s">
        <v>63</v>
      </c>
      <c r="E26" s="7" t="s">
        <v>8</v>
      </c>
      <c r="F26" s="8">
        <v>45953</v>
      </c>
      <c r="G26" s="7" t="s">
        <v>11</v>
      </c>
      <c r="H26" s="9" t="s">
        <v>9</v>
      </c>
      <c r="I26" s="9" t="s">
        <v>13</v>
      </c>
      <c r="J26" s="6">
        <v>20000</v>
      </c>
      <c r="K26" s="6">
        <v>28375</v>
      </c>
      <c r="L26" s="6">
        <v>8375</v>
      </c>
      <c r="M26" s="23">
        <f t="shared" si="0"/>
        <v>11350</v>
      </c>
      <c r="N26" s="23">
        <f t="shared" si="1"/>
        <v>17025</v>
      </c>
      <c r="O26" s="12" t="s">
        <v>117</v>
      </c>
      <c r="P26" s="12" t="s">
        <v>337</v>
      </c>
    </row>
    <row r="27" spans="3:16" ht="21" customHeight="1" x14ac:dyDescent="0.25">
      <c r="C27" s="7">
        <v>2000393</v>
      </c>
      <c r="D27" s="3" t="s">
        <v>64</v>
      </c>
      <c r="E27" s="7" t="s">
        <v>8</v>
      </c>
      <c r="F27" s="8">
        <v>45953</v>
      </c>
      <c r="G27" s="7" t="s">
        <v>11</v>
      </c>
      <c r="H27" s="9" t="s">
        <v>9</v>
      </c>
      <c r="I27" s="9" t="s">
        <v>13</v>
      </c>
      <c r="J27" s="6">
        <v>23382</v>
      </c>
      <c r="K27" s="6">
        <v>28375</v>
      </c>
      <c r="L27" s="6">
        <v>4993</v>
      </c>
      <c r="M27" s="23">
        <f t="shared" si="0"/>
        <v>11350</v>
      </c>
      <c r="N27" s="23">
        <f t="shared" si="1"/>
        <v>17025</v>
      </c>
      <c r="O27" s="3" t="s">
        <v>123</v>
      </c>
      <c r="P27" s="3" t="s">
        <v>125</v>
      </c>
    </row>
    <row r="28" spans="3:16" ht="21" customHeight="1" x14ac:dyDescent="0.25">
      <c r="C28" s="7">
        <v>2000811</v>
      </c>
      <c r="D28" s="3" t="s">
        <v>66</v>
      </c>
      <c r="E28" s="7" t="s">
        <v>15</v>
      </c>
      <c r="F28" s="8">
        <v>45901</v>
      </c>
      <c r="G28" s="7" t="s">
        <v>11</v>
      </c>
      <c r="H28" s="9" t="s">
        <v>12</v>
      </c>
      <c r="I28" s="9" t="s">
        <v>13</v>
      </c>
      <c r="J28" s="6">
        <v>31500</v>
      </c>
      <c r="K28" s="6">
        <v>34650</v>
      </c>
      <c r="L28" s="6">
        <v>3150</v>
      </c>
      <c r="M28" s="23">
        <f t="shared" si="0"/>
        <v>13860</v>
      </c>
      <c r="N28" s="23">
        <f t="shared" si="1"/>
        <v>20790</v>
      </c>
      <c r="O28" s="3" t="s">
        <v>123</v>
      </c>
      <c r="P28" s="3" t="s">
        <v>356</v>
      </c>
    </row>
    <row r="29" spans="3:16" ht="21" customHeight="1" x14ac:dyDescent="0.25">
      <c r="C29" s="11">
        <v>2000357</v>
      </c>
      <c r="D29" s="12" t="s">
        <v>67</v>
      </c>
      <c r="E29" s="7" t="s">
        <v>8</v>
      </c>
      <c r="F29" s="8">
        <v>45953</v>
      </c>
      <c r="G29" s="7" t="s">
        <v>11</v>
      </c>
      <c r="H29" s="9" t="s">
        <v>9</v>
      </c>
      <c r="I29" s="9" t="s">
        <v>13</v>
      </c>
      <c r="J29" s="6">
        <v>36722.5</v>
      </c>
      <c r="K29" s="6">
        <v>38558.75</v>
      </c>
      <c r="L29" s="6">
        <v>1836.25</v>
      </c>
      <c r="M29" s="23">
        <f t="shared" si="0"/>
        <v>15423.5</v>
      </c>
      <c r="N29" s="23">
        <f t="shared" si="1"/>
        <v>23135.25</v>
      </c>
      <c r="O29" s="12" t="s">
        <v>123</v>
      </c>
      <c r="P29" s="12" t="s">
        <v>127</v>
      </c>
    </row>
    <row r="30" spans="3:16" ht="21" customHeight="1" x14ac:dyDescent="0.25">
      <c r="C30" s="7">
        <v>2000649</v>
      </c>
      <c r="D30" s="3" t="s">
        <v>398</v>
      </c>
      <c r="E30" s="7" t="s">
        <v>71</v>
      </c>
      <c r="F30" s="8">
        <v>45901</v>
      </c>
      <c r="G30" s="7" t="s">
        <v>11</v>
      </c>
      <c r="H30" s="9" t="s">
        <v>18</v>
      </c>
      <c r="I30" s="9" t="s">
        <v>18</v>
      </c>
      <c r="J30" s="6">
        <v>36813</v>
      </c>
      <c r="K30" s="6">
        <v>42334.95</v>
      </c>
      <c r="L30" s="6">
        <v>5521.9499999999971</v>
      </c>
      <c r="M30" s="23">
        <f t="shared" si="0"/>
        <v>16933.98</v>
      </c>
      <c r="N30" s="23">
        <f t="shared" si="1"/>
        <v>25400.969999999998</v>
      </c>
      <c r="O30" s="3" t="s">
        <v>114</v>
      </c>
      <c r="P30" s="3" t="s">
        <v>399</v>
      </c>
    </row>
    <row r="31" spans="3:16" ht="21" customHeight="1" x14ac:dyDescent="0.25">
      <c r="C31" s="11">
        <v>2000371</v>
      </c>
      <c r="D31" s="12" t="s">
        <v>400</v>
      </c>
      <c r="E31" s="7" t="s">
        <v>71</v>
      </c>
      <c r="F31" s="8">
        <v>45901</v>
      </c>
      <c r="G31" s="7" t="s">
        <v>11</v>
      </c>
      <c r="H31" s="9" t="s">
        <v>18</v>
      </c>
      <c r="I31" s="9" t="s">
        <v>18</v>
      </c>
      <c r="J31" s="6">
        <v>59616</v>
      </c>
      <c r="K31" s="6">
        <v>68558.399999999994</v>
      </c>
      <c r="L31" s="6">
        <v>8942.3999999999942</v>
      </c>
      <c r="M31" s="23">
        <f t="shared" si="0"/>
        <v>27423.360000000001</v>
      </c>
      <c r="N31" s="23">
        <f t="shared" si="1"/>
        <v>41135.039999999994</v>
      </c>
      <c r="O31" s="12" t="s">
        <v>123</v>
      </c>
      <c r="P31" s="12" t="s">
        <v>346</v>
      </c>
    </row>
    <row r="32" spans="3:16" ht="21" customHeight="1" x14ac:dyDescent="0.25">
      <c r="C32" s="7">
        <v>2000503</v>
      </c>
      <c r="D32" s="3" t="s">
        <v>401</v>
      </c>
      <c r="E32" s="7" t="s">
        <v>72</v>
      </c>
      <c r="F32" s="8">
        <v>45901</v>
      </c>
      <c r="G32" s="7" t="s">
        <v>11</v>
      </c>
      <c r="H32" s="9" t="s">
        <v>74</v>
      </c>
      <c r="I32" s="9" t="s">
        <v>35</v>
      </c>
      <c r="J32" s="6">
        <v>88200</v>
      </c>
      <c r="K32" s="6">
        <v>92610</v>
      </c>
      <c r="L32" s="6">
        <v>4410</v>
      </c>
      <c r="M32" s="23">
        <f t="shared" si="0"/>
        <v>37044</v>
      </c>
      <c r="N32" s="23">
        <f t="shared" si="1"/>
        <v>55566</v>
      </c>
      <c r="O32" s="3" t="s">
        <v>81</v>
      </c>
      <c r="P32" s="3" t="s">
        <v>132</v>
      </c>
    </row>
    <row r="33" spans="3:16" ht="21" customHeight="1" x14ac:dyDescent="0.25">
      <c r="C33" s="7">
        <v>2000745</v>
      </c>
      <c r="D33" s="3" t="s">
        <v>402</v>
      </c>
      <c r="E33" s="7" t="s">
        <v>72</v>
      </c>
      <c r="F33" s="8">
        <v>45901</v>
      </c>
      <c r="G33" s="7" t="s">
        <v>11</v>
      </c>
      <c r="H33" s="9" t="s">
        <v>38</v>
      </c>
      <c r="I33" s="9" t="s">
        <v>18</v>
      </c>
      <c r="J33" s="6">
        <v>36750</v>
      </c>
      <c r="K33" s="6">
        <v>38587.5</v>
      </c>
      <c r="L33" s="6">
        <v>1837.5</v>
      </c>
      <c r="M33" s="23">
        <f t="shared" si="0"/>
        <v>15435</v>
      </c>
      <c r="N33" s="23">
        <f t="shared" si="1"/>
        <v>23152.5</v>
      </c>
      <c r="O33" s="3" t="s">
        <v>81</v>
      </c>
      <c r="P33" s="3" t="s">
        <v>132</v>
      </c>
    </row>
    <row r="34" spans="3:16" ht="21" customHeight="1" x14ac:dyDescent="0.25">
      <c r="C34" s="7">
        <v>2000840</v>
      </c>
      <c r="D34" s="3" t="s">
        <v>403</v>
      </c>
      <c r="E34" s="7" t="s">
        <v>72</v>
      </c>
      <c r="F34" s="8">
        <v>45901</v>
      </c>
      <c r="G34" s="7" t="s">
        <v>11</v>
      </c>
      <c r="H34" s="9" t="s">
        <v>38</v>
      </c>
      <c r="I34" s="9" t="s">
        <v>18</v>
      </c>
      <c r="J34" s="6">
        <v>38500</v>
      </c>
      <c r="K34" s="6">
        <v>42350</v>
      </c>
      <c r="L34" s="6">
        <v>3850</v>
      </c>
      <c r="M34" s="23">
        <f t="shared" si="0"/>
        <v>16940</v>
      </c>
      <c r="N34" s="23">
        <f t="shared" si="1"/>
        <v>25410</v>
      </c>
      <c r="O34" s="3" t="s">
        <v>81</v>
      </c>
      <c r="P34" s="3" t="s">
        <v>132</v>
      </c>
    </row>
    <row r="35" spans="3:16" ht="21" customHeight="1" x14ac:dyDescent="0.25">
      <c r="C35" s="7">
        <v>2000306</v>
      </c>
      <c r="D35" s="3" t="s">
        <v>404</v>
      </c>
      <c r="E35" s="7" t="s">
        <v>72</v>
      </c>
      <c r="F35" s="8">
        <v>45901</v>
      </c>
      <c r="G35" s="7" t="s">
        <v>11</v>
      </c>
      <c r="H35" s="9" t="s">
        <v>38</v>
      </c>
      <c r="I35" s="9" t="s">
        <v>18</v>
      </c>
      <c r="J35" s="6">
        <v>28375</v>
      </c>
      <c r="K35" s="6">
        <v>29793.75</v>
      </c>
      <c r="L35" s="6">
        <v>1418.75</v>
      </c>
      <c r="M35" s="23">
        <f t="shared" si="0"/>
        <v>11917.5</v>
      </c>
      <c r="N35" s="23">
        <f t="shared" si="1"/>
        <v>17876.25</v>
      </c>
      <c r="O35" s="3" t="s">
        <v>81</v>
      </c>
      <c r="P35" s="3" t="s">
        <v>82</v>
      </c>
    </row>
    <row r="36" spans="3:16" ht="21" customHeight="1" x14ac:dyDescent="0.25">
      <c r="C36" s="7">
        <v>2000313</v>
      </c>
      <c r="D36" s="3" t="s">
        <v>405</v>
      </c>
      <c r="E36" s="7" t="s">
        <v>72</v>
      </c>
      <c r="F36" s="8">
        <v>45901</v>
      </c>
      <c r="G36" s="7" t="s">
        <v>11</v>
      </c>
      <c r="H36" s="9" t="s">
        <v>13</v>
      </c>
      <c r="I36" s="9" t="s">
        <v>38</v>
      </c>
      <c r="J36" s="6">
        <v>31212.5</v>
      </c>
      <c r="K36" s="6">
        <v>32773.25</v>
      </c>
      <c r="L36" s="6">
        <v>1560.75</v>
      </c>
      <c r="M36" s="23">
        <f t="shared" si="0"/>
        <v>13109.300000000001</v>
      </c>
      <c r="N36" s="23">
        <f t="shared" si="1"/>
        <v>19663.95</v>
      </c>
      <c r="O36" s="3" t="s">
        <v>81</v>
      </c>
      <c r="P36" s="3" t="s">
        <v>82</v>
      </c>
    </row>
    <row r="37" spans="3:16" ht="21" customHeight="1" x14ac:dyDescent="0.25">
      <c r="C37" s="7">
        <v>2000359</v>
      </c>
      <c r="D37" s="3" t="s">
        <v>406</v>
      </c>
      <c r="E37" s="7" t="s">
        <v>72</v>
      </c>
      <c r="F37" s="8">
        <v>45901</v>
      </c>
      <c r="G37" s="7" t="s">
        <v>11</v>
      </c>
      <c r="H37" s="9" t="s">
        <v>13</v>
      </c>
      <c r="I37" s="9" t="s">
        <v>38</v>
      </c>
      <c r="J37" s="6">
        <v>35420</v>
      </c>
      <c r="K37" s="6">
        <v>37191</v>
      </c>
      <c r="L37" s="6">
        <v>1771</v>
      </c>
      <c r="M37" s="23">
        <f t="shared" si="0"/>
        <v>14876.400000000001</v>
      </c>
      <c r="N37" s="23">
        <f t="shared" si="1"/>
        <v>22314.6</v>
      </c>
      <c r="O37" s="3" t="s">
        <v>81</v>
      </c>
      <c r="P37" s="3" t="s">
        <v>82</v>
      </c>
    </row>
    <row r="38" spans="3:16" ht="21" customHeight="1" x14ac:dyDescent="0.25">
      <c r="C38" s="7">
        <v>2000805</v>
      </c>
      <c r="D38" s="3" t="s">
        <v>407</v>
      </c>
      <c r="E38" s="7" t="s">
        <v>72</v>
      </c>
      <c r="F38" s="8">
        <v>45901</v>
      </c>
      <c r="G38" s="7" t="s">
        <v>11</v>
      </c>
      <c r="H38" s="9" t="s">
        <v>38</v>
      </c>
      <c r="I38" s="9" t="s">
        <v>18</v>
      </c>
      <c r="J38" s="6">
        <v>28375</v>
      </c>
      <c r="K38" s="6">
        <v>31212.5</v>
      </c>
      <c r="L38" s="6">
        <v>2837.5</v>
      </c>
      <c r="M38" s="23">
        <f t="shared" si="0"/>
        <v>12485</v>
      </c>
      <c r="N38" s="23">
        <f t="shared" si="1"/>
        <v>18727.5</v>
      </c>
      <c r="O38" s="3" t="s">
        <v>81</v>
      </c>
      <c r="P38" s="3" t="s">
        <v>82</v>
      </c>
    </row>
    <row r="39" spans="3:16" ht="21" customHeight="1" x14ac:dyDescent="0.25">
      <c r="C39" s="7">
        <v>2000215</v>
      </c>
      <c r="D39" s="3" t="s">
        <v>408</v>
      </c>
      <c r="E39" s="7" t="s">
        <v>72</v>
      </c>
      <c r="F39" s="8">
        <v>45901</v>
      </c>
      <c r="G39" s="7" t="s">
        <v>11</v>
      </c>
      <c r="H39" s="9" t="s">
        <v>38</v>
      </c>
      <c r="I39" s="9" t="s">
        <v>18</v>
      </c>
      <c r="J39" s="6">
        <v>35000</v>
      </c>
      <c r="K39" s="6">
        <v>36750</v>
      </c>
      <c r="L39" s="6">
        <v>1750</v>
      </c>
      <c r="M39" s="23">
        <f t="shared" si="0"/>
        <v>14700</v>
      </c>
      <c r="N39" s="23">
        <f t="shared" si="1"/>
        <v>22050</v>
      </c>
      <c r="O39" s="3" t="s">
        <v>81</v>
      </c>
      <c r="P39" s="3" t="s">
        <v>140</v>
      </c>
    </row>
    <row r="40" spans="3:16" ht="21" customHeight="1" x14ac:dyDescent="0.25">
      <c r="C40" s="7">
        <v>2000293</v>
      </c>
      <c r="D40" s="3" t="s">
        <v>409</v>
      </c>
      <c r="E40" s="7" t="s">
        <v>72</v>
      </c>
      <c r="F40" s="8">
        <v>45901</v>
      </c>
      <c r="G40" s="7" t="s">
        <v>11</v>
      </c>
      <c r="H40" s="9" t="s">
        <v>38</v>
      </c>
      <c r="I40" s="9" t="s">
        <v>18</v>
      </c>
      <c r="J40" s="6">
        <v>28375</v>
      </c>
      <c r="K40" s="6">
        <v>29793.75</v>
      </c>
      <c r="L40" s="6">
        <v>1418.75</v>
      </c>
      <c r="M40" s="23">
        <f t="shared" si="0"/>
        <v>11917.5</v>
      </c>
      <c r="N40" s="23">
        <f t="shared" si="1"/>
        <v>17876.25</v>
      </c>
      <c r="O40" s="3" t="s">
        <v>81</v>
      </c>
      <c r="P40" s="3" t="s">
        <v>140</v>
      </c>
    </row>
    <row r="41" spans="3:16" ht="21" customHeight="1" x14ac:dyDescent="0.25">
      <c r="C41" s="7">
        <v>2000423</v>
      </c>
      <c r="D41" s="3" t="s">
        <v>410</v>
      </c>
      <c r="E41" s="7" t="s">
        <v>72</v>
      </c>
      <c r="F41" s="8">
        <v>45901</v>
      </c>
      <c r="G41" s="7" t="s">
        <v>11</v>
      </c>
      <c r="H41" s="9" t="s">
        <v>12</v>
      </c>
      <c r="I41" s="9" t="s">
        <v>9</v>
      </c>
      <c r="J41" s="6">
        <v>20212.5</v>
      </c>
      <c r="K41" s="6">
        <v>21223.25</v>
      </c>
      <c r="L41" s="6">
        <v>1010.75</v>
      </c>
      <c r="M41" s="23">
        <f t="shared" si="0"/>
        <v>8489.3000000000011</v>
      </c>
      <c r="N41" s="23">
        <f t="shared" si="1"/>
        <v>12733.949999999999</v>
      </c>
      <c r="O41" s="3" t="s">
        <v>81</v>
      </c>
      <c r="P41" s="3" t="s">
        <v>140</v>
      </c>
    </row>
    <row r="42" spans="3:16" ht="21" customHeight="1" x14ac:dyDescent="0.25">
      <c r="C42" s="7">
        <v>2000537</v>
      </c>
      <c r="D42" s="3" t="s">
        <v>411</v>
      </c>
      <c r="E42" s="7" t="s">
        <v>72</v>
      </c>
      <c r="F42" s="8">
        <v>45901</v>
      </c>
      <c r="G42" s="7" t="s">
        <v>11</v>
      </c>
      <c r="H42" s="9" t="s">
        <v>49</v>
      </c>
      <c r="I42" s="9" t="s">
        <v>22</v>
      </c>
      <c r="J42" s="6">
        <v>46200</v>
      </c>
      <c r="K42" s="6">
        <v>48510</v>
      </c>
      <c r="L42" s="6">
        <v>2310</v>
      </c>
      <c r="M42" s="23">
        <f t="shared" si="0"/>
        <v>19404</v>
      </c>
      <c r="N42" s="23">
        <f t="shared" si="1"/>
        <v>29106</v>
      </c>
      <c r="O42" s="3" t="s">
        <v>81</v>
      </c>
      <c r="P42" s="3" t="s">
        <v>144</v>
      </c>
    </row>
    <row r="43" spans="3:16" ht="21" customHeight="1" x14ac:dyDescent="0.25">
      <c r="C43" s="7">
        <v>2000566</v>
      </c>
      <c r="D43" s="3" t="s">
        <v>412</v>
      </c>
      <c r="E43" s="7" t="s">
        <v>72</v>
      </c>
      <c r="F43" s="8">
        <v>45901</v>
      </c>
      <c r="G43" s="7" t="s">
        <v>11</v>
      </c>
      <c r="H43" s="9" t="s">
        <v>38</v>
      </c>
      <c r="I43" s="9" t="s">
        <v>18</v>
      </c>
      <c r="J43" s="6">
        <v>38500</v>
      </c>
      <c r="K43" s="6">
        <v>40425</v>
      </c>
      <c r="L43" s="6">
        <v>1925</v>
      </c>
      <c r="M43" s="23">
        <f t="shared" si="0"/>
        <v>16170</v>
      </c>
      <c r="N43" s="23">
        <f t="shared" si="1"/>
        <v>24255</v>
      </c>
      <c r="O43" s="3" t="s">
        <v>81</v>
      </c>
      <c r="P43" s="3" t="s">
        <v>144</v>
      </c>
    </row>
    <row r="44" spans="3:16" ht="21" customHeight="1" x14ac:dyDescent="0.25">
      <c r="C44" s="7">
        <v>2000538</v>
      </c>
      <c r="D44" s="3" t="s">
        <v>413</v>
      </c>
      <c r="E44" s="7" t="s">
        <v>72</v>
      </c>
      <c r="F44" s="8">
        <v>45901</v>
      </c>
      <c r="G44" s="7" t="s">
        <v>11</v>
      </c>
      <c r="H44" s="9" t="s">
        <v>49</v>
      </c>
      <c r="I44" s="9" t="s">
        <v>22</v>
      </c>
      <c r="J44" s="6">
        <v>52920</v>
      </c>
      <c r="K44" s="6">
        <v>58212</v>
      </c>
      <c r="L44" s="6">
        <v>5292</v>
      </c>
      <c r="M44" s="23">
        <f t="shared" si="0"/>
        <v>23284.800000000003</v>
      </c>
      <c r="N44" s="23">
        <f t="shared" si="1"/>
        <v>34927.199999999997</v>
      </c>
      <c r="O44" s="3" t="s">
        <v>81</v>
      </c>
      <c r="P44" s="3" t="s">
        <v>157</v>
      </c>
    </row>
    <row r="45" spans="3:16" ht="21" customHeight="1" x14ac:dyDescent="0.25">
      <c r="C45" s="7">
        <v>2000548</v>
      </c>
      <c r="D45" s="3" t="s">
        <v>414</v>
      </c>
      <c r="E45" s="7" t="s">
        <v>72</v>
      </c>
      <c r="F45" s="8">
        <v>45901</v>
      </c>
      <c r="G45" s="7" t="s">
        <v>11</v>
      </c>
      <c r="H45" s="9" t="s">
        <v>13</v>
      </c>
      <c r="I45" s="9" t="s">
        <v>38</v>
      </c>
      <c r="J45" s="6">
        <v>35000</v>
      </c>
      <c r="K45" s="6">
        <v>36750</v>
      </c>
      <c r="L45" s="6">
        <v>1750</v>
      </c>
      <c r="M45" s="23">
        <f t="shared" si="0"/>
        <v>14700</v>
      </c>
      <c r="N45" s="23">
        <f t="shared" si="1"/>
        <v>22050</v>
      </c>
      <c r="O45" s="3" t="s">
        <v>81</v>
      </c>
      <c r="P45" s="3" t="s">
        <v>157</v>
      </c>
    </row>
    <row r="46" spans="3:16" ht="21" customHeight="1" x14ac:dyDescent="0.25">
      <c r="C46" s="7">
        <v>2000823</v>
      </c>
      <c r="D46" s="3" t="s">
        <v>415</v>
      </c>
      <c r="E46" s="7" t="s">
        <v>72</v>
      </c>
      <c r="F46" s="8">
        <v>45901</v>
      </c>
      <c r="G46" s="7" t="s">
        <v>11</v>
      </c>
      <c r="H46" s="9" t="s">
        <v>38</v>
      </c>
      <c r="I46" s="9" t="s">
        <v>18</v>
      </c>
      <c r="J46" s="6">
        <v>35000</v>
      </c>
      <c r="K46" s="6">
        <v>36750</v>
      </c>
      <c r="L46" s="6">
        <v>1750</v>
      </c>
      <c r="M46" s="23">
        <f t="shared" si="0"/>
        <v>14700</v>
      </c>
      <c r="N46" s="23">
        <f t="shared" si="1"/>
        <v>22050</v>
      </c>
      <c r="O46" s="3" t="s">
        <v>81</v>
      </c>
      <c r="P46" s="3" t="s">
        <v>157</v>
      </c>
    </row>
    <row r="47" spans="3:16" ht="21" customHeight="1" x14ac:dyDescent="0.25">
      <c r="C47" s="7">
        <v>2000872</v>
      </c>
      <c r="D47" s="3" t="s">
        <v>416</v>
      </c>
      <c r="E47" s="7" t="s">
        <v>72</v>
      </c>
      <c r="F47" s="8">
        <v>45901</v>
      </c>
      <c r="G47" s="7" t="s">
        <v>11</v>
      </c>
      <c r="H47" s="9" t="s">
        <v>40</v>
      </c>
      <c r="I47" s="9" t="s">
        <v>19</v>
      </c>
      <c r="J47" s="6">
        <v>15750</v>
      </c>
      <c r="K47" s="6">
        <v>17325</v>
      </c>
      <c r="L47" s="6">
        <v>1575</v>
      </c>
      <c r="M47" s="23">
        <f t="shared" si="0"/>
        <v>6930</v>
      </c>
      <c r="N47" s="23">
        <f t="shared" si="1"/>
        <v>10395</v>
      </c>
      <c r="O47" s="3" t="s">
        <v>85</v>
      </c>
      <c r="P47" s="3" t="s">
        <v>87</v>
      </c>
    </row>
    <row r="48" spans="3:16" ht="21" customHeight="1" x14ac:dyDescent="0.25">
      <c r="C48" s="7">
        <v>2000844</v>
      </c>
      <c r="D48" s="3" t="s">
        <v>417</v>
      </c>
      <c r="E48" s="7" t="s">
        <v>72</v>
      </c>
      <c r="F48" s="8">
        <v>45901</v>
      </c>
      <c r="G48" s="7" t="s">
        <v>11</v>
      </c>
      <c r="H48" s="9" t="s">
        <v>38</v>
      </c>
      <c r="I48" s="9" t="s">
        <v>18</v>
      </c>
      <c r="J48" s="6">
        <v>50400</v>
      </c>
      <c r="K48" s="6">
        <v>52920</v>
      </c>
      <c r="L48" s="6">
        <v>2520</v>
      </c>
      <c r="M48" s="23">
        <f t="shared" si="0"/>
        <v>21168</v>
      </c>
      <c r="N48" s="23">
        <f t="shared" si="1"/>
        <v>31752</v>
      </c>
      <c r="O48" s="3" t="s">
        <v>85</v>
      </c>
      <c r="P48" s="3" t="s">
        <v>166</v>
      </c>
    </row>
    <row r="49" spans="3:16" ht="21" customHeight="1" x14ac:dyDescent="0.25">
      <c r="C49" s="7">
        <v>2000545</v>
      </c>
      <c r="D49" s="3" t="s">
        <v>418</v>
      </c>
      <c r="E49" s="7" t="s">
        <v>72</v>
      </c>
      <c r="F49" s="8">
        <v>45901</v>
      </c>
      <c r="G49" s="7" t="s">
        <v>11</v>
      </c>
      <c r="H49" s="9" t="s">
        <v>38</v>
      </c>
      <c r="I49" s="9" t="s">
        <v>18</v>
      </c>
      <c r="J49" s="6">
        <v>55676.25</v>
      </c>
      <c r="K49" s="6">
        <v>58460</v>
      </c>
      <c r="L49" s="6">
        <v>2783.75</v>
      </c>
      <c r="M49" s="23">
        <f t="shared" si="0"/>
        <v>23384</v>
      </c>
      <c r="N49" s="23">
        <f t="shared" si="1"/>
        <v>35076</v>
      </c>
      <c r="O49" s="3" t="s">
        <v>85</v>
      </c>
      <c r="P49" s="3" t="s">
        <v>170</v>
      </c>
    </row>
    <row r="50" spans="3:16" ht="21" customHeight="1" x14ac:dyDescent="0.25">
      <c r="C50" s="7">
        <v>2000884</v>
      </c>
      <c r="D50" s="3" t="s">
        <v>419</v>
      </c>
      <c r="E50" s="7" t="s">
        <v>72</v>
      </c>
      <c r="F50" s="8">
        <v>45901</v>
      </c>
      <c r="G50" s="7" t="s">
        <v>11</v>
      </c>
      <c r="H50" s="9" t="s">
        <v>38</v>
      </c>
      <c r="I50" s="9" t="s">
        <v>18</v>
      </c>
      <c r="J50" s="6">
        <v>36750</v>
      </c>
      <c r="K50" s="6">
        <v>38587.5</v>
      </c>
      <c r="L50" s="6">
        <v>1837.5</v>
      </c>
      <c r="M50" s="23">
        <f t="shared" si="0"/>
        <v>15435</v>
      </c>
      <c r="N50" s="23">
        <f t="shared" si="1"/>
        <v>23152.5</v>
      </c>
      <c r="O50" s="3" t="s">
        <v>85</v>
      </c>
      <c r="P50" s="3" t="s">
        <v>170</v>
      </c>
    </row>
    <row r="51" spans="3:16" ht="21" customHeight="1" x14ac:dyDescent="0.25">
      <c r="C51" s="7">
        <v>2000170</v>
      </c>
      <c r="D51" s="3" t="s">
        <v>420</v>
      </c>
      <c r="E51" s="7" t="s">
        <v>71</v>
      </c>
      <c r="F51" s="8">
        <v>45901</v>
      </c>
      <c r="G51" s="7" t="s">
        <v>11</v>
      </c>
      <c r="H51" s="9" t="s">
        <v>18</v>
      </c>
      <c r="I51" s="9" t="s">
        <v>18</v>
      </c>
      <c r="J51" s="6">
        <v>47500</v>
      </c>
      <c r="K51" s="6">
        <v>49875</v>
      </c>
      <c r="L51" s="6">
        <v>2375</v>
      </c>
      <c r="M51" s="23">
        <f t="shared" si="0"/>
        <v>19950</v>
      </c>
      <c r="N51" s="23">
        <f t="shared" si="1"/>
        <v>29925</v>
      </c>
      <c r="O51" s="3" t="s">
        <v>85</v>
      </c>
      <c r="P51" s="3" t="s">
        <v>89</v>
      </c>
    </row>
    <row r="52" spans="3:16" ht="21" customHeight="1" x14ac:dyDescent="0.25">
      <c r="C52" s="7">
        <v>2000225</v>
      </c>
      <c r="D52" s="3" t="s">
        <v>421</v>
      </c>
      <c r="E52" s="7" t="s">
        <v>71</v>
      </c>
      <c r="F52" s="8">
        <v>45901</v>
      </c>
      <c r="G52" s="7" t="s">
        <v>11</v>
      </c>
      <c r="H52" s="9" t="s">
        <v>9</v>
      </c>
      <c r="I52" s="9" t="s">
        <v>9</v>
      </c>
      <c r="J52" s="6">
        <v>42842.75</v>
      </c>
      <c r="K52" s="6">
        <v>44985</v>
      </c>
      <c r="L52" s="6">
        <v>2142.25</v>
      </c>
      <c r="M52" s="23">
        <f t="shared" si="0"/>
        <v>17994</v>
      </c>
      <c r="N52" s="23">
        <f t="shared" si="1"/>
        <v>26991</v>
      </c>
      <c r="O52" s="3" t="s">
        <v>85</v>
      </c>
      <c r="P52" s="3" t="s">
        <v>89</v>
      </c>
    </row>
    <row r="53" spans="3:16" ht="21" customHeight="1" x14ac:dyDescent="0.25">
      <c r="C53" s="7">
        <v>2000428</v>
      </c>
      <c r="D53" s="3" t="s">
        <v>422</v>
      </c>
      <c r="E53" s="7" t="s">
        <v>71</v>
      </c>
      <c r="F53" s="8">
        <v>45901</v>
      </c>
      <c r="G53" s="7" t="s">
        <v>11</v>
      </c>
      <c r="H53" s="9" t="s">
        <v>29</v>
      </c>
      <c r="I53" s="9" t="s">
        <v>29</v>
      </c>
      <c r="J53" s="6">
        <v>11340</v>
      </c>
      <c r="K53" s="6">
        <v>11907</v>
      </c>
      <c r="L53" s="6">
        <v>567</v>
      </c>
      <c r="M53" s="23">
        <f t="shared" si="0"/>
        <v>4762.8</v>
      </c>
      <c r="N53" s="23">
        <f t="shared" si="1"/>
        <v>7144.2</v>
      </c>
      <c r="O53" s="3" t="s">
        <v>85</v>
      </c>
      <c r="P53" s="3" t="s">
        <v>89</v>
      </c>
    </row>
    <row r="54" spans="3:16" ht="21" customHeight="1" x14ac:dyDescent="0.25">
      <c r="C54" s="7">
        <v>2000899</v>
      </c>
      <c r="D54" s="3" t="s">
        <v>423</v>
      </c>
      <c r="E54" s="7" t="s">
        <v>72</v>
      </c>
      <c r="F54" s="8">
        <v>45901</v>
      </c>
      <c r="G54" s="7" t="s">
        <v>11</v>
      </c>
      <c r="H54" s="9" t="s">
        <v>38</v>
      </c>
      <c r="I54" s="9" t="s">
        <v>18</v>
      </c>
      <c r="J54" s="6">
        <v>42000</v>
      </c>
      <c r="K54" s="6">
        <v>46200</v>
      </c>
      <c r="L54" s="6">
        <v>4200</v>
      </c>
      <c r="M54" s="23">
        <f t="shared" si="0"/>
        <v>18480</v>
      </c>
      <c r="N54" s="23">
        <f t="shared" si="1"/>
        <v>27720</v>
      </c>
      <c r="O54" s="3" t="s">
        <v>85</v>
      </c>
      <c r="P54" s="3" t="s">
        <v>89</v>
      </c>
    </row>
    <row r="55" spans="3:16" ht="21" customHeight="1" x14ac:dyDescent="0.25">
      <c r="C55" s="7">
        <v>2000804</v>
      </c>
      <c r="D55" s="3" t="s">
        <v>424</v>
      </c>
      <c r="E55" s="7" t="s">
        <v>72</v>
      </c>
      <c r="F55" s="8">
        <v>45901</v>
      </c>
      <c r="G55" s="7" t="s">
        <v>11</v>
      </c>
      <c r="H55" s="9" t="s">
        <v>38</v>
      </c>
      <c r="I55" s="9" t="s">
        <v>18</v>
      </c>
      <c r="J55" s="6">
        <v>36750</v>
      </c>
      <c r="K55" s="6">
        <v>38587.5</v>
      </c>
      <c r="L55" s="6">
        <v>1837.5</v>
      </c>
      <c r="M55" s="23">
        <f t="shared" si="0"/>
        <v>15435</v>
      </c>
      <c r="N55" s="23">
        <f t="shared" si="1"/>
        <v>23152.5</v>
      </c>
      <c r="O55" s="3" t="s">
        <v>85</v>
      </c>
      <c r="P55" s="3" t="s">
        <v>208</v>
      </c>
    </row>
    <row r="56" spans="3:16" ht="21" customHeight="1" x14ac:dyDescent="0.25">
      <c r="C56" s="7">
        <v>2000307</v>
      </c>
      <c r="D56" s="3" t="s">
        <v>425</v>
      </c>
      <c r="E56" s="7" t="s">
        <v>72</v>
      </c>
      <c r="F56" s="8">
        <v>45901</v>
      </c>
      <c r="G56" s="7" t="s">
        <v>11</v>
      </c>
      <c r="H56" s="9" t="s">
        <v>13</v>
      </c>
      <c r="I56" s="9" t="s">
        <v>38</v>
      </c>
      <c r="J56" s="6">
        <v>28375</v>
      </c>
      <c r="K56" s="6">
        <v>29793.75</v>
      </c>
      <c r="L56" s="6">
        <v>1418.75</v>
      </c>
      <c r="M56" s="23">
        <f t="shared" si="0"/>
        <v>11917.5</v>
      </c>
      <c r="N56" s="23">
        <f t="shared" si="1"/>
        <v>17876.25</v>
      </c>
      <c r="O56" s="3" t="s">
        <v>85</v>
      </c>
      <c r="P56" s="3" t="s">
        <v>102</v>
      </c>
    </row>
    <row r="57" spans="3:16" ht="21" customHeight="1" x14ac:dyDescent="0.25">
      <c r="C57" s="7">
        <v>2000405</v>
      </c>
      <c r="D57" s="3" t="s">
        <v>426</v>
      </c>
      <c r="E57" s="7" t="s">
        <v>72</v>
      </c>
      <c r="F57" s="8">
        <v>45901</v>
      </c>
      <c r="G57" s="7" t="s">
        <v>11</v>
      </c>
      <c r="H57" s="9" t="s">
        <v>38</v>
      </c>
      <c r="I57" s="9" t="s">
        <v>18</v>
      </c>
      <c r="J57" s="6">
        <v>28375</v>
      </c>
      <c r="K57" s="6">
        <v>29793.75</v>
      </c>
      <c r="L57" s="6">
        <v>1418.75</v>
      </c>
      <c r="M57" s="23">
        <f t="shared" si="0"/>
        <v>11917.5</v>
      </c>
      <c r="N57" s="23">
        <f t="shared" si="1"/>
        <v>17876.25</v>
      </c>
      <c r="O57" s="3" t="s">
        <v>85</v>
      </c>
      <c r="P57" s="3" t="s">
        <v>102</v>
      </c>
    </row>
    <row r="58" spans="3:16" ht="21" customHeight="1" x14ac:dyDescent="0.25">
      <c r="C58" s="7">
        <v>2000431</v>
      </c>
      <c r="D58" s="3" t="s">
        <v>427</v>
      </c>
      <c r="E58" s="7" t="s">
        <v>72</v>
      </c>
      <c r="F58" s="8">
        <v>45901</v>
      </c>
      <c r="G58" s="7" t="s">
        <v>11</v>
      </c>
      <c r="H58" s="9" t="s">
        <v>12</v>
      </c>
      <c r="I58" s="9" t="s">
        <v>9</v>
      </c>
      <c r="J58" s="6">
        <v>28875</v>
      </c>
      <c r="K58" s="6">
        <v>30318.75</v>
      </c>
      <c r="L58" s="6">
        <v>1443.75</v>
      </c>
      <c r="M58" s="23">
        <f t="shared" si="0"/>
        <v>12127.5</v>
      </c>
      <c r="N58" s="23">
        <f t="shared" si="1"/>
        <v>18191.25</v>
      </c>
      <c r="O58" s="3" t="s">
        <v>85</v>
      </c>
      <c r="P58" s="3" t="s">
        <v>102</v>
      </c>
    </row>
    <row r="59" spans="3:16" ht="21" customHeight="1" x14ac:dyDescent="0.25">
      <c r="C59" s="7">
        <v>2000447</v>
      </c>
      <c r="D59" s="3" t="s">
        <v>428</v>
      </c>
      <c r="E59" s="7" t="s">
        <v>72</v>
      </c>
      <c r="F59" s="8">
        <v>45901</v>
      </c>
      <c r="G59" s="7" t="s">
        <v>11</v>
      </c>
      <c r="H59" s="9" t="s">
        <v>38</v>
      </c>
      <c r="I59" s="9" t="s">
        <v>18</v>
      </c>
      <c r="J59" s="6">
        <v>28375</v>
      </c>
      <c r="K59" s="6">
        <v>29793.75</v>
      </c>
      <c r="L59" s="6">
        <v>1418.75</v>
      </c>
      <c r="M59" s="23">
        <f t="shared" si="0"/>
        <v>11917.5</v>
      </c>
      <c r="N59" s="23">
        <f t="shared" si="1"/>
        <v>17876.25</v>
      </c>
      <c r="O59" s="3" t="s">
        <v>85</v>
      </c>
      <c r="P59" s="3" t="s">
        <v>102</v>
      </c>
    </row>
    <row r="60" spans="3:16" ht="21" customHeight="1" x14ac:dyDescent="0.25">
      <c r="C60" s="7">
        <v>2000831</v>
      </c>
      <c r="D60" s="3" t="s">
        <v>429</v>
      </c>
      <c r="E60" s="7" t="s">
        <v>72</v>
      </c>
      <c r="F60" s="8">
        <v>45901</v>
      </c>
      <c r="G60" s="7" t="s">
        <v>11</v>
      </c>
      <c r="H60" s="9" t="s">
        <v>38</v>
      </c>
      <c r="I60" s="9" t="s">
        <v>18</v>
      </c>
      <c r="J60" s="6">
        <v>31423.25</v>
      </c>
      <c r="K60" s="6">
        <v>34565.5</v>
      </c>
      <c r="L60" s="6">
        <v>3142.25</v>
      </c>
      <c r="M60" s="23">
        <f t="shared" si="0"/>
        <v>13826.2</v>
      </c>
      <c r="N60" s="23">
        <f t="shared" si="1"/>
        <v>20739.3</v>
      </c>
      <c r="O60" s="3" t="s">
        <v>85</v>
      </c>
      <c r="P60" s="3" t="s">
        <v>102</v>
      </c>
    </row>
    <row r="61" spans="3:16" ht="21" customHeight="1" x14ac:dyDescent="0.25">
      <c r="C61" s="7">
        <v>5000126</v>
      </c>
      <c r="D61" s="3" t="s">
        <v>430</v>
      </c>
      <c r="E61" s="7" t="s">
        <v>71</v>
      </c>
      <c r="F61" s="8">
        <v>45901</v>
      </c>
      <c r="G61" s="7" t="s">
        <v>11</v>
      </c>
      <c r="H61" s="9" t="s">
        <v>29</v>
      </c>
      <c r="I61" s="9" t="s">
        <v>29</v>
      </c>
      <c r="J61" s="6">
        <v>21828</v>
      </c>
      <c r="K61" s="6">
        <v>22919.5</v>
      </c>
      <c r="L61" s="6">
        <v>1091.5</v>
      </c>
      <c r="M61" s="23">
        <f t="shared" si="0"/>
        <v>9167.8000000000011</v>
      </c>
      <c r="N61" s="23">
        <f t="shared" si="1"/>
        <v>13751.699999999999</v>
      </c>
      <c r="O61" s="3" t="s">
        <v>85</v>
      </c>
      <c r="P61" s="3" t="s">
        <v>229</v>
      </c>
    </row>
    <row r="62" spans="3:16" ht="21" customHeight="1" x14ac:dyDescent="0.25">
      <c r="C62" s="7">
        <v>5000127</v>
      </c>
      <c r="D62" s="3" t="s">
        <v>431</v>
      </c>
      <c r="E62" s="7" t="s">
        <v>71</v>
      </c>
      <c r="F62" s="8">
        <v>45901</v>
      </c>
      <c r="G62" s="7" t="s">
        <v>11</v>
      </c>
      <c r="H62" s="9" t="s">
        <v>29</v>
      </c>
      <c r="I62" s="9" t="s">
        <v>29</v>
      </c>
      <c r="J62" s="6">
        <v>16050</v>
      </c>
      <c r="K62" s="6">
        <v>16852.5</v>
      </c>
      <c r="L62" s="6">
        <v>802.5</v>
      </c>
      <c r="M62" s="23">
        <f t="shared" si="0"/>
        <v>6741</v>
      </c>
      <c r="N62" s="23">
        <f t="shared" si="1"/>
        <v>10111.5</v>
      </c>
      <c r="O62" s="3" t="s">
        <v>85</v>
      </c>
      <c r="P62" s="3" t="s">
        <v>229</v>
      </c>
    </row>
    <row r="63" spans="3:16" ht="21" customHeight="1" x14ac:dyDescent="0.25">
      <c r="C63" s="7">
        <v>5000128</v>
      </c>
      <c r="D63" s="3" t="s">
        <v>432</v>
      </c>
      <c r="E63" s="7" t="s">
        <v>71</v>
      </c>
      <c r="F63" s="8">
        <v>45901</v>
      </c>
      <c r="G63" s="7" t="s">
        <v>11</v>
      </c>
      <c r="H63" s="9" t="s">
        <v>29</v>
      </c>
      <c r="I63" s="9" t="s">
        <v>29</v>
      </c>
      <c r="J63" s="6">
        <v>19260</v>
      </c>
      <c r="K63" s="6">
        <v>20223</v>
      </c>
      <c r="L63" s="6">
        <v>963</v>
      </c>
      <c r="M63" s="23">
        <f t="shared" si="0"/>
        <v>8089.2000000000007</v>
      </c>
      <c r="N63" s="23">
        <f t="shared" si="1"/>
        <v>12133.8</v>
      </c>
      <c r="O63" s="3" t="s">
        <v>85</v>
      </c>
      <c r="P63" s="3" t="s">
        <v>229</v>
      </c>
    </row>
    <row r="64" spans="3:16" ht="21" customHeight="1" x14ac:dyDescent="0.25">
      <c r="C64" s="7">
        <v>5000129</v>
      </c>
      <c r="D64" s="3" t="s">
        <v>433</v>
      </c>
      <c r="E64" s="7" t="s">
        <v>71</v>
      </c>
      <c r="F64" s="8">
        <v>45901</v>
      </c>
      <c r="G64" s="7" t="s">
        <v>11</v>
      </c>
      <c r="H64" s="9" t="s">
        <v>29</v>
      </c>
      <c r="I64" s="9" t="s">
        <v>29</v>
      </c>
      <c r="J64" s="6">
        <v>16050</v>
      </c>
      <c r="K64" s="6">
        <v>16852.5</v>
      </c>
      <c r="L64" s="6">
        <v>802.5</v>
      </c>
      <c r="M64" s="23">
        <f t="shared" si="0"/>
        <v>6741</v>
      </c>
      <c r="N64" s="23">
        <f t="shared" si="1"/>
        <v>10111.5</v>
      </c>
      <c r="O64" s="3" t="s">
        <v>85</v>
      </c>
      <c r="P64" s="3" t="s">
        <v>229</v>
      </c>
    </row>
    <row r="65" spans="3:16" ht="21" customHeight="1" x14ac:dyDescent="0.25">
      <c r="C65" s="7">
        <v>5000131</v>
      </c>
      <c r="D65" s="3" t="s">
        <v>434</v>
      </c>
      <c r="E65" s="7" t="s">
        <v>71</v>
      </c>
      <c r="F65" s="8">
        <v>45901</v>
      </c>
      <c r="G65" s="7" t="s">
        <v>11</v>
      </c>
      <c r="H65" s="9" t="s">
        <v>29</v>
      </c>
      <c r="I65" s="9" t="s">
        <v>29</v>
      </c>
      <c r="J65" s="6">
        <v>19902</v>
      </c>
      <c r="K65" s="6">
        <v>20897</v>
      </c>
      <c r="L65" s="6">
        <v>995</v>
      </c>
      <c r="M65" s="23">
        <f t="shared" si="0"/>
        <v>8358.8000000000011</v>
      </c>
      <c r="N65" s="23">
        <f t="shared" si="1"/>
        <v>12538.199999999999</v>
      </c>
      <c r="O65" s="3" t="s">
        <v>85</v>
      </c>
      <c r="P65" s="3" t="s">
        <v>229</v>
      </c>
    </row>
    <row r="66" spans="3:16" ht="21" customHeight="1" x14ac:dyDescent="0.25">
      <c r="C66" s="7">
        <v>5000135</v>
      </c>
      <c r="D66" s="3" t="s">
        <v>435</v>
      </c>
      <c r="E66" s="7" t="s">
        <v>71</v>
      </c>
      <c r="F66" s="8">
        <v>45901</v>
      </c>
      <c r="G66" s="7" t="s">
        <v>11</v>
      </c>
      <c r="H66" s="9" t="s">
        <v>29</v>
      </c>
      <c r="I66" s="9" t="s">
        <v>29</v>
      </c>
      <c r="J66" s="6">
        <v>21186</v>
      </c>
      <c r="K66" s="6">
        <v>22245.25</v>
      </c>
      <c r="L66" s="6">
        <v>1059.25</v>
      </c>
      <c r="M66" s="23">
        <f t="shared" si="0"/>
        <v>8898.1</v>
      </c>
      <c r="N66" s="23">
        <f t="shared" si="1"/>
        <v>13347.15</v>
      </c>
      <c r="O66" s="3" t="s">
        <v>85</v>
      </c>
      <c r="P66" s="3" t="s">
        <v>229</v>
      </c>
    </row>
    <row r="67" spans="3:16" ht="21" customHeight="1" x14ac:dyDescent="0.25">
      <c r="C67" s="7">
        <v>5000136</v>
      </c>
      <c r="D67" s="3" t="s">
        <v>436</v>
      </c>
      <c r="E67" s="7" t="s">
        <v>71</v>
      </c>
      <c r="F67" s="8">
        <v>45901</v>
      </c>
      <c r="G67" s="7" t="s">
        <v>11</v>
      </c>
      <c r="H67" s="9" t="s">
        <v>29</v>
      </c>
      <c r="I67" s="9" t="s">
        <v>29</v>
      </c>
      <c r="J67" s="6">
        <v>16050</v>
      </c>
      <c r="K67" s="6">
        <v>16852.5</v>
      </c>
      <c r="L67" s="6">
        <v>802.5</v>
      </c>
      <c r="M67" s="23">
        <f t="shared" ref="M67:M130" si="2">+K67*0.4</f>
        <v>6741</v>
      </c>
      <c r="N67" s="23">
        <f t="shared" ref="N67:N130" si="3">+K67*0.6</f>
        <v>10111.5</v>
      </c>
      <c r="O67" s="3" t="s">
        <v>85</v>
      </c>
      <c r="P67" s="3" t="s">
        <v>229</v>
      </c>
    </row>
    <row r="68" spans="3:16" ht="21" customHeight="1" x14ac:dyDescent="0.25">
      <c r="C68" s="7">
        <v>5000139</v>
      </c>
      <c r="D68" s="3" t="s">
        <v>437</v>
      </c>
      <c r="E68" s="7" t="s">
        <v>71</v>
      </c>
      <c r="F68" s="8">
        <v>45901</v>
      </c>
      <c r="G68" s="7" t="s">
        <v>11</v>
      </c>
      <c r="H68" s="9" t="s">
        <v>29</v>
      </c>
      <c r="I68" s="9" t="s">
        <v>29</v>
      </c>
      <c r="J68" s="6">
        <v>16050</v>
      </c>
      <c r="K68" s="6">
        <v>16852.5</v>
      </c>
      <c r="L68" s="6">
        <v>802.5</v>
      </c>
      <c r="M68" s="23">
        <f t="shared" si="2"/>
        <v>6741</v>
      </c>
      <c r="N68" s="23">
        <f t="shared" si="3"/>
        <v>10111.5</v>
      </c>
      <c r="O68" s="3" t="s">
        <v>85</v>
      </c>
      <c r="P68" s="3" t="s">
        <v>229</v>
      </c>
    </row>
    <row r="69" spans="3:16" ht="21" customHeight="1" x14ac:dyDescent="0.25">
      <c r="C69" s="7">
        <v>5000140</v>
      </c>
      <c r="D69" s="3" t="s">
        <v>438</v>
      </c>
      <c r="E69" s="7" t="s">
        <v>71</v>
      </c>
      <c r="F69" s="8">
        <v>45901</v>
      </c>
      <c r="G69" s="7" t="s">
        <v>11</v>
      </c>
      <c r="H69" s="9" t="s">
        <v>29</v>
      </c>
      <c r="I69" s="9" t="s">
        <v>29</v>
      </c>
      <c r="J69" s="6">
        <v>16050</v>
      </c>
      <c r="K69" s="6">
        <v>16852.5</v>
      </c>
      <c r="L69" s="6">
        <v>802.5</v>
      </c>
      <c r="M69" s="23">
        <f t="shared" si="2"/>
        <v>6741</v>
      </c>
      <c r="N69" s="23">
        <f t="shared" si="3"/>
        <v>10111.5</v>
      </c>
      <c r="O69" s="3" t="s">
        <v>85</v>
      </c>
      <c r="P69" s="3" t="s">
        <v>229</v>
      </c>
    </row>
    <row r="70" spans="3:16" ht="21" customHeight="1" x14ac:dyDescent="0.25">
      <c r="C70" s="7">
        <v>5000141</v>
      </c>
      <c r="D70" s="3" t="s">
        <v>439</v>
      </c>
      <c r="E70" s="7" t="s">
        <v>71</v>
      </c>
      <c r="F70" s="8">
        <v>45901</v>
      </c>
      <c r="G70" s="7" t="s">
        <v>11</v>
      </c>
      <c r="H70" s="9" t="s">
        <v>29</v>
      </c>
      <c r="I70" s="9" t="s">
        <v>29</v>
      </c>
      <c r="J70" s="6">
        <v>16050</v>
      </c>
      <c r="K70" s="6">
        <v>16852.5</v>
      </c>
      <c r="L70" s="6">
        <v>802.5</v>
      </c>
      <c r="M70" s="23">
        <f t="shared" si="2"/>
        <v>6741</v>
      </c>
      <c r="N70" s="23">
        <f t="shared" si="3"/>
        <v>10111.5</v>
      </c>
      <c r="O70" s="3" t="s">
        <v>85</v>
      </c>
      <c r="P70" s="3" t="s">
        <v>229</v>
      </c>
    </row>
    <row r="71" spans="3:16" ht="21" customHeight="1" x14ac:dyDescent="0.25">
      <c r="C71" s="7">
        <v>5000173</v>
      </c>
      <c r="D71" s="3" t="s">
        <v>440</v>
      </c>
      <c r="E71" s="7" t="s">
        <v>71</v>
      </c>
      <c r="F71" s="8">
        <v>45901</v>
      </c>
      <c r="G71" s="7" t="s">
        <v>11</v>
      </c>
      <c r="H71" s="9" t="s">
        <v>29</v>
      </c>
      <c r="I71" s="9" t="s">
        <v>29</v>
      </c>
      <c r="J71" s="6">
        <v>19260</v>
      </c>
      <c r="K71" s="6">
        <v>20223</v>
      </c>
      <c r="L71" s="6">
        <v>963</v>
      </c>
      <c r="M71" s="23">
        <f t="shared" si="2"/>
        <v>8089.2000000000007</v>
      </c>
      <c r="N71" s="23">
        <f t="shared" si="3"/>
        <v>12133.8</v>
      </c>
      <c r="O71" s="3" t="s">
        <v>85</v>
      </c>
      <c r="P71" s="3" t="s">
        <v>229</v>
      </c>
    </row>
    <row r="72" spans="3:16" ht="21" customHeight="1" x14ac:dyDescent="0.25">
      <c r="C72" s="7">
        <v>5000174</v>
      </c>
      <c r="D72" s="3" t="s">
        <v>441</v>
      </c>
      <c r="E72" s="7" t="s">
        <v>71</v>
      </c>
      <c r="F72" s="8">
        <v>45901</v>
      </c>
      <c r="G72" s="7" t="s">
        <v>11</v>
      </c>
      <c r="H72" s="9" t="s">
        <v>29</v>
      </c>
      <c r="I72" s="9" t="s">
        <v>29</v>
      </c>
      <c r="J72" s="6">
        <v>16050</v>
      </c>
      <c r="K72" s="6">
        <v>16852.5</v>
      </c>
      <c r="L72" s="6">
        <v>802.5</v>
      </c>
      <c r="M72" s="23">
        <f t="shared" si="2"/>
        <v>6741</v>
      </c>
      <c r="N72" s="23">
        <f t="shared" si="3"/>
        <v>10111.5</v>
      </c>
      <c r="O72" s="3" t="s">
        <v>85</v>
      </c>
      <c r="P72" s="3" t="s">
        <v>229</v>
      </c>
    </row>
    <row r="73" spans="3:16" ht="21" customHeight="1" x14ac:dyDescent="0.25">
      <c r="C73" s="7">
        <v>5000175</v>
      </c>
      <c r="D73" s="3" t="s">
        <v>442</v>
      </c>
      <c r="E73" s="7" t="s">
        <v>71</v>
      </c>
      <c r="F73" s="8">
        <v>45901</v>
      </c>
      <c r="G73" s="7" t="s">
        <v>11</v>
      </c>
      <c r="H73" s="9" t="s">
        <v>29</v>
      </c>
      <c r="I73" s="9" t="s">
        <v>29</v>
      </c>
      <c r="J73" s="6">
        <v>21828</v>
      </c>
      <c r="K73" s="6">
        <v>22919.5</v>
      </c>
      <c r="L73" s="6">
        <v>1091.5</v>
      </c>
      <c r="M73" s="23">
        <f t="shared" si="2"/>
        <v>9167.8000000000011</v>
      </c>
      <c r="N73" s="23">
        <f t="shared" si="3"/>
        <v>13751.699999999999</v>
      </c>
      <c r="O73" s="3" t="s">
        <v>85</v>
      </c>
      <c r="P73" s="3" t="s">
        <v>229</v>
      </c>
    </row>
    <row r="74" spans="3:16" ht="21" customHeight="1" x14ac:dyDescent="0.25">
      <c r="C74" s="7">
        <v>2000398</v>
      </c>
      <c r="D74" s="3" t="s">
        <v>443</v>
      </c>
      <c r="E74" s="7" t="s">
        <v>72</v>
      </c>
      <c r="F74" s="8">
        <v>45901</v>
      </c>
      <c r="G74" s="7" t="s">
        <v>11</v>
      </c>
      <c r="H74" s="9" t="s">
        <v>75</v>
      </c>
      <c r="I74" s="9" t="s">
        <v>40</v>
      </c>
      <c r="J74" s="6">
        <v>15750</v>
      </c>
      <c r="K74" s="6">
        <v>16537.5</v>
      </c>
      <c r="L74" s="6">
        <v>787.5</v>
      </c>
      <c r="M74" s="23">
        <f t="shared" si="2"/>
        <v>6615</v>
      </c>
      <c r="N74" s="23">
        <f t="shared" si="3"/>
        <v>9922.5</v>
      </c>
      <c r="O74" s="3" t="s">
        <v>85</v>
      </c>
      <c r="P74" s="3" t="s">
        <v>105</v>
      </c>
    </row>
    <row r="75" spans="3:16" ht="21" customHeight="1" x14ac:dyDescent="0.25">
      <c r="C75" s="7">
        <v>2000464</v>
      </c>
      <c r="D75" s="3" t="s">
        <v>444</v>
      </c>
      <c r="E75" s="7" t="s">
        <v>71</v>
      </c>
      <c r="F75" s="8">
        <v>45901</v>
      </c>
      <c r="G75" s="7" t="s">
        <v>11</v>
      </c>
      <c r="H75" s="9" t="s">
        <v>19</v>
      </c>
      <c r="I75" s="9" t="s">
        <v>19</v>
      </c>
      <c r="J75" s="6">
        <v>15750</v>
      </c>
      <c r="K75" s="6">
        <v>16537.5</v>
      </c>
      <c r="L75" s="6">
        <v>787.5</v>
      </c>
      <c r="M75" s="23">
        <f t="shared" si="2"/>
        <v>6615</v>
      </c>
      <c r="N75" s="23">
        <f t="shared" si="3"/>
        <v>9922.5</v>
      </c>
      <c r="O75" s="3" t="s">
        <v>85</v>
      </c>
      <c r="P75" s="3" t="s">
        <v>105</v>
      </c>
    </row>
    <row r="76" spans="3:16" ht="21" customHeight="1" x14ac:dyDescent="0.25">
      <c r="C76" s="7">
        <v>2000465</v>
      </c>
      <c r="D76" s="3" t="s">
        <v>445</v>
      </c>
      <c r="E76" s="7" t="s">
        <v>72</v>
      </c>
      <c r="F76" s="8">
        <v>45901</v>
      </c>
      <c r="G76" s="7" t="s">
        <v>11</v>
      </c>
      <c r="H76" s="9" t="s">
        <v>12</v>
      </c>
      <c r="I76" s="9" t="s">
        <v>9</v>
      </c>
      <c r="J76" s="6">
        <v>20000</v>
      </c>
      <c r="K76" s="6">
        <v>21000</v>
      </c>
      <c r="L76" s="6">
        <v>1000</v>
      </c>
      <c r="M76" s="23">
        <f t="shared" si="2"/>
        <v>8400</v>
      </c>
      <c r="N76" s="23">
        <f t="shared" si="3"/>
        <v>12600</v>
      </c>
      <c r="O76" s="3" t="s">
        <v>85</v>
      </c>
      <c r="P76" s="3" t="s">
        <v>105</v>
      </c>
    </row>
    <row r="77" spans="3:16" ht="21" customHeight="1" x14ac:dyDescent="0.25">
      <c r="C77" s="7">
        <v>2000466</v>
      </c>
      <c r="D77" s="3" t="s">
        <v>446</v>
      </c>
      <c r="E77" s="7" t="s">
        <v>71</v>
      </c>
      <c r="F77" s="8">
        <v>45901</v>
      </c>
      <c r="G77" s="7" t="s">
        <v>11</v>
      </c>
      <c r="H77" s="9" t="s">
        <v>20</v>
      </c>
      <c r="I77" s="9" t="s">
        <v>20</v>
      </c>
      <c r="J77" s="6">
        <v>10000</v>
      </c>
      <c r="K77" s="6">
        <v>10500</v>
      </c>
      <c r="L77" s="6">
        <v>500</v>
      </c>
      <c r="M77" s="23">
        <f t="shared" si="2"/>
        <v>4200</v>
      </c>
      <c r="N77" s="23">
        <f t="shared" si="3"/>
        <v>6300</v>
      </c>
      <c r="O77" s="3" t="s">
        <v>85</v>
      </c>
      <c r="P77" s="3" t="s">
        <v>105</v>
      </c>
    </row>
    <row r="78" spans="3:16" ht="21" customHeight="1" x14ac:dyDescent="0.25">
      <c r="C78" s="7">
        <v>2000816</v>
      </c>
      <c r="D78" s="3" t="s">
        <v>447</v>
      </c>
      <c r="E78" s="7" t="s">
        <v>72</v>
      </c>
      <c r="F78" s="8">
        <v>45901</v>
      </c>
      <c r="G78" s="7" t="s">
        <v>11</v>
      </c>
      <c r="H78" s="9" t="s">
        <v>77</v>
      </c>
      <c r="I78" s="9" t="s">
        <v>20</v>
      </c>
      <c r="J78" s="6">
        <v>10000</v>
      </c>
      <c r="K78" s="6">
        <v>11000</v>
      </c>
      <c r="L78" s="6">
        <v>1000</v>
      </c>
      <c r="M78" s="23">
        <f t="shared" si="2"/>
        <v>4400</v>
      </c>
      <c r="N78" s="23">
        <f t="shared" si="3"/>
        <v>6600</v>
      </c>
      <c r="O78" s="3" t="s">
        <v>85</v>
      </c>
      <c r="P78" s="3" t="s">
        <v>105</v>
      </c>
    </row>
    <row r="79" spans="3:16" ht="21" customHeight="1" x14ac:dyDescent="0.25">
      <c r="C79" s="7">
        <v>2000817</v>
      </c>
      <c r="D79" s="3" t="s">
        <v>448</v>
      </c>
      <c r="E79" s="7" t="s">
        <v>72</v>
      </c>
      <c r="F79" s="8">
        <v>45901</v>
      </c>
      <c r="G79" s="7" t="s">
        <v>11</v>
      </c>
      <c r="H79" s="9" t="s">
        <v>77</v>
      </c>
      <c r="I79" s="9" t="s">
        <v>20</v>
      </c>
      <c r="J79" s="6">
        <v>10000</v>
      </c>
      <c r="K79" s="6">
        <v>11000</v>
      </c>
      <c r="L79" s="6">
        <v>1000</v>
      </c>
      <c r="M79" s="23">
        <f t="shared" si="2"/>
        <v>4400</v>
      </c>
      <c r="N79" s="23">
        <f t="shared" si="3"/>
        <v>6600</v>
      </c>
      <c r="O79" s="3" t="s">
        <v>85</v>
      </c>
      <c r="P79" s="3" t="s">
        <v>105</v>
      </c>
    </row>
    <row r="80" spans="3:16" ht="21" customHeight="1" x14ac:dyDescent="0.25">
      <c r="C80" s="7">
        <v>2000868</v>
      </c>
      <c r="D80" s="3" t="s">
        <v>449</v>
      </c>
      <c r="E80" s="7" t="s">
        <v>72</v>
      </c>
      <c r="F80" s="8">
        <v>45901</v>
      </c>
      <c r="G80" s="7" t="s">
        <v>11</v>
      </c>
      <c r="H80" s="9" t="s">
        <v>38</v>
      </c>
      <c r="I80" s="9" t="s">
        <v>18</v>
      </c>
      <c r="J80" s="6">
        <v>30959.25</v>
      </c>
      <c r="K80" s="6">
        <v>32507.25</v>
      </c>
      <c r="L80" s="6">
        <v>1548</v>
      </c>
      <c r="M80" s="23">
        <f t="shared" si="2"/>
        <v>13002.900000000001</v>
      </c>
      <c r="N80" s="23">
        <f t="shared" si="3"/>
        <v>19504.349999999999</v>
      </c>
      <c r="O80" s="3" t="s">
        <v>85</v>
      </c>
      <c r="P80" s="3" t="s">
        <v>105</v>
      </c>
    </row>
    <row r="81" spans="3:16" ht="21" customHeight="1" x14ac:dyDescent="0.25">
      <c r="C81" s="7">
        <v>2000276</v>
      </c>
      <c r="D81" s="3" t="s">
        <v>450</v>
      </c>
      <c r="E81" s="7" t="s">
        <v>71</v>
      </c>
      <c r="F81" s="8">
        <v>45901</v>
      </c>
      <c r="G81" s="7" t="s">
        <v>11</v>
      </c>
      <c r="H81" s="9" t="s">
        <v>18</v>
      </c>
      <c r="I81" s="9" t="s">
        <v>18</v>
      </c>
      <c r="J81" s="6">
        <v>37060</v>
      </c>
      <c r="K81" s="6">
        <v>38913</v>
      </c>
      <c r="L81" s="6">
        <v>1853</v>
      </c>
      <c r="M81" s="23">
        <f t="shared" si="2"/>
        <v>15565.2</v>
      </c>
      <c r="N81" s="23">
        <f t="shared" si="3"/>
        <v>23347.8</v>
      </c>
      <c r="O81" s="3" t="s">
        <v>85</v>
      </c>
      <c r="P81" s="3" t="s">
        <v>257</v>
      </c>
    </row>
    <row r="82" spans="3:16" ht="21" customHeight="1" x14ac:dyDescent="0.25">
      <c r="C82" s="7">
        <v>2000427</v>
      </c>
      <c r="D82" s="3" t="s">
        <v>451</v>
      </c>
      <c r="E82" s="7" t="s">
        <v>72</v>
      </c>
      <c r="F82" s="8">
        <v>45901</v>
      </c>
      <c r="G82" s="7" t="s">
        <v>11</v>
      </c>
      <c r="H82" s="9" t="s">
        <v>13</v>
      </c>
      <c r="I82" s="9" t="s">
        <v>38</v>
      </c>
      <c r="J82" s="6">
        <v>28375</v>
      </c>
      <c r="K82" s="6">
        <v>29793.75</v>
      </c>
      <c r="L82" s="6">
        <v>1418.75</v>
      </c>
      <c r="M82" s="23">
        <f t="shared" si="2"/>
        <v>11917.5</v>
      </c>
      <c r="N82" s="23">
        <f t="shared" si="3"/>
        <v>17876.25</v>
      </c>
      <c r="O82" s="3" t="s">
        <v>85</v>
      </c>
      <c r="P82" s="3" t="s">
        <v>257</v>
      </c>
    </row>
    <row r="83" spans="3:16" ht="21" customHeight="1" x14ac:dyDescent="0.25">
      <c r="C83" s="7">
        <v>2000442</v>
      </c>
      <c r="D83" s="3" t="s">
        <v>452</v>
      </c>
      <c r="E83" s="7" t="s">
        <v>8</v>
      </c>
      <c r="F83" s="8">
        <v>45901</v>
      </c>
      <c r="G83" s="7" t="s">
        <v>11</v>
      </c>
      <c r="H83" s="9" t="s">
        <v>9</v>
      </c>
      <c r="I83" s="9" t="s">
        <v>13</v>
      </c>
      <c r="J83" s="6">
        <v>40604.75</v>
      </c>
      <c r="K83" s="6">
        <v>42635</v>
      </c>
      <c r="L83" s="6">
        <v>2030.25</v>
      </c>
      <c r="M83" s="23">
        <f t="shared" si="2"/>
        <v>17054</v>
      </c>
      <c r="N83" s="23">
        <f t="shared" si="3"/>
        <v>25581</v>
      </c>
      <c r="O83" s="3" t="s">
        <v>85</v>
      </c>
      <c r="P83" s="3" t="s">
        <v>257</v>
      </c>
    </row>
    <row r="84" spans="3:16" ht="21" customHeight="1" x14ac:dyDescent="0.25">
      <c r="C84" s="7">
        <v>2000722</v>
      </c>
      <c r="D84" s="3" t="s">
        <v>453</v>
      </c>
      <c r="E84" s="7" t="s">
        <v>72</v>
      </c>
      <c r="F84" s="8">
        <v>45901</v>
      </c>
      <c r="G84" s="7" t="s">
        <v>11</v>
      </c>
      <c r="H84" s="9" t="s">
        <v>38</v>
      </c>
      <c r="I84" s="9" t="s">
        <v>18</v>
      </c>
      <c r="J84" s="6">
        <v>32287.5</v>
      </c>
      <c r="K84" s="6">
        <v>33902</v>
      </c>
      <c r="L84" s="6">
        <v>1614.5</v>
      </c>
      <c r="M84" s="23">
        <f t="shared" si="2"/>
        <v>13560.800000000001</v>
      </c>
      <c r="N84" s="23">
        <f t="shared" si="3"/>
        <v>20341.2</v>
      </c>
      <c r="O84" s="3" t="s">
        <v>85</v>
      </c>
      <c r="P84" s="3" t="s">
        <v>257</v>
      </c>
    </row>
    <row r="85" spans="3:16" ht="21" customHeight="1" x14ac:dyDescent="0.25">
      <c r="C85" s="7">
        <v>2000863</v>
      </c>
      <c r="D85" s="3" t="s">
        <v>454</v>
      </c>
      <c r="E85" s="7" t="s">
        <v>15</v>
      </c>
      <c r="F85" s="8">
        <v>45901</v>
      </c>
      <c r="G85" s="7" t="s">
        <v>11</v>
      </c>
      <c r="H85" s="9" t="s">
        <v>38</v>
      </c>
      <c r="I85" s="9" t="s">
        <v>18</v>
      </c>
      <c r="J85" s="6">
        <v>31500</v>
      </c>
      <c r="K85" s="6">
        <v>35000</v>
      </c>
      <c r="L85" s="6">
        <v>3500</v>
      </c>
      <c r="M85" s="23">
        <f t="shared" si="2"/>
        <v>14000</v>
      </c>
      <c r="N85" s="23">
        <f t="shared" si="3"/>
        <v>21000</v>
      </c>
      <c r="O85" s="3" t="s">
        <v>85</v>
      </c>
      <c r="P85" s="3" t="s">
        <v>257</v>
      </c>
    </row>
    <row r="86" spans="3:16" ht="21" customHeight="1" x14ac:dyDescent="0.25">
      <c r="C86" s="7">
        <v>2000871</v>
      </c>
      <c r="D86" s="3" t="s">
        <v>455</v>
      </c>
      <c r="E86" s="7" t="s">
        <v>72</v>
      </c>
      <c r="F86" s="8">
        <v>45901</v>
      </c>
      <c r="G86" s="7" t="s">
        <v>11</v>
      </c>
      <c r="H86" s="9" t="s">
        <v>12</v>
      </c>
      <c r="I86" s="9" t="s">
        <v>9</v>
      </c>
      <c r="J86" s="6">
        <v>26775</v>
      </c>
      <c r="K86" s="6">
        <v>28113.75</v>
      </c>
      <c r="L86" s="6">
        <v>1338.75</v>
      </c>
      <c r="M86" s="23">
        <f t="shared" si="2"/>
        <v>11245.5</v>
      </c>
      <c r="N86" s="23">
        <f t="shared" si="3"/>
        <v>16868.25</v>
      </c>
      <c r="O86" s="3" t="s">
        <v>85</v>
      </c>
      <c r="P86" s="3" t="s">
        <v>257</v>
      </c>
    </row>
    <row r="87" spans="3:16" ht="21" customHeight="1" x14ac:dyDescent="0.25">
      <c r="C87" s="7">
        <v>2000888</v>
      </c>
      <c r="D87" s="3" t="s">
        <v>456</v>
      </c>
      <c r="E87" s="7" t="s">
        <v>72</v>
      </c>
      <c r="F87" s="8">
        <v>45901</v>
      </c>
      <c r="G87" s="7" t="s">
        <v>11</v>
      </c>
      <c r="H87" s="9" t="s">
        <v>38</v>
      </c>
      <c r="I87" s="9" t="s">
        <v>18</v>
      </c>
      <c r="J87" s="6">
        <v>34650</v>
      </c>
      <c r="K87" s="6">
        <v>36382.5</v>
      </c>
      <c r="L87" s="6">
        <v>1732.5</v>
      </c>
      <c r="M87" s="23">
        <f t="shared" si="2"/>
        <v>14553</v>
      </c>
      <c r="N87" s="23">
        <f t="shared" si="3"/>
        <v>21829.5</v>
      </c>
      <c r="O87" s="3" t="s">
        <v>85</v>
      </c>
      <c r="P87" s="3" t="s">
        <v>257</v>
      </c>
    </row>
    <row r="88" spans="3:16" ht="21" customHeight="1" x14ac:dyDescent="0.25">
      <c r="C88" s="7">
        <v>2000948</v>
      </c>
      <c r="D88" s="3" t="s">
        <v>457</v>
      </c>
      <c r="E88" s="7" t="s">
        <v>72</v>
      </c>
      <c r="F88" s="8">
        <v>45901</v>
      </c>
      <c r="G88" s="7" t="s">
        <v>11</v>
      </c>
      <c r="H88" s="9" t="s">
        <v>12</v>
      </c>
      <c r="I88" s="9" t="s">
        <v>9</v>
      </c>
      <c r="J88" s="6">
        <v>27562.5</v>
      </c>
      <c r="K88" s="6">
        <v>28940.75</v>
      </c>
      <c r="L88" s="6">
        <v>1378.25</v>
      </c>
      <c r="M88" s="23">
        <f t="shared" si="2"/>
        <v>11576.300000000001</v>
      </c>
      <c r="N88" s="23">
        <f t="shared" si="3"/>
        <v>17364.45</v>
      </c>
      <c r="O88" s="3" t="s">
        <v>85</v>
      </c>
      <c r="P88" s="3" t="s">
        <v>257</v>
      </c>
    </row>
    <row r="89" spans="3:16" ht="21" customHeight="1" x14ac:dyDescent="0.25">
      <c r="C89" s="7">
        <v>5000003</v>
      </c>
      <c r="D89" s="3" t="s">
        <v>458</v>
      </c>
      <c r="E89" s="7" t="s">
        <v>71</v>
      </c>
      <c r="F89" s="8">
        <v>45901</v>
      </c>
      <c r="G89" s="7" t="s">
        <v>11</v>
      </c>
      <c r="H89" s="9" t="s">
        <v>29</v>
      </c>
      <c r="I89" s="9" t="s">
        <v>29</v>
      </c>
      <c r="J89" s="6">
        <v>7550</v>
      </c>
      <c r="K89" s="6">
        <v>7927.5</v>
      </c>
      <c r="L89" s="6">
        <v>377.5</v>
      </c>
      <c r="M89" s="23">
        <f t="shared" si="2"/>
        <v>3171</v>
      </c>
      <c r="N89" s="23">
        <f t="shared" si="3"/>
        <v>4756.5</v>
      </c>
      <c r="O89" s="3" t="s">
        <v>265</v>
      </c>
      <c r="P89" s="3" t="s">
        <v>459</v>
      </c>
    </row>
    <row r="90" spans="3:16" ht="21" customHeight="1" x14ac:dyDescent="0.25">
      <c r="C90" s="7">
        <v>5000004</v>
      </c>
      <c r="D90" s="3" t="s">
        <v>460</v>
      </c>
      <c r="E90" s="7" t="s">
        <v>71</v>
      </c>
      <c r="F90" s="8">
        <v>45901</v>
      </c>
      <c r="G90" s="7" t="s">
        <v>11</v>
      </c>
      <c r="H90" s="9" t="s">
        <v>29</v>
      </c>
      <c r="I90" s="9" t="s">
        <v>29</v>
      </c>
      <c r="J90" s="6">
        <v>13978.75</v>
      </c>
      <c r="K90" s="6">
        <v>15376.75</v>
      </c>
      <c r="L90" s="6">
        <v>1398</v>
      </c>
      <c r="M90" s="23">
        <f t="shared" si="2"/>
        <v>6150.7000000000007</v>
      </c>
      <c r="N90" s="23">
        <f t="shared" si="3"/>
        <v>9226.0499999999993</v>
      </c>
      <c r="O90" s="3" t="s">
        <v>265</v>
      </c>
      <c r="P90" s="3" t="s">
        <v>459</v>
      </c>
    </row>
    <row r="91" spans="3:16" ht="21" customHeight="1" x14ac:dyDescent="0.25">
      <c r="C91" s="7">
        <v>2000529</v>
      </c>
      <c r="D91" s="3" t="s">
        <v>461</v>
      </c>
      <c r="E91" s="7" t="s">
        <v>72</v>
      </c>
      <c r="F91" s="8">
        <v>45901</v>
      </c>
      <c r="G91" s="7" t="s">
        <v>11</v>
      </c>
      <c r="H91" s="9" t="s">
        <v>38</v>
      </c>
      <c r="I91" s="9" t="s">
        <v>18</v>
      </c>
      <c r="J91" s="6">
        <v>46200</v>
      </c>
      <c r="K91" s="6">
        <v>48510</v>
      </c>
      <c r="L91" s="6">
        <v>2310</v>
      </c>
      <c r="M91" s="23">
        <f t="shared" si="2"/>
        <v>19404</v>
      </c>
      <c r="N91" s="23">
        <f t="shared" si="3"/>
        <v>29106</v>
      </c>
      <c r="O91" s="3" t="s">
        <v>265</v>
      </c>
      <c r="P91" s="3" t="s">
        <v>266</v>
      </c>
    </row>
    <row r="92" spans="3:16" ht="21" customHeight="1" x14ac:dyDescent="0.25">
      <c r="C92" s="7">
        <v>2000509</v>
      </c>
      <c r="D92" s="3" t="s">
        <v>462</v>
      </c>
      <c r="E92" s="7" t="s">
        <v>71</v>
      </c>
      <c r="F92" s="8">
        <v>45901</v>
      </c>
      <c r="G92" s="7" t="s">
        <v>11</v>
      </c>
      <c r="H92" s="9" t="s">
        <v>22</v>
      </c>
      <c r="I92" s="9" t="s">
        <v>22</v>
      </c>
      <c r="J92" s="6">
        <v>80870.5</v>
      </c>
      <c r="K92" s="6">
        <v>88957.5</v>
      </c>
      <c r="L92" s="6">
        <v>8087</v>
      </c>
      <c r="M92" s="23">
        <f t="shared" si="2"/>
        <v>35583</v>
      </c>
      <c r="N92" s="23">
        <f t="shared" si="3"/>
        <v>53374.5</v>
      </c>
      <c r="O92" s="3" t="s">
        <v>111</v>
      </c>
      <c r="P92" s="3" t="s">
        <v>112</v>
      </c>
    </row>
    <row r="93" spans="3:16" ht="21" customHeight="1" x14ac:dyDescent="0.25">
      <c r="C93" s="7">
        <v>2000807</v>
      </c>
      <c r="D93" s="3" t="s">
        <v>463</v>
      </c>
      <c r="E93" s="7" t="s">
        <v>72</v>
      </c>
      <c r="F93" s="8">
        <v>45901</v>
      </c>
      <c r="G93" s="7" t="s">
        <v>11</v>
      </c>
      <c r="H93" s="9" t="s">
        <v>38</v>
      </c>
      <c r="I93" s="9" t="s">
        <v>18</v>
      </c>
      <c r="J93" s="6">
        <v>55000</v>
      </c>
      <c r="K93" s="6">
        <v>60500</v>
      </c>
      <c r="L93" s="6">
        <v>5500</v>
      </c>
      <c r="M93" s="23">
        <f t="shared" si="2"/>
        <v>24200</v>
      </c>
      <c r="N93" s="23">
        <f t="shared" si="3"/>
        <v>36300</v>
      </c>
      <c r="O93" s="3" t="s">
        <v>111</v>
      </c>
      <c r="P93" s="3" t="s">
        <v>112</v>
      </c>
    </row>
    <row r="94" spans="3:16" ht="21" customHeight="1" x14ac:dyDescent="0.25">
      <c r="C94" s="7">
        <v>2000918</v>
      </c>
      <c r="D94" s="3" t="s">
        <v>464</v>
      </c>
      <c r="E94" s="7" t="s">
        <v>72</v>
      </c>
      <c r="F94" s="8">
        <v>45901</v>
      </c>
      <c r="G94" s="7" t="s">
        <v>11</v>
      </c>
      <c r="H94" s="9" t="s">
        <v>38</v>
      </c>
      <c r="I94" s="9" t="s">
        <v>18</v>
      </c>
      <c r="J94" s="6">
        <v>74937.5</v>
      </c>
      <c r="K94" s="6">
        <v>82431.25</v>
      </c>
      <c r="L94" s="6">
        <v>7493.75</v>
      </c>
      <c r="M94" s="23">
        <f t="shared" si="2"/>
        <v>32972.5</v>
      </c>
      <c r="N94" s="23">
        <f t="shared" si="3"/>
        <v>49458.75</v>
      </c>
      <c r="O94" s="3" t="s">
        <v>111</v>
      </c>
      <c r="P94" s="3" t="s">
        <v>112</v>
      </c>
    </row>
    <row r="95" spans="3:16" ht="21" customHeight="1" x14ac:dyDescent="0.25">
      <c r="C95" s="7">
        <v>2000778</v>
      </c>
      <c r="D95" s="3" t="s">
        <v>465</v>
      </c>
      <c r="E95" s="7" t="s">
        <v>72</v>
      </c>
      <c r="F95" s="8">
        <v>45901</v>
      </c>
      <c r="G95" s="7" t="s">
        <v>11</v>
      </c>
      <c r="H95" s="9" t="s">
        <v>38</v>
      </c>
      <c r="I95" s="9" t="s">
        <v>18</v>
      </c>
      <c r="J95" s="6">
        <v>49350</v>
      </c>
      <c r="K95" s="6">
        <v>51817.5</v>
      </c>
      <c r="L95" s="6">
        <v>2467.5</v>
      </c>
      <c r="M95" s="23">
        <f t="shared" si="2"/>
        <v>20727</v>
      </c>
      <c r="N95" s="23">
        <f t="shared" si="3"/>
        <v>31090.5</v>
      </c>
      <c r="O95" s="3" t="s">
        <v>111</v>
      </c>
      <c r="P95" s="3" t="s">
        <v>111</v>
      </c>
    </row>
    <row r="96" spans="3:16" ht="21" customHeight="1" x14ac:dyDescent="0.25">
      <c r="C96" s="7">
        <v>5000020</v>
      </c>
      <c r="D96" s="3" t="s">
        <v>466</v>
      </c>
      <c r="E96" s="7" t="s">
        <v>71</v>
      </c>
      <c r="F96" s="8">
        <v>45901</v>
      </c>
      <c r="G96" s="7" t="s">
        <v>11</v>
      </c>
      <c r="H96" s="9" t="s">
        <v>29</v>
      </c>
      <c r="I96" s="9" t="s">
        <v>29</v>
      </c>
      <c r="J96" s="6">
        <v>6749</v>
      </c>
      <c r="K96" s="6">
        <v>7086.5</v>
      </c>
      <c r="L96" s="6">
        <v>337.5</v>
      </c>
      <c r="M96" s="23">
        <f t="shared" si="2"/>
        <v>2834.6000000000004</v>
      </c>
      <c r="N96" s="23">
        <f t="shared" si="3"/>
        <v>4251.8999999999996</v>
      </c>
      <c r="O96" s="3" t="s">
        <v>111</v>
      </c>
      <c r="P96" s="3" t="s">
        <v>111</v>
      </c>
    </row>
    <row r="97" spans="3:16" ht="21" customHeight="1" x14ac:dyDescent="0.25">
      <c r="C97" s="7">
        <v>2000732</v>
      </c>
      <c r="D97" s="3" t="s">
        <v>467</v>
      </c>
      <c r="E97" s="7" t="s">
        <v>72</v>
      </c>
      <c r="F97" s="8">
        <v>45901</v>
      </c>
      <c r="G97" s="7" t="s">
        <v>11</v>
      </c>
      <c r="H97" s="9" t="s">
        <v>39</v>
      </c>
      <c r="I97" s="9" t="s">
        <v>49</v>
      </c>
      <c r="J97" s="6">
        <v>48400</v>
      </c>
      <c r="K97" s="6">
        <v>50820</v>
      </c>
      <c r="L97" s="6">
        <v>2420</v>
      </c>
      <c r="M97" s="23">
        <f t="shared" si="2"/>
        <v>20328</v>
      </c>
      <c r="N97" s="23">
        <f t="shared" si="3"/>
        <v>30492</v>
      </c>
      <c r="O97" s="3" t="s">
        <v>111</v>
      </c>
      <c r="P97" s="3" t="s">
        <v>111</v>
      </c>
    </row>
    <row r="98" spans="3:16" ht="21" customHeight="1" x14ac:dyDescent="0.25">
      <c r="C98" s="7">
        <v>2000132</v>
      </c>
      <c r="D98" s="3" t="s">
        <v>468</v>
      </c>
      <c r="E98" s="7" t="s">
        <v>71</v>
      </c>
      <c r="F98" s="8">
        <v>45901</v>
      </c>
      <c r="G98" s="7" t="s">
        <v>11</v>
      </c>
      <c r="H98" s="9" t="s">
        <v>18</v>
      </c>
      <c r="I98" s="9" t="s">
        <v>18</v>
      </c>
      <c r="J98" s="6">
        <v>25687.5</v>
      </c>
      <c r="K98" s="6">
        <v>28375</v>
      </c>
      <c r="L98" s="6">
        <v>2687.5</v>
      </c>
      <c r="M98" s="23">
        <f t="shared" si="2"/>
        <v>11350</v>
      </c>
      <c r="N98" s="23">
        <f t="shared" si="3"/>
        <v>17025</v>
      </c>
      <c r="O98" s="3" t="s">
        <v>111</v>
      </c>
      <c r="P98" s="3" t="s">
        <v>278</v>
      </c>
    </row>
    <row r="99" spans="3:16" ht="21" customHeight="1" x14ac:dyDescent="0.25">
      <c r="C99" s="7">
        <v>2000369</v>
      </c>
      <c r="D99" s="3" t="s">
        <v>469</v>
      </c>
      <c r="E99" s="7" t="s">
        <v>71</v>
      </c>
      <c r="F99" s="8">
        <v>45901</v>
      </c>
      <c r="G99" s="7" t="s">
        <v>11</v>
      </c>
      <c r="H99" s="9" t="s">
        <v>9</v>
      </c>
      <c r="I99" s="9" t="s">
        <v>9</v>
      </c>
      <c r="J99" s="6">
        <v>20000</v>
      </c>
      <c r="K99" s="6">
        <v>21000</v>
      </c>
      <c r="L99" s="6">
        <v>1000</v>
      </c>
      <c r="M99" s="23">
        <f t="shared" si="2"/>
        <v>8400</v>
      </c>
      <c r="N99" s="23">
        <f t="shared" si="3"/>
        <v>12600</v>
      </c>
      <c r="O99" s="3" t="s">
        <v>111</v>
      </c>
      <c r="P99" s="3" t="s">
        <v>278</v>
      </c>
    </row>
    <row r="100" spans="3:16" ht="21" customHeight="1" x14ac:dyDescent="0.25">
      <c r="C100" s="7">
        <v>2000549</v>
      </c>
      <c r="D100" s="3" t="s">
        <v>470</v>
      </c>
      <c r="E100" s="7" t="s">
        <v>72</v>
      </c>
      <c r="F100" s="8">
        <v>45901</v>
      </c>
      <c r="G100" s="7" t="s">
        <v>11</v>
      </c>
      <c r="H100" s="9" t="s">
        <v>38</v>
      </c>
      <c r="I100" s="9" t="s">
        <v>18</v>
      </c>
      <c r="J100" s="6">
        <v>46200</v>
      </c>
      <c r="K100" s="6">
        <v>48510</v>
      </c>
      <c r="L100" s="6">
        <v>2310</v>
      </c>
      <c r="M100" s="23">
        <f t="shared" si="2"/>
        <v>19404</v>
      </c>
      <c r="N100" s="23">
        <f t="shared" si="3"/>
        <v>29106</v>
      </c>
      <c r="O100" s="3" t="s">
        <v>111</v>
      </c>
      <c r="P100" s="3" t="s">
        <v>278</v>
      </c>
    </row>
    <row r="101" spans="3:16" ht="21" customHeight="1" x14ac:dyDescent="0.25">
      <c r="C101" s="7">
        <v>2000827</v>
      </c>
      <c r="D101" s="3" t="s">
        <v>471</v>
      </c>
      <c r="E101" s="7" t="s">
        <v>72</v>
      </c>
      <c r="F101" s="8">
        <v>45901</v>
      </c>
      <c r="G101" s="7" t="s">
        <v>11</v>
      </c>
      <c r="H101" s="9" t="s">
        <v>49</v>
      </c>
      <c r="I101" s="9" t="s">
        <v>22</v>
      </c>
      <c r="J101" s="6">
        <v>73500</v>
      </c>
      <c r="K101" s="6">
        <v>77175</v>
      </c>
      <c r="L101" s="6">
        <v>3675</v>
      </c>
      <c r="M101" s="23">
        <f t="shared" si="2"/>
        <v>30870</v>
      </c>
      <c r="N101" s="23">
        <f t="shared" si="3"/>
        <v>46305</v>
      </c>
      <c r="O101" s="3" t="s">
        <v>111</v>
      </c>
      <c r="P101" s="3" t="s">
        <v>278</v>
      </c>
    </row>
    <row r="102" spans="3:16" ht="21" customHeight="1" x14ac:dyDescent="0.25">
      <c r="C102" s="7">
        <v>2000853</v>
      </c>
      <c r="D102" s="3" t="s">
        <v>472</v>
      </c>
      <c r="E102" s="7" t="s">
        <v>72</v>
      </c>
      <c r="F102" s="8">
        <v>45901</v>
      </c>
      <c r="G102" s="7" t="s">
        <v>11</v>
      </c>
      <c r="H102" s="9" t="s">
        <v>49</v>
      </c>
      <c r="I102" s="9" t="s">
        <v>22</v>
      </c>
      <c r="J102" s="6">
        <v>63710</v>
      </c>
      <c r="K102" s="6">
        <v>70081</v>
      </c>
      <c r="L102" s="6">
        <v>6371</v>
      </c>
      <c r="M102" s="23">
        <f t="shared" si="2"/>
        <v>28032.400000000001</v>
      </c>
      <c r="N102" s="23">
        <f t="shared" si="3"/>
        <v>42048.6</v>
      </c>
      <c r="O102" s="3" t="s">
        <v>111</v>
      </c>
      <c r="P102" s="3" t="s">
        <v>278</v>
      </c>
    </row>
    <row r="103" spans="3:16" ht="21" customHeight="1" x14ac:dyDescent="0.25">
      <c r="C103" s="7">
        <v>2000867</v>
      </c>
      <c r="D103" s="3" t="s">
        <v>473</v>
      </c>
      <c r="E103" s="7" t="s">
        <v>72</v>
      </c>
      <c r="F103" s="8">
        <v>45901</v>
      </c>
      <c r="G103" s="7" t="s">
        <v>11</v>
      </c>
      <c r="H103" s="9" t="s">
        <v>49</v>
      </c>
      <c r="I103" s="9" t="s">
        <v>22</v>
      </c>
      <c r="J103" s="6">
        <v>84000</v>
      </c>
      <c r="K103" s="6">
        <v>88200</v>
      </c>
      <c r="L103" s="6">
        <v>4200</v>
      </c>
      <c r="M103" s="23">
        <f t="shared" si="2"/>
        <v>35280</v>
      </c>
      <c r="N103" s="23">
        <f t="shared" si="3"/>
        <v>52920</v>
      </c>
      <c r="O103" s="3" t="s">
        <v>111</v>
      </c>
      <c r="P103" s="3" t="s">
        <v>278</v>
      </c>
    </row>
    <row r="104" spans="3:16" ht="21" customHeight="1" x14ac:dyDescent="0.25">
      <c r="C104" s="7">
        <v>2000905</v>
      </c>
      <c r="D104" s="3" t="s">
        <v>474</v>
      </c>
      <c r="E104" s="7" t="s">
        <v>72</v>
      </c>
      <c r="F104" s="8">
        <v>45901</v>
      </c>
      <c r="G104" s="7" t="s">
        <v>11</v>
      </c>
      <c r="H104" s="9" t="s">
        <v>49</v>
      </c>
      <c r="I104" s="9" t="s">
        <v>22</v>
      </c>
      <c r="J104" s="6">
        <v>103661.25</v>
      </c>
      <c r="K104" s="6">
        <v>108844.25</v>
      </c>
      <c r="L104" s="6">
        <v>5183</v>
      </c>
      <c r="M104" s="23">
        <f t="shared" si="2"/>
        <v>43537.700000000004</v>
      </c>
      <c r="N104" s="23">
        <f t="shared" si="3"/>
        <v>65306.549999999996</v>
      </c>
      <c r="O104" s="3" t="s">
        <v>111</v>
      </c>
      <c r="P104" s="3" t="s">
        <v>278</v>
      </c>
    </row>
    <row r="105" spans="3:16" ht="21" customHeight="1" x14ac:dyDescent="0.25">
      <c r="C105" s="7">
        <v>2001021</v>
      </c>
      <c r="D105" s="3" t="s">
        <v>475</v>
      </c>
      <c r="E105" s="7" t="s">
        <v>71</v>
      </c>
      <c r="F105" s="8">
        <v>45901</v>
      </c>
      <c r="G105" s="7" t="s">
        <v>11</v>
      </c>
      <c r="H105" s="9" t="s">
        <v>18</v>
      </c>
      <c r="I105" s="9" t="s">
        <v>18</v>
      </c>
      <c r="J105" s="6">
        <v>53542.5</v>
      </c>
      <c r="K105" s="6">
        <v>56219.75</v>
      </c>
      <c r="L105" s="6">
        <v>2677.25</v>
      </c>
      <c r="M105" s="23">
        <f t="shared" si="2"/>
        <v>22487.9</v>
      </c>
      <c r="N105" s="23">
        <f t="shared" si="3"/>
        <v>33731.85</v>
      </c>
      <c r="O105" s="3" t="s">
        <v>111</v>
      </c>
      <c r="P105" s="3" t="s">
        <v>278</v>
      </c>
    </row>
    <row r="106" spans="3:16" ht="21" customHeight="1" x14ac:dyDescent="0.25">
      <c r="C106" s="7">
        <v>2000379</v>
      </c>
      <c r="D106" s="3" t="s">
        <v>476</v>
      </c>
      <c r="E106" s="7" t="s">
        <v>71</v>
      </c>
      <c r="F106" s="8">
        <v>45901</v>
      </c>
      <c r="G106" s="7" t="s">
        <v>11</v>
      </c>
      <c r="H106" s="9" t="s">
        <v>18</v>
      </c>
      <c r="I106" s="9" t="s">
        <v>18</v>
      </c>
      <c r="J106" s="6">
        <v>39460</v>
      </c>
      <c r="K106" s="6">
        <v>43406</v>
      </c>
      <c r="L106" s="6">
        <v>3946</v>
      </c>
      <c r="M106" s="23">
        <f t="shared" si="2"/>
        <v>17362.400000000001</v>
      </c>
      <c r="N106" s="23">
        <f t="shared" si="3"/>
        <v>26043.599999999999</v>
      </c>
      <c r="O106" s="3" t="s">
        <v>111</v>
      </c>
      <c r="P106" s="3" t="s">
        <v>283</v>
      </c>
    </row>
    <row r="107" spans="3:16" ht="21" customHeight="1" x14ac:dyDescent="0.25">
      <c r="C107" s="7">
        <v>2000629</v>
      </c>
      <c r="D107" s="3" t="s">
        <v>477</v>
      </c>
      <c r="E107" s="7" t="s">
        <v>72</v>
      </c>
      <c r="F107" s="8">
        <v>45901</v>
      </c>
      <c r="G107" s="7" t="s">
        <v>11</v>
      </c>
      <c r="H107" s="9" t="s">
        <v>12</v>
      </c>
      <c r="I107" s="9" t="s">
        <v>9</v>
      </c>
      <c r="J107" s="6">
        <v>44266</v>
      </c>
      <c r="K107" s="6">
        <v>48692.5</v>
      </c>
      <c r="L107" s="6">
        <v>4426.5</v>
      </c>
      <c r="M107" s="23">
        <f t="shared" si="2"/>
        <v>19477</v>
      </c>
      <c r="N107" s="23">
        <f t="shared" si="3"/>
        <v>29215.5</v>
      </c>
      <c r="O107" s="3" t="s">
        <v>111</v>
      </c>
      <c r="P107" s="3" t="s">
        <v>283</v>
      </c>
    </row>
    <row r="108" spans="3:16" ht="21" customHeight="1" x14ac:dyDescent="0.25">
      <c r="C108" s="7">
        <v>2000836</v>
      </c>
      <c r="D108" s="3" t="s">
        <v>478</v>
      </c>
      <c r="E108" s="7" t="s">
        <v>72</v>
      </c>
      <c r="F108" s="8">
        <v>45901</v>
      </c>
      <c r="G108" s="7" t="s">
        <v>11</v>
      </c>
      <c r="H108" s="9" t="s">
        <v>12</v>
      </c>
      <c r="I108" s="9" t="s">
        <v>9</v>
      </c>
      <c r="J108" s="6">
        <v>28350</v>
      </c>
      <c r="K108" s="6">
        <v>31185</v>
      </c>
      <c r="L108" s="6">
        <v>2835</v>
      </c>
      <c r="M108" s="23">
        <f t="shared" si="2"/>
        <v>12474</v>
      </c>
      <c r="N108" s="23">
        <f t="shared" si="3"/>
        <v>18711</v>
      </c>
      <c r="O108" s="3" t="s">
        <v>111</v>
      </c>
      <c r="P108" s="3" t="s">
        <v>283</v>
      </c>
    </row>
    <row r="109" spans="3:16" ht="21" customHeight="1" x14ac:dyDescent="0.25">
      <c r="C109" s="7">
        <v>2001011</v>
      </c>
      <c r="D109" s="3" t="s">
        <v>479</v>
      </c>
      <c r="E109" s="7" t="s">
        <v>72</v>
      </c>
      <c r="F109" s="8">
        <v>45901</v>
      </c>
      <c r="G109" s="7" t="s">
        <v>11</v>
      </c>
      <c r="H109" s="9" t="s">
        <v>49</v>
      </c>
      <c r="I109" s="9" t="s">
        <v>22</v>
      </c>
      <c r="J109" s="6">
        <v>88000</v>
      </c>
      <c r="K109" s="6">
        <v>101200</v>
      </c>
      <c r="L109" s="6">
        <v>13200</v>
      </c>
      <c r="M109" s="23">
        <f t="shared" si="2"/>
        <v>40480</v>
      </c>
      <c r="N109" s="23">
        <f t="shared" si="3"/>
        <v>60720</v>
      </c>
      <c r="O109" s="3" t="s">
        <v>111</v>
      </c>
      <c r="P109" s="3" t="s">
        <v>283</v>
      </c>
    </row>
    <row r="110" spans="3:16" ht="21" customHeight="1" x14ac:dyDescent="0.25">
      <c r="C110" s="7">
        <v>2000849</v>
      </c>
      <c r="D110" s="3" t="s">
        <v>480</v>
      </c>
      <c r="E110" s="7" t="s">
        <v>72</v>
      </c>
      <c r="F110" s="8">
        <v>45901</v>
      </c>
      <c r="G110" s="7" t="s">
        <v>11</v>
      </c>
      <c r="H110" s="9" t="s">
        <v>12</v>
      </c>
      <c r="I110" s="9" t="s">
        <v>9</v>
      </c>
      <c r="J110" s="6">
        <v>20000</v>
      </c>
      <c r="K110" s="6">
        <v>21000</v>
      </c>
      <c r="L110" s="6">
        <v>1000</v>
      </c>
      <c r="M110" s="23">
        <f t="shared" si="2"/>
        <v>8400</v>
      </c>
      <c r="N110" s="23">
        <f t="shared" si="3"/>
        <v>12600</v>
      </c>
      <c r="O110" s="3" t="s">
        <v>111</v>
      </c>
      <c r="P110" s="3" t="s">
        <v>283</v>
      </c>
    </row>
    <row r="111" spans="3:16" ht="21" customHeight="1" x14ac:dyDescent="0.25">
      <c r="C111" s="7">
        <v>2000922</v>
      </c>
      <c r="D111" s="3" t="s">
        <v>481</v>
      </c>
      <c r="E111" s="7" t="s">
        <v>72</v>
      </c>
      <c r="F111" s="8">
        <v>45901</v>
      </c>
      <c r="G111" s="7" t="s">
        <v>11</v>
      </c>
      <c r="H111" s="9" t="s">
        <v>40</v>
      </c>
      <c r="I111" s="9" t="s">
        <v>19</v>
      </c>
      <c r="J111" s="6">
        <v>23814</v>
      </c>
      <c r="K111" s="6">
        <v>25004.75</v>
      </c>
      <c r="L111" s="6">
        <v>1190.75</v>
      </c>
      <c r="M111" s="23">
        <f t="shared" si="2"/>
        <v>10001.900000000001</v>
      </c>
      <c r="N111" s="23">
        <f t="shared" si="3"/>
        <v>15002.849999999999</v>
      </c>
      <c r="O111" s="3" t="s">
        <v>290</v>
      </c>
      <c r="P111" s="3" t="s">
        <v>291</v>
      </c>
    </row>
    <row r="112" spans="3:16" ht="21" customHeight="1" x14ac:dyDescent="0.25">
      <c r="C112" s="7">
        <v>2000639</v>
      </c>
      <c r="D112" s="3" t="s">
        <v>482</v>
      </c>
      <c r="E112" s="7" t="s">
        <v>15</v>
      </c>
      <c r="F112" s="8">
        <v>45901</v>
      </c>
      <c r="G112" s="7" t="s">
        <v>11</v>
      </c>
      <c r="H112" s="9" t="s">
        <v>18</v>
      </c>
      <c r="I112" s="9" t="s">
        <v>39</v>
      </c>
      <c r="J112" s="6">
        <v>40425</v>
      </c>
      <c r="K112" s="6">
        <v>44000</v>
      </c>
      <c r="L112" s="6">
        <v>3575</v>
      </c>
      <c r="M112" s="23">
        <f t="shared" si="2"/>
        <v>17600</v>
      </c>
      <c r="N112" s="23">
        <f t="shared" si="3"/>
        <v>26400</v>
      </c>
      <c r="O112" s="3" t="s">
        <v>290</v>
      </c>
      <c r="P112" s="3" t="s">
        <v>295</v>
      </c>
    </row>
    <row r="113" spans="3:16" ht="21" customHeight="1" x14ac:dyDescent="0.25">
      <c r="C113" s="7">
        <v>2001141</v>
      </c>
      <c r="D113" s="3" t="s">
        <v>483</v>
      </c>
      <c r="E113" s="7" t="s">
        <v>72</v>
      </c>
      <c r="F113" s="8">
        <v>45901</v>
      </c>
      <c r="G113" s="7" t="s">
        <v>11</v>
      </c>
      <c r="H113" s="9" t="s">
        <v>50</v>
      </c>
      <c r="I113" s="9" t="s">
        <v>74</v>
      </c>
      <c r="J113" s="6">
        <v>110000</v>
      </c>
      <c r="K113" s="6">
        <v>121000</v>
      </c>
      <c r="L113" s="6">
        <v>11000</v>
      </c>
      <c r="M113" s="23">
        <f t="shared" si="2"/>
        <v>48400</v>
      </c>
      <c r="N113" s="23">
        <f t="shared" si="3"/>
        <v>72600</v>
      </c>
      <c r="O113" s="3" t="s">
        <v>290</v>
      </c>
      <c r="P113" s="3" t="s">
        <v>295</v>
      </c>
    </row>
    <row r="114" spans="3:16" ht="21" customHeight="1" x14ac:dyDescent="0.25">
      <c r="C114" s="7">
        <v>2000742</v>
      </c>
      <c r="D114" s="3" t="s">
        <v>484</v>
      </c>
      <c r="E114" s="7" t="s">
        <v>72</v>
      </c>
      <c r="F114" s="8">
        <v>45901</v>
      </c>
      <c r="G114" s="7" t="s">
        <v>11</v>
      </c>
      <c r="H114" s="9" t="s">
        <v>38</v>
      </c>
      <c r="I114" s="9" t="s">
        <v>18</v>
      </c>
      <c r="J114" s="6">
        <v>30450</v>
      </c>
      <c r="K114" s="6">
        <v>31972.5</v>
      </c>
      <c r="L114" s="6">
        <v>1522.5</v>
      </c>
      <c r="M114" s="23">
        <f t="shared" si="2"/>
        <v>12789</v>
      </c>
      <c r="N114" s="23">
        <f t="shared" si="3"/>
        <v>19183.5</v>
      </c>
      <c r="O114" s="3" t="s">
        <v>290</v>
      </c>
      <c r="P114" s="3" t="s">
        <v>295</v>
      </c>
    </row>
    <row r="115" spans="3:16" ht="21" customHeight="1" x14ac:dyDescent="0.25">
      <c r="C115" s="7">
        <v>2000763</v>
      </c>
      <c r="D115" s="3" t="s">
        <v>485</v>
      </c>
      <c r="E115" s="7" t="s">
        <v>72</v>
      </c>
      <c r="F115" s="8">
        <v>45901</v>
      </c>
      <c r="G115" s="7" t="s">
        <v>11</v>
      </c>
      <c r="H115" s="9" t="s">
        <v>12</v>
      </c>
      <c r="I115" s="9" t="s">
        <v>9</v>
      </c>
      <c r="J115" s="6">
        <v>23173.5</v>
      </c>
      <c r="K115" s="6">
        <v>24332.25</v>
      </c>
      <c r="L115" s="6">
        <v>1158.75</v>
      </c>
      <c r="M115" s="23">
        <f t="shared" si="2"/>
        <v>9732.9</v>
      </c>
      <c r="N115" s="23">
        <f t="shared" si="3"/>
        <v>14599.35</v>
      </c>
      <c r="O115" s="3" t="s">
        <v>290</v>
      </c>
      <c r="P115" s="3" t="s">
        <v>295</v>
      </c>
    </row>
    <row r="116" spans="3:16" ht="21" customHeight="1" x14ac:dyDescent="0.25">
      <c r="C116" s="7">
        <v>2000864</v>
      </c>
      <c r="D116" s="3" t="s">
        <v>486</v>
      </c>
      <c r="E116" s="7" t="s">
        <v>72</v>
      </c>
      <c r="F116" s="8">
        <v>45901</v>
      </c>
      <c r="G116" s="7" t="s">
        <v>11</v>
      </c>
      <c r="H116" s="9" t="s">
        <v>38</v>
      </c>
      <c r="I116" s="9" t="s">
        <v>18</v>
      </c>
      <c r="J116" s="6">
        <v>30450</v>
      </c>
      <c r="K116" s="6">
        <v>33495</v>
      </c>
      <c r="L116" s="6">
        <v>3045</v>
      </c>
      <c r="M116" s="23">
        <f t="shared" si="2"/>
        <v>13398</v>
      </c>
      <c r="N116" s="23">
        <f t="shared" si="3"/>
        <v>20097</v>
      </c>
      <c r="O116" s="3" t="s">
        <v>290</v>
      </c>
      <c r="P116" s="3" t="s">
        <v>295</v>
      </c>
    </row>
    <row r="117" spans="3:16" ht="21" customHeight="1" x14ac:dyDescent="0.25">
      <c r="C117" s="7">
        <v>2000901</v>
      </c>
      <c r="D117" s="3" t="s">
        <v>487</v>
      </c>
      <c r="E117" s="7" t="s">
        <v>72</v>
      </c>
      <c r="F117" s="8">
        <v>45901</v>
      </c>
      <c r="G117" s="7" t="s">
        <v>11</v>
      </c>
      <c r="H117" s="9" t="s">
        <v>49</v>
      </c>
      <c r="I117" s="9" t="s">
        <v>22</v>
      </c>
      <c r="J117" s="6">
        <v>66000</v>
      </c>
      <c r="K117" s="6">
        <v>69300</v>
      </c>
      <c r="L117" s="6">
        <v>3300</v>
      </c>
      <c r="M117" s="23">
        <f t="shared" si="2"/>
        <v>27720</v>
      </c>
      <c r="N117" s="23">
        <f t="shared" si="3"/>
        <v>41580</v>
      </c>
      <c r="O117" s="3" t="s">
        <v>290</v>
      </c>
      <c r="P117" s="3" t="s">
        <v>295</v>
      </c>
    </row>
    <row r="118" spans="3:16" ht="21" customHeight="1" x14ac:dyDescent="0.25">
      <c r="C118" s="7">
        <v>2000912</v>
      </c>
      <c r="D118" s="3" t="s">
        <v>488</v>
      </c>
      <c r="E118" s="7" t="s">
        <v>72</v>
      </c>
      <c r="F118" s="8">
        <v>45901</v>
      </c>
      <c r="G118" s="7" t="s">
        <v>11</v>
      </c>
      <c r="H118" s="9" t="s">
        <v>12</v>
      </c>
      <c r="I118" s="9" t="s">
        <v>9</v>
      </c>
      <c r="J118" s="6">
        <v>26775</v>
      </c>
      <c r="K118" s="6">
        <v>28113.75</v>
      </c>
      <c r="L118" s="6">
        <v>1338.75</v>
      </c>
      <c r="M118" s="23">
        <f t="shared" si="2"/>
        <v>11245.5</v>
      </c>
      <c r="N118" s="23">
        <f t="shared" si="3"/>
        <v>16868.25</v>
      </c>
      <c r="O118" s="3" t="s">
        <v>290</v>
      </c>
      <c r="P118" s="3" t="s">
        <v>295</v>
      </c>
    </row>
    <row r="119" spans="3:16" ht="21" customHeight="1" x14ac:dyDescent="0.25">
      <c r="C119" s="7">
        <v>2000881</v>
      </c>
      <c r="D119" s="3" t="s">
        <v>489</v>
      </c>
      <c r="E119" s="7" t="s">
        <v>72</v>
      </c>
      <c r="F119" s="8">
        <v>45901</v>
      </c>
      <c r="G119" s="7" t="s">
        <v>11</v>
      </c>
      <c r="H119" s="9" t="s">
        <v>38</v>
      </c>
      <c r="I119" s="9" t="s">
        <v>18</v>
      </c>
      <c r="J119" s="6">
        <v>43700</v>
      </c>
      <c r="K119" s="6">
        <v>48070</v>
      </c>
      <c r="L119" s="6">
        <v>4370</v>
      </c>
      <c r="M119" s="23">
        <f t="shared" si="2"/>
        <v>19228</v>
      </c>
      <c r="N119" s="23">
        <f t="shared" si="3"/>
        <v>28842</v>
      </c>
      <c r="O119" s="3" t="s">
        <v>290</v>
      </c>
      <c r="P119" s="3" t="s">
        <v>490</v>
      </c>
    </row>
    <row r="120" spans="3:16" ht="21" customHeight="1" x14ac:dyDescent="0.25">
      <c r="C120" s="7">
        <v>2000777</v>
      </c>
      <c r="D120" s="3" t="s">
        <v>491</v>
      </c>
      <c r="E120" s="7" t="s">
        <v>72</v>
      </c>
      <c r="F120" s="8">
        <v>45901</v>
      </c>
      <c r="G120" s="7" t="s">
        <v>11</v>
      </c>
      <c r="H120" s="9" t="s">
        <v>38</v>
      </c>
      <c r="I120" s="9" t="s">
        <v>18</v>
      </c>
      <c r="J120" s="6">
        <v>38500</v>
      </c>
      <c r="K120" s="6">
        <v>40425</v>
      </c>
      <c r="L120" s="6">
        <v>1925</v>
      </c>
      <c r="M120" s="23">
        <f t="shared" si="2"/>
        <v>16170</v>
      </c>
      <c r="N120" s="23">
        <f t="shared" si="3"/>
        <v>24255</v>
      </c>
      <c r="O120" s="3" t="s">
        <v>290</v>
      </c>
      <c r="P120" s="3" t="s">
        <v>299</v>
      </c>
    </row>
    <row r="121" spans="3:16" ht="21" customHeight="1" x14ac:dyDescent="0.25">
      <c r="C121" s="7">
        <v>2000829</v>
      </c>
      <c r="D121" s="3" t="s">
        <v>492</v>
      </c>
      <c r="E121" s="7" t="s">
        <v>72</v>
      </c>
      <c r="F121" s="8">
        <v>45901</v>
      </c>
      <c r="G121" s="7" t="s">
        <v>11</v>
      </c>
      <c r="H121" s="9" t="s">
        <v>38</v>
      </c>
      <c r="I121" s="9" t="s">
        <v>18</v>
      </c>
      <c r="J121" s="6">
        <v>38500</v>
      </c>
      <c r="K121" s="6">
        <v>40425</v>
      </c>
      <c r="L121" s="6">
        <v>1925</v>
      </c>
      <c r="M121" s="23">
        <f t="shared" si="2"/>
        <v>16170</v>
      </c>
      <c r="N121" s="23">
        <f t="shared" si="3"/>
        <v>24255</v>
      </c>
      <c r="O121" s="3" t="s">
        <v>290</v>
      </c>
      <c r="P121" s="3" t="s">
        <v>299</v>
      </c>
    </row>
    <row r="122" spans="3:16" ht="21" customHeight="1" x14ac:dyDescent="0.25">
      <c r="C122" s="7">
        <v>2000081</v>
      </c>
      <c r="D122" s="3" t="s">
        <v>493</v>
      </c>
      <c r="E122" s="7" t="s">
        <v>72</v>
      </c>
      <c r="F122" s="8">
        <v>45901</v>
      </c>
      <c r="G122" s="7" t="s">
        <v>11</v>
      </c>
      <c r="H122" s="9" t="s">
        <v>38</v>
      </c>
      <c r="I122" s="9" t="s">
        <v>18</v>
      </c>
      <c r="J122" s="6">
        <v>29793.75</v>
      </c>
      <c r="K122" s="6">
        <v>31283.5</v>
      </c>
      <c r="L122" s="6">
        <v>1489.75</v>
      </c>
      <c r="M122" s="23">
        <f t="shared" si="2"/>
        <v>12513.400000000001</v>
      </c>
      <c r="N122" s="23">
        <f t="shared" si="3"/>
        <v>18770.099999999999</v>
      </c>
      <c r="O122" s="3" t="s">
        <v>290</v>
      </c>
      <c r="P122" s="3" t="s">
        <v>299</v>
      </c>
    </row>
    <row r="123" spans="3:16" ht="21" customHeight="1" x14ac:dyDescent="0.25">
      <c r="C123" s="7">
        <v>2000149</v>
      </c>
      <c r="D123" s="3" t="s">
        <v>494</v>
      </c>
      <c r="E123" s="7" t="s">
        <v>72</v>
      </c>
      <c r="F123" s="8">
        <v>45901</v>
      </c>
      <c r="G123" s="7" t="s">
        <v>11</v>
      </c>
      <c r="H123" s="9" t="s">
        <v>13</v>
      </c>
      <c r="I123" s="9" t="s">
        <v>38</v>
      </c>
      <c r="J123" s="6">
        <v>31212.5</v>
      </c>
      <c r="K123" s="6">
        <v>32773.25</v>
      </c>
      <c r="L123" s="6">
        <v>1560.75</v>
      </c>
      <c r="M123" s="23">
        <f t="shared" si="2"/>
        <v>13109.300000000001</v>
      </c>
      <c r="N123" s="23">
        <f t="shared" si="3"/>
        <v>19663.95</v>
      </c>
      <c r="O123" s="3" t="s">
        <v>290</v>
      </c>
      <c r="P123" s="3" t="s">
        <v>299</v>
      </c>
    </row>
    <row r="124" spans="3:16" ht="21" customHeight="1" x14ac:dyDescent="0.25">
      <c r="C124" s="7">
        <v>2000516</v>
      </c>
      <c r="D124" s="3" t="s">
        <v>495</v>
      </c>
      <c r="E124" s="7" t="s">
        <v>72</v>
      </c>
      <c r="F124" s="8">
        <v>45901</v>
      </c>
      <c r="G124" s="7" t="s">
        <v>11</v>
      </c>
      <c r="H124" s="9" t="s">
        <v>38</v>
      </c>
      <c r="I124" s="9" t="s">
        <v>18</v>
      </c>
      <c r="J124" s="6">
        <v>52093.75</v>
      </c>
      <c r="K124" s="6">
        <v>57303.25</v>
      </c>
      <c r="L124" s="6">
        <v>5209.5</v>
      </c>
      <c r="M124" s="23">
        <f t="shared" si="2"/>
        <v>22921.300000000003</v>
      </c>
      <c r="N124" s="23">
        <f t="shared" si="3"/>
        <v>34381.949999999997</v>
      </c>
      <c r="O124" s="3" t="s">
        <v>290</v>
      </c>
      <c r="P124" s="3" t="s">
        <v>299</v>
      </c>
    </row>
    <row r="125" spans="3:16" ht="21" customHeight="1" x14ac:dyDescent="0.25">
      <c r="C125" s="7">
        <v>2000776</v>
      </c>
      <c r="D125" s="3" t="s">
        <v>496</v>
      </c>
      <c r="E125" s="7" t="s">
        <v>72</v>
      </c>
      <c r="F125" s="8">
        <v>45901</v>
      </c>
      <c r="G125" s="7" t="s">
        <v>11</v>
      </c>
      <c r="H125" s="9" t="s">
        <v>49</v>
      </c>
      <c r="I125" s="9" t="s">
        <v>22</v>
      </c>
      <c r="J125" s="6">
        <v>71500</v>
      </c>
      <c r="K125" s="6">
        <v>78650</v>
      </c>
      <c r="L125" s="6">
        <v>7150</v>
      </c>
      <c r="M125" s="23">
        <f t="shared" si="2"/>
        <v>31460</v>
      </c>
      <c r="N125" s="23">
        <f t="shared" si="3"/>
        <v>47190</v>
      </c>
      <c r="O125" s="3" t="s">
        <v>290</v>
      </c>
      <c r="P125" s="3" t="s">
        <v>299</v>
      </c>
    </row>
    <row r="126" spans="3:16" ht="21" customHeight="1" x14ac:dyDescent="0.25">
      <c r="C126" s="7">
        <v>2000928</v>
      </c>
      <c r="D126" s="3" t="s">
        <v>497</v>
      </c>
      <c r="E126" s="7" t="s">
        <v>72</v>
      </c>
      <c r="F126" s="8">
        <v>45901</v>
      </c>
      <c r="G126" s="7" t="s">
        <v>11</v>
      </c>
      <c r="H126" s="9" t="s">
        <v>38</v>
      </c>
      <c r="I126" s="9" t="s">
        <v>18</v>
      </c>
      <c r="J126" s="6">
        <v>36750</v>
      </c>
      <c r="K126" s="6">
        <v>38587.5</v>
      </c>
      <c r="L126" s="6">
        <v>1837.5</v>
      </c>
      <c r="M126" s="23">
        <f t="shared" si="2"/>
        <v>15435</v>
      </c>
      <c r="N126" s="23">
        <f t="shared" si="3"/>
        <v>23152.5</v>
      </c>
      <c r="O126" s="3" t="s">
        <v>114</v>
      </c>
      <c r="P126" s="3" t="s">
        <v>115</v>
      </c>
    </row>
    <row r="127" spans="3:16" ht="21" customHeight="1" x14ac:dyDescent="0.25">
      <c r="C127" s="7">
        <v>2000315</v>
      </c>
      <c r="D127" s="3" t="s">
        <v>498</v>
      </c>
      <c r="E127" s="7" t="s">
        <v>72</v>
      </c>
      <c r="F127" s="8">
        <v>45901</v>
      </c>
      <c r="G127" s="7" t="s">
        <v>11</v>
      </c>
      <c r="H127" s="9" t="s">
        <v>38</v>
      </c>
      <c r="I127" s="9" t="s">
        <v>18</v>
      </c>
      <c r="J127" s="6">
        <v>28375</v>
      </c>
      <c r="K127" s="6">
        <v>29793.75</v>
      </c>
      <c r="L127" s="6">
        <v>1418.75</v>
      </c>
      <c r="M127" s="23">
        <f t="shared" si="2"/>
        <v>11917.5</v>
      </c>
      <c r="N127" s="23">
        <f t="shared" si="3"/>
        <v>17876.25</v>
      </c>
      <c r="O127" s="3" t="s">
        <v>114</v>
      </c>
      <c r="P127" s="3" t="s">
        <v>115</v>
      </c>
    </row>
    <row r="128" spans="3:16" ht="21" customHeight="1" x14ac:dyDescent="0.25">
      <c r="C128" s="7">
        <v>2000825</v>
      </c>
      <c r="D128" s="3" t="s">
        <v>499</v>
      </c>
      <c r="E128" s="7" t="s">
        <v>72</v>
      </c>
      <c r="F128" s="8">
        <v>45901</v>
      </c>
      <c r="G128" s="7" t="s">
        <v>11</v>
      </c>
      <c r="H128" s="9" t="s">
        <v>49</v>
      </c>
      <c r="I128" s="9" t="s">
        <v>22</v>
      </c>
      <c r="J128" s="6">
        <v>68250</v>
      </c>
      <c r="K128" s="6">
        <v>71662.5</v>
      </c>
      <c r="L128" s="6">
        <v>3412.5</v>
      </c>
      <c r="M128" s="23">
        <f t="shared" si="2"/>
        <v>28665</v>
      </c>
      <c r="N128" s="23">
        <f t="shared" si="3"/>
        <v>42997.5</v>
      </c>
      <c r="O128" s="3" t="s">
        <v>114</v>
      </c>
      <c r="P128" s="3" t="s">
        <v>115</v>
      </c>
    </row>
    <row r="129" spans="3:16" ht="21" customHeight="1" x14ac:dyDescent="0.25">
      <c r="C129" s="7">
        <v>2000739</v>
      </c>
      <c r="D129" s="3" t="s">
        <v>500</v>
      </c>
      <c r="E129" s="7" t="s">
        <v>15</v>
      </c>
      <c r="F129" s="8">
        <v>45901</v>
      </c>
      <c r="G129" s="7" t="s">
        <v>11</v>
      </c>
      <c r="H129" s="9" t="s">
        <v>38</v>
      </c>
      <c r="I129" s="9" t="s">
        <v>18</v>
      </c>
      <c r="J129" s="6">
        <v>41800</v>
      </c>
      <c r="K129" s="6">
        <v>43890</v>
      </c>
      <c r="L129" s="6">
        <v>2090</v>
      </c>
      <c r="M129" s="23">
        <f t="shared" si="2"/>
        <v>17556</v>
      </c>
      <c r="N129" s="23">
        <f t="shared" si="3"/>
        <v>26334</v>
      </c>
      <c r="O129" s="3" t="s">
        <v>114</v>
      </c>
      <c r="P129" s="3" t="s">
        <v>399</v>
      </c>
    </row>
    <row r="130" spans="3:16" ht="21" customHeight="1" x14ac:dyDescent="0.25">
      <c r="C130" s="7">
        <v>2000077</v>
      </c>
      <c r="D130" s="3" t="s">
        <v>501</v>
      </c>
      <c r="E130" s="7" t="s">
        <v>72</v>
      </c>
      <c r="F130" s="8">
        <v>45901</v>
      </c>
      <c r="G130" s="7" t="s">
        <v>11</v>
      </c>
      <c r="H130" s="9" t="s">
        <v>13</v>
      </c>
      <c r="I130" s="9" t="s">
        <v>38</v>
      </c>
      <c r="J130" s="6">
        <v>43560</v>
      </c>
      <c r="K130" s="6">
        <v>45738</v>
      </c>
      <c r="L130" s="6">
        <v>2178</v>
      </c>
      <c r="M130" s="23">
        <f t="shared" si="2"/>
        <v>18295.2</v>
      </c>
      <c r="N130" s="23">
        <f t="shared" si="3"/>
        <v>27442.799999999999</v>
      </c>
      <c r="O130" s="3" t="s">
        <v>114</v>
      </c>
      <c r="P130" s="3" t="s">
        <v>399</v>
      </c>
    </row>
    <row r="131" spans="3:16" ht="21" customHeight="1" x14ac:dyDescent="0.25">
      <c r="C131" s="7">
        <v>2000702</v>
      </c>
      <c r="D131" s="3" t="s">
        <v>502</v>
      </c>
      <c r="E131" s="7" t="s">
        <v>72</v>
      </c>
      <c r="F131" s="8">
        <v>45901</v>
      </c>
      <c r="G131" s="7" t="s">
        <v>11</v>
      </c>
      <c r="H131" s="9" t="s">
        <v>38</v>
      </c>
      <c r="I131" s="9" t="s">
        <v>18</v>
      </c>
      <c r="J131" s="6">
        <v>39975</v>
      </c>
      <c r="K131" s="6">
        <v>41973.75</v>
      </c>
      <c r="L131" s="6">
        <v>1998.75</v>
      </c>
      <c r="M131" s="23">
        <f t="shared" ref="M131:M194" si="4">+K131*0.4</f>
        <v>16789.5</v>
      </c>
      <c r="N131" s="23">
        <f t="shared" ref="N131:N194" si="5">+K131*0.6</f>
        <v>25184.25</v>
      </c>
      <c r="O131" s="3" t="s">
        <v>114</v>
      </c>
      <c r="P131" s="3" t="s">
        <v>399</v>
      </c>
    </row>
    <row r="132" spans="3:16" ht="21" customHeight="1" x14ac:dyDescent="0.25">
      <c r="C132" s="7">
        <v>2000770</v>
      </c>
      <c r="D132" s="3" t="s">
        <v>503</v>
      </c>
      <c r="E132" s="7" t="s">
        <v>72</v>
      </c>
      <c r="F132" s="8">
        <v>45901</v>
      </c>
      <c r="G132" s="7" t="s">
        <v>11</v>
      </c>
      <c r="H132" s="9" t="s">
        <v>12</v>
      </c>
      <c r="I132" s="9" t="s">
        <v>9</v>
      </c>
      <c r="J132" s="6">
        <v>32400</v>
      </c>
      <c r="K132" s="6">
        <v>34020</v>
      </c>
      <c r="L132" s="6">
        <v>1620</v>
      </c>
      <c r="M132" s="23">
        <f t="shared" si="4"/>
        <v>13608</v>
      </c>
      <c r="N132" s="23">
        <f t="shared" si="5"/>
        <v>20412</v>
      </c>
      <c r="O132" s="3" t="s">
        <v>114</v>
      </c>
      <c r="P132" s="3" t="s">
        <v>399</v>
      </c>
    </row>
    <row r="133" spans="3:16" ht="21" customHeight="1" x14ac:dyDescent="0.25">
      <c r="C133" s="7">
        <v>2000935</v>
      </c>
      <c r="D133" s="3" t="s">
        <v>504</v>
      </c>
      <c r="E133" s="7" t="s">
        <v>72</v>
      </c>
      <c r="F133" s="8">
        <v>45901</v>
      </c>
      <c r="G133" s="7" t="s">
        <v>11</v>
      </c>
      <c r="H133" s="9" t="s">
        <v>49</v>
      </c>
      <c r="I133" s="9" t="s">
        <v>22</v>
      </c>
      <c r="J133" s="6">
        <v>73500</v>
      </c>
      <c r="K133" s="6">
        <v>77175</v>
      </c>
      <c r="L133" s="6">
        <v>3675</v>
      </c>
      <c r="M133" s="23">
        <f t="shared" si="4"/>
        <v>30870</v>
      </c>
      <c r="N133" s="23">
        <f t="shared" si="5"/>
        <v>46305</v>
      </c>
      <c r="O133" s="3" t="s">
        <v>114</v>
      </c>
      <c r="P133" s="3" t="s">
        <v>399</v>
      </c>
    </row>
    <row r="134" spans="3:16" ht="21" customHeight="1" x14ac:dyDescent="0.25">
      <c r="C134" s="7">
        <v>2000920</v>
      </c>
      <c r="D134" s="3" t="s">
        <v>505</v>
      </c>
      <c r="E134" s="7" t="s">
        <v>72</v>
      </c>
      <c r="F134" s="8">
        <v>45901</v>
      </c>
      <c r="G134" s="7" t="s">
        <v>11</v>
      </c>
      <c r="H134" s="9" t="s">
        <v>13</v>
      </c>
      <c r="I134" s="9" t="s">
        <v>38</v>
      </c>
      <c r="J134" s="6">
        <v>28375</v>
      </c>
      <c r="K134" s="6">
        <v>31212.5</v>
      </c>
      <c r="L134" s="6">
        <v>2837.5</v>
      </c>
      <c r="M134" s="23">
        <f t="shared" si="4"/>
        <v>12485</v>
      </c>
      <c r="N134" s="23">
        <f t="shared" si="5"/>
        <v>18727.5</v>
      </c>
      <c r="O134" s="3" t="s">
        <v>114</v>
      </c>
      <c r="P134" s="3" t="s">
        <v>506</v>
      </c>
    </row>
    <row r="135" spans="3:16" ht="21" customHeight="1" x14ac:dyDescent="0.25">
      <c r="C135" s="7">
        <v>2000078</v>
      </c>
      <c r="D135" s="3" t="s">
        <v>507</v>
      </c>
      <c r="E135" s="7" t="s">
        <v>72</v>
      </c>
      <c r="F135" s="8">
        <v>45901</v>
      </c>
      <c r="G135" s="7" t="s">
        <v>11</v>
      </c>
      <c r="H135" s="9" t="s">
        <v>38</v>
      </c>
      <c r="I135" s="9" t="s">
        <v>18</v>
      </c>
      <c r="J135" s="6">
        <v>32025</v>
      </c>
      <c r="K135" s="6">
        <v>33626.25</v>
      </c>
      <c r="L135" s="6">
        <v>1601.25</v>
      </c>
      <c r="M135" s="23">
        <f t="shared" si="4"/>
        <v>13450.5</v>
      </c>
      <c r="N135" s="23">
        <f t="shared" si="5"/>
        <v>20175.75</v>
      </c>
      <c r="O135" s="3" t="s">
        <v>117</v>
      </c>
      <c r="P135" s="3" t="s">
        <v>118</v>
      </c>
    </row>
    <row r="136" spans="3:16" ht="21" customHeight="1" x14ac:dyDescent="0.25">
      <c r="C136" s="7">
        <v>2000084</v>
      </c>
      <c r="D136" s="3" t="s">
        <v>508</v>
      </c>
      <c r="E136" s="7" t="s">
        <v>71</v>
      </c>
      <c r="F136" s="8">
        <v>45901</v>
      </c>
      <c r="G136" s="7" t="s">
        <v>11</v>
      </c>
      <c r="H136" s="9" t="s">
        <v>18</v>
      </c>
      <c r="I136" s="9" t="s">
        <v>18</v>
      </c>
      <c r="J136" s="6">
        <v>31500</v>
      </c>
      <c r="K136" s="6">
        <v>33075</v>
      </c>
      <c r="L136" s="6">
        <v>1575</v>
      </c>
      <c r="M136" s="23">
        <f t="shared" si="4"/>
        <v>13230</v>
      </c>
      <c r="N136" s="23">
        <f t="shared" si="5"/>
        <v>19845</v>
      </c>
      <c r="O136" s="3" t="s">
        <v>117</v>
      </c>
      <c r="P136" s="3" t="s">
        <v>118</v>
      </c>
    </row>
    <row r="137" spans="3:16" ht="21" customHeight="1" x14ac:dyDescent="0.25">
      <c r="C137" s="7">
        <v>2000092</v>
      </c>
      <c r="D137" s="3" t="s">
        <v>509</v>
      </c>
      <c r="E137" s="7" t="s">
        <v>71</v>
      </c>
      <c r="F137" s="8">
        <v>45901</v>
      </c>
      <c r="G137" s="7" t="s">
        <v>11</v>
      </c>
      <c r="H137" s="9" t="s">
        <v>9</v>
      </c>
      <c r="I137" s="9" t="s">
        <v>9</v>
      </c>
      <c r="J137" s="6">
        <v>20000</v>
      </c>
      <c r="K137" s="6">
        <v>21000</v>
      </c>
      <c r="L137" s="6">
        <v>1000</v>
      </c>
      <c r="M137" s="23">
        <f t="shared" si="4"/>
        <v>8400</v>
      </c>
      <c r="N137" s="23">
        <f t="shared" si="5"/>
        <v>12600</v>
      </c>
      <c r="O137" s="3" t="s">
        <v>117</v>
      </c>
      <c r="P137" s="3" t="s">
        <v>118</v>
      </c>
    </row>
    <row r="138" spans="3:16" ht="21" customHeight="1" x14ac:dyDescent="0.25">
      <c r="C138" s="7">
        <v>2000126</v>
      </c>
      <c r="D138" s="3" t="s">
        <v>510</v>
      </c>
      <c r="E138" s="7" t="s">
        <v>72</v>
      </c>
      <c r="F138" s="8">
        <v>45901</v>
      </c>
      <c r="G138" s="7" t="s">
        <v>11</v>
      </c>
      <c r="H138" s="9" t="s">
        <v>13</v>
      </c>
      <c r="I138" s="9" t="s">
        <v>38</v>
      </c>
      <c r="J138" s="6">
        <v>31212.5</v>
      </c>
      <c r="K138" s="6">
        <v>32773.25</v>
      </c>
      <c r="L138" s="6">
        <v>1560.75</v>
      </c>
      <c r="M138" s="23">
        <f t="shared" si="4"/>
        <v>13109.300000000001</v>
      </c>
      <c r="N138" s="23">
        <f t="shared" si="5"/>
        <v>19663.95</v>
      </c>
      <c r="O138" s="3" t="s">
        <v>117</v>
      </c>
      <c r="P138" s="3" t="s">
        <v>118</v>
      </c>
    </row>
    <row r="139" spans="3:16" ht="21" customHeight="1" x14ac:dyDescent="0.25">
      <c r="C139" s="7">
        <v>2000127</v>
      </c>
      <c r="D139" s="3" t="s">
        <v>511</v>
      </c>
      <c r="E139" s="7" t="s">
        <v>72</v>
      </c>
      <c r="F139" s="8">
        <v>45901</v>
      </c>
      <c r="G139" s="7" t="s">
        <v>11</v>
      </c>
      <c r="H139" s="9" t="s">
        <v>13</v>
      </c>
      <c r="I139" s="9" t="s">
        <v>38</v>
      </c>
      <c r="J139" s="6">
        <v>28375</v>
      </c>
      <c r="K139" s="6">
        <v>29793.75</v>
      </c>
      <c r="L139" s="6">
        <v>1418.75</v>
      </c>
      <c r="M139" s="23">
        <f t="shared" si="4"/>
        <v>11917.5</v>
      </c>
      <c r="N139" s="23">
        <f t="shared" si="5"/>
        <v>17876.25</v>
      </c>
      <c r="O139" s="3" t="s">
        <v>117</v>
      </c>
      <c r="P139" s="3" t="s">
        <v>118</v>
      </c>
    </row>
    <row r="140" spans="3:16" ht="21" customHeight="1" x14ac:dyDescent="0.25">
      <c r="C140" s="7">
        <v>2000139</v>
      </c>
      <c r="D140" s="3" t="s">
        <v>512</v>
      </c>
      <c r="E140" s="7" t="s">
        <v>72</v>
      </c>
      <c r="F140" s="8">
        <v>45901</v>
      </c>
      <c r="G140" s="7" t="s">
        <v>11</v>
      </c>
      <c r="H140" s="9" t="s">
        <v>38</v>
      </c>
      <c r="I140" s="9" t="s">
        <v>18</v>
      </c>
      <c r="J140" s="6">
        <v>28375</v>
      </c>
      <c r="K140" s="6">
        <v>31212.5</v>
      </c>
      <c r="L140" s="6">
        <v>2837.5</v>
      </c>
      <c r="M140" s="23">
        <f t="shared" si="4"/>
        <v>12485</v>
      </c>
      <c r="N140" s="23">
        <f t="shared" si="5"/>
        <v>18727.5</v>
      </c>
      <c r="O140" s="3" t="s">
        <v>117</v>
      </c>
      <c r="P140" s="3" t="s">
        <v>118</v>
      </c>
    </row>
    <row r="141" spans="3:16" ht="21" customHeight="1" x14ac:dyDescent="0.25">
      <c r="C141" s="7">
        <v>2000143</v>
      </c>
      <c r="D141" s="3" t="s">
        <v>513</v>
      </c>
      <c r="E141" s="7" t="s">
        <v>72</v>
      </c>
      <c r="F141" s="8">
        <v>45901</v>
      </c>
      <c r="G141" s="7" t="s">
        <v>11</v>
      </c>
      <c r="H141" s="9" t="s">
        <v>13</v>
      </c>
      <c r="I141" s="9" t="s">
        <v>38</v>
      </c>
      <c r="J141" s="6">
        <v>28375</v>
      </c>
      <c r="K141" s="6">
        <v>31212.5</v>
      </c>
      <c r="L141" s="6">
        <v>2837.5</v>
      </c>
      <c r="M141" s="23">
        <f t="shared" si="4"/>
        <v>12485</v>
      </c>
      <c r="N141" s="23">
        <f t="shared" si="5"/>
        <v>18727.5</v>
      </c>
      <c r="O141" s="3" t="s">
        <v>117</v>
      </c>
      <c r="P141" s="3" t="s">
        <v>118</v>
      </c>
    </row>
    <row r="142" spans="3:16" ht="21" customHeight="1" x14ac:dyDescent="0.25">
      <c r="C142" s="7">
        <v>2000144</v>
      </c>
      <c r="D142" s="3" t="s">
        <v>514</v>
      </c>
      <c r="E142" s="7" t="s">
        <v>72</v>
      </c>
      <c r="F142" s="8">
        <v>45901</v>
      </c>
      <c r="G142" s="7" t="s">
        <v>11</v>
      </c>
      <c r="H142" s="9" t="s">
        <v>13</v>
      </c>
      <c r="I142" s="9" t="s">
        <v>38</v>
      </c>
      <c r="J142" s="6">
        <v>28375</v>
      </c>
      <c r="K142" s="6">
        <v>29793.75</v>
      </c>
      <c r="L142" s="6">
        <v>1418.75</v>
      </c>
      <c r="M142" s="23">
        <f t="shared" si="4"/>
        <v>11917.5</v>
      </c>
      <c r="N142" s="23">
        <f t="shared" si="5"/>
        <v>17876.25</v>
      </c>
      <c r="O142" s="3" t="s">
        <v>117</v>
      </c>
      <c r="P142" s="3" t="s">
        <v>118</v>
      </c>
    </row>
    <row r="143" spans="3:16" ht="21" customHeight="1" x14ac:dyDescent="0.25">
      <c r="C143" s="7">
        <v>2000236</v>
      </c>
      <c r="D143" s="3" t="s">
        <v>515</v>
      </c>
      <c r="E143" s="7" t="s">
        <v>72</v>
      </c>
      <c r="F143" s="8">
        <v>45901</v>
      </c>
      <c r="G143" s="7" t="s">
        <v>11</v>
      </c>
      <c r="H143" s="9" t="s">
        <v>13</v>
      </c>
      <c r="I143" s="9" t="s">
        <v>38</v>
      </c>
      <c r="J143" s="6">
        <v>28375</v>
      </c>
      <c r="K143" s="6">
        <v>31212.5</v>
      </c>
      <c r="L143" s="6">
        <v>2837.5</v>
      </c>
      <c r="M143" s="23">
        <f t="shared" si="4"/>
        <v>12485</v>
      </c>
      <c r="N143" s="23">
        <f t="shared" si="5"/>
        <v>18727.5</v>
      </c>
      <c r="O143" s="3" t="s">
        <v>117</v>
      </c>
      <c r="P143" s="3" t="s">
        <v>118</v>
      </c>
    </row>
    <row r="144" spans="3:16" ht="21" customHeight="1" x14ac:dyDescent="0.25">
      <c r="C144" s="7">
        <v>2000245</v>
      </c>
      <c r="D144" s="3" t="s">
        <v>516</v>
      </c>
      <c r="E144" s="7" t="s">
        <v>72</v>
      </c>
      <c r="F144" s="8">
        <v>45901</v>
      </c>
      <c r="G144" s="7" t="s">
        <v>11</v>
      </c>
      <c r="H144" s="9" t="s">
        <v>38</v>
      </c>
      <c r="I144" s="9" t="s">
        <v>18</v>
      </c>
      <c r="J144" s="6">
        <v>34125</v>
      </c>
      <c r="K144" s="6">
        <v>37537.5</v>
      </c>
      <c r="L144" s="6">
        <v>3412.5</v>
      </c>
      <c r="M144" s="23">
        <f t="shared" si="4"/>
        <v>15015</v>
      </c>
      <c r="N144" s="23">
        <f t="shared" si="5"/>
        <v>22522.5</v>
      </c>
      <c r="O144" s="3" t="s">
        <v>117</v>
      </c>
      <c r="P144" s="3" t="s">
        <v>118</v>
      </c>
    </row>
    <row r="145" spans="3:16" ht="21" customHeight="1" x14ac:dyDescent="0.25">
      <c r="C145" s="7">
        <v>2000679</v>
      </c>
      <c r="D145" s="3" t="s">
        <v>517</v>
      </c>
      <c r="E145" s="7" t="s">
        <v>71</v>
      </c>
      <c r="F145" s="8">
        <v>45901</v>
      </c>
      <c r="G145" s="7" t="s">
        <v>11</v>
      </c>
      <c r="H145" s="9" t="s">
        <v>18</v>
      </c>
      <c r="I145" s="9" t="s">
        <v>18</v>
      </c>
      <c r="J145" s="6">
        <v>37500</v>
      </c>
      <c r="K145" s="6">
        <v>39375</v>
      </c>
      <c r="L145" s="6">
        <v>1875</v>
      </c>
      <c r="M145" s="23">
        <f t="shared" si="4"/>
        <v>15750</v>
      </c>
      <c r="N145" s="23">
        <f t="shared" si="5"/>
        <v>23625</v>
      </c>
      <c r="O145" s="3" t="s">
        <v>117</v>
      </c>
      <c r="P145" s="3" t="s">
        <v>118</v>
      </c>
    </row>
    <row r="146" spans="3:16" ht="21" customHeight="1" x14ac:dyDescent="0.25">
      <c r="C146" s="7">
        <v>2000719</v>
      </c>
      <c r="D146" s="3" t="s">
        <v>518</v>
      </c>
      <c r="E146" s="7" t="s">
        <v>72</v>
      </c>
      <c r="F146" s="8">
        <v>45901</v>
      </c>
      <c r="G146" s="7" t="s">
        <v>11</v>
      </c>
      <c r="H146" s="9" t="s">
        <v>38</v>
      </c>
      <c r="I146" s="9" t="s">
        <v>18</v>
      </c>
      <c r="J146" s="6">
        <v>50312.5</v>
      </c>
      <c r="K146" s="6">
        <v>55343.75</v>
      </c>
      <c r="L146" s="6">
        <v>5031.25</v>
      </c>
      <c r="M146" s="23">
        <f t="shared" si="4"/>
        <v>22137.5</v>
      </c>
      <c r="N146" s="23">
        <f t="shared" si="5"/>
        <v>33206.25</v>
      </c>
      <c r="O146" s="3" t="s">
        <v>117</v>
      </c>
      <c r="P146" s="3" t="s">
        <v>118</v>
      </c>
    </row>
    <row r="147" spans="3:16" ht="21" customHeight="1" x14ac:dyDescent="0.25">
      <c r="C147" s="7">
        <v>2000751</v>
      </c>
      <c r="D147" s="3" t="s">
        <v>519</v>
      </c>
      <c r="E147" s="7" t="s">
        <v>72</v>
      </c>
      <c r="F147" s="8">
        <v>45901</v>
      </c>
      <c r="G147" s="7" t="s">
        <v>11</v>
      </c>
      <c r="H147" s="9" t="s">
        <v>12</v>
      </c>
      <c r="I147" s="9" t="s">
        <v>9</v>
      </c>
      <c r="J147" s="6">
        <v>23663.75</v>
      </c>
      <c r="K147" s="6">
        <v>26030.25</v>
      </c>
      <c r="L147" s="6">
        <v>2366.5</v>
      </c>
      <c r="M147" s="23">
        <f t="shared" si="4"/>
        <v>10412.1</v>
      </c>
      <c r="N147" s="23">
        <f t="shared" si="5"/>
        <v>15618.15</v>
      </c>
      <c r="O147" s="3" t="s">
        <v>117</v>
      </c>
      <c r="P147" s="3" t="s">
        <v>118</v>
      </c>
    </row>
    <row r="148" spans="3:16" ht="21" customHeight="1" x14ac:dyDescent="0.25">
      <c r="C148" s="7">
        <v>2000843</v>
      </c>
      <c r="D148" s="3" t="s">
        <v>520</v>
      </c>
      <c r="E148" s="7" t="s">
        <v>72</v>
      </c>
      <c r="F148" s="8">
        <v>45901</v>
      </c>
      <c r="G148" s="7" t="s">
        <v>11</v>
      </c>
      <c r="H148" s="9" t="s">
        <v>38</v>
      </c>
      <c r="I148" s="9" t="s">
        <v>18</v>
      </c>
      <c r="J148" s="6">
        <v>45600</v>
      </c>
      <c r="K148" s="6">
        <v>50160</v>
      </c>
      <c r="L148" s="6">
        <v>4560</v>
      </c>
      <c r="M148" s="23">
        <f t="shared" si="4"/>
        <v>20064</v>
      </c>
      <c r="N148" s="23">
        <f t="shared" si="5"/>
        <v>30096</v>
      </c>
      <c r="O148" s="3" t="s">
        <v>117</v>
      </c>
      <c r="P148" s="3" t="s">
        <v>118</v>
      </c>
    </row>
    <row r="149" spans="3:16" ht="21" customHeight="1" x14ac:dyDescent="0.25">
      <c r="C149" s="7">
        <v>2000866</v>
      </c>
      <c r="D149" s="3" t="s">
        <v>521</v>
      </c>
      <c r="E149" s="7" t="s">
        <v>72</v>
      </c>
      <c r="F149" s="8">
        <v>45901</v>
      </c>
      <c r="G149" s="7" t="s">
        <v>11</v>
      </c>
      <c r="H149" s="9" t="s">
        <v>12</v>
      </c>
      <c r="I149" s="9" t="s">
        <v>9</v>
      </c>
      <c r="J149" s="6">
        <v>21000</v>
      </c>
      <c r="K149" s="6">
        <v>22050</v>
      </c>
      <c r="L149" s="6">
        <v>1050</v>
      </c>
      <c r="M149" s="23">
        <f t="shared" si="4"/>
        <v>8820</v>
      </c>
      <c r="N149" s="23">
        <f t="shared" si="5"/>
        <v>13230</v>
      </c>
      <c r="O149" s="3" t="s">
        <v>117</v>
      </c>
      <c r="P149" s="3" t="s">
        <v>118</v>
      </c>
    </row>
    <row r="150" spans="3:16" ht="21" customHeight="1" x14ac:dyDescent="0.25">
      <c r="C150" s="7">
        <v>5000191</v>
      </c>
      <c r="D150" s="3" t="s">
        <v>522</v>
      </c>
      <c r="E150" s="7" t="s">
        <v>72</v>
      </c>
      <c r="F150" s="8">
        <v>45901</v>
      </c>
      <c r="G150" s="7" t="s">
        <v>11</v>
      </c>
      <c r="H150" s="9" t="s">
        <v>13</v>
      </c>
      <c r="I150" s="9" t="s">
        <v>38</v>
      </c>
      <c r="J150" s="6">
        <v>33637.5</v>
      </c>
      <c r="K150" s="6">
        <v>35319.5</v>
      </c>
      <c r="L150" s="6">
        <v>1682</v>
      </c>
      <c r="M150" s="23">
        <f t="shared" si="4"/>
        <v>14127.800000000001</v>
      </c>
      <c r="N150" s="23">
        <f t="shared" si="5"/>
        <v>21191.7</v>
      </c>
      <c r="O150" s="3" t="s">
        <v>117</v>
      </c>
      <c r="P150" s="3" t="s">
        <v>118</v>
      </c>
    </row>
    <row r="151" spans="3:16" ht="21" customHeight="1" x14ac:dyDescent="0.25">
      <c r="C151" s="13">
        <v>2000373</v>
      </c>
      <c r="D151" s="3" t="s">
        <v>523</v>
      </c>
      <c r="E151" s="9" t="s">
        <v>72</v>
      </c>
      <c r="F151" s="8">
        <v>45901</v>
      </c>
      <c r="G151" s="7" t="s">
        <v>11</v>
      </c>
      <c r="H151" s="9" t="s">
        <v>13</v>
      </c>
      <c r="I151" s="7" t="s">
        <v>38</v>
      </c>
      <c r="J151" s="6">
        <v>28375</v>
      </c>
      <c r="K151" s="6">
        <v>29793.75</v>
      </c>
      <c r="L151" s="6">
        <v>1418.75</v>
      </c>
      <c r="M151" s="23">
        <f t="shared" si="4"/>
        <v>11917.5</v>
      </c>
      <c r="N151" s="23">
        <f t="shared" si="5"/>
        <v>17876.25</v>
      </c>
      <c r="O151" s="3" t="s">
        <v>117</v>
      </c>
      <c r="P151" s="3" t="s">
        <v>118</v>
      </c>
    </row>
    <row r="152" spans="3:16" ht="21" customHeight="1" x14ac:dyDescent="0.25">
      <c r="C152" s="7">
        <v>2000501</v>
      </c>
      <c r="D152" s="3" t="s">
        <v>524</v>
      </c>
      <c r="E152" s="7" t="s">
        <v>72</v>
      </c>
      <c r="F152" s="8">
        <v>45901</v>
      </c>
      <c r="G152" s="7" t="s">
        <v>11</v>
      </c>
      <c r="H152" s="9" t="s">
        <v>38</v>
      </c>
      <c r="I152" s="9" t="s">
        <v>18</v>
      </c>
      <c r="J152" s="6">
        <v>39900</v>
      </c>
      <c r="K152" s="6">
        <v>43890</v>
      </c>
      <c r="L152" s="6">
        <v>3990</v>
      </c>
      <c r="M152" s="23">
        <f t="shared" si="4"/>
        <v>17556</v>
      </c>
      <c r="N152" s="23">
        <f t="shared" si="5"/>
        <v>26334</v>
      </c>
      <c r="O152" s="3" t="s">
        <v>117</v>
      </c>
      <c r="P152" s="3" t="s">
        <v>525</v>
      </c>
    </row>
    <row r="153" spans="3:16" ht="21" customHeight="1" x14ac:dyDescent="0.25">
      <c r="C153" s="7">
        <v>2000939</v>
      </c>
      <c r="D153" s="3" t="s">
        <v>526</v>
      </c>
      <c r="E153" s="7" t="s">
        <v>71</v>
      </c>
      <c r="F153" s="8">
        <v>45901</v>
      </c>
      <c r="G153" s="7" t="s">
        <v>11</v>
      </c>
      <c r="H153" s="9" t="s">
        <v>18</v>
      </c>
      <c r="I153" s="9" t="s">
        <v>18</v>
      </c>
      <c r="J153" s="6">
        <v>67293.600000000006</v>
      </c>
      <c r="K153" s="6">
        <v>70658.25</v>
      </c>
      <c r="L153" s="6">
        <v>3364.6499999999942</v>
      </c>
      <c r="M153" s="23">
        <f t="shared" si="4"/>
        <v>28263.300000000003</v>
      </c>
      <c r="N153" s="23">
        <f t="shared" si="5"/>
        <v>42394.95</v>
      </c>
      <c r="O153" s="3" t="s">
        <v>117</v>
      </c>
      <c r="P153" s="3" t="s">
        <v>525</v>
      </c>
    </row>
    <row r="154" spans="3:16" ht="21" customHeight="1" x14ac:dyDescent="0.25">
      <c r="C154" s="7">
        <v>2000229</v>
      </c>
      <c r="D154" s="3" t="s">
        <v>527</v>
      </c>
      <c r="E154" s="7" t="s">
        <v>15</v>
      </c>
      <c r="F154" s="8">
        <v>45901</v>
      </c>
      <c r="G154" s="7" t="s">
        <v>11</v>
      </c>
      <c r="H154" s="9" t="s">
        <v>38</v>
      </c>
      <c r="I154" s="9" t="s">
        <v>18</v>
      </c>
      <c r="J154" s="6">
        <v>30162</v>
      </c>
      <c r="K154" s="6">
        <v>35000</v>
      </c>
      <c r="L154" s="6">
        <v>4838</v>
      </c>
      <c r="M154" s="23">
        <f t="shared" si="4"/>
        <v>14000</v>
      </c>
      <c r="N154" s="23">
        <f t="shared" si="5"/>
        <v>21000</v>
      </c>
      <c r="O154" s="3" t="s">
        <v>117</v>
      </c>
      <c r="P154" s="3" t="s">
        <v>120</v>
      </c>
    </row>
    <row r="155" spans="3:16" ht="21" customHeight="1" x14ac:dyDescent="0.25">
      <c r="C155" s="7">
        <v>2000248</v>
      </c>
      <c r="D155" s="3" t="s">
        <v>528</v>
      </c>
      <c r="E155" s="7" t="s">
        <v>72</v>
      </c>
      <c r="F155" s="8">
        <v>45901</v>
      </c>
      <c r="G155" s="7" t="s">
        <v>11</v>
      </c>
      <c r="H155" s="9" t="s">
        <v>13</v>
      </c>
      <c r="I155" s="9" t="s">
        <v>38</v>
      </c>
      <c r="J155" s="6">
        <v>28375</v>
      </c>
      <c r="K155" s="6">
        <v>29793.75</v>
      </c>
      <c r="L155" s="6">
        <v>1418.75</v>
      </c>
      <c r="M155" s="23">
        <f t="shared" si="4"/>
        <v>11917.5</v>
      </c>
      <c r="N155" s="23">
        <f t="shared" si="5"/>
        <v>17876.25</v>
      </c>
      <c r="O155" s="3" t="s">
        <v>117</v>
      </c>
      <c r="P155" s="3" t="s">
        <v>120</v>
      </c>
    </row>
    <row r="156" spans="3:16" ht="21" customHeight="1" x14ac:dyDescent="0.25">
      <c r="C156" s="7">
        <v>2000570</v>
      </c>
      <c r="D156" s="3" t="s">
        <v>529</v>
      </c>
      <c r="E156" s="7" t="s">
        <v>71</v>
      </c>
      <c r="F156" s="8">
        <v>45901</v>
      </c>
      <c r="G156" s="7" t="s">
        <v>11</v>
      </c>
      <c r="H156" s="9" t="s">
        <v>18</v>
      </c>
      <c r="I156" s="9" t="s">
        <v>18</v>
      </c>
      <c r="J156" s="6">
        <v>39690</v>
      </c>
      <c r="K156" s="6">
        <v>41674.5</v>
      </c>
      <c r="L156" s="6">
        <v>1984.5</v>
      </c>
      <c r="M156" s="23">
        <f t="shared" si="4"/>
        <v>16669.8</v>
      </c>
      <c r="N156" s="23">
        <f t="shared" si="5"/>
        <v>25004.7</v>
      </c>
      <c r="O156" s="3" t="s">
        <v>117</v>
      </c>
      <c r="P156" s="3" t="s">
        <v>120</v>
      </c>
    </row>
    <row r="157" spans="3:16" ht="21" customHeight="1" x14ac:dyDescent="0.25">
      <c r="C157" s="7">
        <v>2000773</v>
      </c>
      <c r="D157" s="3" t="s">
        <v>530</v>
      </c>
      <c r="E157" s="7" t="s">
        <v>72</v>
      </c>
      <c r="F157" s="8">
        <v>45901</v>
      </c>
      <c r="G157" s="7" t="s">
        <v>11</v>
      </c>
      <c r="H157" s="9" t="s">
        <v>38</v>
      </c>
      <c r="I157" s="9" t="s">
        <v>18</v>
      </c>
      <c r="J157" s="6">
        <v>28375</v>
      </c>
      <c r="K157" s="6">
        <v>29793.75</v>
      </c>
      <c r="L157" s="6">
        <v>1418.75</v>
      </c>
      <c r="M157" s="23">
        <f t="shared" si="4"/>
        <v>11917.5</v>
      </c>
      <c r="N157" s="23">
        <f t="shared" si="5"/>
        <v>17876.25</v>
      </c>
      <c r="O157" s="3" t="s">
        <v>117</v>
      </c>
      <c r="P157" s="3" t="s">
        <v>120</v>
      </c>
    </row>
    <row r="158" spans="3:16" ht="21" customHeight="1" x14ac:dyDescent="0.25">
      <c r="C158" s="7">
        <v>2000813</v>
      </c>
      <c r="D158" s="3" t="s">
        <v>531</v>
      </c>
      <c r="E158" s="7" t="s">
        <v>72</v>
      </c>
      <c r="F158" s="8">
        <v>45901</v>
      </c>
      <c r="G158" s="7" t="s">
        <v>11</v>
      </c>
      <c r="H158" s="9" t="s">
        <v>38</v>
      </c>
      <c r="I158" s="9" t="s">
        <v>18</v>
      </c>
      <c r="J158" s="6">
        <v>30043.75</v>
      </c>
      <c r="K158" s="6">
        <v>31546</v>
      </c>
      <c r="L158" s="6">
        <v>1502.25</v>
      </c>
      <c r="M158" s="23">
        <f t="shared" si="4"/>
        <v>12618.400000000001</v>
      </c>
      <c r="N158" s="23">
        <f t="shared" si="5"/>
        <v>18927.599999999999</v>
      </c>
      <c r="O158" s="3" t="s">
        <v>117</v>
      </c>
      <c r="P158" s="3" t="s">
        <v>120</v>
      </c>
    </row>
    <row r="159" spans="3:16" ht="21" customHeight="1" x14ac:dyDescent="0.25">
      <c r="C159" s="7">
        <v>2000821</v>
      </c>
      <c r="D159" s="3" t="s">
        <v>532</v>
      </c>
      <c r="E159" s="7" t="s">
        <v>72</v>
      </c>
      <c r="F159" s="8">
        <v>45901</v>
      </c>
      <c r="G159" s="7" t="s">
        <v>11</v>
      </c>
      <c r="H159" s="9" t="s">
        <v>12</v>
      </c>
      <c r="I159" s="9" t="s">
        <v>9</v>
      </c>
      <c r="J159" s="6">
        <v>24150</v>
      </c>
      <c r="K159" s="6">
        <v>25357.5</v>
      </c>
      <c r="L159" s="6">
        <v>1207.5</v>
      </c>
      <c r="M159" s="23">
        <f t="shared" si="4"/>
        <v>10143</v>
      </c>
      <c r="N159" s="23">
        <f t="shared" si="5"/>
        <v>15214.5</v>
      </c>
      <c r="O159" s="3" t="s">
        <v>117</v>
      </c>
      <c r="P159" s="3" t="s">
        <v>120</v>
      </c>
    </row>
    <row r="160" spans="3:16" ht="21" customHeight="1" x14ac:dyDescent="0.25">
      <c r="C160" s="7">
        <v>2000833</v>
      </c>
      <c r="D160" s="3" t="s">
        <v>533</v>
      </c>
      <c r="E160" s="7" t="s">
        <v>72</v>
      </c>
      <c r="F160" s="8">
        <v>45901</v>
      </c>
      <c r="G160" s="7" t="s">
        <v>11</v>
      </c>
      <c r="H160" s="9" t="s">
        <v>38</v>
      </c>
      <c r="I160" s="9" t="s">
        <v>18</v>
      </c>
      <c r="J160" s="6">
        <v>28375</v>
      </c>
      <c r="K160" s="6">
        <v>29793.75</v>
      </c>
      <c r="L160" s="6">
        <v>1418.75</v>
      </c>
      <c r="M160" s="23">
        <f t="shared" si="4"/>
        <v>11917.5</v>
      </c>
      <c r="N160" s="23">
        <f t="shared" si="5"/>
        <v>17876.25</v>
      </c>
      <c r="O160" s="3" t="s">
        <v>117</v>
      </c>
      <c r="P160" s="3" t="s">
        <v>120</v>
      </c>
    </row>
    <row r="161" spans="3:16" ht="21" customHeight="1" x14ac:dyDescent="0.25">
      <c r="C161" s="7">
        <v>2000841</v>
      </c>
      <c r="D161" s="3" t="s">
        <v>534</v>
      </c>
      <c r="E161" s="7" t="s">
        <v>72</v>
      </c>
      <c r="F161" s="8">
        <v>45901</v>
      </c>
      <c r="G161" s="7" t="s">
        <v>11</v>
      </c>
      <c r="H161" s="9" t="s">
        <v>38</v>
      </c>
      <c r="I161" s="9" t="s">
        <v>18</v>
      </c>
      <c r="J161" s="6">
        <v>43575</v>
      </c>
      <c r="K161" s="6">
        <v>47932.5</v>
      </c>
      <c r="L161" s="6">
        <v>4357.5</v>
      </c>
      <c r="M161" s="23">
        <f t="shared" si="4"/>
        <v>19173</v>
      </c>
      <c r="N161" s="23">
        <f t="shared" si="5"/>
        <v>28759.5</v>
      </c>
      <c r="O161" s="3" t="s">
        <v>117</v>
      </c>
      <c r="P161" s="3" t="s">
        <v>120</v>
      </c>
    </row>
    <row r="162" spans="3:16" ht="21" customHeight="1" x14ac:dyDescent="0.25">
      <c r="C162" s="7">
        <v>2000852</v>
      </c>
      <c r="D162" s="3" t="s">
        <v>535</v>
      </c>
      <c r="E162" s="7" t="s">
        <v>72</v>
      </c>
      <c r="F162" s="8">
        <v>45901</v>
      </c>
      <c r="G162" s="7" t="s">
        <v>11</v>
      </c>
      <c r="H162" s="9" t="s">
        <v>38</v>
      </c>
      <c r="I162" s="9" t="s">
        <v>18</v>
      </c>
      <c r="J162" s="6">
        <v>31500</v>
      </c>
      <c r="K162" s="6">
        <v>33075</v>
      </c>
      <c r="L162" s="6">
        <v>1575</v>
      </c>
      <c r="M162" s="23">
        <f t="shared" si="4"/>
        <v>13230</v>
      </c>
      <c r="N162" s="23">
        <f t="shared" si="5"/>
        <v>19845</v>
      </c>
      <c r="O162" s="3" t="s">
        <v>117</v>
      </c>
      <c r="P162" s="3" t="s">
        <v>120</v>
      </c>
    </row>
    <row r="163" spans="3:16" ht="21" customHeight="1" x14ac:dyDescent="0.25">
      <c r="C163" s="7">
        <v>2000862</v>
      </c>
      <c r="D163" s="3" t="s">
        <v>536</v>
      </c>
      <c r="E163" s="7" t="s">
        <v>72</v>
      </c>
      <c r="F163" s="8">
        <v>45901</v>
      </c>
      <c r="G163" s="7" t="s">
        <v>11</v>
      </c>
      <c r="H163" s="9" t="s">
        <v>12</v>
      </c>
      <c r="I163" s="9" t="s">
        <v>9</v>
      </c>
      <c r="J163" s="6">
        <v>20000</v>
      </c>
      <c r="K163" s="6">
        <v>21000</v>
      </c>
      <c r="L163" s="6">
        <v>1000</v>
      </c>
      <c r="M163" s="23">
        <f t="shared" si="4"/>
        <v>8400</v>
      </c>
      <c r="N163" s="23">
        <f t="shared" si="5"/>
        <v>12600</v>
      </c>
      <c r="O163" s="3" t="s">
        <v>117</v>
      </c>
      <c r="P163" s="3" t="s">
        <v>120</v>
      </c>
    </row>
    <row r="164" spans="3:16" ht="21" customHeight="1" x14ac:dyDescent="0.25">
      <c r="C164" s="7">
        <v>2000929</v>
      </c>
      <c r="D164" s="3" t="s">
        <v>537</v>
      </c>
      <c r="E164" s="7" t="s">
        <v>72</v>
      </c>
      <c r="F164" s="8">
        <v>45901</v>
      </c>
      <c r="G164" s="7" t="s">
        <v>11</v>
      </c>
      <c r="H164" s="9" t="s">
        <v>38</v>
      </c>
      <c r="I164" s="9" t="s">
        <v>18</v>
      </c>
      <c r="J164" s="6">
        <v>31153.5</v>
      </c>
      <c r="K164" s="6">
        <v>32711.25</v>
      </c>
      <c r="L164" s="6">
        <v>1557.75</v>
      </c>
      <c r="M164" s="23">
        <f t="shared" si="4"/>
        <v>13084.5</v>
      </c>
      <c r="N164" s="23">
        <f t="shared" si="5"/>
        <v>19626.75</v>
      </c>
      <c r="O164" s="3" t="s">
        <v>117</v>
      </c>
      <c r="P164" s="3" t="s">
        <v>120</v>
      </c>
    </row>
    <row r="165" spans="3:16" ht="21" customHeight="1" x14ac:dyDescent="0.25">
      <c r="C165" s="7">
        <v>2000158</v>
      </c>
      <c r="D165" s="3" t="s">
        <v>538</v>
      </c>
      <c r="E165" s="7" t="s">
        <v>71</v>
      </c>
      <c r="F165" s="8">
        <v>45901</v>
      </c>
      <c r="G165" s="7" t="s">
        <v>11</v>
      </c>
      <c r="H165" s="9" t="s">
        <v>9</v>
      </c>
      <c r="I165" s="9" t="s">
        <v>9</v>
      </c>
      <c r="J165" s="6">
        <v>20000</v>
      </c>
      <c r="K165" s="6">
        <v>21000</v>
      </c>
      <c r="L165" s="6">
        <v>1000</v>
      </c>
      <c r="M165" s="23">
        <f t="shared" si="4"/>
        <v>8400</v>
      </c>
      <c r="N165" s="23">
        <f t="shared" si="5"/>
        <v>12600</v>
      </c>
      <c r="O165" s="3" t="s">
        <v>117</v>
      </c>
      <c r="P165" s="3" t="s">
        <v>122</v>
      </c>
    </row>
    <row r="166" spans="3:16" ht="21" customHeight="1" x14ac:dyDescent="0.25">
      <c r="C166" s="7">
        <v>2000228</v>
      </c>
      <c r="D166" s="3" t="s">
        <v>539</v>
      </c>
      <c r="E166" s="7" t="s">
        <v>72</v>
      </c>
      <c r="F166" s="8">
        <v>45901</v>
      </c>
      <c r="G166" s="7" t="s">
        <v>11</v>
      </c>
      <c r="H166" s="9" t="s">
        <v>13</v>
      </c>
      <c r="I166" s="9" t="s">
        <v>38</v>
      </c>
      <c r="J166" s="6">
        <v>38152.5</v>
      </c>
      <c r="K166" s="6">
        <v>40060.25</v>
      </c>
      <c r="L166" s="6">
        <v>1907.75</v>
      </c>
      <c r="M166" s="23">
        <f t="shared" si="4"/>
        <v>16024.1</v>
      </c>
      <c r="N166" s="23">
        <f t="shared" si="5"/>
        <v>24036.149999999998</v>
      </c>
      <c r="O166" s="3" t="s">
        <v>117</v>
      </c>
      <c r="P166" s="3" t="s">
        <v>122</v>
      </c>
    </row>
    <row r="167" spans="3:16" ht="21" customHeight="1" x14ac:dyDescent="0.25">
      <c r="C167" s="7">
        <v>2000376</v>
      </c>
      <c r="D167" s="3" t="s">
        <v>540</v>
      </c>
      <c r="E167" s="7" t="s">
        <v>72</v>
      </c>
      <c r="F167" s="8">
        <v>45901</v>
      </c>
      <c r="G167" s="7" t="s">
        <v>11</v>
      </c>
      <c r="H167" s="9" t="s">
        <v>13</v>
      </c>
      <c r="I167" s="9" t="s">
        <v>38</v>
      </c>
      <c r="J167" s="6">
        <v>48903.75</v>
      </c>
      <c r="K167" s="6">
        <v>53794.25</v>
      </c>
      <c r="L167" s="6">
        <v>4890.5</v>
      </c>
      <c r="M167" s="23">
        <f t="shared" si="4"/>
        <v>21517.7</v>
      </c>
      <c r="N167" s="23">
        <f t="shared" si="5"/>
        <v>32276.55</v>
      </c>
      <c r="O167" s="3" t="s">
        <v>117</v>
      </c>
      <c r="P167" s="3" t="s">
        <v>122</v>
      </c>
    </row>
    <row r="168" spans="3:16" ht="21" customHeight="1" x14ac:dyDescent="0.25">
      <c r="C168" s="7">
        <v>2000416</v>
      </c>
      <c r="D168" s="3" t="s">
        <v>541</v>
      </c>
      <c r="E168" s="7" t="s">
        <v>73</v>
      </c>
      <c r="F168" s="8">
        <v>45901</v>
      </c>
      <c r="G168" s="7" t="s">
        <v>11</v>
      </c>
      <c r="H168" s="9" t="s">
        <v>38</v>
      </c>
      <c r="I168" s="9" t="s">
        <v>18</v>
      </c>
      <c r="J168" s="6">
        <v>41160</v>
      </c>
      <c r="K168" s="6">
        <v>43218</v>
      </c>
      <c r="L168" s="6">
        <v>2058</v>
      </c>
      <c r="M168" s="23">
        <f t="shared" si="4"/>
        <v>17287.2</v>
      </c>
      <c r="N168" s="23">
        <f t="shared" si="5"/>
        <v>25930.799999999999</v>
      </c>
      <c r="O168" s="3" t="s">
        <v>117</v>
      </c>
      <c r="P168" s="3" t="s">
        <v>122</v>
      </c>
    </row>
    <row r="169" spans="3:16" ht="21" customHeight="1" x14ac:dyDescent="0.25">
      <c r="C169" s="7">
        <v>2000774</v>
      </c>
      <c r="D169" s="3" t="s">
        <v>542</v>
      </c>
      <c r="E169" s="7" t="s">
        <v>71</v>
      </c>
      <c r="F169" s="8">
        <v>45901</v>
      </c>
      <c r="G169" s="7" t="s">
        <v>11</v>
      </c>
      <c r="H169" s="9" t="s">
        <v>9</v>
      </c>
      <c r="I169" s="9" t="s">
        <v>9</v>
      </c>
      <c r="J169" s="6">
        <v>28490</v>
      </c>
      <c r="K169" s="6">
        <v>31339</v>
      </c>
      <c r="L169" s="6">
        <v>2849</v>
      </c>
      <c r="M169" s="23">
        <f t="shared" si="4"/>
        <v>12535.6</v>
      </c>
      <c r="N169" s="23">
        <f t="shared" si="5"/>
        <v>18803.399999999998</v>
      </c>
      <c r="O169" s="3" t="s">
        <v>117</v>
      </c>
      <c r="P169" s="3" t="s">
        <v>122</v>
      </c>
    </row>
    <row r="170" spans="3:16" ht="21" customHeight="1" x14ac:dyDescent="0.25">
      <c r="C170" s="7">
        <v>2000801</v>
      </c>
      <c r="D170" s="3" t="s">
        <v>543</v>
      </c>
      <c r="E170" s="7" t="s">
        <v>73</v>
      </c>
      <c r="F170" s="8">
        <v>45901</v>
      </c>
      <c r="G170" s="7" t="s">
        <v>11</v>
      </c>
      <c r="H170" s="9" t="s">
        <v>38</v>
      </c>
      <c r="I170" s="9" t="s">
        <v>18</v>
      </c>
      <c r="J170" s="6">
        <v>31500</v>
      </c>
      <c r="K170" s="6">
        <v>33075</v>
      </c>
      <c r="L170" s="6">
        <v>1575</v>
      </c>
      <c r="M170" s="23">
        <f t="shared" si="4"/>
        <v>13230</v>
      </c>
      <c r="N170" s="23">
        <f t="shared" si="5"/>
        <v>19845</v>
      </c>
      <c r="O170" s="3" t="s">
        <v>117</v>
      </c>
      <c r="P170" s="3" t="s">
        <v>122</v>
      </c>
    </row>
    <row r="171" spans="3:16" ht="21" customHeight="1" x14ac:dyDescent="0.25">
      <c r="C171" s="7">
        <v>2000802</v>
      </c>
      <c r="D171" s="3" t="s">
        <v>544</v>
      </c>
      <c r="E171" s="7" t="s">
        <v>73</v>
      </c>
      <c r="F171" s="8">
        <v>45901</v>
      </c>
      <c r="G171" s="7" t="s">
        <v>11</v>
      </c>
      <c r="H171" s="9" t="s">
        <v>12</v>
      </c>
      <c r="I171" s="9" t="s">
        <v>9</v>
      </c>
      <c r="J171" s="6">
        <v>31500</v>
      </c>
      <c r="K171" s="6">
        <v>33075</v>
      </c>
      <c r="L171" s="6">
        <v>1575</v>
      </c>
      <c r="M171" s="23">
        <f t="shared" si="4"/>
        <v>13230</v>
      </c>
      <c r="N171" s="23">
        <f t="shared" si="5"/>
        <v>19845</v>
      </c>
      <c r="O171" s="3" t="s">
        <v>117</v>
      </c>
      <c r="P171" s="3" t="s">
        <v>122</v>
      </c>
    </row>
    <row r="172" spans="3:16" ht="21" customHeight="1" x14ac:dyDescent="0.25">
      <c r="C172" s="7">
        <v>2000869</v>
      </c>
      <c r="D172" s="3" t="s">
        <v>545</v>
      </c>
      <c r="E172" s="7" t="s">
        <v>73</v>
      </c>
      <c r="F172" s="8">
        <v>45901</v>
      </c>
      <c r="G172" s="7" t="s">
        <v>11</v>
      </c>
      <c r="H172" s="9" t="s">
        <v>38</v>
      </c>
      <c r="I172" s="9" t="s">
        <v>18</v>
      </c>
      <c r="J172" s="6">
        <v>36422.5</v>
      </c>
      <c r="K172" s="6">
        <v>38243.75</v>
      </c>
      <c r="L172" s="6">
        <v>1821.25</v>
      </c>
      <c r="M172" s="23">
        <f t="shared" si="4"/>
        <v>15297.5</v>
      </c>
      <c r="N172" s="23">
        <f t="shared" si="5"/>
        <v>22946.25</v>
      </c>
      <c r="O172" s="3" t="s">
        <v>117</v>
      </c>
      <c r="P172" s="3" t="s">
        <v>122</v>
      </c>
    </row>
    <row r="173" spans="3:16" ht="21" customHeight="1" x14ac:dyDescent="0.25">
      <c r="C173" s="7">
        <v>2000887</v>
      </c>
      <c r="D173" s="3" t="s">
        <v>546</v>
      </c>
      <c r="E173" s="7" t="s">
        <v>73</v>
      </c>
      <c r="F173" s="8">
        <v>45901</v>
      </c>
      <c r="G173" s="7" t="s">
        <v>11</v>
      </c>
      <c r="H173" s="9" t="s">
        <v>38</v>
      </c>
      <c r="I173" s="9" t="s">
        <v>18</v>
      </c>
      <c r="J173" s="6">
        <v>32340</v>
      </c>
      <c r="K173" s="6">
        <v>33957</v>
      </c>
      <c r="L173" s="6">
        <v>1617</v>
      </c>
      <c r="M173" s="23">
        <f t="shared" si="4"/>
        <v>13582.800000000001</v>
      </c>
      <c r="N173" s="23">
        <f t="shared" si="5"/>
        <v>20374.2</v>
      </c>
      <c r="O173" s="3" t="s">
        <v>117</v>
      </c>
      <c r="P173" s="3" t="s">
        <v>122</v>
      </c>
    </row>
    <row r="174" spans="3:16" ht="21" customHeight="1" x14ac:dyDescent="0.25">
      <c r="C174" s="7">
        <v>2000915</v>
      </c>
      <c r="D174" s="3" t="s">
        <v>547</v>
      </c>
      <c r="E174" s="7" t="s">
        <v>73</v>
      </c>
      <c r="F174" s="8">
        <v>45901</v>
      </c>
      <c r="G174" s="7" t="s">
        <v>11</v>
      </c>
      <c r="H174" s="9" t="s">
        <v>38</v>
      </c>
      <c r="I174" s="9" t="s">
        <v>18</v>
      </c>
      <c r="J174" s="6">
        <v>36750</v>
      </c>
      <c r="K174" s="6">
        <v>38587.5</v>
      </c>
      <c r="L174" s="6">
        <v>1837.5</v>
      </c>
      <c r="M174" s="23">
        <f t="shared" si="4"/>
        <v>15435</v>
      </c>
      <c r="N174" s="23">
        <f t="shared" si="5"/>
        <v>23152.5</v>
      </c>
      <c r="O174" s="3" t="s">
        <v>117</v>
      </c>
      <c r="P174" s="3" t="s">
        <v>122</v>
      </c>
    </row>
    <row r="175" spans="3:16" ht="21" customHeight="1" x14ac:dyDescent="0.25">
      <c r="C175" s="7">
        <v>2000926</v>
      </c>
      <c r="D175" s="3" t="s">
        <v>548</v>
      </c>
      <c r="E175" s="7" t="s">
        <v>73</v>
      </c>
      <c r="F175" s="8">
        <v>45901</v>
      </c>
      <c r="G175" s="7" t="s">
        <v>11</v>
      </c>
      <c r="H175" s="9" t="s">
        <v>38</v>
      </c>
      <c r="I175" s="9" t="s">
        <v>18</v>
      </c>
      <c r="J175" s="6">
        <v>37800</v>
      </c>
      <c r="K175" s="6">
        <v>39690</v>
      </c>
      <c r="L175" s="6">
        <v>1890</v>
      </c>
      <c r="M175" s="23">
        <f t="shared" si="4"/>
        <v>15876</v>
      </c>
      <c r="N175" s="23">
        <f t="shared" si="5"/>
        <v>23814</v>
      </c>
      <c r="O175" s="3" t="s">
        <v>117</v>
      </c>
      <c r="P175" s="3" t="s">
        <v>122</v>
      </c>
    </row>
    <row r="176" spans="3:16" ht="21" customHeight="1" x14ac:dyDescent="0.25">
      <c r="C176" s="7">
        <v>2000934</v>
      </c>
      <c r="D176" s="3" t="s">
        <v>549</v>
      </c>
      <c r="E176" s="7" t="s">
        <v>73</v>
      </c>
      <c r="F176" s="8">
        <v>45901</v>
      </c>
      <c r="G176" s="7" t="s">
        <v>11</v>
      </c>
      <c r="H176" s="9" t="s">
        <v>38</v>
      </c>
      <c r="I176" s="9" t="s">
        <v>18</v>
      </c>
      <c r="J176" s="6">
        <v>36750</v>
      </c>
      <c r="K176" s="6">
        <v>40425</v>
      </c>
      <c r="L176" s="6">
        <v>3675</v>
      </c>
      <c r="M176" s="23">
        <f t="shared" si="4"/>
        <v>16170</v>
      </c>
      <c r="N176" s="23">
        <f t="shared" si="5"/>
        <v>24255</v>
      </c>
      <c r="O176" s="3" t="s">
        <v>117</v>
      </c>
      <c r="P176" s="3" t="s">
        <v>122</v>
      </c>
    </row>
    <row r="177" spans="3:16" ht="21" customHeight="1" x14ac:dyDescent="0.25">
      <c r="C177" s="7">
        <v>2000942</v>
      </c>
      <c r="D177" s="3" t="s">
        <v>550</v>
      </c>
      <c r="E177" s="7" t="s">
        <v>73</v>
      </c>
      <c r="F177" s="8">
        <v>45901</v>
      </c>
      <c r="G177" s="7" t="s">
        <v>11</v>
      </c>
      <c r="H177" s="9" t="s">
        <v>38</v>
      </c>
      <c r="I177" s="9" t="s">
        <v>18</v>
      </c>
      <c r="J177" s="6">
        <v>34125</v>
      </c>
      <c r="K177" s="6">
        <v>35831.25</v>
      </c>
      <c r="L177" s="6">
        <v>1706.25</v>
      </c>
      <c r="M177" s="23">
        <f t="shared" si="4"/>
        <v>14332.5</v>
      </c>
      <c r="N177" s="23">
        <f t="shared" si="5"/>
        <v>21498.75</v>
      </c>
      <c r="O177" s="3" t="s">
        <v>117</v>
      </c>
      <c r="P177" s="3" t="s">
        <v>122</v>
      </c>
    </row>
    <row r="178" spans="3:16" ht="21" customHeight="1" x14ac:dyDescent="0.25">
      <c r="C178" s="7">
        <v>2000944</v>
      </c>
      <c r="D178" s="3" t="s">
        <v>551</v>
      </c>
      <c r="E178" s="7" t="s">
        <v>73</v>
      </c>
      <c r="F178" s="8">
        <v>45901</v>
      </c>
      <c r="G178" s="7" t="s">
        <v>11</v>
      </c>
      <c r="H178" s="9" t="s">
        <v>38</v>
      </c>
      <c r="I178" s="9" t="s">
        <v>18</v>
      </c>
      <c r="J178" s="6">
        <v>39900</v>
      </c>
      <c r="K178" s="6">
        <v>41895</v>
      </c>
      <c r="L178" s="6">
        <v>1995</v>
      </c>
      <c r="M178" s="23">
        <f t="shared" si="4"/>
        <v>16758</v>
      </c>
      <c r="N178" s="23">
        <f t="shared" si="5"/>
        <v>25137</v>
      </c>
      <c r="O178" s="3" t="s">
        <v>117</v>
      </c>
      <c r="P178" s="3" t="s">
        <v>122</v>
      </c>
    </row>
    <row r="179" spans="3:16" ht="21" customHeight="1" x14ac:dyDescent="0.25">
      <c r="C179" s="7">
        <v>2001016</v>
      </c>
      <c r="D179" s="3" t="s">
        <v>552</v>
      </c>
      <c r="E179" s="7" t="s">
        <v>73</v>
      </c>
      <c r="F179" s="8">
        <v>45901</v>
      </c>
      <c r="G179" s="7" t="s">
        <v>11</v>
      </c>
      <c r="H179" s="9" t="s">
        <v>38</v>
      </c>
      <c r="I179" s="9" t="s">
        <v>18</v>
      </c>
      <c r="J179" s="6">
        <v>33141.25</v>
      </c>
      <c r="K179" s="6">
        <v>36455.5</v>
      </c>
      <c r="L179" s="6">
        <v>3314.25</v>
      </c>
      <c r="M179" s="23">
        <f t="shared" si="4"/>
        <v>14582.2</v>
      </c>
      <c r="N179" s="23">
        <f t="shared" si="5"/>
        <v>21873.3</v>
      </c>
      <c r="O179" s="3" t="s">
        <v>117</v>
      </c>
      <c r="P179" s="3" t="s">
        <v>122</v>
      </c>
    </row>
    <row r="180" spans="3:16" ht="21" customHeight="1" x14ac:dyDescent="0.25">
      <c r="C180" s="7">
        <v>2000267</v>
      </c>
      <c r="D180" s="3" t="s">
        <v>553</v>
      </c>
      <c r="E180" s="7" t="s">
        <v>72</v>
      </c>
      <c r="F180" s="8">
        <v>45901</v>
      </c>
      <c r="G180" s="7" t="s">
        <v>11</v>
      </c>
      <c r="H180" s="9" t="s">
        <v>13</v>
      </c>
      <c r="I180" s="9" t="s">
        <v>38</v>
      </c>
      <c r="J180" s="6">
        <v>35937.5</v>
      </c>
      <c r="K180" s="6">
        <v>37734.5</v>
      </c>
      <c r="L180" s="6">
        <v>1797</v>
      </c>
      <c r="M180" s="23">
        <f t="shared" si="4"/>
        <v>15093.800000000001</v>
      </c>
      <c r="N180" s="23">
        <f t="shared" si="5"/>
        <v>22640.7</v>
      </c>
      <c r="O180" s="3" t="s">
        <v>117</v>
      </c>
      <c r="P180" s="3" t="s">
        <v>337</v>
      </c>
    </row>
    <row r="181" spans="3:16" ht="21" customHeight="1" x14ac:dyDescent="0.25">
      <c r="C181" s="7">
        <v>2000420</v>
      </c>
      <c r="D181" s="3" t="s">
        <v>554</v>
      </c>
      <c r="E181" s="7" t="s">
        <v>72</v>
      </c>
      <c r="F181" s="8">
        <v>45901</v>
      </c>
      <c r="G181" s="7" t="s">
        <v>11</v>
      </c>
      <c r="H181" s="9" t="s">
        <v>76</v>
      </c>
      <c r="I181" s="9" t="s">
        <v>12</v>
      </c>
      <c r="J181" s="6">
        <v>20000</v>
      </c>
      <c r="K181" s="6">
        <v>21000</v>
      </c>
      <c r="L181" s="6">
        <v>1000</v>
      </c>
      <c r="M181" s="23">
        <f t="shared" si="4"/>
        <v>8400</v>
      </c>
      <c r="N181" s="23">
        <f t="shared" si="5"/>
        <v>12600</v>
      </c>
      <c r="O181" s="3" t="s">
        <v>117</v>
      </c>
      <c r="P181" s="3" t="s">
        <v>337</v>
      </c>
    </row>
    <row r="182" spans="3:16" ht="21" customHeight="1" x14ac:dyDescent="0.25">
      <c r="C182" s="7">
        <v>2000760</v>
      </c>
      <c r="D182" s="3" t="s">
        <v>555</v>
      </c>
      <c r="E182" s="7" t="s">
        <v>72</v>
      </c>
      <c r="F182" s="8">
        <v>45901</v>
      </c>
      <c r="G182" s="7" t="s">
        <v>11</v>
      </c>
      <c r="H182" s="9" t="s">
        <v>12</v>
      </c>
      <c r="I182" s="9" t="s">
        <v>9</v>
      </c>
      <c r="J182" s="6">
        <v>20000</v>
      </c>
      <c r="K182" s="6">
        <v>21000</v>
      </c>
      <c r="L182" s="6">
        <v>1000</v>
      </c>
      <c r="M182" s="23">
        <f t="shared" si="4"/>
        <v>8400</v>
      </c>
      <c r="N182" s="23">
        <f t="shared" si="5"/>
        <v>12600</v>
      </c>
      <c r="O182" s="3" t="s">
        <v>117</v>
      </c>
      <c r="P182" s="3" t="s">
        <v>337</v>
      </c>
    </row>
    <row r="183" spans="3:16" ht="21" customHeight="1" x14ac:dyDescent="0.25">
      <c r="C183" s="7">
        <v>2000878</v>
      </c>
      <c r="D183" s="3" t="s">
        <v>556</v>
      </c>
      <c r="E183" s="7" t="s">
        <v>72</v>
      </c>
      <c r="F183" s="8">
        <v>45901</v>
      </c>
      <c r="G183" s="7" t="s">
        <v>11</v>
      </c>
      <c r="H183" s="9" t="s">
        <v>76</v>
      </c>
      <c r="I183" s="9" t="s">
        <v>12</v>
      </c>
      <c r="J183" s="6">
        <v>20000</v>
      </c>
      <c r="K183" s="6">
        <v>21000</v>
      </c>
      <c r="L183" s="6">
        <v>1000</v>
      </c>
      <c r="M183" s="23">
        <f t="shared" si="4"/>
        <v>8400</v>
      </c>
      <c r="N183" s="23">
        <f t="shared" si="5"/>
        <v>12600</v>
      </c>
      <c r="O183" s="3" t="s">
        <v>117</v>
      </c>
      <c r="P183" s="3" t="s">
        <v>337</v>
      </c>
    </row>
    <row r="184" spans="3:16" ht="21" customHeight="1" x14ac:dyDescent="0.25">
      <c r="C184" s="7">
        <v>2001139</v>
      </c>
      <c r="D184" s="3" t="s">
        <v>557</v>
      </c>
      <c r="E184" s="7" t="s">
        <v>72</v>
      </c>
      <c r="F184" s="8">
        <v>45901</v>
      </c>
      <c r="G184" s="7" t="s">
        <v>11</v>
      </c>
      <c r="H184" s="9" t="s">
        <v>13</v>
      </c>
      <c r="I184" s="9" t="s">
        <v>38</v>
      </c>
      <c r="J184" s="6">
        <v>45000</v>
      </c>
      <c r="K184" s="6">
        <v>49500</v>
      </c>
      <c r="L184" s="6">
        <v>4500</v>
      </c>
      <c r="M184" s="23">
        <f t="shared" si="4"/>
        <v>19800</v>
      </c>
      <c r="N184" s="23">
        <f t="shared" si="5"/>
        <v>29700</v>
      </c>
      <c r="O184" s="3" t="s">
        <v>117</v>
      </c>
      <c r="P184" s="3" t="s">
        <v>337</v>
      </c>
    </row>
    <row r="185" spans="3:16" ht="21" customHeight="1" x14ac:dyDescent="0.25">
      <c r="C185" s="7">
        <v>5000211</v>
      </c>
      <c r="D185" s="3" t="s">
        <v>558</v>
      </c>
      <c r="E185" s="7" t="s">
        <v>72</v>
      </c>
      <c r="F185" s="8">
        <v>45901</v>
      </c>
      <c r="G185" s="7" t="s">
        <v>11</v>
      </c>
      <c r="H185" s="9" t="s">
        <v>38</v>
      </c>
      <c r="I185" s="9" t="s">
        <v>18</v>
      </c>
      <c r="J185" s="6">
        <v>29793.75</v>
      </c>
      <c r="K185" s="6">
        <v>31283.5</v>
      </c>
      <c r="L185" s="6">
        <v>1489.75</v>
      </c>
      <c r="M185" s="23">
        <f t="shared" si="4"/>
        <v>12513.400000000001</v>
      </c>
      <c r="N185" s="23">
        <f t="shared" si="5"/>
        <v>18770.099999999999</v>
      </c>
      <c r="O185" s="3" t="s">
        <v>117</v>
      </c>
      <c r="P185" s="3" t="s">
        <v>337</v>
      </c>
    </row>
    <row r="186" spans="3:16" ht="21" customHeight="1" x14ac:dyDescent="0.25">
      <c r="C186" s="7">
        <v>2000377</v>
      </c>
      <c r="D186" s="3" t="s">
        <v>559</v>
      </c>
      <c r="E186" s="7" t="s">
        <v>71</v>
      </c>
      <c r="F186" s="8">
        <v>45901</v>
      </c>
      <c r="G186" s="7" t="s">
        <v>11</v>
      </c>
      <c r="H186" s="9" t="s">
        <v>18</v>
      </c>
      <c r="I186" s="9" t="s">
        <v>18</v>
      </c>
      <c r="J186" s="6">
        <v>56160</v>
      </c>
      <c r="K186" s="6">
        <v>58968</v>
      </c>
      <c r="L186" s="6">
        <v>2808</v>
      </c>
      <c r="M186" s="23">
        <f t="shared" si="4"/>
        <v>23587.200000000001</v>
      </c>
      <c r="N186" s="23">
        <f t="shared" si="5"/>
        <v>35380.799999999996</v>
      </c>
      <c r="O186" s="3" t="s">
        <v>123</v>
      </c>
      <c r="P186" s="3" t="s">
        <v>342</v>
      </c>
    </row>
    <row r="187" spans="3:16" ht="21" customHeight="1" x14ac:dyDescent="0.25">
      <c r="C187" s="7">
        <v>2000396</v>
      </c>
      <c r="D187" s="3" t="s">
        <v>560</v>
      </c>
      <c r="E187" s="7" t="s">
        <v>71</v>
      </c>
      <c r="F187" s="8">
        <v>45901</v>
      </c>
      <c r="G187" s="7" t="s">
        <v>11</v>
      </c>
      <c r="H187" s="9" t="s">
        <v>18</v>
      </c>
      <c r="I187" s="9" t="s">
        <v>18</v>
      </c>
      <c r="J187" s="6">
        <v>36813</v>
      </c>
      <c r="K187" s="6">
        <v>40494.25</v>
      </c>
      <c r="L187" s="6">
        <v>3681.25</v>
      </c>
      <c r="M187" s="23">
        <f t="shared" si="4"/>
        <v>16197.7</v>
      </c>
      <c r="N187" s="23">
        <f t="shared" si="5"/>
        <v>24296.55</v>
      </c>
      <c r="O187" s="3" t="s">
        <v>123</v>
      </c>
      <c r="P187" s="3" t="s">
        <v>342</v>
      </c>
    </row>
    <row r="188" spans="3:16" ht="21" customHeight="1" x14ac:dyDescent="0.25">
      <c r="C188" s="7">
        <v>2000410</v>
      </c>
      <c r="D188" s="3" t="s">
        <v>561</v>
      </c>
      <c r="E188" s="7" t="s">
        <v>71</v>
      </c>
      <c r="F188" s="8">
        <v>45901</v>
      </c>
      <c r="G188" s="7" t="s">
        <v>11</v>
      </c>
      <c r="H188" s="9" t="s">
        <v>18</v>
      </c>
      <c r="I188" s="9" t="s">
        <v>18</v>
      </c>
      <c r="J188" s="6">
        <v>35000</v>
      </c>
      <c r="K188" s="6">
        <v>36750</v>
      </c>
      <c r="L188" s="6">
        <v>1750</v>
      </c>
      <c r="M188" s="23">
        <f t="shared" si="4"/>
        <v>14700</v>
      </c>
      <c r="N188" s="23">
        <f t="shared" si="5"/>
        <v>22050</v>
      </c>
      <c r="O188" s="3" t="s">
        <v>123</v>
      </c>
      <c r="P188" s="3" t="s">
        <v>342</v>
      </c>
    </row>
    <row r="189" spans="3:16" ht="21" customHeight="1" x14ac:dyDescent="0.25">
      <c r="C189" s="7">
        <v>2000438</v>
      </c>
      <c r="D189" s="3" t="s">
        <v>562</v>
      </c>
      <c r="E189" s="7" t="s">
        <v>72</v>
      </c>
      <c r="F189" s="8">
        <v>45901</v>
      </c>
      <c r="G189" s="7" t="s">
        <v>11</v>
      </c>
      <c r="H189" s="9" t="s">
        <v>38</v>
      </c>
      <c r="I189" s="9" t="s">
        <v>18</v>
      </c>
      <c r="J189" s="6">
        <v>28875</v>
      </c>
      <c r="K189" s="6">
        <v>35000</v>
      </c>
      <c r="L189" s="6">
        <v>6125</v>
      </c>
      <c r="M189" s="23">
        <f t="shared" si="4"/>
        <v>14000</v>
      </c>
      <c r="N189" s="23">
        <f t="shared" si="5"/>
        <v>21000</v>
      </c>
      <c r="O189" s="3" t="s">
        <v>123</v>
      </c>
      <c r="P189" s="3" t="s">
        <v>342</v>
      </c>
    </row>
    <row r="190" spans="3:16" ht="21" customHeight="1" x14ac:dyDescent="0.25">
      <c r="C190" s="7">
        <v>2000471</v>
      </c>
      <c r="D190" s="3" t="s">
        <v>563</v>
      </c>
      <c r="E190" s="7" t="s">
        <v>71</v>
      </c>
      <c r="F190" s="8">
        <v>45901</v>
      </c>
      <c r="G190" s="7" t="s">
        <v>11</v>
      </c>
      <c r="H190" s="9" t="s">
        <v>18</v>
      </c>
      <c r="I190" s="9" t="s">
        <v>18</v>
      </c>
      <c r="J190" s="6">
        <v>56160</v>
      </c>
      <c r="K190" s="6">
        <v>61776</v>
      </c>
      <c r="L190" s="6">
        <v>5616</v>
      </c>
      <c r="M190" s="23">
        <f t="shared" si="4"/>
        <v>24710.400000000001</v>
      </c>
      <c r="N190" s="23">
        <f t="shared" si="5"/>
        <v>37065.599999999999</v>
      </c>
      <c r="O190" s="3" t="s">
        <v>123</v>
      </c>
      <c r="P190" s="3" t="s">
        <v>342</v>
      </c>
    </row>
    <row r="191" spans="3:16" ht="21" customHeight="1" x14ac:dyDescent="0.25">
      <c r="C191" s="7">
        <v>2000485</v>
      </c>
      <c r="D191" s="3" t="s">
        <v>564</v>
      </c>
      <c r="E191" s="7" t="s">
        <v>71</v>
      </c>
      <c r="F191" s="8">
        <v>45901</v>
      </c>
      <c r="G191" s="7" t="s">
        <v>11</v>
      </c>
      <c r="H191" s="9" t="s">
        <v>18</v>
      </c>
      <c r="I191" s="9" t="s">
        <v>18</v>
      </c>
      <c r="J191" s="6">
        <v>35000</v>
      </c>
      <c r="K191" s="6">
        <v>36750</v>
      </c>
      <c r="L191" s="6">
        <v>1750</v>
      </c>
      <c r="M191" s="23">
        <f t="shared" si="4"/>
        <v>14700</v>
      </c>
      <c r="N191" s="23">
        <f t="shared" si="5"/>
        <v>22050</v>
      </c>
      <c r="O191" s="3" t="s">
        <v>123</v>
      </c>
      <c r="P191" s="3" t="s">
        <v>342</v>
      </c>
    </row>
    <row r="192" spans="3:16" ht="21" customHeight="1" x14ac:dyDescent="0.25">
      <c r="C192" s="7">
        <v>5000022</v>
      </c>
      <c r="D192" s="3" t="s">
        <v>565</v>
      </c>
      <c r="E192" s="7" t="s">
        <v>72</v>
      </c>
      <c r="F192" s="8">
        <v>45901</v>
      </c>
      <c r="G192" s="7" t="s">
        <v>11</v>
      </c>
      <c r="H192" s="9" t="s">
        <v>38</v>
      </c>
      <c r="I192" s="9" t="s">
        <v>18</v>
      </c>
      <c r="J192" s="6">
        <v>35000</v>
      </c>
      <c r="K192" s="6">
        <v>36750</v>
      </c>
      <c r="L192" s="6">
        <v>1750</v>
      </c>
      <c r="M192" s="23">
        <f t="shared" si="4"/>
        <v>14700</v>
      </c>
      <c r="N192" s="23">
        <f t="shared" si="5"/>
        <v>22050</v>
      </c>
      <c r="O192" s="3" t="s">
        <v>123</v>
      </c>
      <c r="P192" s="3" t="s">
        <v>342</v>
      </c>
    </row>
    <row r="193" spans="3:16" ht="21" customHeight="1" x14ac:dyDescent="0.25">
      <c r="C193" s="11">
        <v>2000336</v>
      </c>
      <c r="D193" s="12" t="s">
        <v>566</v>
      </c>
      <c r="E193" s="7" t="s">
        <v>72</v>
      </c>
      <c r="F193" s="8">
        <v>45901</v>
      </c>
      <c r="G193" s="7" t="s">
        <v>11</v>
      </c>
      <c r="H193" s="9" t="s">
        <v>74</v>
      </c>
      <c r="I193" s="9" t="s">
        <v>35</v>
      </c>
      <c r="J193" s="6">
        <v>90000</v>
      </c>
      <c r="K193" s="6">
        <v>99000</v>
      </c>
      <c r="L193" s="6">
        <v>9000</v>
      </c>
      <c r="M193" s="23">
        <f t="shared" si="4"/>
        <v>39600</v>
      </c>
      <c r="N193" s="23">
        <f t="shared" si="5"/>
        <v>59400</v>
      </c>
      <c r="O193" s="12" t="s">
        <v>123</v>
      </c>
      <c r="P193" s="12" t="s">
        <v>346</v>
      </c>
    </row>
    <row r="194" spans="3:16" ht="21" customHeight="1" x14ac:dyDescent="0.25">
      <c r="C194" s="7">
        <v>2000900</v>
      </c>
      <c r="D194" s="3" t="s">
        <v>567</v>
      </c>
      <c r="E194" s="7" t="s">
        <v>72</v>
      </c>
      <c r="F194" s="8">
        <v>45901</v>
      </c>
      <c r="G194" s="7" t="s">
        <v>11</v>
      </c>
      <c r="H194" s="9" t="s">
        <v>38</v>
      </c>
      <c r="I194" s="9" t="s">
        <v>18</v>
      </c>
      <c r="J194" s="6">
        <v>36750</v>
      </c>
      <c r="K194" s="6">
        <v>38587.5</v>
      </c>
      <c r="L194" s="6">
        <v>1837.5</v>
      </c>
      <c r="M194" s="23">
        <f t="shared" si="4"/>
        <v>15435</v>
      </c>
      <c r="N194" s="23">
        <f t="shared" si="5"/>
        <v>23152.5</v>
      </c>
      <c r="O194" s="3" t="s">
        <v>123</v>
      </c>
      <c r="P194" s="3" t="s">
        <v>346</v>
      </c>
    </row>
    <row r="195" spans="3:16" ht="21" customHeight="1" x14ac:dyDescent="0.25">
      <c r="C195" s="7">
        <v>2000913</v>
      </c>
      <c r="D195" s="3" t="s">
        <v>568</v>
      </c>
      <c r="E195" s="7" t="s">
        <v>72</v>
      </c>
      <c r="F195" s="8">
        <v>45901</v>
      </c>
      <c r="G195" s="7" t="s">
        <v>11</v>
      </c>
      <c r="H195" s="9" t="s">
        <v>39</v>
      </c>
      <c r="I195" s="9" t="s">
        <v>49</v>
      </c>
      <c r="J195" s="6">
        <v>66700</v>
      </c>
      <c r="K195" s="6">
        <v>70035</v>
      </c>
      <c r="L195" s="6">
        <v>3335</v>
      </c>
      <c r="M195" s="23">
        <f t="shared" ref="M195:M213" si="6">+K195*0.4</f>
        <v>28014</v>
      </c>
      <c r="N195" s="23">
        <f t="shared" ref="N195:N213" si="7">+K195*0.6</f>
        <v>42021</v>
      </c>
      <c r="O195" s="3" t="s">
        <v>123</v>
      </c>
      <c r="P195" s="3" t="s">
        <v>346</v>
      </c>
    </row>
    <row r="196" spans="3:16" ht="21" customHeight="1" x14ac:dyDescent="0.25">
      <c r="C196" s="7">
        <v>2000707</v>
      </c>
      <c r="D196" s="3" t="s">
        <v>569</v>
      </c>
      <c r="E196" s="7" t="s">
        <v>72</v>
      </c>
      <c r="F196" s="8">
        <v>45901</v>
      </c>
      <c r="G196" s="7" t="s">
        <v>11</v>
      </c>
      <c r="H196" s="9" t="s">
        <v>38</v>
      </c>
      <c r="I196" s="9" t="s">
        <v>18</v>
      </c>
      <c r="J196" s="6">
        <v>49875</v>
      </c>
      <c r="K196" s="6">
        <v>52368.75</v>
      </c>
      <c r="L196" s="6">
        <v>2493.75</v>
      </c>
      <c r="M196" s="23">
        <f t="shared" si="6"/>
        <v>20947.5</v>
      </c>
      <c r="N196" s="23">
        <f t="shared" si="7"/>
        <v>31421.25</v>
      </c>
      <c r="O196" s="3" t="s">
        <v>123</v>
      </c>
      <c r="P196" s="3" t="s">
        <v>346</v>
      </c>
    </row>
    <row r="197" spans="3:16" ht="21" customHeight="1" x14ac:dyDescent="0.25">
      <c r="C197" s="7">
        <v>2000937</v>
      </c>
      <c r="D197" s="3" t="s">
        <v>570</v>
      </c>
      <c r="E197" s="7" t="s">
        <v>72</v>
      </c>
      <c r="F197" s="8">
        <v>45901</v>
      </c>
      <c r="G197" s="7" t="s">
        <v>11</v>
      </c>
      <c r="H197" s="9" t="s">
        <v>12</v>
      </c>
      <c r="I197" s="9" t="s">
        <v>9</v>
      </c>
      <c r="J197" s="6">
        <v>22050</v>
      </c>
      <c r="K197" s="6">
        <v>23152.5</v>
      </c>
      <c r="L197" s="6">
        <v>1102.5</v>
      </c>
      <c r="M197" s="23">
        <f t="shared" si="6"/>
        <v>9261</v>
      </c>
      <c r="N197" s="23">
        <f t="shared" si="7"/>
        <v>13891.5</v>
      </c>
      <c r="O197" s="3" t="s">
        <v>123</v>
      </c>
      <c r="P197" s="3" t="s">
        <v>346</v>
      </c>
    </row>
    <row r="198" spans="3:16" ht="21" customHeight="1" x14ac:dyDescent="0.25">
      <c r="C198" s="7">
        <v>2000880</v>
      </c>
      <c r="D198" s="3" t="s">
        <v>571</v>
      </c>
      <c r="E198" s="7" t="s">
        <v>72</v>
      </c>
      <c r="F198" s="8">
        <v>45901</v>
      </c>
      <c r="G198" s="7" t="s">
        <v>11</v>
      </c>
      <c r="H198" s="9" t="s">
        <v>38</v>
      </c>
      <c r="I198" s="9" t="s">
        <v>18</v>
      </c>
      <c r="J198" s="6">
        <v>44138.75</v>
      </c>
      <c r="K198" s="6">
        <v>46345.75</v>
      </c>
      <c r="L198" s="6">
        <v>2207</v>
      </c>
      <c r="M198" s="23">
        <f t="shared" si="6"/>
        <v>18538.3</v>
      </c>
      <c r="N198" s="23">
        <f t="shared" si="7"/>
        <v>27807.45</v>
      </c>
      <c r="O198" s="3" t="s">
        <v>123</v>
      </c>
      <c r="P198" s="3" t="s">
        <v>124</v>
      </c>
    </row>
    <row r="199" spans="3:16" ht="21" customHeight="1" x14ac:dyDescent="0.25">
      <c r="C199" s="7">
        <v>2000902</v>
      </c>
      <c r="D199" s="3" t="s">
        <v>572</v>
      </c>
      <c r="E199" s="7" t="s">
        <v>72</v>
      </c>
      <c r="F199" s="8">
        <v>45901</v>
      </c>
      <c r="G199" s="7" t="s">
        <v>11</v>
      </c>
      <c r="H199" s="9" t="s">
        <v>38</v>
      </c>
      <c r="I199" s="9" t="s">
        <v>18</v>
      </c>
      <c r="J199" s="6">
        <v>40845</v>
      </c>
      <c r="K199" s="6">
        <v>44929.5</v>
      </c>
      <c r="L199" s="6">
        <v>4084.5</v>
      </c>
      <c r="M199" s="23">
        <f t="shared" si="6"/>
        <v>17971.8</v>
      </c>
      <c r="N199" s="23">
        <f t="shared" si="7"/>
        <v>26957.7</v>
      </c>
      <c r="O199" s="3" t="s">
        <v>123</v>
      </c>
      <c r="P199" s="3" t="s">
        <v>124</v>
      </c>
    </row>
    <row r="200" spans="3:16" ht="21" customHeight="1" x14ac:dyDescent="0.25">
      <c r="C200" s="7">
        <v>2000938</v>
      </c>
      <c r="D200" s="3" t="s">
        <v>573</v>
      </c>
      <c r="E200" s="7" t="s">
        <v>72</v>
      </c>
      <c r="F200" s="8">
        <v>45901</v>
      </c>
      <c r="G200" s="7" t="s">
        <v>11</v>
      </c>
      <c r="H200" s="9" t="s">
        <v>12</v>
      </c>
      <c r="I200" s="9" t="s">
        <v>9</v>
      </c>
      <c r="J200" s="6">
        <v>20000</v>
      </c>
      <c r="K200" s="6">
        <v>21000</v>
      </c>
      <c r="L200" s="6">
        <v>1000</v>
      </c>
      <c r="M200" s="23">
        <f t="shared" si="6"/>
        <v>8400</v>
      </c>
      <c r="N200" s="23">
        <f t="shared" si="7"/>
        <v>12600</v>
      </c>
      <c r="O200" s="3" t="s">
        <v>123</v>
      </c>
      <c r="P200" s="3" t="s">
        <v>124</v>
      </c>
    </row>
    <row r="201" spans="3:16" ht="21" customHeight="1" x14ac:dyDescent="0.25">
      <c r="C201" s="7">
        <v>2000735</v>
      </c>
      <c r="D201" s="3" t="s">
        <v>574</v>
      </c>
      <c r="E201" s="7" t="s">
        <v>72</v>
      </c>
      <c r="F201" s="8">
        <v>45901</v>
      </c>
      <c r="G201" s="7" t="s">
        <v>11</v>
      </c>
      <c r="H201" s="9" t="s">
        <v>49</v>
      </c>
      <c r="I201" s="9" t="s">
        <v>22</v>
      </c>
      <c r="J201" s="6">
        <v>84000</v>
      </c>
      <c r="K201" s="6">
        <v>88200</v>
      </c>
      <c r="L201" s="6">
        <v>4200</v>
      </c>
      <c r="M201" s="23">
        <f t="shared" si="6"/>
        <v>35280</v>
      </c>
      <c r="N201" s="23">
        <f t="shared" si="7"/>
        <v>52920</v>
      </c>
      <c r="O201" s="3" t="s">
        <v>123</v>
      </c>
      <c r="P201" s="3" t="s">
        <v>125</v>
      </c>
    </row>
    <row r="202" spans="3:16" ht="21" customHeight="1" x14ac:dyDescent="0.25">
      <c r="C202" s="7">
        <v>2000766</v>
      </c>
      <c r="D202" s="3" t="s">
        <v>575</v>
      </c>
      <c r="E202" s="7" t="s">
        <v>72</v>
      </c>
      <c r="F202" s="8">
        <v>45901</v>
      </c>
      <c r="G202" s="7" t="s">
        <v>11</v>
      </c>
      <c r="H202" s="9" t="s">
        <v>49</v>
      </c>
      <c r="I202" s="9" t="s">
        <v>22</v>
      </c>
      <c r="J202" s="6">
        <v>105000</v>
      </c>
      <c r="K202" s="6">
        <v>120750</v>
      </c>
      <c r="L202" s="6">
        <v>15750</v>
      </c>
      <c r="M202" s="23">
        <f t="shared" si="6"/>
        <v>48300</v>
      </c>
      <c r="N202" s="23">
        <f t="shared" si="7"/>
        <v>72450</v>
      </c>
      <c r="O202" s="3" t="s">
        <v>123</v>
      </c>
      <c r="P202" s="3" t="s">
        <v>125</v>
      </c>
    </row>
    <row r="203" spans="3:16" ht="21" customHeight="1" x14ac:dyDescent="0.25">
      <c r="C203" s="7">
        <v>2000832</v>
      </c>
      <c r="D203" s="3" t="s">
        <v>576</v>
      </c>
      <c r="E203" s="7" t="s">
        <v>72</v>
      </c>
      <c r="F203" s="8">
        <v>45901</v>
      </c>
      <c r="G203" s="7" t="s">
        <v>11</v>
      </c>
      <c r="H203" s="9" t="s">
        <v>49</v>
      </c>
      <c r="I203" s="9" t="s">
        <v>22</v>
      </c>
      <c r="J203" s="6">
        <v>76125</v>
      </c>
      <c r="K203" s="6">
        <v>79931.25</v>
      </c>
      <c r="L203" s="6">
        <v>3806.25</v>
      </c>
      <c r="M203" s="23">
        <f t="shared" si="6"/>
        <v>31972.5</v>
      </c>
      <c r="N203" s="23">
        <f t="shared" si="7"/>
        <v>47958.75</v>
      </c>
      <c r="O203" s="3" t="s">
        <v>123</v>
      </c>
      <c r="P203" s="3" t="s">
        <v>356</v>
      </c>
    </row>
    <row r="204" spans="3:16" ht="21" customHeight="1" x14ac:dyDescent="0.25">
      <c r="C204" s="7">
        <v>2000886</v>
      </c>
      <c r="D204" s="3" t="s">
        <v>577</v>
      </c>
      <c r="E204" s="7" t="s">
        <v>72</v>
      </c>
      <c r="F204" s="8">
        <v>45901</v>
      </c>
      <c r="G204" s="7" t="s">
        <v>11</v>
      </c>
      <c r="H204" s="9" t="s">
        <v>38</v>
      </c>
      <c r="I204" s="9" t="s">
        <v>18</v>
      </c>
      <c r="J204" s="6">
        <v>49612.5</v>
      </c>
      <c r="K204" s="6">
        <v>52093.25</v>
      </c>
      <c r="L204" s="6">
        <v>2480.75</v>
      </c>
      <c r="M204" s="23">
        <f t="shared" si="6"/>
        <v>20837.300000000003</v>
      </c>
      <c r="N204" s="23">
        <f t="shared" si="7"/>
        <v>31255.949999999997</v>
      </c>
      <c r="O204" s="3" t="s">
        <v>123</v>
      </c>
      <c r="P204" s="3" t="s">
        <v>356</v>
      </c>
    </row>
    <row r="205" spans="3:16" ht="21" customHeight="1" x14ac:dyDescent="0.25">
      <c r="C205" s="7">
        <v>5000014</v>
      </c>
      <c r="D205" s="3" t="s">
        <v>578</v>
      </c>
      <c r="E205" s="7" t="s">
        <v>72</v>
      </c>
      <c r="F205" s="8">
        <v>45901</v>
      </c>
      <c r="G205" s="7" t="s">
        <v>11</v>
      </c>
      <c r="H205" s="9" t="s">
        <v>76</v>
      </c>
      <c r="I205" s="9" t="s">
        <v>12</v>
      </c>
      <c r="J205" s="6">
        <v>24676.75</v>
      </c>
      <c r="K205" s="6">
        <v>27144.5</v>
      </c>
      <c r="L205" s="6">
        <v>2467.75</v>
      </c>
      <c r="M205" s="23">
        <f t="shared" si="6"/>
        <v>10857.800000000001</v>
      </c>
      <c r="N205" s="23">
        <f t="shared" si="7"/>
        <v>16286.699999999999</v>
      </c>
      <c r="O205" s="3" t="s">
        <v>123</v>
      </c>
      <c r="P205" s="3" t="s">
        <v>127</v>
      </c>
    </row>
    <row r="206" spans="3:16" ht="21" customHeight="1" x14ac:dyDescent="0.25">
      <c r="C206" s="7">
        <v>2000914</v>
      </c>
      <c r="D206" s="3" t="s">
        <v>579</v>
      </c>
      <c r="E206" s="7" t="s">
        <v>72</v>
      </c>
      <c r="F206" s="8">
        <v>45901</v>
      </c>
      <c r="G206" s="7" t="s">
        <v>11</v>
      </c>
      <c r="H206" s="9" t="s">
        <v>38</v>
      </c>
      <c r="I206" s="9" t="s">
        <v>18</v>
      </c>
      <c r="J206" s="6">
        <v>46200</v>
      </c>
      <c r="K206" s="6">
        <v>48510</v>
      </c>
      <c r="L206" s="6">
        <v>2310</v>
      </c>
      <c r="M206" s="23">
        <f t="shared" si="6"/>
        <v>19404</v>
      </c>
      <c r="N206" s="23">
        <f t="shared" si="7"/>
        <v>29106</v>
      </c>
      <c r="O206" s="3" t="s">
        <v>123</v>
      </c>
      <c r="P206" s="3" t="s">
        <v>383</v>
      </c>
    </row>
    <row r="207" spans="3:16" ht="21" customHeight="1" x14ac:dyDescent="0.25">
      <c r="C207" s="7">
        <v>2000725</v>
      </c>
      <c r="D207" s="3" t="s">
        <v>580</v>
      </c>
      <c r="E207" s="7" t="s">
        <v>72</v>
      </c>
      <c r="F207" s="8">
        <v>45901</v>
      </c>
      <c r="G207" s="7" t="s">
        <v>11</v>
      </c>
      <c r="H207" s="9" t="s">
        <v>38</v>
      </c>
      <c r="I207" s="9" t="s">
        <v>18</v>
      </c>
      <c r="J207" s="6">
        <v>46000</v>
      </c>
      <c r="K207" s="6">
        <v>50600</v>
      </c>
      <c r="L207" s="6">
        <v>4600</v>
      </c>
      <c r="M207" s="23">
        <f t="shared" si="6"/>
        <v>20240</v>
      </c>
      <c r="N207" s="23">
        <f t="shared" si="7"/>
        <v>30360</v>
      </c>
      <c r="O207" s="3" t="s">
        <v>123</v>
      </c>
      <c r="P207" s="3" t="s">
        <v>268</v>
      </c>
    </row>
    <row r="208" spans="3:16" ht="21" customHeight="1" x14ac:dyDescent="0.25">
      <c r="C208" s="7">
        <v>2000808</v>
      </c>
      <c r="D208" s="3" t="s">
        <v>581</v>
      </c>
      <c r="E208" s="7" t="s">
        <v>72</v>
      </c>
      <c r="F208" s="8">
        <v>45901</v>
      </c>
      <c r="G208" s="7" t="s">
        <v>11</v>
      </c>
      <c r="H208" s="9" t="s">
        <v>13</v>
      </c>
      <c r="I208" s="9" t="s">
        <v>38</v>
      </c>
      <c r="J208" s="6">
        <v>46000</v>
      </c>
      <c r="K208" s="6">
        <v>48300</v>
      </c>
      <c r="L208" s="6">
        <v>2300</v>
      </c>
      <c r="M208" s="23">
        <f t="shared" si="6"/>
        <v>19320</v>
      </c>
      <c r="N208" s="23">
        <f t="shared" si="7"/>
        <v>28980</v>
      </c>
      <c r="O208" s="3" t="s">
        <v>123</v>
      </c>
      <c r="P208" s="3" t="s">
        <v>268</v>
      </c>
    </row>
    <row r="209" spans="3:16" ht="21" customHeight="1" x14ac:dyDescent="0.25">
      <c r="C209" s="7">
        <v>2000716</v>
      </c>
      <c r="D209" s="3" t="s">
        <v>582</v>
      </c>
      <c r="E209" s="7" t="s">
        <v>72</v>
      </c>
      <c r="F209" s="8">
        <v>45901</v>
      </c>
      <c r="G209" s="7" t="s">
        <v>11</v>
      </c>
      <c r="H209" s="9" t="s">
        <v>77</v>
      </c>
      <c r="I209" s="9" t="s">
        <v>20</v>
      </c>
      <c r="J209" s="6">
        <v>18900</v>
      </c>
      <c r="K209" s="6">
        <v>19845</v>
      </c>
      <c r="L209" s="6">
        <v>945</v>
      </c>
      <c r="M209" s="23">
        <f t="shared" si="6"/>
        <v>7938</v>
      </c>
      <c r="N209" s="23">
        <f t="shared" si="7"/>
        <v>11907</v>
      </c>
      <c r="O209" s="3" t="s">
        <v>123</v>
      </c>
      <c r="P209" s="3" t="s">
        <v>387</v>
      </c>
    </row>
    <row r="210" spans="3:16" ht="21" customHeight="1" x14ac:dyDescent="0.25">
      <c r="C210" s="7">
        <v>2000851</v>
      </c>
      <c r="D210" s="3" t="s">
        <v>583</v>
      </c>
      <c r="E210" s="7" t="s">
        <v>72</v>
      </c>
      <c r="F210" s="8">
        <v>45901</v>
      </c>
      <c r="G210" s="7" t="s">
        <v>11</v>
      </c>
      <c r="H210" s="9" t="s">
        <v>49</v>
      </c>
      <c r="I210" s="9" t="s">
        <v>22</v>
      </c>
      <c r="J210" s="6">
        <v>44000</v>
      </c>
      <c r="K210" s="6">
        <v>48400</v>
      </c>
      <c r="L210" s="6">
        <v>4400</v>
      </c>
      <c r="M210" s="23">
        <f t="shared" si="6"/>
        <v>19360</v>
      </c>
      <c r="N210" s="23">
        <f t="shared" si="7"/>
        <v>29040</v>
      </c>
      <c r="O210" s="3" t="s">
        <v>123</v>
      </c>
      <c r="P210" s="3" t="s">
        <v>387</v>
      </c>
    </row>
    <row r="211" spans="3:16" ht="21" customHeight="1" x14ac:dyDescent="0.25">
      <c r="C211" s="7">
        <v>2000865</v>
      </c>
      <c r="D211" s="3" t="s">
        <v>584</v>
      </c>
      <c r="E211" s="7" t="s">
        <v>72</v>
      </c>
      <c r="F211" s="8">
        <v>45901</v>
      </c>
      <c r="G211" s="7" t="s">
        <v>11</v>
      </c>
      <c r="H211" s="9" t="s">
        <v>38</v>
      </c>
      <c r="I211" s="9" t="s">
        <v>18</v>
      </c>
      <c r="J211" s="6">
        <v>35000</v>
      </c>
      <c r="K211" s="6">
        <v>38500</v>
      </c>
      <c r="L211" s="6">
        <v>3500</v>
      </c>
      <c r="M211" s="23">
        <f t="shared" si="6"/>
        <v>15400</v>
      </c>
      <c r="N211" s="23">
        <f t="shared" si="7"/>
        <v>23100</v>
      </c>
      <c r="O211" s="3" t="s">
        <v>123</v>
      </c>
      <c r="P211" s="3" t="s">
        <v>387</v>
      </c>
    </row>
    <row r="212" spans="3:16" ht="21" customHeight="1" x14ac:dyDescent="0.25">
      <c r="C212" s="7">
        <v>2000879</v>
      </c>
      <c r="D212" s="3" t="s">
        <v>585</v>
      </c>
      <c r="E212" s="7" t="s">
        <v>72</v>
      </c>
      <c r="F212" s="8">
        <v>45901</v>
      </c>
      <c r="G212" s="7" t="s">
        <v>11</v>
      </c>
      <c r="H212" s="9" t="s">
        <v>49</v>
      </c>
      <c r="I212" s="9" t="s">
        <v>22</v>
      </c>
      <c r="J212" s="6">
        <v>47250</v>
      </c>
      <c r="K212" s="6">
        <v>51975</v>
      </c>
      <c r="L212" s="6">
        <v>4725</v>
      </c>
      <c r="M212" s="23">
        <f t="shared" si="6"/>
        <v>20790</v>
      </c>
      <c r="N212" s="23">
        <f t="shared" si="7"/>
        <v>31185</v>
      </c>
      <c r="O212" s="3" t="s">
        <v>123</v>
      </c>
      <c r="P212" s="3" t="s">
        <v>387</v>
      </c>
    </row>
    <row r="213" spans="3:16" ht="21" customHeight="1" x14ac:dyDescent="0.25">
      <c r="C213" s="7">
        <v>2000897</v>
      </c>
      <c r="D213" s="3" t="s">
        <v>586</v>
      </c>
      <c r="E213" s="7" t="s">
        <v>72</v>
      </c>
      <c r="F213" s="8">
        <v>45901</v>
      </c>
      <c r="G213" s="7" t="s">
        <v>11</v>
      </c>
      <c r="H213" s="9" t="s">
        <v>49</v>
      </c>
      <c r="I213" s="9" t="s">
        <v>22</v>
      </c>
      <c r="J213" s="6">
        <v>44100</v>
      </c>
      <c r="K213" s="6">
        <v>48510</v>
      </c>
      <c r="L213" s="6">
        <v>4410</v>
      </c>
      <c r="M213" s="23">
        <f t="shared" si="6"/>
        <v>19404</v>
      </c>
      <c r="N213" s="23">
        <f t="shared" si="7"/>
        <v>29106</v>
      </c>
      <c r="O213" s="3" t="s">
        <v>123</v>
      </c>
      <c r="P213" s="3" t="s">
        <v>387</v>
      </c>
    </row>
  </sheetData>
  <conditionalFormatting sqref="C1:C29">
    <cfRule type="duplicateValues" dxfId="7" priority="290"/>
  </conditionalFormatting>
  <conditionalFormatting sqref="C7:C11">
    <cfRule type="duplicateValues" dxfId="6" priority="280"/>
  </conditionalFormatting>
  <conditionalFormatting sqref="C12:C29">
    <cfRule type="duplicateValues" dxfId="5" priority="268"/>
    <cfRule type="duplicateValues" dxfId="4" priority="269"/>
  </conditionalFormatting>
  <conditionalFormatting sqref="C30:C213">
    <cfRule type="duplicateValues" dxfId="3" priority="223"/>
    <cfRule type="duplicateValues" dxfId="2" priority="224"/>
    <cfRule type="duplicateValues" dxfId="1" priority="225"/>
  </conditionalFormatting>
  <conditionalFormatting sqref="K2:K213">
    <cfRule type="cellIs" dxfId="0" priority="1" operator="equal">
      <formula>J2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Direct</vt:lpstr>
      <vt:lpstr>Outsource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Yassar Mehmood Khan</dc:creator>
  <cp:lastModifiedBy>Hany Abdelaal</cp:lastModifiedBy>
  <dcterms:created xsi:type="dcterms:W3CDTF">2025-11-05T07:27:00Z</dcterms:created>
  <dcterms:modified xsi:type="dcterms:W3CDTF">2025-11-21T05:55:43Z</dcterms:modified>
</cp:coreProperties>
</file>