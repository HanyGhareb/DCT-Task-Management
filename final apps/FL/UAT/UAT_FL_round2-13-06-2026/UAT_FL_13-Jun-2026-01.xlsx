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Freelancers" sheetId="5" state="visible" r:id="rId5"/>
    <sheet xmlns:r="http://schemas.openxmlformats.org/officeDocument/2006/relationships" name="Contracts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Compliance" sheetId="8" state="visible" r:id="rId8"/>
    <sheet xmlns:r="http://schemas.openxmlformats.org/officeDocument/2006/relationships" name="Approvals" sheetId="9" state="visible" r:id="rId9"/>
    <sheet xmlns:r="http://schemas.openxmlformats.org/officeDocument/2006/relationships" name="Administration" sheetId="10" state="visible" r:id="rId10"/>
    <sheet xmlns:r="http://schemas.openxmlformats.org/officeDocument/2006/relationships" name="Shell &amp; Language" sheetId="11" state="visible" r:id="rId11"/>
    <sheet xmlns:r="http://schemas.openxmlformats.org/officeDocument/2006/relationships" name="Enhancements" sheetId="12" state="visible" r:id="rId12"/>
  </sheets>
  <definedNames>
    <definedName name="_xlnm._FilterDatabase" localSheetId="1" hidden="1">'Access &amp; Session'!$A$1:$J$4</definedName>
    <definedName name="_xlnm._FilterDatabase" localSheetId="2" hidden="1">'Dashboard'!$A$1:$J$3</definedName>
    <definedName name="_xlnm._FilterDatabase" localSheetId="3" hidden="1">'Registrations'!$A$1:$J$6</definedName>
    <definedName name="_xlnm._FilterDatabase" localSheetId="4" hidden="1">'Freelancers'!$A$1:$J$6</definedName>
    <definedName name="_xlnm._FilterDatabase" localSheetId="5" hidden="1">'Contracts'!$A$1:$J$8</definedName>
    <definedName name="_xlnm._FilterDatabase" localSheetId="6" hidden="1">'Payments'!$A$1:$J$6</definedName>
    <definedName name="_xlnm._FilterDatabase" localSheetId="7" hidden="1">'Compliance'!$A$1:$J$3</definedName>
    <definedName name="_xlnm._FilterDatabase" localSheetId="8" hidden="1">'Approvals'!$A$1:$J$4</definedName>
    <definedName name="_xlnm._FilterDatabase" localSheetId="9" hidden="1">'Administration'!$A$1:$J$2</definedName>
    <definedName name="_xlnm._FilterDatabase" localSheetId="10" hidden="1">'Shell &amp; Language'!$A$1:$J$3</definedName>
    <definedName name="_xlnm._FilterDatabase" localSheetId="11" hidden="1">'Enhancements'!$A$1:$J$6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7C4DBE"/>
      <sz val="18"/>
    </font>
    <font>
      <b val="1"/>
      <color rgb="00444444"/>
      <sz val="12"/>
    </font>
    <font>
      <b val="1"/>
    </font>
    <font>
      <b val="1"/>
      <color rgb="007C4DBE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C4DBE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Freelancers (App 203) — Registrations, Contracts, Payments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FL roles: AYESHA.AMERI = FL_ADMIN, NASER.ALKHAJA = FL_MANAGER, SHAIKHA.GALAMERI = FL_USER.</t>
        </is>
      </c>
    </row>
    <row r="30" ht="30" customHeight="1">
      <c r="B30" s="9" t="inlineStr">
        <is>
          <t>- Layla Hassan (FL-VND-000001) - ACTIVE freelancer with bank account, documents and contract FL-CON-000001 (24k, ACTIVE, 1 voucher PAID): use for detail/schedule/voucher tests.</t>
        </is>
      </c>
    </row>
    <row r="31" ht="30" customHeight="1">
      <c r="B31" s="9" t="inlineStr">
        <is>
          <t>- FL-CON-000002 (84k) - pending at the FL_ADMIN step: use for the &gt;=50k two-step approval test.</t>
        </is>
      </c>
    </row>
    <row r="32" ht="30" customHeight="1">
      <c r="B32" s="9" t="inlineStr">
        <is>
          <t>- FL-REG-000004 (Omar Saleh) - DRAFT; FL-REG-000005 (Mariam Khalil) - SUBMITTED, in the manager queue.</t>
        </is>
      </c>
    </row>
    <row r="33" ht="30" customHeight="1">
      <c r="B33" s="9" t="inlineStr">
        <is>
          <t>- One amendment, one deliverable, one renewal and near-expiry documents exist from the lifecycle seed.</t>
        </is>
      </c>
    </row>
    <row r="35">
      <c r="B35" s="4" t="inlineStr">
        <is>
          <t>Live summary</t>
        </is>
      </c>
    </row>
    <row r="36">
      <c r="B36" s="10" t="inlineStr">
        <is>
          <t>Functional area</t>
        </is>
      </c>
      <c r="C36" s="10" t="inlineStr">
        <is>
          <t>Cases</t>
        </is>
      </c>
      <c r="D36" s="10" t="inlineStr">
        <is>
          <t>Pass</t>
        </is>
      </c>
      <c r="E36" s="10" t="inlineStr">
        <is>
          <t>Fail</t>
        </is>
      </c>
      <c r="F36" s="10" t="inlineStr">
        <is>
          <t>Blocked</t>
        </is>
      </c>
      <c r="G36" s="10" t="inlineStr">
        <is>
          <t>Executed %</t>
        </is>
      </c>
    </row>
    <row r="37">
      <c r="B37" s="11" t="inlineStr">
        <is>
          <t>Access &amp; Session</t>
        </is>
      </c>
      <c r="C37" s="11" t="n">
        <v>3</v>
      </c>
      <c r="D37" s="11">
        <f>COUNTIF('Access &amp; Session'!G:G,"Pass")</f>
        <v/>
      </c>
      <c r="E37" s="11">
        <f>COUNTIF('Access &amp; Session'!G:G,"Fail")</f>
        <v/>
      </c>
      <c r="F37" s="11">
        <f>COUNTIF('Access &amp; Session'!G:G,"Blocked")</f>
        <v/>
      </c>
      <c r="G37" s="11">
        <f>ROUND(COUNTA('Access &amp; Session'!G2:G500)/C37*100,0)&amp;"%"</f>
        <v/>
      </c>
    </row>
    <row r="38">
      <c r="B38" s="11" t="inlineStr">
        <is>
          <t>Dashboard</t>
        </is>
      </c>
      <c r="C38" s="11" t="n">
        <v>2</v>
      </c>
      <c r="D38" s="11">
        <f>COUNTIF('Dashboard'!G:G,"Pass")</f>
        <v/>
      </c>
      <c r="E38" s="11">
        <f>COUNTIF('Dashboard'!G:G,"Fail")</f>
        <v/>
      </c>
      <c r="F38" s="11">
        <f>COUNTIF('Dashboard'!G:G,"Blocked")</f>
        <v/>
      </c>
      <c r="G38" s="11">
        <f>ROUND(COUNTA('Dashboard'!G2:G500)/C38*100,0)&amp;"%"</f>
        <v/>
      </c>
    </row>
    <row r="39">
      <c r="B39" s="11" t="inlineStr">
        <is>
          <t>Registrations</t>
        </is>
      </c>
      <c r="C39" s="11" t="n">
        <v>5</v>
      </c>
      <c r="D39" s="11">
        <f>COUNTIF('Registrations'!G:G,"Pass")</f>
        <v/>
      </c>
      <c r="E39" s="11">
        <f>COUNTIF('Registrations'!G:G,"Fail")</f>
        <v/>
      </c>
      <c r="F39" s="11">
        <f>COUNTIF('Registrations'!G:G,"Blocked")</f>
        <v/>
      </c>
      <c r="G39" s="11">
        <f>ROUND(COUNTA('Registrations'!G2:G500)/C39*100,0)&amp;"%"</f>
        <v/>
      </c>
    </row>
    <row r="40">
      <c r="B40" s="11" t="inlineStr">
        <is>
          <t>Freelancers</t>
        </is>
      </c>
      <c r="C40" s="11" t="n">
        <v>5</v>
      </c>
      <c r="D40" s="11">
        <f>COUNTIF('Freelancers'!G:G,"Pass")</f>
        <v/>
      </c>
      <c r="E40" s="11">
        <f>COUNTIF('Freelancers'!G:G,"Fail")</f>
        <v/>
      </c>
      <c r="F40" s="11">
        <f>COUNTIF('Freelancers'!G:G,"Blocked")</f>
        <v/>
      </c>
      <c r="G40" s="11">
        <f>ROUND(COUNTA('Freelancers'!G2:G500)/C40*100,0)&amp;"%"</f>
        <v/>
      </c>
    </row>
    <row r="41">
      <c r="B41" s="11" t="inlineStr">
        <is>
          <t>Contracts</t>
        </is>
      </c>
      <c r="C41" s="11" t="n">
        <v>7</v>
      </c>
      <c r="D41" s="11">
        <f>COUNTIF('Contracts'!G:G,"Pass")</f>
        <v/>
      </c>
      <c r="E41" s="11">
        <f>COUNTIF('Contracts'!G:G,"Fail")</f>
        <v/>
      </c>
      <c r="F41" s="11">
        <f>COUNTIF('Contracts'!G:G,"Blocked")</f>
        <v/>
      </c>
      <c r="G41" s="11">
        <f>ROUND(COUNTA('Contracts'!G2:G500)/C41*100,0)&amp;"%"</f>
        <v/>
      </c>
    </row>
    <row r="42">
      <c r="B42" s="11" t="inlineStr">
        <is>
          <t>Payments</t>
        </is>
      </c>
      <c r="C42" s="11" t="n">
        <v>5</v>
      </c>
      <c r="D42" s="11">
        <f>COUNTIF('Payments'!G:G,"Pass")</f>
        <v/>
      </c>
      <c r="E42" s="11">
        <f>COUNTIF('Payments'!G:G,"Fail")</f>
        <v/>
      </c>
      <c r="F42" s="11">
        <f>COUNTIF('Payments'!G:G,"Blocked")</f>
        <v/>
      </c>
      <c r="G42" s="11">
        <f>ROUND(COUNTA('Payments'!G2:G500)/C42*100,0)&amp;"%"</f>
        <v/>
      </c>
    </row>
    <row r="43">
      <c r="B43" s="11" t="inlineStr">
        <is>
          <t>Compliance</t>
        </is>
      </c>
      <c r="C43" s="11" t="n">
        <v>2</v>
      </c>
      <c r="D43" s="11">
        <f>COUNTIF('Compliance'!G:G,"Pass")</f>
        <v/>
      </c>
      <c r="E43" s="11">
        <f>COUNTIF('Compliance'!G:G,"Fail")</f>
        <v/>
      </c>
      <c r="F43" s="11">
        <f>COUNTIF('Compliance'!G:G,"Blocked")</f>
        <v/>
      </c>
      <c r="G43" s="11">
        <f>ROUND(COUNTA('Compliance'!G2:G500)/C43*100,0)&amp;"%"</f>
        <v/>
      </c>
    </row>
    <row r="44">
      <c r="B44" s="11" t="inlineStr">
        <is>
          <t>Approvals</t>
        </is>
      </c>
      <c r="C44" s="11" t="n">
        <v>3</v>
      </c>
      <c r="D44" s="11">
        <f>COUNTIF('Approvals'!G:G,"Pass")</f>
        <v/>
      </c>
      <c r="E44" s="11">
        <f>COUNTIF('Approvals'!G:G,"Fail")</f>
        <v/>
      </c>
      <c r="F44" s="11">
        <f>COUNTIF('Approvals'!G:G,"Blocked")</f>
        <v/>
      </c>
      <c r="G44" s="11">
        <f>ROUND(COUNTA('Approvals'!G2:G500)/C44*100,0)&amp;"%"</f>
        <v/>
      </c>
    </row>
    <row r="45">
      <c r="B45" s="11" t="inlineStr">
        <is>
          <t>Administration</t>
        </is>
      </c>
      <c r="C45" s="11" t="n">
        <v>1</v>
      </c>
      <c r="D45" s="11">
        <f>COUNTIF('Administration'!G:G,"Pass")</f>
        <v/>
      </c>
      <c r="E45" s="11">
        <f>COUNTIF('Administration'!G:G,"Fail")</f>
        <v/>
      </c>
      <c r="F45" s="11">
        <f>COUNTIF('Administration'!G:G,"Blocked")</f>
        <v/>
      </c>
      <c r="G45" s="11">
        <f>ROUND(COUNTA('Administration'!G2:G500)/C45*100,0)&amp;"%"</f>
        <v/>
      </c>
    </row>
    <row r="46">
      <c r="B46" s="11" t="inlineStr">
        <is>
          <t>Shell &amp; Language</t>
        </is>
      </c>
      <c r="C46" s="11" t="n">
        <v>2</v>
      </c>
      <c r="D46" s="11">
        <f>COUNTIF('Shell &amp; Language'!G:G,"Pass")</f>
        <v/>
      </c>
      <c r="E46" s="11">
        <f>COUNTIF('Shell &amp; Language'!G:G,"Fail")</f>
        <v/>
      </c>
      <c r="F46" s="11">
        <f>COUNTIF('Shell &amp; Language'!G:G,"Blocked")</f>
        <v/>
      </c>
      <c r="G46" s="11">
        <f>ROUND(COUNTA('Shell &amp; Language'!G2:G500)/C46*100,0)&amp;"%"</f>
        <v/>
      </c>
    </row>
    <row r="47">
      <c r="B47" s="11" t="inlineStr">
        <is>
          <t>Enhancements</t>
        </is>
      </c>
      <c r="C47" s="11" t="n">
        <v>5</v>
      </c>
      <c r="D47" s="11">
        <f>COUNTIF('Enhancements'!G:G,"Pass")</f>
        <v/>
      </c>
      <c r="E47" s="11">
        <f>COUNTIF('Enhancements'!G:G,"Fail")</f>
        <v/>
      </c>
      <c r="F47" s="11">
        <f>COUNTIF('Enhancements'!G:G,"Blocked")</f>
        <v/>
      </c>
      <c r="G47" s="11">
        <f>ROUND(COUNTA('Enhancements'!G2:G500)/C47*100,0)&amp;"%"</f>
        <v/>
      </c>
    </row>
    <row r="48">
      <c r="B48" s="12" t="inlineStr">
        <is>
          <t>TOTAL</t>
        </is>
      </c>
      <c r="C48" s="12">
        <f>SUM(C37:C47)</f>
        <v/>
      </c>
      <c r="D48" s="12">
        <f>SUM(D37:D47)</f>
        <v/>
      </c>
      <c r="E48" s="12">
        <f>SUM(E37:E47)</f>
        <v/>
      </c>
      <c r="F48" s="12">
        <f>SUM(F37:F47)</f>
        <v/>
      </c>
    </row>
  </sheetData>
  <mergeCells count="23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33:G33"/>
    <mergeCell ref="B20:G20"/>
    <mergeCell ref="B32:G32"/>
    <mergeCell ref="C23:G23"/>
    <mergeCell ref="C8:G8"/>
    <mergeCell ref="B16:G16"/>
    <mergeCell ref="C7:G7"/>
    <mergeCell ref="B31:G31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FL-ACC-01</t>
        </is>
      </c>
      <c r="B2" s="15" t="inlineStr">
        <is>
          <t>Shared session</t>
        </is>
      </c>
      <c r="C2" s="15" t="inlineStr">
        <is>
          <t>Entry from Admin</t>
        </is>
      </c>
      <c r="D2" s="15" t="inlineStr">
        <is>
          <t>1. Login in Admin
2. Switch to Freelancers via the module dropdown</t>
        </is>
      </c>
      <c r="E2" s="16" t="inlineStr">
        <is>
          <t>FL_USER = SHAIKHA.GALAMERI · FL_MANAGER = NASER.ALKHAJA · FL_ADMIN = AYESHA.AMERI</t>
        </is>
      </c>
      <c r="F2" s="15" t="inlineStr">
        <is>
          <t>FL opens logged-in; viewer/manager/admin nav per role (FL_USER / FL_MANAGER / FL_ADMIN)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FL-ACC-02</t>
        </is>
      </c>
      <c r="B3" s="15" t="inlineStr">
        <is>
          <t>No session</t>
        </is>
      </c>
      <c r="C3" s="15" t="inlineStr">
        <is>
          <t>Direct open without login</t>
        </is>
      </c>
      <c r="D3" s="15" t="inlineStr">
        <is>
          <t>1. Fresh private window &gt; FL URL</t>
        </is>
      </c>
      <c r="E3" s="16" t="inlineStr">
        <is>
          <t>FL_USER = SHAIKHA.GALAMERI · FL_MANAGER = NASER.ALKHAJA · FL_ADMIN = AYESHA.AMERI</t>
        </is>
      </c>
      <c r="F3" s="15" t="inlineStr">
        <is>
          <t>Redirected to Admin login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FL-ACC-03</t>
        </is>
      </c>
      <c r="B4" s="15" t="inlineStr">
        <is>
          <t>Role gating</t>
        </is>
      </c>
      <c r="C4" s="15" t="inlineStr">
        <is>
          <t>Compliance/Approvals/Admin menus</t>
        </is>
      </c>
      <c r="D4" s="15" t="inlineStr">
        <is>
          <t>1. Compare menus as FL_USER (SHAIKHA.GALAMERI) vs FL_MANAGER (NASER) vs FL_ADMIN (AYESHA)</t>
        </is>
      </c>
      <c r="E4" s="16" t="inlineStr">
        <is>
          <t>FL_USER = SHAIKHA.GALAMERI · FL_MANAGER = NASER.ALKHAJA · FL_ADMIN = AYESHA.AMERI</t>
        </is>
      </c>
      <c r="F4" s="15" t="inlineStr">
        <is>
          <t>Compliance + Approvals groups appear for managers+; Module Settings only for FL_ADMIN/SYS_ADMIN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FL-DSH-01</t>
        </is>
      </c>
      <c r="B2" s="15" t="inlineStr">
        <is>
          <t>Stats</t>
        </is>
      </c>
      <c r="C2" s="15" t="inlineStr">
        <is>
          <t>Cards show live numbers</t>
        </is>
      </c>
      <c r="D2" s="15" t="inlineStr">
        <is>
          <t>1. Open FL Dashboard</t>
        </is>
      </c>
      <c r="E2" s="15" t="inlineStr"/>
      <c r="F2" s="15" t="inlineStr">
        <is>
          <t>Active freelancers, active contracts (+AED total), vouchers awaiting approval, documents expiring — all sensible values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FL-DSH-02</t>
        </is>
      </c>
      <c r="B3" s="15" t="inlineStr">
        <is>
          <t>Charts</t>
        </is>
      </c>
      <c r="C3" s="15" t="inlineStr">
        <is>
          <t>Spend + expiry horizon</t>
        </is>
      </c>
      <c r="D3" s="15" t="inlineStr">
        <is>
          <t>1. Wait for both charts</t>
        </is>
      </c>
      <c r="E3" s="15" t="inlineStr"/>
      <c r="F3" s="15" t="inlineStr">
        <is>
          <t>Committed-vs-Paid by organisation bar chart + document expiry horizon chart render with data</t>
        </is>
      </c>
      <c r="G3" s="17" t="inlineStr"/>
      <c r="H3" s="17" t="inlineStr"/>
      <c r="I3" s="17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FL-REG-01</t>
        </is>
      </c>
      <c r="B2" s="15" t="inlineStr">
        <is>
          <t>List</t>
        </is>
      </c>
      <c r="C2" s="15" t="inlineStr">
        <is>
          <t>Paged list + search</t>
        </is>
      </c>
      <c r="D2" s="15" t="inlineStr">
        <is>
          <t>1. Open Registrations
2. Search by name
3. Filter by status</t>
        </is>
      </c>
      <c r="E2" s="16" t="inlineStr">
        <is>
          <t>FL-REG-000004 (Omar Saleh, DRAFT) · FL-REG-000005 (Mariam Khalil, SUBMITTED)</t>
        </is>
      </c>
      <c r="F2" s="15" t="inlineStr">
        <is>
          <t>Server-paged list; filters work; FL-REG numbers shown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FL-REG-02</t>
        </is>
      </c>
      <c r="B3" s="15" t="inlineStr">
        <is>
          <t>Create</t>
        </is>
      </c>
      <c r="C3" s="15" t="inlineStr">
        <is>
          <t>New registration draft</t>
        </is>
      </c>
      <c r="D3" s="15" t="inlineStr">
        <is>
          <t>1. + New Registration: names, date of birth, nationality, email, mobile, specialization
2. Save</t>
        </is>
      </c>
      <c r="E3" s="16" t="inlineStr">
        <is>
          <t>Name 'Test Freelancer UAT' · nationality from dropdown · test.fl.uat@example.com</t>
        </is>
      </c>
      <c r="F3" s="15" t="inlineStr">
        <is>
          <t>Draft saved with FL-REG-NNNNNN number; appears in the list as DRAFT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FL-REG-03</t>
        </is>
      </c>
      <c r="B4" s="15" t="inlineStr">
        <is>
          <t>Photo</t>
        </is>
      </c>
      <c r="C4" s="15" t="inlineStr">
        <is>
          <t>Photo required to submit</t>
        </is>
      </c>
      <c r="D4" s="15" t="inlineStr">
        <is>
          <t>1. Open a DRAFT registration without a photo
2. Try Submit
3. Upload a photo and submit again</t>
        </is>
      </c>
      <c r="E4" s="16" t="inlineStr">
        <is>
          <t>FL-REG-000004 (no photo yet) · any JPG/PNG</t>
        </is>
      </c>
      <c r="F4" s="15" t="inlineStr">
        <is>
          <t>Submit blocked until a photo is uploaded; with photo it submits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FL-REG-04</t>
        </is>
      </c>
      <c r="B5" s="15" t="inlineStr">
        <is>
          <t>Submit</t>
        </is>
      </c>
      <c r="C5" s="15" t="inlineStr">
        <is>
          <t>Send for approval</t>
        </is>
      </c>
      <c r="D5" s="15" t="inlineStr">
        <is>
          <t>1. Submit a complete draft</t>
        </is>
      </c>
      <c r="E5" s="16" t="inlineStr">
        <is>
          <t>Your draft from the previous case (photo uploaded)</t>
        </is>
      </c>
      <c r="F5" s="15" t="inlineStr">
        <is>
          <t>Status SUBMITTED; appears in the FL manager's approvals queue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FL-REG-05</t>
        </is>
      </c>
      <c r="B6" s="15" t="inlineStr">
        <is>
          <t>Approve</t>
        </is>
      </c>
      <c r="C6" s="15" t="inlineStr">
        <is>
          <t>Approval creates the freelancer</t>
        </is>
      </c>
      <c r="D6" s="15" t="inlineStr">
        <is>
          <t>1. As FL_MANAGER approve the registration (then FL_ADMIN if a second step shows)</t>
        </is>
      </c>
      <c r="E6" s="16" t="inlineStr">
        <is>
          <t>FL-REG-000005 — in NASER.ALKHAJA's queue</t>
        </is>
      </c>
      <c r="F6" s="15" t="inlineStr">
        <is>
          <t>On final approval a freelancer profile is created automatically with a FL-VND vendor number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FL-VND-01</t>
        </is>
      </c>
      <c r="B2" s="15" t="inlineStr">
        <is>
          <t>List</t>
        </is>
      </c>
      <c r="C2" s="15" t="inlineStr">
        <is>
          <t>Directory</t>
        </is>
      </c>
      <c r="D2" s="15" t="inlineStr">
        <is>
          <t>1. Open Freelancers</t>
        </is>
      </c>
      <c r="E2" s="16" t="inlineStr">
        <is>
          <t>Layla Hassan — FL-VND-000001 (ACTIVE)</t>
        </is>
      </c>
      <c r="F2" s="15" t="inlineStr">
        <is>
          <t>Active freelancers with vendor number, name, specialization, status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FL-VND-02</t>
        </is>
      </c>
      <c r="B3" s="15" t="inlineStr">
        <is>
          <t>Detail</t>
        </is>
      </c>
      <c r="C3" s="15" t="inlineStr">
        <is>
          <t>Tabs</t>
        </is>
      </c>
      <c r="D3" s="15" t="inlineStr">
        <is>
          <t>1. Open a freelancer</t>
        </is>
      </c>
      <c r="E3" s="16" t="inlineStr">
        <is>
          <t>FL-VND-000001 (has bank account, contract, documents)</t>
        </is>
      </c>
      <c r="F3" s="15" t="inlineStr">
        <is>
          <t>Profile / Bank Accounts / Contracts / Documents tabs all load; audit info shows created/updated in local time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FL-VND-03</t>
        </is>
      </c>
      <c r="B4" s="15" t="inlineStr">
        <is>
          <t>Bank</t>
        </is>
      </c>
      <c r="C4" s="15" t="inlineStr">
        <is>
          <t>Add bank account</t>
        </is>
      </c>
      <c r="D4" s="15" t="inlineStr">
        <is>
          <t>1. In Bank Accounts add IBAN/bank details
2. Save</t>
        </is>
      </c>
      <c r="E4" s="16" t="inlineStr">
        <is>
          <t>IBAN AE07 0331 2345 6789 0123 456 · any seeded bank</t>
        </is>
      </c>
      <c r="F4" s="15" t="inlineStr">
        <is>
          <t>Account listed; primary flag honoured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FL-VND-04</t>
        </is>
      </c>
      <c r="B5" s="15" t="inlineStr">
        <is>
          <t>Status</t>
        </is>
      </c>
      <c r="C5" s="15" t="inlineStr">
        <is>
          <t>Change status</t>
        </is>
      </c>
      <c r="D5" s="15" t="inlineStr">
        <is>
          <t>1. Use Change Status (e.g. ACTIVE &gt; INACTIVE and back)</t>
        </is>
      </c>
      <c r="E5" s="15" t="inlineStr"/>
      <c r="F5" s="15" t="inlineStr">
        <is>
          <t>Status updates with a reason; reflected in the list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FL-VND-05</t>
        </is>
      </c>
      <c r="B6" s="15" t="inlineStr">
        <is>
          <t>Documents</t>
        </is>
      </c>
      <c r="C6" s="15" t="inlineStr">
        <is>
          <t>Add document with expiry</t>
        </is>
      </c>
      <c r="D6" s="15" t="inlineStr">
        <is>
          <t>1. In Documents add a document with a near-future expiry
2. Upload the file</t>
        </is>
      </c>
      <c r="E6" s="16" t="inlineStr">
        <is>
          <t>Expiry +20 days (so it appears in Compliance)</t>
        </is>
      </c>
      <c r="F6" s="15" t="inlineStr">
        <is>
          <t>Document saved; appears in Compliance &gt; Documents with days-to-expiry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FL-CON-01</t>
        </is>
      </c>
      <c r="B2" s="15" t="inlineStr">
        <is>
          <t>List</t>
        </is>
      </c>
      <c r="C2" s="15" t="inlineStr">
        <is>
          <t>Contracts with billing bar</t>
        </is>
      </c>
      <c r="D2" s="15" t="inlineStr">
        <is>
          <t>1. Open Contracts</t>
        </is>
      </c>
      <c r="E2" s="16" t="inlineStr">
        <is>
          <t>FL-CON-000001 (24k ACTIVE, ~17% billed) · FL-CON-000002 (84k, pending)</t>
        </is>
      </c>
      <c r="F2" s="15" t="inlineStr">
        <is>
          <t>Contracts with totals, status and % billed progress bar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FL-CON-02</t>
        </is>
      </c>
      <c r="B3" s="15" t="inlineStr">
        <is>
          <t>Create</t>
        </is>
      </c>
      <c r="C3" s="15" t="inlineStr">
        <is>
          <t>New contract draft</t>
        </is>
      </c>
      <c r="D3" s="15" t="inlineStr">
        <is>
          <t>1. + New Contract: freelancer, title, dates, total amount, billing method, GL or Project coding
2. Save</t>
        </is>
      </c>
      <c r="E3" s="16" t="inlineStr">
        <is>
          <t>FL-VND-000001 · 12 months · GL coding from dropdown</t>
        </is>
      </c>
      <c r="F3" s="15" t="inlineStr">
        <is>
          <t>Draft saved with FL-CON number; GL/PROJECT coding toggle works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FL-CON-03</t>
        </is>
      </c>
      <c r="B4" s="15" t="inlineStr">
        <is>
          <t>Submit small</t>
        </is>
      </c>
      <c r="C4" s="15" t="inlineStr">
        <is>
          <t>&lt; 50k = 1 approval step</t>
        </is>
      </c>
      <c r="D4" s="15" t="inlineStr">
        <is>
          <t>1. Submit a contract under AED 50,000
2. Approve as FL_MANAGER</t>
        </is>
      </c>
      <c r="E4" s="16" t="inlineStr">
        <is>
          <t>Amount 24,000 — approve as NASER.ALKHAJA only</t>
        </is>
      </c>
      <c r="F4" s="15" t="inlineStr">
        <is>
          <t>Contract becomes ACTIVE after ONE approval; payment schedule generated automatically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FL-CON-04</t>
        </is>
      </c>
      <c r="B5" s="15" t="inlineStr">
        <is>
          <t>Submit large</t>
        </is>
      </c>
      <c r="C5" s="15" t="inlineStr">
        <is>
          <t>&gt;= 50k = 2 approval steps</t>
        </is>
      </c>
      <c r="D5" s="15" t="inlineStr">
        <is>
          <t>1. Submit a contract of AED 50,000+ (seeded: FL-CON-000002, 84k)
2. Approve as FL_MANAGER</t>
        </is>
      </c>
      <c r="E5" s="16" t="inlineStr">
        <is>
          <t>FL-CON-000002 (84k) — already at step 2; approve as AYESHA.AMERI (FL_ADMIN)</t>
        </is>
      </c>
      <c r="F5" s="15" t="inlineStr">
        <is>
          <t>After step 1 it is still pending at the FL_ADMIN step; only after step 2 does it activate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FL-CON-05</t>
        </is>
      </c>
      <c r="B6" s="15" t="inlineStr">
        <is>
          <t>Detail</t>
        </is>
      </c>
      <c r="C6" s="15" t="inlineStr">
        <is>
          <t>Schedule + tabs</t>
        </is>
      </c>
      <c r="D6" s="15" t="inlineStr">
        <is>
          <t>1. Open an ACTIVE contract</t>
        </is>
      </c>
      <c r="E6" s="16" t="inlineStr">
        <is>
          <t>FL-CON-000001 — 6 monthly rows, June PAID</t>
        </is>
      </c>
      <c r="F6" s="15" t="inlineStr">
        <is>
          <t>Payment Schedule / Amendments / Renewals / Details tabs; schedule rows match the billing method</t>
        </is>
      </c>
      <c r="G6" s="17" t="inlineStr"/>
      <c r="H6" s="17" t="inlineStr"/>
      <c r="I6" s="17" t="inlineStr"/>
      <c r="J6" s="15" t="inlineStr"/>
    </row>
    <row r="7">
      <c r="A7" s="14" t="inlineStr">
        <is>
          <t>FL-CON-06</t>
        </is>
      </c>
      <c r="B7" s="15" t="inlineStr">
        <is>
          <t>Amendment</t>
        </is>
      </c>
      <c r="C7" s="15" t="inlineStr">
        <is>
          <t>Amend amount/end date</t>
        </is>
      </c>
      <c r="D7" s="15" t="inlineStr">
        <is>
          <t>1. + Amendment on an ACTIVE contract
2. Submit and approve it</t>
        </is>
      </c>
      <c r="E7" s="16" t="inlineStr">
        <is>
          <t>FL-CON-000001 — one amendment already exists as reference</t>
        </is>
      </c>
      <c r="F7" s="15" t="inlineStr">
        <is>
          <t>On approval the contract values update, version +1, schedule rebuilt</t>
        </is>
      </c>
      <c r="G7" s="17" t="inlineStr"/>
      <c r="H7" s="17" t="inlineStr"/>
      <c r="I7" s="17" t="inlineStr"/>
      <c r="J7" s="15" t="inlineStr"/>
    </row>
    <row r="8">
      <c r="A8" s="14" t="inlineStr">
        <is>
          <t>FL-CON-07</t>
        </is>
      </c>
      <c r="B8" s="15" t="inlineStr">
        <is>
          <t>Renewal</t>
        </is>
      </c>
      <c r="C8" s="15" t="inlineStr">
        <is>
          <t>Renew a contract</t>
        </is>
      </c>
      <c r="D8" s="15" t="inlineStr">
        <is>
          <t>1. Renew from the contract detail
2. Submit and approve</t>
        </is>
      </c>
      <c r="E8" s="15" t="inlineStr"/>
      <c r="F8" s="15" t="inlineStr">
        <is>
          <t>A new contract version/row is created per the renewal terms</t>
        </is>
      </c>
      <c r="G8" s="17" t="inlineStr"/>
      <c r="H8" s="17" t="inlineStr"/>
      <c r="I8" s="17" t="inlineStr"/>
      <c r="J8" s="15" t="inlineStr"/>
    </row>
  </sheetData>
  <autoFilter ref="A1:J8"/>
  <conditionalFormatting sqref="G2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8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FL-PAY-01</t>
        </is>
      </c>
      <c r="B2" s="15" t="inlineStr">
        <is>
          <t>Schedule</t>
        </is>
      </c>
      <c r="C2" s="15" t="inlineStr">
        <is>
          <t>Due worklist</t>
        </is>
      </c>
      <c r="D2" s="15" t="inlineStr">
        <is>
          <t>1. Open Payment Schedule</t>
        </is>
      </c>
      <c r="E2" s="16" t="inlineStr">
        <is>
          <t>FL-CON-000001 schedule — July onwards PENDING</t>
        </is>
      </c>
      <c r="F2" s="15" t="inlineStr">
        <is>
          <t>Due/pending schedule rows across contracts with Generate Voucher actions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FL-PAY-02</t>
        </is>
      </c>
      <c r="B3" s="15" t="inlineStr">
        <is>
          <t>Voucher</t>
        </is>
      </c>
      <c r="C3" s="15" t="inlineStr">
        <is>
          <t>Generate from schedule</t>
        </is>
      </c>
      <c r="D3" s="15" t="inlineStr">
        <is>
          <t>1. Click Generate Voucher on a due row</t>
        </is>
      </c>
      <c r="E3" s="16" t="inlineStr">
        <is>
          <t>July 2026 row of FL-CON-000001</t>
        </is>
      </c>
      <c r="F3" s="15" t="inlineStr">
        <is>
          <t>Voucher FL-VCH created in DRAFT linked to the schedule row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FL-PAY-03</t>
        </is>
      </c>
      <c r="B4" s="15" t="inlineStr">
        <is>
          <t>Voucher</t>
        </is>
      </c>
      <c r="C4" s="15" t="inlineStr">
        <is>
          <t>Invoice + submit</t>
        </is>
      </c>
      <c r="D4" s="15" t="inlineStr">
        <is>
          <t>1. Open the voucher detail
2. Enter invoice reference
3. Submit and approve</t>
        </is>
      </c>
      <c r="E4" s="16" t="inlineStr">
        <is>
          <t>Invoice ref INV-UAT-001</t>
        </is>
      </c>
      <c r="F4" s="15" t="inlineStr">
        <is>
          <t>Voucher APPROVED; schedule row marked voucher-generated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FL-PAY-04</t>
        </is>
      </c>
      <c r="B5" s="15" t="inlineStr">
        <is>
          <t>Mark paid</t>
        </is>
      </c>
      <c r="C5" s="15" t="inlineStr">
        <is>
          <t>FL_ADMIN settles</t>
        </is>
      </c>
      <c r="D5" s="15" t="inlineStr">
        <is>
          <t>1. As FL_ADMIN use Mark Paid on an approved voucher</t>
        </is>
      </c>
      <c r="E5" s="16" t="inlineStr">
        <is>
          <t>Login AYESHA.AMERI — FL-VCH-000001 is the PAID reference</t>
        </is>
      </c>
      <c r="F5" s="15" t="inlineStr">
        <is>
          <t>Payment status PAID; contract paid-total and % billed update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FL-PAY-05</t>
        </is>
      </c>
      <c r="B6" s="15" t="inlineStr">
        <is>
          <t>Deliverables</t>
        </is>
      </c>
      <c r="C6" s="15" t="inlineStr">
        <is>
          <t>Accept / reject</t>
        </is>
      </c>
      <c r="D6" s="15" t="inlineStr">
        <is>
          <t>1. Open Deliverables
2. Accept one and reject another with a reason</t>
        </is>
      </c>
      <c r="E6" s="15" t="inlineStr"/>
      <c r="F6" s="15" t="inlineStr">
        <is>
          <t>States update; reason stored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FL-CMP-01</t>
        </is>
      </c>
      <c r="B2" s="15" t="inlineStr">
        <is>
          <t>Documents</t>
        </is>
      </c>
      <c r="C2" s="15" t="inlineStr">
        <is>
          <t>Expiry filter + badge</t>
        </is>
      </c>
      <c r="D2" s="15" t="inlineStr">
        <is>
          <t>1. Open Compliance &gt; Documents
2. Use the expiry filter (Expired / Expiring Soon / Valid)</t>
        </is>
      </c>
      <c r="E2" s="16" t="inlineStr">
        <is>
          <t>Seeded near-expiry document on FL-VND-000001</t>
        </is>
      </c>
      <c r="F2" s="15" t="inlineStr">
        <is>
          <t>Filtered list with days-to-expiry; side-nav badge matches the expiring count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FL-CMP-02</t>
        </is>
      </c>
      <c r="B3" s="15" t="inlineStr">
        <is>
          <t>Navigate</t>
        </is>
      </c>
      <c r="C3" s="15" t="inlineStr">
        <is>
          <t>Document to freelancer</t>
        </is>
      </c>
      <c r="D3" s="15" t="inlineStr">
        <is>
          <t>1. Click a document row</t>
        </is>
      </c>
      <c r="E3" s="15" t="inlineStr"/>
      <c r="F3" s="15" t="inlineStr">
        <is>
          <t>Opens the owning freelancer's Documents tab</t>
        </is>
      </c>
      <c r="G3" s="17" t="inlineStr"/>
      <c r="H3" s="17" t="inlineStr"/>
      <c r="I3" s="17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FL-APR-01</t>
        </is>
      </c>
      <c r="B2" s="15" t="inlineStr">
        <is>
          <t>Queue</t>
        </is>
      </c>
      <c r="C2" s="15" t="inlineStr">
        <is>
          <t>Pending list</t>
        </is>
      </c>
      <c r="D2" s="15" t="inlineStr">
        <is>
          <t>1. Login as FL_MANAGER (NASER)
2. Open Pending Approvals</t>
        </is>
      </c>
      <c r="E2" s="16" t="inlineStr">
        <is>
          <t>Login NASER.ALKHAJA; pending: FL-REG-000005 (registration) + FL-CON-000002 (84k contract, step 2)</t>
        </is>
      </c>
      <c r="F2" s="15" t="inlineStr">
        <is>
          <t>FL registrations/contracts/vouchers awaiting YOUR step; badge count matches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FL-APR-02</t>
        </is>
      </c>
      <c r="B3" s="15" t="inlineStr">
        <is>
          <t>Comment required</t>
        </is>
      </c>
      <c r="C3" s="15" t="inlineStr">
        <is>
          <t>Approve needs a comment</t>
        </is>
      </c>
      <c r="D3" s="15" t="inlineStr">
        <is>
          <t>1. Click Approve and try to confirm with an empty comment</t>
        </is>
      </c>
      <c r="E3" s="16" t="inlineStr">
        <is>
          <t>Login NASER.ALKHAJA; pending: FL-REG-000005 (registration) + FL-CON-000002 (84k contract, step 2)</t>
        </is>
      </c>
      <c r="F3" s="15" t="inlineStr">
        <is>
          <t>Blocked with 'a comment is required'; with a comment it succeeds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FL-APR-03</t>
        </is>
      </c>
      <c r="B4" s="15" t="inlineStr">
        <is>
          <t>Reject / Return</t>
        </is>
      </c>
      <c r="C4" s="15" t="inlineStr">
        <is>
          <t>Negative paths</t>
        </is>
      </c>
      <c r="D4" s="15" t="inlineStr">
        <is>
          <t>1. Reject one item; Return another (with comments)</t>
        </is>
      </c>
      <c r="E4" s="16" t="inlineStr">
        <is>
          <t>Login NASER.ALKHAJA; pending: FL-REG-000005 (registration) + FL-CON-000002 (84k contract, step 2)</t>
        </is>
      </c>
      <c r="F4" s="15" t="inlineStr">
        <is>
          <t>Statuses update; requester notified; returned item editable again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FL-ADM-01</t>
        </is>
      </c>
      <c r="B2" s="15" t="inlineStr">
        <is>
          <t>Module settings</t>
        </is>
      </c>
      <c r="C2" s="15" t="inlineStr">
        <is>
          <t>FL settings</t>
        </is>
      </c>
      <c r="D2" s="15" t="inlineStr">
        <is>
          <t>1. As FL_ADMIN open Module Settings
2. Edit a value (e.g. DOC_EXPIRY_ALERT_DAYS)
3. Save + refresh</t>
        </is>
      </c>
      <c r="E2" s="16" t="inlineStr">
        <is>
          <t>DOC_EXPIRY_ALERT_DAYS (restore the value after)</t>
        </is>
      </c>
      <c r="F2" s="15" t="inlineStr">
        <is>
          <t>Persists; non-admins do not see the page</t>
        </is>
      </c>
      <c r="G2" s="17" t="inlineStr"/>
      <c r="H2" s="17" t="inlineStr"/>
      <c r="I2" s="17" t="inlineStr"/>
      <c r="J2" s="15" t="inlineStr"/>
    </row>
  </sheetData>
  <autoFilter ref="A1:J2"/>
  <conditionalFormatting sqref="G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FL-SHL-01</t>
        </is>
      </c>
      <c r="B2" s="15" t="inlineStr">
        <is>
          <t>Switcher</t>
        </is>
      </c>
      <c r="C2" s="15" t="inlineStr">
        <is>
          <t>Cross-module hop</t>
        </is>
      </c>
      <c r="D2" s="15" t="inlineStr">
        <is>
          <t>1. Module dropdown &gt; Admin / CC and back</t>
        </is>
      </c>
      <c r="E2" s="15" t="inlineStr"/>
      <c r="F2" s="15" t="inlineStr">
        <is>
          <t>No re-login; FL shows live (no 'soon' badge)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FL-SHL-02</t>
        </is>
      </c>
      <c r="B3" s="15" t="inlineStr">
        <is>
          <t>Arabic</t>
        </is>
      </c>
      <c r="C3" s="15" t="inlineStr">
        <is>
          <t>RTL pass</t>
        </is>
      </c>
      <c r="D3" s="15" t="inlineStr">
        <is>
          <t>1. Switch to AR
2. Walk Dashboard + Registrations + a contract detail</t>
        </is>
      </c>
      <c r="E3" s="15" t="inlineStr"/>
      <c r="F3" s="15" t="inlineStr">
        <is>
          <t>Mirrored layout, Arabic labels, Latin digits; charts re-render</t>
        </is>
      </c>
      <c r="G3" s="17" t="inlineStr"/>
      <c r="H3" s="17" t="inlineStr"/>
      <c r="I3" s="17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FL-ENH-01</t>
        </is>
      </c>
      <c r="B2" s="15" t="inlineStr">
        <is>
          <t>Compliance deep link</t>
        </is>
      </c>
      <c r="C2" s="15" t="inlineStr">
        <is>
          <t>Doc row opens Documents tab</t>
        </is>
      </c>
      <c r="D2" s="15" t="inlineStr">
        <is>
          <t>1. Open Compliance &gt; Documents
2. Click a document row</t>
        </is>
      </c>
      <c r="E2" s="15" t="inlineStr"/>
      <c r="F2" s="15" t="inlineStr">
        <is>
          <t>Freelancer detail opens directly on the Documents tab (not Profile) — FL-CMP-02 fix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FL-ENH-02</t>
        </is>
      </c>
      <c r="B3" s="15" t="inlineStr">
        <is>
          <t>Bulk kill switch</t>
        </is>
      </c>
      <c r="C3" s="15" t="inlineStr">
        <is>
          <t>Bulk button respects setting</t>
        </is>
      </c>
      <c r="D3" s="15" t="inlineStr">
        <is>
          <t>1. With ALLOW_BULK_VOUCHER_GENERATION = N open Payment Schedule
2. Call POST /fl/schedule/bulk-generate directly</t>
        </is>
      </c>
      <c r="E3" s="15" t="inlineStr"/>
      <c r="F3" s="15" t="inlineStr">
        <is>
          <t>No 'Generate All Due' button on the page; direct API call refused with 403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FL-ENH-03</t>
        </is>
      </c>
      <c r="B4" s="15" t="inlineStr">
        <is>
          <t>Bulk generation</t>
        </is>
      </c>
      <c r="C4" s="15" t="inlineStr">
        <is>
          <t>Generate all due vouchers</t>
        </is>
      </c>
      <c r="D4" s="15" t="inlineStr">
        <is>
          <t>1. Set ALLOW_BULK_VOUCHER_GENERATION = Y
2. Reload Payment Schedule
3. Generate All Due &gt; Generate
4. Restore the setting to N</t>
        </is>
      </c>
      <c r="E4" s="15" t="inlineStr"/>
      <c r="F4" s="15" t="inlineStr">
        <is>
          <t>Button appears; one DRAFT voucher per PENDING row without an open voucher; rows flip to VOUCHER_GENERATED; toast shows the created count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FL-ENH-04</t>
        </is>
      </c>
      <c r="B5" s="15" t="inlineStr">
        <is>
          <t>Unsaved changes guard</t>
        </is>
      </c>
      <c r="C5" s="15" t="inlineStr">
        <is>
          <t>Dirty form warns on navigation</t>
        </is>
      </c>
      <c r="D5" s="15" t="inlineStr">
        <is>
          <t>1. Open a contract/registration edit form
2. Change a field without saving
3. Click another nav item</t>
        </is>
      </c>
      <c r="E5" s="15" t="inlineStr"/>
      <c r="F5" s="15" t="inlineStr">
        <is>
          <t>Confirm dialog about unsaved changes; Cancel stays, OK leaves; after Save no warning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FL-ENH-05</t>
        </is>
      </c>
      <c r="B6" s="15" t="inlineStr">
        <is>
          <t>Command palette</t>
        </is>
      </c>
      <c r="C6" s="15" t="inlineStr">
        <is>
          <t>Ctrl+K navigation</t>
        </is>
      </c>
      <c r="D6" s="15" t="inlineStr">
        <is>
          <t>1. Press Ctrl+K anywhere in FL
2. Type a page name and press Enter</t>
        </is>
      </c>
      <c r="E6" s="15" t="inlineStr"/>
      <c r="F6" s="15" t="inlineStr">
        <is>
          <t>Palette opens with FL navigation entries; Enter navigates to the page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2026-06-13T01:14:01Z</dcterms:created>
  <dcterms:modified xmlns:dcterms="http://purl.org/dc/terms/" xmlns:xsi="http://www.w3.org/2001/XMLSchema-instance" xsi:type="dcterms:W3CDTF">2026-06-13T01:14:01Z</dcterms:modified>
</cp:coreProperties>
</file>